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0730" windowHeight="11760" activeTab="4"/>
  </bookViews>
  <sheets>
    <sheet name="Sheet1" sheetId="2" r:id="rId1"/>
    <sheet name="jawaban 1" sheetId="3" r:id="rId2"/>
    <sheet name="no.4" sheetId="4" r:id="rId3"/>
    <sheet name="no.5" sheetId="5" r:id="rId4"/>
    <sheet name="Sheet5" sheetId="6" r:id="rId5"/>
    <sheet name="Sheet2" sheetId="7" r:id="rId6"/>
    <sheet name="Jabodetabek" sheetId="1" r:id="rId7"/>
  </sheets>
  <definedNames>
    <definedName name="ExternalData_1" localSheetId="6" hidden="1">Jabodetabek!$A$1:$P$2354</definedName>
  </definedNames>
  <calcPr calcId="144525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C5" i="5" l="1"/>
  <c r="C4" i="5"/>
  <c r="C5" i="6"/>
  <c r="C5" i="4"/>
  <c r="C4" i="4"/>
  <c r="C6" i="6" l="1"/>
  <c r="J10" i="1"/>
  <c r="L474" i="1"/>
  <c r="L3" i="1"/>
  <c r="L4" i="1"/>
  <c r="L5" i="1"/>
  <c r="L6" i="1"/>
  <c r="L7" i="1"/>
  <c r="L8" i="1"/>
  <c r="L9" i="1"/>
  <c r="L172" i="1"/>
  <c r="L2241" i="1"/>
  <c r="L2282" i="1"/>
  <c r="L2290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483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363" i="1"/>
  <c r="L77" i="1"/>
  <c r="L78" i="1"/>
  <c r="L79" i="1"/>
  <c r="L80" i="1"/>
  <c r="L81" i="1"/>
  <c r="L82" i="1"/>
  <c r="L83" i="1"/>
  <c r="L84" i="1"/>
  <c r="L85" i="1"/>
  <c r="L86" i="1"/>
  <c r="L87" i="1"/>
  <c r="L88" i="1"/>
  <c r="L158" i="1"/>
  <c r="L90" i="1"/>
  <c r="L91" i="1"/>
  <c r="L92" i="1"/>
  <c r="L537" i="1"/>
  <c r="L678" i="1"/>
  <c r="L95" i="1"/>
  <c r="L96" i="1"/>
  <c r="L97" i="1"/>
  <c r="L98" i="1"/>
  <c r="L99" i="1"/>
  <c r="L100" i="1"/>
  <c r="L101" i="1"/>
  <c r="L102" i="1"/>
  <c r="L103" i="1"/>
  <c r="L104" i="1"/>
  <c r="L105" i="1"/>
  <c r="L506" i="1"/>
  <c r="L467" i="1"/>
  <c r="L108" i="1"/>
  <c r="L109" i="1"/>
  <c r="L352" i="1"/>
  <c r="L111" i="1"/>
  <c r="L112" i="1"/>
  <c r="L113" i="1"/>
  <c r="L114" i="1"/>
  <c r="L115" i="1"/>
  <c r="L116" i="1"/>
  <c r="L117" i="1"/>
  <c r="L118" i="1"/>
  <c r="L119" i="1"/>
  <c r="L120" i="1"/>
  <c r="L121" i="1"/>
  <c r="L535" i="1"/>
  <c r="L123" i="1"/>
  <c r="L146" i="1"/>
  <c r="L125" i="1"/>
  <c r="L126" i="1"/>
  <c r="L290" i="1"/>
  <c r="L128" i="1"/>
  <c r="L129" i="1"/>
  <c r="L130" i="1"/>
  <c r="L131" i="1"/>
  <c r="L132" i="1"/>
  <c r="L133" i="1"/>
  <c r="L320" i="1"/>
  <c r="L183" i="1"/>
  <c r="L136" i="1"/>
  <c r="L137" i="1"/>
  <c r="L241" i="1"/>
  <c r="L139" i="1"/>
  <c r="L140" i="1"/>
  <c r="L141" i="1"/>
  <c r="L142" i="1"/>
  <c r="L143" i="1"/>
  <c r="L144" i="1"/>
  <c r="L145" i="1"/>
  <c r="L542" i="1"/>
  <c r="L147" i="1"/>
  <c r="L148" i="1"/>
  <c r="L149" i="1"/>
  <c r="L150" i="1"/>
  <c r="L151" i="1"/>
  <c r="L152" i="1"/>
  <c r="L153" i="1"/>
  <c r="L154" i="1"/>
  <c r="L155" i="1"/>
  <c r="L471" i="1"/>
  <c r="L157" i="1"/>
  <c r="L107" i="1"/>
  <c r="L159" i="1"/>
  <c r="L160" i="1"/>
  <c r="L161" i="1"/>
  <c r="L162" i="1"/>
  <c r="L163" i="1"/>
  <c r="L164" i="1"/>
  <c r="L488" i="1"/>
  <c r="L166" i="1"/>
  <c r="L167" i="1"/>
  <c r="L168" i="1"/>
  <c r="L169" i="1"/>
  <c r="L366" i="1"/>
  <c r="L171" i="1"/>
  <c r="L380" i="1"/>
  <c r="L173" i="1"/>
  <c r="L174" i="1"/>
  <c r="L175" i="1"/>
  <c r="L176" i="1"/>
  <c r="L177" i="1"/>
  <c r="L178" i="1"/>
  <c r="L179" i="1"/>
  <c r="L180" i="1"/>
  <c r="L181" i="1"/>
  <c r="L182" i="1"/>
  <c r="L170" i="1"/>
  <c r="L184" i="1"/>
  <c r="L185" i="1"/>
  <c r="L186" i="1"/>
  <c r="L493" i="1"/>
  <c r="L188" i="1"/>
  <c r="L496" i="1"/>
  <c r="L190" i="1"/>
  <c r="L191" i="1"/>
  <c r="L192" i="1"/>
  <c r="L193" i="1"/>
  <c r="L194" i="1"/>
  <c r="L195" i="1"/>
  <c r="L196" i="1"/>
  <c r="L197" i="1"/>
  <c r="L198" i="1"/>
  <c r="L1331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32" i="1"/>
  <c r="L217" i="1"/>
  <c r="L684" i="1"/>
  <c r="L574" i="1"/>
  <c r="L413" i="1"/>
  <c r="L221" i="1"/>
  <c r="L779" i="1"/>
  <c r="L223" i="1"/>
  <c r="L224" i="1"/>
  <c r="L225" i="1"/>
  <c r="L226" i="1"/>
  <c r="L227" i="1"/>
  <c r="L228" i="1"/>
  <c r="L229" i="1"/>
  <c r="L230" i="1"/>
  <c r="L231" i="1"/>
  <c r="L222" i="1"/>
  <c r="L233" i="1"/>
  <c r="L234" i="1"/>
  <c r="L235" i="1"/>
  <c r="L236" i="1"/>
  <c r="L237" i="1"/>
  <c r="L238" i="1"/>
  <c r="L239" i="1"/>
  <c r="L240" i="1"/>
  <c r="L507" i="1"/>
  <c r="L546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381" i="1"/>
  <c r="L325" i="1"/>
  <c r="L261" i="1"/>
  <c r="L262" i="1"/>
  <c r="L263" i="1"/>
  <c r="L264" i="1"/>
  <c r="L265" i="1"/>
  <c r="L266" i="1"/>
  <c r="L267" i="1"/>
  <c r="L408" i="1"/>
  <c r="L165" i="1"/>
  <c r="L551" i="1"/>
  <c r="L271" i="1"/>
  <c r="L272" i="1"/>
  <c r="L273" i="1"/>
  <c r="L274" i="1"/>
  <c r="L275" i="1"/>
  <c r="L276" i="1"/>
  <c r="L106" i="1"/>
  <c r="L278" i="1"/>
  <c r="L279" i="1"/>
  <c r="L280" i="1"/>
  <c r="L1185" i="1"/>
  <c r="L282" i="1"/>
  <c r="L283" i="1"/>
  <c r="L284" i="1"/>
  <c r="L285" i="1"/>
  <c r="L286" i="1"/>
  <c r="L287" i="1"/>
  <c r="L288" i="1"/>
  <c r="L289" i="1"/>
  <c r="L821" i="1"/>
  <c r="L291" i="1"/>
  <c r="L292" i="1"/>
  <c r="L293" i="1"/>
  <c r="L294" i="1"/>
  <c r="L295" i="1"/>
  <c r="L296" i="1"/>
  <c r="L138" i="1"/>
  <c r="L368" i="1"/>
  <c r="L299" i="1"/>
  <c r="L300" i="1"/>
  <c r="L301" i="1"/>
  <c r="L302" i="1"/>
  <c r="L688" i="1"/>
  <c r="L304" i="1"/>
  <c r="L1597" i="1"/>
  <c r="L942" i="1"/>
  <c r="L674" i="1"/>
  <c r="L308" i="1"/>
  <c r="L309" i="1"/>
  <c r="L310" i="1"/>
  <c r="L1598" i="1"/>
  <c r="L312" i="1"/>
  <c r="L313" i="1"/>
  <c r="L314" i="1"/>
  <c r="L315" i="1"/>
  <c r="L316" i="1"/>
  <c r="L317" i="1"/>
  <c r="L318" i="1"/>
  <c r="L319" i="1"/>
  <c r="L297" i="1"/>
  <c r="L321" i="1"/>
  <c r="L322" i="1"/>
  <c r="L323" i="1"/>
  <c r="L324" i="1"/>
  <c r="L12" i="1"/>
  <c r="L787" i="1"/>
  <c r="L327" i="1"/>
  <c r="L328" i="1"/>
  <c r="L329" i="1"/>
  <c r="L330" i="1"/>
  <c r="L331" i="1"/>
  <c r="L332" i="1"/>
  <c r="L333" i="1"/>
  <c r="L259" i="1"/>
  <c r="L95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764" i="1"/>
  <c r="L349" i="1"/>
  <c r="L350" i="1"/>
  <c r="L351" i="1"/>
  <c r="L156" i="1"/>
  <c r="L353" i="1"/>
  <c r="L354" i="1"/>
  <c r="L355" i="1"/>
  <c r="L356" i="1"/>
  <c r="L357" i="1"/>
  <c r="L358" i="1"/>
  <c r="L359" i="1"/>
  <c r="L360" i="1"/>
  <c r="L361" i="1"/>
  <c r="L362" i="1"/>
  <c r="L575" i="1"/>
  <c r="L364" i="1"/>
  <c r="L365" i="1"/>
  <c r="L696" i="1"/>
  <c r="L367" i="1"/>
  <c r="L851" i="1"/>
  <c r="L369" i="1"/>
  <c r="L370" i="1"/>
  <c r="L371" i="1"/>
  <c r="L372" i="1"/>
  <c r="L373" i="1"/>
  <c r="L374" i="1"/>
  <c r="L375" i="1"/>
  <c r="L376" i="1"/>
  <c r="L377" i="1"/>
  <c r="L378" i="1"/>
  <c r="L508" i="1"/>
  <c r="L260" i="1"/>
  <c r="L137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187" i="1"/>
  <c r="L409" i="1"/>
  <c r="L298" i="1"/>
  <c r="L1275" i="1"/>
  <c r="L412" i="1"/>
  <c r="L577" i="1"/>
  <c r="L414" i="1"/>
  <c r="L415" i="1"/>
  <c r="L416" i="1"/>
  <c r="L417" i="1"/>
  <c r="L962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110" i="1"/>
  <c r="L454" i="1"/>
  <c r="L455" i="1"/>
  <c r="L456" i="1"/>
  <c r="L457" i="1"/>
  <c r="L458" i="1"/>
  <c r="L459" i="1"/>
  <c r="L460" i="1"/>
  <c r="L698" i="1"/>
  <c r="L462" i="1"/>
  <c r="L1498" i="1"/>
  <c r="L464" i="1"/>
  <c r="L465" i="1"/>
  <c r="L1892" i="1"/>
  <c r="L1989" i="1"/>
  <c r="L468" i="1"/>
  <c r="L967" i="1"/>
  <c r="L470" i="1"/>
  <c r="L976" i="1"/>
  <c r="L1140" i="1"/>
  <c r="L473" i="1"/>
  <c r="L701" i="1"/>
  <c r="L475" i="1"/>
  <c r="L476" i="1"/>
  <c r="L477" i="1"/>
  <c r="L478" i="1"/>
  <c r="L479" i="1"/>
  <c r="L480" i="1"/>
  <c r="L481" i="1"/>
  <c r="L482" i="1"/>
  <c r="L1490" i="1"/>
  <c r="L2161" i="1"/>
  <c r="L485" i="1"/>
  <c r="L486" i="1"/>
  <c r="L487" i="1"/>
  <c r="L1146" i="1"/>
  <c r="L489" i="1"/>
  <c r="L490" i="1"/>
  <c r="L491" i="1"/>
  <c r="L492" i="1"/>
  <c r="L977" i="1"/>
  <c r="L494" i="1"/>
  <c r="L495" i="1"/>
  <c r="L411" i="1"/>
  <c r="L497" i="1"/>
  <c r="L498" i="1"/>
  <c r="L499" i="1"/>
  <c r="L500" i="1"/>
  <c r="L501" i="1"/>
  <c r="L502" i="1"/>
  <c r="L503" i="1"/>
  <c r="L504" i="1"/>
  <c r="L505" i="1"/>
  <c r="L2275" i="1"/>
  <c r="L2292" i="1"/>
  <c r="L2327" i="1"/>
  <c r="L268" i="1"/>
  <c r="L510" i="1"/>
  <c r="L511" i="1"/>
  <c r="L512" i="1"/>
  <c r="L513" i="1"/>
  <c r="L514" i="1"/>
  <c r="L515" i="1"/>
  <c r="L516" i="1"/>
  <c r="L517" i="1"/>
  <c r="L1900" i="1"/>
  <c r="L519" i="1"/>
  <c r="L334" i="1"/>
  <c r="L521" i="1"/>
  <c r="L1278" i="1"/>
  <c r="L523" i="1"/>
  <c r="L524" i="1"/>
  <c r="L2356" i="1"/>
  <c r="L2109" i="1"/>
  <c r="L2355" i="1"/>
  <c r="L2222" i="1"/>
  <c r="L2224" i="1"/>
  <c r="L2250" i="1"/>
  <c r="L2257" i="1"/>
  <c r="L2318" i="1"/>
  <c r="L2276" i="1"/>
  <c r="L2295" i="1"/>
  <c r="L2120" i="1"/>
  <c r="L2162" i="1"/>
  <c r="L2099" i="1"/>
  <c r="L1959" i="1"/>
  <c r="L1601" i="1"/>
  <c r="L540" i="1"/>
  <c r="L2308" i="1"/>
  <c r="L2357" i="1"/>
  <c r="L2342" i="1"/>
  <c r="L2260" i="1"/>
  <c r="L545" i="1"/>
  <c r="L2163" i="1"/>
  <c r="L2264" i="1"/>
  <c r="L548" i="1"/>
  <c r="L2100" i="1"/>
  <c r="L1848" i="1"/>
  <c r="L2103" i="1"/>
  <c r="L2173" i="1"/>
  <c r="L553" i="1"/>
  <c r="L554" i="1"/>
  <c r="L555" i="1"/>
  <c r="L1409" i="1"/>
  <c r="L557" i="1"/>
  <c r="L558" i="1"/>
  <c r="L559" i="1"/>
  <c r="L790" i="1"/>
  <c r="L561" i="1"/>
  <c r="L562" i="1"/>
  <c r="L563" i="1"/>
  <c r="L564" i="1"/>
  <c r="L565" i="1"/>
  <c r="L566" i="1"/>
  <c r="L567" i="1"/>
  <c r="L568" i="1"/>
  <c r="L532" i="1"/>
  <c r="L570" i="1"/>
  <c r="L571" i="1"/>
  <c r="L572" i="1"/>
  <c r="L573" i="1"/>
  <c r="L708" i="1"/>
  <c r="L709" i="1"/>
  <c r="L576" i="1"/>
  <c r="L2000" i="1"/>
  <c r="L578" i="1"/>
  <c r="L579" i="1"/>
  <c r="L533" i="1"/>
  <c r="L581" i="1"/>
  <c r="L1279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1376" i="1"/>
  <c r="L597" i="1"/>
  <c r="L986" i="1"/>
  <c r="L599" i="1"/>
  <c r="L600" i="1"/>
  <c r="L601" i="1"/>
  <c r="L602" i="1"/>
  <c r="L603" i="1"/>
  <c r="L604" i="1"/>
  <c r="L719" i="1"/>
  <c r="L606" i="1"/>
  <c r="L607" i="1"/>
  <c r="L608" i="1"/>
  <c r="L609" i="1"/>
  <c r="L610" i="1"/>
  <c r="L611" i="1"/>
  <c r="L612" i="1"/>
  <c r="L613" i="1"/>
  <c r="L614" i="1"/>
  <c r="L615" i="1"/>
  <c r="L1127" i="1"/>
  <c r="L617" i="1"/>
  <c r="L618" i="1"/>
  <c r="L619" i="1"/>
  <c r="L620" i="1"/>
  <c r="L621" i="1"/>
  <c r="L622" i="1"/>
  <c r="L623" i="1"/>
  <c r="L624" i="1"/>
  <c r="L418" i="1"/>
  <c r="L626" i="1"/>
  <c r="L627" i="1"/>
  <c r="L628" i="1"/>
  <c r="L629" i="1"/>
  <c r="L630" i="1"/>
  <c r="L631" i="1"/>
  <c r="L632" i="1"/>
  <c r="L1381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1974" i="1"/>
  <c r="L649" i="1"/>
  <c r="L1228" i="1"/>
  <c r="L651" i="1"/>
  <c r="L652" i="1"/>
  <c r="L653" i="1"/>
  <c r="L654" i="1"/>
  <c r="L995" i="1"/>
  <c r="L1286" i="1"/>
  <c r="L657" i="1"/>
  <c r="L2186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1152" i="1"/>
  <c r="L1001" i="1"/>
  <c r="L2278" i="1"/>
  <c r="L2311" i="1"/>
  <c r="L2316" i="1"/>
  <c r="L679" i="1"/>
  <c r="L680" i="1"/>
  <c r="L681" i="1"/>
  <c r="L682" i="1"/>
  <c r="L683" i="1"/>
  <c r="L2069" i="1"/>
  <c r="L685" i="1"/>
  <c r="L686" i="1"/>
  <c r="L687" i="1"/>
  <c r="L1851" i="1"/>
  <c r="L689" i="1"/>
  <c r="L690" i="1"/>
  <c r="L691" i="1"/>
  <c r="L692" i="1"/>
  <c r="L693" i="1"/>
  <c r="L694" i="1"/>
  <c r="L695" i="1"/>
  <c r="L1153" i="1"/>
  <c r="L697" i="1"/>
  <c r="L1154" i="1"/>
  <c r="L699" i="1"/>
  <c r="L700" i="1"/>
  <c r="L1936" i="1"/>
  <c r="L702" i="1"/>
  <c r="L703" i="1"/>
  <c r="L704" i="1"/>
  <c r="L705" i="1"/>
  <c r="L706" i="1"/>
  <c r="L707" i="1"/>
  <c r="L797" i="1"/>
  <c r="L1155" i="1"/>
  <c r="L710" i="1"/>
  <c r="L711" i="1"/>
  <c r="L712" i="1"/>
  <c r="L713" i="1"/>
  <c r="L714" i="1"/>
  <c r="L715" i="1"/>
  <c r="L716" i="1"/>
  <c r="L717" i="1"/>
  <c r="L718" i="1"/>
  <c r="L2174" i="1"/>
  <c r="L720" i="1"/>
  <c r="L721" i="1"/>
  <c r="L722" i="1"/>
  <c r="L723" i="1"/>
  <c r="L724" i="1"/>
  <c r="L725" i="1"/>
  <c r="L726" i="1"/>
  <c r="L727" i="1"/>
  <c r="L769" i="1"/>
  <c r="L728" i="1"/>
  <c r="L1791" i="1"/>
  <c r="L731" i="1"/>
  <c r="L1393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1947" i="1"/>
  <c r="L746" i="1"/>
  <c r="L747" i="1"/>
  <c r="L748" i="1"/>
  <c r="L1950" i="1"/>
  <c r="L1864" i="1"/>
  <c r="L751" i="1"/>
  <c r="L1007" i="1"/>
  <c r="L753" i="1"/>
  <c r="L1157" i="1"/>
  <c r="L755" i="1"/>
  <c r="L756" i="1"/>
  <c r="L757" i="1"/>
  <c r="L758" i="1"/>
  <c r="L759" i="1"/>
  <c r="L509" i="1"/>
  <c r="L761" i="1"/>
  <c r="L762" i="1"/>
  <c r="L763" i="1"/>
  <c r="L122" i="1"/>
  <c r="L765" i="1"/>
  <c r="L766" i="1"/>
  <c r="L767" i="1"/>
  <c r="L768" i="1"/>
  <c r="L269" i="1"/>
  <c r="L770" i="1"/>
  <c r="L1298" i="1"/>
  <c r="L772" i="1"/>
  <c r="L773" i="1"/>
  <c r="L774" i="1"/>
  <c r="L775" i="1"/>
  <c r="L776" i="1"/>
  <c r="L777" i="1"/>
  <c r="L124" i="1"/>
  <c r="L11" i="1"/>
  <c r="L270" i="1"/>
  <c r="L781" i="1"/>
  <c r="L782" i="1"/>
  <c r="L783" i="1"/>
  <c r="L729" i="1"/>
  <c r="L785" i="1"/>
  <c r="L1012" i="1"/>
  <c r="L335" i="1"/>
  <c r="L788" i="1"/>
  <c r="L789" i="1"/>
  <c r="L1174" i="1"/>
  <c r="L791" i="1"/>
  <c r="L792" i="1"/>
  <c r="L793" i="1"/>
  <c r="L794" i="1"/>
  <c r="L795" i="1"/>
  <c r="L796" i="1"/>
  <c r="L1983" i="1"/>
  <c r="L2125" i="1"/>
  <c r="L799" i="1"/>
  <c r="L800" i="1"/>
  <c r="L801" i="1"/>
  <c r="L802" i="1"/>
  <c r="L45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1394" i="1"/>
  <c r="L818" i="1"/>
  <c r="L819" i="1"/>
  <c r="L1500" i="1"/>
  <c r="L1507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189" i="1"/>
  <c r="L850" i="1"/>
  <c r="L199" i="1"/>
  <c r="L852" i="1"/>
  <c r="L853" i="1"/>
  <c r="L518" i="1"/>
  <c r="L855" i="1"/>
  <c r="L856" i="1"/>
  <c r="L857" i="1"/>
  <c r="L858" i="1"/>
  <c r="L859" i="1"/>
  <c r="L860" i="1"/>
  <c r="L1799" i="1"/>
  <c r="L862" i="1"/>
  <c r="L863" i="1"/>
  <c r="L864" i="1"/>
  <c r="L865" i="1"/>
  <c r="L866" i="1"/>
  <c r="L867" i="1"/>
  <c r="L868" i="1"/>
  <c r="L730" i="1"/>
  <c r="L870" i="1"/>
  <c r="L871" i="1"/>
  <c r="L872" i="1"/>
  <c r="L873" i="1"/>
  <c r="L874" i="1"/>
  <c r="L1603" i="1"/>
  <c r="L2226" i="1"/>
  <c r="L877" i="1"/>
  <c r="L878" i="1"/>
  <c r="L879" i="1"/>
  <c r="L880" i="1"/>
  <c r="L881" i="1"/>
  <c r="L882" i="1"/>
  <c r="L883" i="1"/>
  <c r="L127" i="1"/>
  <c r="L885" i="1"/>
  <c r="L886" i="1"/>
  <c r="L887" i="1"/>
  <c r="L888" i="1"/>
  <c r="L889" i="1"/>
  <c r="L890" i="1"/>
  <c r="L891" i="1"/>
  <c r="L892" i="1"/>
  <c r="L893" i="1"/>
  <c r="L894" i="1"/>
  <c r="L895" i="1"/>
  <c r="L1300" i="1"/>
  <c r="L897" i="1"/>
  <c r="L898" i="1"/>
  <c r="L899" i="1"/>
  <c r="L900" i="1"/>
  <c r="L901" i="1"/>
  <c r="L1605" i="1"/>
  <c r="L2005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2010" i="1"/>
  <c r="L935" i="1"/>
  <c r="L936" i="1"/>
  <c r="L937" i="1"/>
  <c r="L938" i="1"/>
  <c r="L939" i="1"/>
  <c r="L940" i="1"/>
  <c r="L941" i="1"/>
  <c r="L1513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2079" i="1"/>
  <c r="L956" i="1"/>
  <c r="L957" i="1"/>
  <c r="L958" i="1"/>
  <c r="L959" i="1"/>
  <c r="L960" i="1"/>
  <c r="L961" i="1"/>
  <c r="L520" i="1"/>
  <c r="L963" i="1"/>
  <c r="L964" i="1"/>
  <c r="L965" i="1"/>
  <c r="L966" i="1"/>
  <c r="L580" i="1"/>
  <c r="L968" i="1"/>
  <c r="L969" i="1"/>
  <c r="L970" i="1"/>
  <c r="L971" i="1"/>
  <c r="L972" i="1"/>
  <c r="L973" i="1"/>
  <c r="L974" i="1"/>
  <c r="L975" i="1"/>
  <c r="L1178" i="1"/>
  <c r="L461" i="1"/>
  <c r="L978" i="1"/>
  <c r="L979" i="1"/>
  <c r="L980" i="1"/>
  <c r="L981" i="1"/>
  <c r="L982" i="1"/>
  <c r="L983" i="1"/>
  <c r="L984" i="1"/>
  <c r="L985" i="1"/>
  <c r="L2018" i="1"/>
  <c r="L987" i="1"/>
  <c r="L988" i="1"/>
  <c r="L989" i="1"/>
  <c r="L990" i="1"/>
  <c r="L991" i="1"/>
  <c r="L992" i="1"/>
  <c r="L993" i="1"/>
  <c r="L994" i="1"/>
  <c r="L1015" i="1"/>
  <c r="L996" i="1"/>
  <c r="L997" i="1"/>
  <c r="L998" i="1"/>
  <c r="L999" i="1"/>
  <c r="L1000" i="1"/>
  <c r="L522" i="1"/>
  <c r="L1002" i="1"/>
  <c r="L1003" i="1"/>
  <c r="L1004" i="1"/>
  <c r="L1005" i="1"/>
  <c r="L1006" i="1"/>
  <c r="L1019" i="1"/>
  <c r="L1008" i="1"/>
  <c r="L1009" i="1"/>
  <c r="L1010" i="1"/>
  <c r="L1011" i="1"/>
  <c r="L854" i="1"/>
  <c r="L1013" i="1"/>
  <c r="L1014" i="1"/>
  <c r="L582" i="1"/>
  <c r="L1016" i="1"/>
  <c r="L1017" i="1"/>
  <c r="L1018" i="1"/>
  <c r="L732" i="1"/>
  <c r="L1020" i="1"/>
  <c r="L1021" i="1"/>
  <c r="L1022" i="1"/>
  <c r="L1023" i="1"/>
  <c r="L1024" i="1"/>
  <c r="L1025" i="1"/>
  <c r="L1026" i="1"/>
  <c r="L1027" i="1"/>
  <c r="L1028" i="1"/>
  <c r="L1029" i="1"/>
  <c r="L798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30" i="1"/>
  <c r="L1045" i="1"/>
  <c r="L1046" i="1"/>
  <c r="L1047" i="1"/>
  <c r="L1048" i="1"/>
  <c r="L1049" i="1"/>
  <c r="L1050" i="1"/>
  <c r="L1051" i="1"/>
  <c r="L1052" i="1"/>
  <c r="L1053" i="1"/>
  <c r="L1054" i="1"/>
  <c r="L379" i="1"/>
  <c r="L1056" i="1"/>
  <c r="L1057" i="1"/>
  <c r="L1058" i="1"/>
  <c r="L1059" i="1"/>
  <c r="L1060" i="1"/>
  <c r="L1061" i="1"/>
  <c r="L1062" i="1"/>
  <c r="L1063" i="1"/>
  <c r="L1064" i="1"/>
  <c r="L348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44" i="1"/>
  <c r="L1082" i="1"/>
  <c r="L1514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181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312" i="1"/>
  <c r="L2022" i="1"/>
  <c r="L1117" i="1"/>
  <c r="L525" i="1"/>
  <c r="L1321" i="1"/>
  <c r="L1120" i="1"/>
  <c r="L2184" i="1"/>
  <c r="L1122" i="1"/>
  <c r="L1123" i="1"/>
  <c r="L1124" i="1"/>
  <c r="L1125" i="1"/>
  <c r="L1126" i="1"/>
  <c r="L13" i="1"/>
  <c r="L1128" i="1"/>
  <c r="L1129" i="1"/>
  <c r="L1130" i="1"/>
  <c r="L1131" i="1"/>
  <c r="L1132" i="1"/>
  <c r="L745" i="1"/>
  <c r="L1134" i="1"/>
  <c r="L1620" i="1"/>
  <c r="L1136" i="1"/>
  <c r="L1137" i="1"/>
  <c r="L1138" i="1"/>
  <c r="L1520" i="1"/>
  <c r="L2089" i="1"/>
  <c r="L1141" i="1"/>
  <c r="L1142" i="1"/>
  <c r="L1143" i="1"/>
  <c r="L1144" i="1"/>
  <c r="L1145" i="1"/>
  <c r="L1395" i="1"/>
  <c r="L1147" i="1"/>
  <c r="L1148" i="1"/>
  <c r="L1149" i="1"/>
  <c r="L1150" i="1"/>
  <c r="L1151" i="1"/>
  <c r="L534" i="1"/>
  <c r="L528" i="1"/>
  <c r="L529" i="1"/>
  <c r="L531" i="1"/>
  <c r="L1156" i="1"/>
  <c r="L410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328" i="1"/>
  <c r="L1175" i="1"/>
  <c r="L1176" i="1"/>
  <c r="L1177" i="1"/>
  <c r="L326" i="1"/>
  <c r="L1179" i="1"/>
  <c r="L1180" i="1"/>
  <c r="L216" i="1"/>
  <c r="L596" i="1"/>
  <c r="L1183" i="1"/>
  <c r="L1527" i="1"/>
  <c r="L598" i="1"/>
  <c r="L1186" i="1"/>
  <c r="L1187" i="1"/>
  <c r="L1188" i="1"/>
  <c r="L1182" i="1"/>
  <c r="L527" i="1"/>
  <c r="L1191" i="1"/>
  <c r="L218" i="1"/>
  <c r="L1193" i="1"/>
  <c r="L749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303" i="1"/>
  <c r="L1211" i="1"/>
  <c r="L1212" i="1"/>
  <c r="L1213" i="1"/>
  <c r="L1214" i="1"/>
  <c r="L1215" i="1"/>
  <c r="L1216" i="1"/>
  <c r="L1217" i="1"/>
  <c r="L1218" i="1"/>
  <c r="L1955" i="1"/>
  <c r="L1220" i="1"/>
  <c r="L1221" i="1"/>
  <c r="L1222" i="1"/>
  <c r="L1223" i="1"/>
  <c r="L1224" i="1"/>
  <c r="L1225" i="1"/>
  <c r="L1226" i="1"/>
  <c r="L1227" i="1"/>
  <c r="L750" i="1"/>
  <c r="L1229" i="1"/>
  <c r="L1622" i="1"/>
  <c r="L1231" i="1"/>
  <c r="L1232" i="1"/>
  <c r="L1233" i="1"/>
  <c r="L1119" i="1"/>
  <c r="L1235" i="1"/>
  <c r="L1236" i="1"/>
  <c r="L1055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94" i="1"/>
  <c r="L1264" i="1"/>
  <c r="L1265" i="1"/>
  <c r="L1266" i="1"/>
  <c r="L1267" i="1"/>
  <c r="L1268" i="1"/>
  <c r="L1269" i="1"/>
  <c r="L1270" i="1"/>
  <c r="L1271" i="1"/>
  <c r="L1272" i="1"/>
  <c r="L1273" i="1"/>
  <c r="L37" i="1"/>
  <c r="L1065" i="1"/>
  <c r="L1276" i="1"/>
  <c r="L1277" i="1"/>
  <c r="L538" i="1"/>
  <c r="L76" i="1"/>
  <c r="L1280" i="1"/>
  <c r="L1281" i="1"/>
  <c r="L1282" i="1"/>
  <c r="L1283" i="1"/>
  <c r="L1284" i="1"/>
  <c r="L1285" i="1"/>
  <c r="L1919" i="1"/>
  <c r="L1287" i="1"/>
  <c r="L1288" i="1"/>
  <c r="L1289" i="1"/>
  <c r="L1290" i="1"/>
  <c r="L1291" i="1"/>
  <c r="L1292" i="1"/>
  <c r="L1293" i="1"/>
  <c r="L1294" i="1"/>
  <c r="L1295" i="1"/>
  <c r="L1296" i="1"/>
  <c r="L1297" i="1"/>
  <c r="L463" i="1"/>
  <c r="L1299" i="1"/>
  <c r="L605" i="1"/>
  <c r="L1301" i="1"/>
  <c r="L1302" i="1"/>
  <c r="L1303" i="1"/>
  <c r="L1304" i="1"/>
  <c r="L1305" i="1"/>
  <c r="L1306" i="1"/>
  <c r="L1307" i="1"/>
  <c r="L1308" i="1"/>
  <c r="L1309" i="1"/>
  <c r="L1310" i="1"/>
  <c r="L1311" i="1"/>
  <c r="L2028" i="1"/>
  <c r="L1313" i="1"/>
  <c r="L1314" i="1"/>
  <c r="L1315" i="1"/>
  <c r="L1316" i="1"/>
  <c r="L1317" i="1"/>
  <c r="L1318" i="1"/>
  <c r="L1319" i="1"/>
  <c r="L1320" i="1"/>
  <c r="L1626" i="1"/>
  <c r="L1322" i="1"/>
  <c r="L1323" i="1"/>
  <c r="L1324" i="1"/>
  <c r="L1325" i="1"/>
  <c r="L1326" i="1"/>
  <c r="L1327" i="1"/>
  <c r="L1081" i="1"/>
  <c r="L1329" i="1"/>
  <c r="L1330" i="1"/>
  <c r="L2035" i="1"/>
  <c r="L1332" i="1"/>
  <c r="L1333" i="1"/>
  <c r="L1334" i="1"/>
  <c r="L1335" i="1"/>
  <c r="L1336" i="1"/>
  <c r="L1337" i="1"/>
  <c r="L1350" i="1"/>
  <c r="L1339" i="1"/>
  <c r="L1340" i="1"/>
  <c r="L89" i="1"/>
  <c r="L1342" i="1"/>
  <c r="L1343" i="1"/>
  <c r="L2040" i="1"/>
  <c r="L1345" i="1"/>
  <c r="L1346" i="1"/>
  <c r="L1347" i="1"/>
  <c r="L1348" i="1"/>
  <c r="L1349" i="1"/>
  <c r="L219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752" i="1"/>
  <c r="L1367" i="1"/>
  <c r="L1368" i="1"/>
  <c r="L1369" i="1"/>
  <c r="L1370" i="1"/>
  <c r="L803" i="1"/>
  <c r="L1372" i="1"/>
  <c r="L1373" i="1"/>
  <c r="L1374" i="1"/>
  <c r="L1375" i="1"/>
  <c r="L1083" i="1"/>
  <c r="L1377" i="1"/>
  <c r="L1378" i="1"/>
  <c r="L1379" i="1"/>
  <c r="L1380" i="1"/>
  <c r="L1636" i="1"/>
  <c r="L1382" i="1"/>
  <c r="L1383" i="1"/>
  <c r="L1384" i="1"/>
  <c r="L1385" i="1"/>
  <c r="L1386" i="1"/>
  <c r="L1387" i="1"/>
  <c r="L1388" i="1"/>
  <c r="L1389" i="1"/>
  <c r="L1390" i="1"/>
  <c r="L1391" i="1"/>
  <c r="L1392" i="1"/>
  <c r="L817" i="1"/>
  <c r="L1099" i="1"/>
  <c r="L616" i="1"/>
  <c r="L1396" i="1"/>
  <c r="L2287" i="1"/>
  <c r="L861" i="1"/>
  <c r="L1399" i="1"/>
  <c r="L1400" i="1"/>
  <c r="L1401" i="1"/>
  <c r="L539" i="1"/>
  <c r="L1403" i="1"/>
  <c r="L1404" i="1"/>
  <c r="L1405" i="1"/>
  <c r="L1406" i="1"/>
  <c r="L1407" i="1"/>
  <c r="L1408" i="1"/>
  <c r="L625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891" i="1"/>
  <c r="L1425" i="1"/>
  <c r="L1426" i="1"/>
  <c r="L1427" i="1"/>
  <c r="L1428" i="1"/>
  <c r="L1429" i="1"/>
  <c r="L1430" i="1"/>
  <c r="L484" i="1"/>
  <c r="L1432" i="1"/>
  <c r="L1433" i="1"/>
  <c r="L1434" i="1"/>
  <c r="L1435" i="1"/>
  <c r="L1436" i="1"/>
  <c r="L1437" i="1"/>
  <c r="L1438" i="1"/>
  <c r="L1439" i="1"/>
  <c r="L472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542" i="1"/>
  <c r="L1461" i="1"/>
  <c r="L1462" i="1"/>
  <c r="L1463" i="1"/>
  <c r="L1464" i="1"/>
  <c r="L1465" i="1"/>
  <c r="L1466" i="1"/>
  <c r="L1467" i="1"/>
  <c r="L1702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536" i="1"/>
  <c r="L1483" i="1"/>
  <c r="L1484" i="1"/>
  <c r="L1485" i="1"/>
  <c r="L1486" i="1"/>
  <c r="L1487" i="1"/>
  <c r="L1488" i="1"/>
  <c r="L1489" i="1"/>
  <c r="L1184" i="1"/>
  <c r="L1491" i="1"/>
  <c r="L1492" i="1"/>
  <c r="L1493" i="1"/>
  <c r="L1494" i="1"/>
  <c r="L1495" i="1"/>
  <c r="L1496" i="1"/>
  <c r="L1497" i="1"/>
  <c r="L547" i="1"/>
  <c r="L1499" i="1"/>
  <c r="L556" i="1"/>
  <c r="L1501" i="1"/>
  <c r="L1502" i="1"/>
  <c r="L1503" i="1"/>
  <c r="L1504" i="1"/>
  <c r="L1505" i="1"/>
  <c r="L1506" i="1"/>
  <c r="L1190" i="1"/>
  <c r="L1508" i="1"/>
  <c r="L1509" i="1"/>
  <c r="L1510" i="1"/>
  <c r="L1511" i="1"/>
  <c r="L1512" i="1"/>
  <c r="L1338" i="1"/>
  <c r="L1583" i="1"/>
  <c r="L1515" i="1"/>
  <c r="L1516" i="1"/>
  <c r="L1517" i="1"/>
  <c r="L1518" i="1"/>
  <c r="L1519" i="1"/>
  <c r="L2052" i="1"/>
  <c r="L1521" i="1"/>
  <c r="L1522" i="1"/>
  <c r="L1523" i="1"/>
  <c r="L1524" i="1"/>
  <c r="L1525" i="1"/>
  <c r="L1526" i="1"/>
  <c r="L1670" i="1"/>
  <c r="L1528" i="1"/>
  <c r="L1529" i="1"/>
  <c r="L1530" i="1"/>
  <c r="L1531" i="1"/>
  <c r="L1532" i="1"/>
  <c r="L1533" i="1"/>
  <c r="L1534" i="1"/>
  <c r="L1535" i="1"/>
  <c r="L1536" i="1"/>
  <c r="L1537" i="1"/>
  <c r="L1538" i="1"/>
  <c r="L650" i="1"/>
  <c r="L1540" i="1"/>
  <c r="L1541" i="1"/>
  <c r="L1973" i="1"/>
  <c r="L1745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2200" i="1"/>
  <c r="L1565" i="1"/>
  <c r="L1566" i="1"/>
  <c r="L1440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708" i="1"/>
  <c r="L1584" i="1"/>
  <c r="L1585" i="1"/>
  <c r="L1586" i="1"/>
  <c r="L1402" i="1"/>
  <c r="L1588" i="1"/>
  <c r="L1589" i="1"/>
  <c r="L1590" i="1"/>
  <c r="L1591" i="1"/>
  <c r="L1592" i="1"/>
  <c r="L1593" i="1"/>
  <c r="L1133" i="1"/>
  <c r="L530" i="1"/>
  <c r="L1596" i="1"/>
  <c r="L1482" i="1"/>
  <c r="L1135" i="1"/>
  <c r="L1599" i="1"/>
  <c r="L1600" i="1"/>
  <c r="L1121" i="1"/>
  <c r="L1602" i="1"/>
  <c r="L1539" i="1"/>
  <c r="L1604" i="1"/>
  <c r="L2238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839" i="1"/>
  <c r="L1621" i="1"/>
  <c r="L1659" i="1"/>
  <c r="L1623" i="1"/>
  <c r="L1624" i="1"/>
  <c r="L1625" i="1"/>
  <c r="L1911" i="1"/>
  <c r="L1627" i="1"/>
  <c r="L1628" i="1"/>
  <c r="L1629" i="1"/>
  <c r="L1630" i="1"/>
  <c r="L1631" i="1"/>
  <c r="L1632" i="1"/>
  <c r="L1633" i="1"/>
  <c r="L1634" i="1"/>
  <c r="L1635" i="1"/>
  <c r="L87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711" i="1"/>
  <c r="L1660" i="1"/>
  <c r="L1661" i="1"/>
  <c r="L1662" i="1"/>
  <c r="L1663" i="1"/>
  <c r="L1664" i="1"/>
  <c r="L1713" i="1"/>
  <c r="L1666" i="1"/>
  <c r="L1667" i="1"/>
  <c r="L1668" i="1"/>
  <c r="L1669" i="1"/>
  <c r="L1263" i="1"/>
  <c r="L1671" i="1"/>
  <c r="L1672" i="1"/>
  <c r="L1673" i="1"/>
  <c r="L1674" i="1"/>
  <c r="L1675" i="1"/>
  <c r="L1676" i="1"/>
  <c r="L1677" i="1"/>
  <c r="L1678" i="1"/>
  <c r="L1679" i="1"/>
  <c r="L1274" i="1"/>
  <c r="L1681" i="1"/>
  <c r="L1682" i="1"/>
  <c r="L1683" i="1"/>
  <c r="L1684" i="1"/>
  <c r="L1685" i="1"/>
  <c r="L1686" i="1"/>
  <c r="L1543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192" i="1"/>
  <c r="L1703" i="1"/>
  <c r="L1704" i="1"/>
  <c r="L1705" i="1"/>
  <c r="L1706" i="1"/>
  <c r="L1707" i="1"/>
  <c r="L560" i="1"/>
  <c r="L1709" i="1"/>
  <c r="L1710" i="1"/>
  <c r="L2107" i="1"/>
  <c r="L1712" i="1"/>
  <c r="L242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658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807" i="1"/>
  <c r="L1746" i="1"/>
  <c r="L1341" i="1"/>
  <c r="L1748" i="1"/>
  <c r="L1749" i="1"/>
  <c r="L1750" i="1"/>
  <c r="L1366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680" i="1"/>
  <c r="L1770" i="1"/>
  <c r="L1771" i="1"/>
  <c r="L1772" i="1"/>
  <c r="L1773" i="1"/>
  <c r="L1774" i="1"/>
  <c r="L1775" i="1"/>
  <c r="L1776" i="1"/>
  <c r="L1777" i="1"/>
  <c r="L1778" i="1"/>
  <c r="L1779" i="1"/>
  <c r="L1780" i="1"/>
  <c r="L2239" i="1"/>
  <c r="L1782" i="1"/>
  <c r="L1783" i="1"/>
  <c r="L1784" i="1"/>
  <c r="L1785" i="1"/>
  <c r="L1786" i="1"/>
  <c r="L1787" i="1"/>
  <c r="L1788" i="1"/>
  <c r="L1789" i="1"/>
  <c r="L1790" i="1"/>
  <c r="L1431" i="1"/>
  <c r="L1792" i="1"/>
  <c r="L1793" i="1"/>
  <c r="L1794" i="1"/>
  <c r="L1795" i="1"/>
  <c r="L1796" i="1"/>
  <c r="L1797" i="1"/>
  <c r="L1798" i="1"/>
  <c r="L549" i="1"/>
  <c r="L1800" i="1"/>
  <c r="L1801" i="1"/>
  <c r="L1802" i="1"/>
  <c r="L1803" i="1"/>
  <c r="L1804" i="1"/>
  <c r="L1805" i="1"/>
  <c r="L1806" i="1"/>
  <c r="L550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903" i="1"/>
  <c r="L1826" i="1"/>
  <c r="L1827" i="1"/>
  <c r="L1828" i="1"/>
  <c r="L1829" i="1"/>
  <c r="L1830" i="1"/>
  <c r="L1875" i="1"/>
  <c r="L1832" i="1"/>
  <c r="L1833" i="1"/>
  <c r="L1834" i="1"/>
  <c r="L1835" i="1"/>
  <c r="L1836" i="1"/>
  <c r="L1837" i="1"/>
  <c r="L1838" i="1"/>
  <c r="L677" i="1"/>
  <c r="L1840" i="1"/>
  <c r="L1841" i="1"/>
  <c r="L1842" i="1"/>
  <c r="L1843" i="1"/>
  <c r="L1844" i="1"/>
  <c r="L1845" i="1"/>
  <c r="L1846" i="1"/>
  <c r="L1847" i="1"/>
  <c r="L760" i="1"/>
  <c r="L1849" i="1"/>
  <c r="L1850" i="1"/>
  <c r="L2145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194" i="1"/>
  <c r="L1865" i="1"/>
  <c r="L1866" i="1"/>
  <c r="L1867" i="1"/>
  <c r="L1868" i="1"/>
  <c r="L1869" i="1"/>
  <c r="L1870" i="1"/>
  <c r="L1871" i="1"/>
  <c r="L1872" i="1"/>
  <c r="L1873" i="1"/>
  <c r="L1874" i="1"/>
  <c r="L1460" i="1"/>
  <c r="L1876" i="1"/>
  <c r="L1877" i="1"/>
  <c r="L1747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902" i="1"/>
  <c r="L655" i="1"/>
  <c r="L1893" i="1"/>
  <c r="L1894" i="1"/>
  <c r="L1895" i="1"/>
  <c r="L1896" i="1"/>
  <c r="L1897" i="1"/>
  <c r="L1898" i="1"/>
  <c r="L1899" i="1"/>
  <c r="L543" i="1"/>
  <c r="L1901" i="1"/>
  <c r="L1902" i="1"/>
  <c r="L1903" i="1"/>
  <c r="L1904" i="1"/>
  <c r="L1905" i="1"/>
  <c r="L1906" i="1"/>
  <c r="L1907" i="1"/>
  <c r="L1908" i="1"/>
  <c r="L1909" i="1"/>
  <c r="L1910" i="1"/>
  <c r="L1878" i="1"/>
  <c r="L1912" i="1"/>
  <c r="L1913" i="1"/>
  <c r="L1914" i="1"/>
  <c r="L1915" i="1"/>
  <c r="L1916" i="1"/>
  <c r="L1917" i="1"/>
  <c r="L1918" i="1"/>
  <c r="L675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687" i="1"/>
  <c r="L1935" i="1"/>
  <c r="L544" i="1"/>
  <c r="L1937" i="1"/>
  <c r="L1938" i="1"/>
  <c r="L1939" i="1"/>
  <c r="L1940" i="1"/>
  <c r="L1941" i="1"/>
  <c r="L1942" i="1"/>
  <c r="L1943" i="1"/>
  <c r="L1944" i="1"/>
  <c r="L1945" i="1"/>
  <c r="L1946" i="1"/>
  <c r="L1189" i="1"/>
  <c r="L1948" i="1"/>
  <c r="L1949" i="1"/>
  <c r="L1825" i="1"/>
  <c r="L1951" i="1"/>
  <c r="L1952" i="1"/>
  <c r="L1953" i="1"/>
  <c r="L1954" i="1"/>
  <c r="L771" i="1"/>
  <c r="L1956" i="1"/>
  <c r="L1957" i="1"/>
  <c r="L1958" i="1"/>
  <c r="L884" i="1"/>
  <c r="L1960" i="1"/>
  <c r="L1961" i="1"/>
  <c r="L2151" i="1"/>
  <c r="L1963" i="1"/>
  <c r="L1964" i="1"/>
  <c r="L1965" i="1"/>
  <c r="L1966" i="1"/>
  <c r="L1967" i="1"/>
  <c r="L1968" i="1"/>
  <c r="L1969" i="1"/>
  <c r="L1970" i="1"/>
  <c r="L1971" i="1"/>
  <c r="L1972" i="1"/>
  <c r="L569" i="1"/>
  <c r="L469" i="1"/>
  <c r="L1975" i="1"/>
  <c r="L1976" i="1"/>
  <c r="L1977" i="1"/>
  <c r="L1978" i="1"/>
  <c r="L1979" i="1"/>
  <c r="L1980" i="1"/>
  <c r="L1981" i="1"/>
  <c r="L552" i="1"/>
  <c r="L541" i="1"/>
  <c r="L1984" i="1"/>
  <c r="L1985" i="1"/>
  <c r="L1986" i="1"/>
  <c r="L1987" i="1"/>
  <c r="L1988" i="1"/>
  <c r="L1344" i="1"/>
  <c r="L1990" i="1"/>
  <c r="L1991" i="1"/>
  <c r="L1992" i="1"/>
  <c r="L1993" i="1"/>
  <c r="L1994" i="1"/>
  <c r="L1995" i="1"/>
  <c r="L1996" i="1"/>
  <c r="L1997" i="1"/>
  <c r="L1998" i="1"/>
  <c r="L1999" i="1"/>
  <c r="L780" i="1"/>
  <c r="L2001" i="1"/>
  <c r="L2002" i="1"/>
  <c r="L2003" i="1"/>
  <c r="L2004" i="1"/>
  <c r="L656" i="1"/>
  <c r="L2006" i="1"/>
  <c r="L2007" i="1"/>
  <c r="L2008" i="1"/>
  <c r="L2009" i="1"/>
  <c r="L2190" i="1"/>
  <c r="L2011" i="1"/>
  <c r="L2012" i="1"/>
  <c r="L2013" i="1"/>
  <c r="L2014" i="1"/>
  <c r="L2015" i="1"/>
  <c r="L2016" i="1"/>
  <c r="L2017" i="1"/>
  <c r="L1139" i="1"/>
  <c r="L2019" i="1"/>
  <c r="L2020" i="1"/>
  <c r="L2021" i="1"/>
  <c r="L1595" i="1"/>
  <c r="L2023" i="1"/>
  <c r="L2024" i="1"/>
  <c r="L2025" i="1"/>
  <c r="L2026" i="1"/>
  <c r="L2027" i="1"/>
  <c r="L1468" i="1"/>
  <c r="L2029" i="1"/>
  <c r="L2030" i="1"/>
  <c r="L2031" i="1"/>
  <c r="L2032" i="1"/>
  <c r="L2033" i="1"/>
  <c r="L2034" i="1"/>
  <c r="L1210" i="1"/>
  <c r="L2036" i="1"/>
  <c r="L2037" i="1"/>
  <c r="L2038" i="1"/>
  <c r="L2039" i="1"/>
  <c r="L1730" i="1"/>
  <c r="L2041" i="1"/>
  <c r="L2042" i="1"/>
  <c r="L2043" i="1"/>
  <c r="L2044" i="1"/>
  <c r="L2045" i="1"/>
  <c r="L2046" i="1"/>
  <c r="L875" i="1"/>
  <c r="L676" i="1"/>
  <c r="L2049" i="1"/>
  <c r="L2050" i="1"/>
  <c r="L2051" i="1"/>
  <c r="L1115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784" i="1"/>
  <c r="L2070" i="1"/>
  <c r="L2071" i="1"/>
  <c r="L2072" i="1"/>
  <c r="L2073" i="1"/>
  <c r="L2074" i="1"/>
  <c r="L2075" i="1"/>
  <c r="L2076" i="1"/>
  <c r="L2077" i="1"/>
  <c r="L2078" i="1"/>
  <c r="L786" i="1"/>
  <c r="L2080" i="1"/>
  <c r="L2081" i="1"/>
  <c r="L2082" i="1"/>
  <c r="L2083" i="1"/>
  <c r="L2084" i="1"/>
  <c r="L2085" i="1"/>
  <c r="L2086" i="1"/>
  <c r="L2087" i="1"/>
  <c r="L2088" i="1"/>
  <c r="L1934" i="1"/>
  <c r="L2090" i="1"/>
  <c r="L2091" i="1"/>
  <c r="L2092" i="1"/>
  <c r="L2093" i="1"/>
  <c r="L2094" i="1"/>
  <c r="L2095" i="1"/>
  <c r="L2096" i="1"/>
  <c r="L1397" i="1"/>
  <c r="L2098" i="1"/>
  <c r="L1234" i="1"/>
  <c r="L1237" i="1"/>
  <c r="L2101" i="1"/>
  <c r="L2102" i="1"/>
  <c r="L869" i="1"/>
  <c r="L2104" i="1"/>
  <c r="L2105" i="1"/>
  <c r="L2106" i="1"/>
  <c r="L1831" i="1"/>
  <c r="L2108" i="1"/>
  <c r="L1564" i="1"/>
  <c r="L2110" i="1"/>
  <c r="L2111" i="1"/>
  <c r="L2112" i="1"/>
  <c r="L2113" i="1"/>
  <c r="L2114" i="1"/>
  <c r="L2115" i="1"/>
  <c r="L2116" i="1"/>
  <c r="L2117" i="1"/>
  <c r="L2118" i="1"/>
  <c r="L2119" i="1"/>
  <c r="L1567" i="1"/>
  <c r="L2121" i="1"/>
  <c r="L2122" i="1"/>
  <c r="L2123" i="1"/>
  <c r="L2124" i="1"/>
  <c r="L1781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1398" i="1"/>
  <c r="L2139" i="1"/>
  <c r="L2140" i="1"/>
  <c r="L2141" i="1"/>
  <c r="L2142" i="1"/>
  <c r="L2143" i="1"/>
  <c r="L2144" i="1"/>
  <c r="L896" i="1"/>
  <c r="L2146" i="1"/>
  <c r="L2147" i="1"/>
  <c r="L2148" i="1"/>
  <c r="L2149" i="1"/>
  <c r="L2192" i="1"/>
  <c r="L2138" i="1"/>
  <c r="L2152" i="1"/>
  <c r="L1962" i="1"/>
  <c r="L2154" i="1"/>
  <c r="L2155" i="1"/>
  <c r="L2156" i="1"/>
  <c r="L2157" i="1"/>
  <c r="L2158" i="1"/>
  <c r="L2159" i="1"/>
  <c r="L2160" i="1"/>
  <c r="L1769" i="1"/>
  <c r="L2153" i="1"/>
  <c r="L2097" i="1"/>
  <c r="L2164" i="1"/>
  <c r="L2165" i="1"/>
  <c r="L2166" i="1"/>
  <c r="L2167" i="1"/>
  <c r="L2168" i="1"/>
  <c r="L2169" i="1"/>
  <c r="L2170" i="1"/>
  <c r="L2171" i="1"/>
  <c r="L2172" i="1"/>
  <c r="L849" i="1"/>
  <c r="L2150" i="1"/>
  <c r="L2175" i="1"/>
  <c r="L2176" i="1"/>
  <c r="L2177" i="1"/>
  <c r="L2178" i="1"/>
  <c r="L2179" i="1"/>
  <c r="L2180" i="1"/>
  <c r="L2181" i="1"/>
  <c r="L2182" i="1"/>
  <c r="L2183" i="1"/>
  <c r="L1116" i="1"/>
  <c r="L2185" i="1"/>
  <c r="L1587" i="1"/>
  <c r="L2187" i="1"/>
  <c r="L2188" i="1"/>
  <c r="L2189" i="1"/>
  <c r="L754" i="1"/>
  <c r="L2191" i="1"/>
  <c r="L1665" i="1"/>
  <c r="L2193" i="1"/>
  <c r="L2194" i="1"/>
  <c r="L2195" i="1"/>
  <c r="L2196" i="1"/>
  <c r="L2197" i="1"/>
  <c r="L2198" i="1"/>
  <c r="L2199" i="1"/>
  <c r="L1982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633" i="1"/>
  <c r="L2223" i="1"/>
  <c r="L305" i="1"/>
  <c r="L2225" i="1"/>
  <c r="L2047" i="1"/>
  <c r="L2227" i="1"/>
  <c r="L2228" i="1"/>
  <c r="L2229" i="1"/>
  <c r="L2230" i="1"/>
  <c r="L2231" i="1"/>
  <c r="L2232" i="1"/>
  <c r="L2233" i="1"/>
  <c r="L2234" i="1"/>
  <c r="L2235" i="1"/>
  <c r="L2236" i="1"/>
  <c r="L2237" i="1"/>
  <c r="L1424" i="1"/>
  <c r="L306" i="1"/>
  <c r="L2240" i="1"/>
  <c r="L134" i="1"/>
  <c r="L2242" i="1"/>
  <c r="L2243" i="1"/>
  <c r="L2244" i="1"/>
  <c r="L2245" i="1"/>
  <c r="L2246" i="1"/>
  <c r="L2247" i="1"/>
  <c r="L2248" i="1"/>
  <c r="L2249" i="1"/>
  <c r="L778" i="1"/>
  <c r="L2251" i="1"/>
  <c r="L2252" i="1"/>
  <c r="L2253" i="1"/>
  <c r="L2254" i="1"/>
  <c r="L2255" i="1"/>
  <c r="L2256" i="1"/>
  <c r="L526" i="1"/>
  <c r="L2258" i="1"/>
  <c r="L2259" i="1"/>
  <c r="L466" i="1"/>
  <c r="L2261" i="1"/>
  <c r="L2262" i="1"/>
  <c r="L2263" i="1"/>
  <c r="L1594" i="1"/>
  <c r="L2265" i="1"/>
  <c r="L2266" i="1"/>
  <c r="L220" i="1"/>
  <c r="L2268" i="1"/>
  <c r="L2269" i="1"/>
  <c r="L2270" i="1"/>
  <c r="L2271" i="1"/>
  <c r="L2272" i="1"/>
  <c r="L2273" i="1"/>
  <c r="L2274" i="1"/>
  <c r="L277" i="1"/>
  <c r="L281" i="1"/>
  <c r="L2277" i="1"/>
  <c r="L820" i="1"/>
  <c r="L2279" i="1"/>
  <c r="L2280" i="1"/>
  <c r="L2281" i="1"/>
  <c r="L1751" i="1"/>
  <c r="L2283" i="1"/>
  <c r="L2284" i="1"/>
  <c r="L2285" i="1"/>
  <c r="L2286" i="1"/>
  <c r="L934" i="1"/>
  <c r="L2288" i="1"/>
  <c r="L2289" i="1"/>
  <c r="L135" i="1"/>
  <c r="L2291" i="1"/>
  <c r="L2048" i="1"/>
  <c r="L2293" i="1"/>
  <c r="L2294" i="1"/>
  <c r="L1118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93" i="1"/>
  <c r="L2309" i="1"/>
  <c r="L2310" i="1"/>
  <c r="L307" i="1"/>
  <c r="L2312" i="1"/>
  <c r="L2313" i="1"/>
  <c r="L2314" i="1"/>
  <c r="L2315" i="1"/>
  <c r="L648" i="1"/>
  <c r="L2317" i="1"/>
  <c r="L1230" i="1"/>
  <c r="L2319" i="1"/>
  <c r="L2320" i="1"/>
  <c r="L2321" i="1"/>
  <c r="L2322" i="1"/>
  <c r="L2323" i="1"/>
  <c r="L2324" i="1"/>
  <c r="L2325" i="1"/>
  <c r="L2326" i="1"/>
  <c r="L311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267" i="1"/>
  <c r="R12" i="1" l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3" i="1"/>
  <c r="R4" i="1"/>
  <c r="R5" i="1"/>
  <c r="R6" i="1"/>
  <c r="R7" i="1"/>
  <c r="R8" i="1"/>
  <c r="R9" i="1"/>
  <c r="R10" i="1"/>
  <c r="R11" i="1"/>
  <c r="R2" i="1"/>
  <c r="M2359" i="1"/>
  <c r="D474" i="1" l="1"/>
  <c r="D3" i="1"/>
  <c r="D4" i="1"/>
  <c r="D5" i="1"/>
  <c r="D6" i="1"/>
  <c r="D7" i="1"/>
  <c r="D8" i="1"/>
  <c r="D9" i="1"/>
  <c r="D172" i="1"/>
  <c r="D2241" i="1"/>
  <c r="D2282" i="1"/>
  <c r="D2290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483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363" i="1"/>
  <c r="D77" i="1"/>
  <c r="D78" i="1"/>
  <c r="D79" i="1"/>
  <c r="D80" i="1"/>
  <c r="D81" i="1"/>
  <c r="D82" i="1"/>
  <c r="D83" i="1"/>
  <c r="D84" i="1"/>
  <c r="D85" i="1"/>
  <c r="D86" i="1"/>
  <c r="D87" i="1"/>
  <c r="D88" i="1"/>
  <c r="D158" i="1"/>
  <c r="D90" i="1"/>
  <c r="D91" i="1"/>
  <c r="D92" i="1"/>
  <c r="D537" i="1"/>
  <c r="D678" i="1"/>
  <c r="D95" i="1"/>
  <c r="D96" i="1"/>
  <c r="D97" i="1"/>
  <c r="D98" i="1"/>
  <c r="D99" i="1"/>
  <c r="D100" i="1"/>
  <c r="D101" i="1"/>
  <c r="D102" i="1"/>
  <c r="D103" i="1"/>
  <c r="D104" i="1"/>
  <c r="D105" i="1"/>
  <c r="D506" i="1"/>
  <c r="D467" i="1"/>
  <c r="D108" i="1"/>
  <c r="D109" i="1"/>
  <c r="D352" i="1"/>
  <c r="D111" i="1"/>
  <c r="D112" i="1"/>
  <c r="D113" i="1"/>
  <c r="D114" i="1"/>
  <c r="D115" i="1"/>
  <c r="D116" i="1"/>
  <c r="D117" i="1"/>
  <c r="D118" i="1"/>
  <c r="D119" i="1"/>
  <c r="D120" i="1"/>
  <c r="D121" i="1"/>
  <c r="D535" i="1"/>
  <c r="D123" i="1"/>
  <c r="D146" i="1"/>
  <c r="D125" i="1"/>
  <c r="D126" i="1"/>
  <c r="D290" i="1"/>
  <c r="D128" i="1"/>
  <c r="D129" i="1"/>
  <c r="D130" i="1"/>
  <c r="D131" i="1"/>
  <c r="D132" i="1"/>
  <c r="D133" i="1"/>
  <c r="D320" i="1"/>
  <c r="D183" i="1"/>
  <c r="D136" i="1"/>
  <c r="D137" i="1"/>
  <c r="D241" i="1"/>
  <c r="D139" i="1"/>
  <c r="D140" i="1"/>
  <c r="D141" i="1"/>
  <c r="D142" i="1"/>
  <c r="D143" i="1"/>
  <c r="D144" i="1"/>
  <c r="D145" i="1"/>
  <c r="D542" i="1"/>
  <c r="D147" i="1"/>
  <c r="D148" i="1"/>
  <c r="D149" i="1"/>
  <c r="D150" i="1"/>
  <c r="D151" i="1"/>
  <c r="D152" i="1"/>
  <c r="D153" i="1"/>
  <c r="D154" i="1"/>
  <c r="D155" i="1"/>
  <c r="D471" i="1"/>
  <c r="D157" i="1"/>
  <c r="D107" i="1"/>
  <c r="D159" i="1"/>
  <c r="D160" i="1"/>
  <c r="D161" i="1"/>
  <c r="D162" i="1"/>
  <c r="D163" i="1"/>
  <c r="D164" i="1"/>
  <c r="D488" i="1"/>
  <c r="D166" i="1"/>
  <c r="D167" i="1"/>
  <c r="D168" i="1"/>
  <c r="D169" i="1"/>
  <c r="D366" i="1"/>
  <c r="D171" i="1"/>
  <c r="D380" i="1"/>
  <c r="D173" i="1"/>
  <c r="D174" i="1"/>
  <c r="D175" i="1"/>
  <c r="D176" i="1"/>
  <c r="D177" i="1"/>
  <c r="D178" i="1"/>
  <c r="D179" i="1"/>
  <c r="D180" i="1"/>
  <c r="D181" i="1"/>
  <c r="D182" i="1"/>
  <c r="D170" i="1"/>
  <c r="D184" i="1"/>
  <c r="D185" i="1"/>
  <c r="D186" i="1"/>
  <c r="D493" i="1"/>
  <c r="D188" i="1"/>
  <c r="D496" i="1"/>
  <c r="D190" i="1"/>
  <c r="D191" i="1"/>
  <c r="D192" i="1"/>
  <c r="D193" i="1"/>
  <c r="D194" i="1"/>
  <c r="D195" i="1"/>
  <c r="D196" i="1"/>
  <c r="D197" i="1"/>
  <c r="D198" i="1"/>
  <c r="D1331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32" i="1"/>
  <c r="D217" i="1"/>
  <c r="D684" i="1"/>
  <c r="D574" i="1"/>
  <c r="D413" i="1"/>
  <c r="D221" i="1"/>
  <c r="D779" i="1"/>
  <c r="D223" i="1"/>
  <c r="D224" i="1"/>
  <c r="D225" i="1"/>
  <c r="D226" i="1"/>
  <c r="D227" i="1"/>
  <c r="D228" i="1"/>
  <c r="D229" i="1"/>
  <c r="D230" i="1"/>
  <c r="D231" i="1"/>
  <c r="D222" i="1"/>
  <c r="D233" i="1"/>
  <c r="D234" i="1"/>
  <c r="D235" i="1"/>
  <c r="D236" i="1"/>
  <c r="D237" i="1"/>
  <c r="D238" i="1"/>
  <c r="D239" i="1"/>
  <c r="D240" i="1"/>
  <c r="D507" i="1"/>
  <c r="D546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381" i="1"/>
  <c r="D325" i="1"/>
  <c r="D261" i="1"/>
  <c r="D262" i="1"/>
  <c r="D263" i="1"/>
  <c r="D264" i="1"/>
  <c r="D265" i="1"/>
  <c r="D266" i="1"/>
  <c r="D267" i="1"/>
  <c r="D408" i="1"/>
  <c r="D165" i="1"/>
  <c r="D551" i="1"/>
  <c r="D271" i="1"/>
  <c r="D272" i="1"/>
  <c r="D273" i="1"/>
  <c r="D274" i="1"/>
  <c r="D275" i="1"/>
  <c r="D276" i="1"/>
  <c r="D106" i="1"/>
  <c r="D278" i="1"/>
  <c r="D279" i="1"/>
  <c r="D280" i="1"/>
  <c r="D1185" i="1"/>
  <c r="D282" i="1"/>
  <c r="D283" i="1"/>
  <c r="D284" i="1"/>
  <c r="D285" i="1"/>
  <c r="D286" i="1"/>
  <c r="D287" i="1"/>
  <c r="D288" i="1"/>
  <c r="D289" i="1"/>
  <c r="D821" i="1"/>
  <c r="D291" i="1"/>
  <c r="D292" i="1"/>
  <c r="D293" i="1"/>
  <c r="D294" i="1"/>
  <c r="D295" i="1"/>
  <c r="D296" i="1"/>
  <c r="D138" i="1"/>
  <c r="D368" i="1"/>
  <c r="D299" i="1"/>
  <c r="D300" i="1"/>
  <c r="D301" i="1"/>
  <c r="D302" i="1"/>
  <c r="D688" i="1"/>
  <c r="D304" i="1"/>
  <c r="D1597" i="1"/>
  <c r="D942" i="1"/>
  <c r="D674" i="1"/>
  <c r="D308" i="1"/>
  <c r="D309" i="1"/>
  <c r="D310" i="1"/>
  <c r="D1598" i="1"/>
  <c r="D312" i="1"/>
  <c r="D313" i="1"/>
  <c r="D314" i="1"/>
  <c r="D315" i="1"/>
  <c r="D316" i="1"/>
  <c r="D317" i="1"/>
  <c r="D318" i="1"/>
  <c r="D319" i="1"/>
  <c r="D297" i="1"/>
  <c r="D321" i="1"/>
  <c r="D322" i="1"/>
  <c r="D323" i="1"/>
  <c r="D324" i="1"/>
  <c r="D12" i="1"/>
  <c r="D787" i="1"/>
  <c r="D327" i="1"/>
  <c r="D328" i="1"/>
  <c r="D329" i="1"/>
  <c r="D330" i="1"/>
  <c r="D331" i="1"/>
  <c r="D332" i="1"/>
  <c r="D333" i="1"/>
  <c r="D259" i="1"/>
  <c r="D95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764" i="1"/>
  <c r="D349" i="1"/>
  <c r="D350" i="1"/>
  <c r="D351" i="1"/>
  <c r="D156" i="1"/>
  <c r="D353" i="1"/>
  <c r="D354" i="1"/>
  <c r="D355" i="1"/>
  <c r="D356" i="1"/>
  <c r="D357" i="1"/>
  <c r="D358" i="1"/>
  <c r="D359" i="1"/>
  <c r="D360" i="1"/>
  <c r="D361" i="1"/>
  <c r="D362" i="1"/>
  <c r="D575" i="1"/>
  <c r="D364" i="1"/>
  <c r="D365" i="1"/>
  <c r="D696" i="1"/>
  <c r="D367" i="1"/>
  <c r="D851" i="1"/>
  <c r="D369" i="1"/>
  <c r="D370" i="1"/>
  <c r="D371" i="1"/>
  <c r="D372" i="1"/>
  <c r="D373" i="1"/>
  <c r="D374" i="1"/>
  <c r="D375" i="1"/>
  <c r="D376" i="1"/>
  <c r="D377" i="1"/>
  <c r="D378" i="1"/>
  <c r="D508" i="1"/>
  <c r="D260" i="1"/>
  <c r="D137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187" i="1"/>
  <c r="D409" i="1"/>
  <c r="D298" i="1"/>
  <c r="D1275" i="1"/>
  <c r="D412" i="1"/>
  <c r="D577" i="1"/>
  <c r="D414" i="1"/>
  <c r="D415" i="1"/>
  <c r="D416" i="1"/>
  <c r="D417" i="1"/>
  <c r="D962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110" i="1"/>
  <c r="D454" i="1"/>
  <c r="D455" i="1"/>
  <c r="D456" i="1"/>
  <c r="D457" i="1"/>
  <c r="D458" i="1"/>
  <c r="D459" i="1"/>
  <c r="D460" i="1"/>
  <c r="D698" i="1"/>
  <c r="D462" i="1"/>
  <c r="D1498" i="1"/>
  <c r="D464" i="1"/>
  <c r="D465" i="1"/>
  <c r="D1892" i="1"/>
  <c r="D1989" i="1"/>
  <c r="D468" i="1"/>
  <c r="D967" i="1"/>
  <c r="D470" i="1"/>
  <c r="D976" i="1"/>
  <c r="D1140" i="1"/>
  <c r="D473" i="1"/>
  <c r="D701" i="1"/>
  <c r="D475" i="1"/>
  <c r="D476" i="1"/>
  <c r="D477" i="1"/>
  <c r="D478" i="1"/>
  <c r="D479" i="1"/>
  <c r="D480" i="1"/>
  <c r="D481" i="1"/>
  <c r="D482" i="1"/>
  <c r="D1490" i="1"/>
  <c r="D2161" i="1"/>
  <c r="D485" i="1"/>
  <c r="D486" i="1"/>
  <c r="D487" i="1"/>
  <c r="D1146" i="1"/>
  <c r="D489" i="1"/>
  <c r="D490" i="1"/>
  <c r="D491" i="1"/>
  <c r="D492" i="1"/>
  <c r="D977" i="1"/>
  <c r="D494" i="1"/>
  <c r="D495" i="1"/>
  <c r="D411" i="1"/>
  <c r="D497" i="1"/>
  <c r="D498" i="1"/>
  <c r="D499" i="1"/>
  <c r="D500" i="1"/>
  <c r="D501" i="1"/>
  <c r="D502" i="1"/>
  <c r="D503" i="1"/>
  <c r="D504" i="1"/>
  <c r="D505" i="1"/>
  <c r="D2275" i="1"/>
  <c r="D2292" i="1"/>
  <c r="D2327" i="1"/>
  <c r="D268" i="1"/>
  <c r="D510" i="1"/>
  <c r="D511" i="1"/>
  <c r="D512" i="1"/>
  <c r="D513" i="1"/>
  <c r="D514" i="1"/>
  <c r="D515" i="1"/>
  <c r="D516" i="1"/>
  <c r="D517" i="1"/>
  <c r="D1900" i="1"/>
  <c r="D519" i="1"/>
  <c r="D334" i="1"/>
  <c r="D521" i="1"/>
  <c r="D1278" i="1"/>
  <c r="D523" i="1"/>
  <c r="D524" i="1"/>
  <c r="D2356" i="1"/>
  <c r="D2109" i="1"/>
  <c r="D2355" i="1"/>
  <c r="D2222" i="1"/>
  <c r="D2224" i="1"/>
  <c r="D2250" i="1"/>
  <c r="D2257" i="1"/>
  <c r="D2318" i="1"/>
  <c r="D2276" i="1"/>
  <c r="D2295" i="1"/>
  <c r="D2120" i="1"/>
  <c r="D2162" i="1"/>
  <c r="D2099" i="1"/>
  <c r="D1959" i="1"/>
  <c r="D1601" i="1"/>
  <c r="D540" i="1"/>
  <c r="D2308" i="1"/>
  <c r="D2357" i="1"/>
  <c r="D2342" i="1"/>
  <c r="D2260" i="1"/>
  <c r="D545" i="1"/>
  <c r="D2163" i="1"/>
  <c r="D2264" i="1"/>
  <c r="D548" i="1"/>
  <c r="D2100" i="1"/>
  <c r="D1848" i="1"/>
  <c r="D2103" i="1"/>
  <c r="D2173" i="1"/>
  <c r="D553" i="1"/>
  <c r="D554" i="1"/>
  <c r="D555" i="1"/>
  <c r="D1409" i="1"/>
  <c r="D557" i="1"/>
  <c r="D558" i="1"/>
  <c r="D559" i="1"/>
  <c r="D790" i="1"/>
  <c r="D561" i="1"/>
  <c r="D562" i="1"/>
  <c r="D563" i="1"/>
  <c r="D564" i="1"/>
  <c r="D565" i="1"/>
  <c r="D566" i="1"/>
  <c r="D567" i="1"/>
  <c r="D568" i="1"/>
  <c r="D532" i="1"/>
  <c r="D570" i="1"/>
  <c r="D571" i="1"/>
  <c r="D572" i="1"/>
  <c r="D573" i="1"/>
  <c r="D708" i="1"/>
  <c r="D709" i="1"/>
  <c r="D576" i="1"/>
  <c r="D2000" i="1"/>
  <c r="D578" i="1"/>
  <c r="D579" i="1"/>
  <c r="D533" i="1"/>
  <c r="D581" i="1"/>
  <c r="D1279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1376" i="1"/>
  <c r="D597" i="1"/>
  <c r="D986" i="1"/>
  <c r="D599" i="1"/>
  <c r="D600" i="1"/>
  <c r="D601" i="1"/>
  <c r="D602" i="1"/>
  <c r="D603" i="1"/>
  <c r="D604" i="1"/>
  <c r="D719" i="1"/>
  <c r="D606" i="1"/>
  <c r="D607" i="1"/>
  <c r="D608" i="1"/>
  <c r="D609" i="1"/>
  <c r="D610" i="1"/>
  <c r="D611" i="1"/>
  <c r="D612" i="1"/>
  <c r="D613" i="1"/>
  <c r="D614" i="1"/>
  <c r="D615" i="1"/>
  <c r="D1127" i="1"/>
  <c r="D617" i="1"/>
  <c r="D618" i="1"/>
  <c r="D619" i="1"/>
  <c r="D620" i="1"/>
  <c r="D621" i="1"/>
  <c r="D622" i="1"/>
  <c r="D623" i="1"/>
  <c r="D624" i="1"/>
  <c r="D418" i="1"/>
  <c r="D626" i="1"/>
  <c r="D627" i="1"/>
  <c r="D628" i="1"/>
  <c r="D629" i="1"/>
  <c r="D630" i="1"/>
  <c r="D631" i="1"/>
  <c r="D632" i="1"/>
  <c r="D1381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1974" i="1"/>
  <c r="D649" i="1"/>
  <c r="D1228" i="1"/>
  <c r="D651" i="1"/>
  <c r="D652" i="1"/>
  <c r="D653" i="1"/>
  <c r="D654" i="1"/>
  <c r="D995" i="1"/>
  <c r="D1286" i="1"/>
  <c r="D657" i="1"/>
  <c r="D2186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1152" i="1"/>
  <c r="D1001" i="1"/>
  <c r="D2278" i="1"/>
  <c r="D2311" i="1"/>
  <c r="D2316" i="1"/>
  <c r="D679" i="1"/>
  <c r="D680" i="1"/>
  <c r="D681" i="1"/>
  <c r="D682" i="1"/>
  <c r="D683" i="1"/>
  <c r="D2069" i="1"/>
  <c r="D685" i="1"/>
  <c r="D686" i="1"/>
  <c r="D687" i="1"/>
  <c r="D1851" i="1"/>
  <c r="D689" i="1"/>
  <c r="D690" i="1"/>
  <c r="D691" i="1"/>
  <c r="D692" i="1"/>
  <c r="D693" i="1"/>
  <c r="D694" i="1"/>
  <c r="D695" i="1"/>
  <c r="D1153" i="1"/>
  <c r="D697" i="1"/>
  <c r="D1154" i="1"/>
  <c r="D699" i="1"/>
  <c r="D700" i="1"/>
  <c r="D1936" i="1"/>
  <c r="D702" i="1"/>
  <c r="D703" i="1"/>
  <c r="D704" i="1"/>
  <c r="D705" i="1"/>
  <c r="D706" i="1"/>
  <c r="D707" i="1"/>
  <c r="D797" i="1"/>
  <c r="D1155" i="1"/>
  <c r="D710" i="1"/>
  <c r="D711" i="1"/>
  <c r="D712" i="1"/>
  <c r="D713" i="1"/>
  <c r="D714" i="1"/>
  <c r="D715" i="1"/>
  <c r="D716" i="1"/>
  <c r="D717" i="1"/>
  <c r="D718" i="1"/>
  <c r="D2174" i="1"/>
  <c r="D720" i="1"/>
  <c r="D721" i="1"/>
  <c r="D722" i="1"/>
  <c r="D723" i="1"/>
  <c r="D724" i="1"/>
  <c r="D725" i="1"/>
  <c r="D726" i="1"/>
  <c r="D727" i="1"/>
  <c r="D769" i="1"/>
  <c r="D728" i="1"/>
  <c r="D1791" i="1"/>
  <c r="D731" i="1"/>
  <c r="D1393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1947" i="1"/>
  <c r="D746" i="1"/>
  <c r="D747" i="1"/>
  <c r="D748" i="1"/>
  <c r="D1950" i="1"/>
  <c r="D1864" i="1"/>
  <c r="D751" i="1"/>
  <c r="D1007" i="1"/>
  <c r="D753" i="1"/>
  <c r="D1157" i="1"/>
  <c r="D755" i="1"/>
  <c r="D756" i="1"/>
  <c r="D757" i="1"/>
  <c r="D758" i="1"/>
  <c r="D759" i="1"/>
  <c r="D509" i="1"/>
  <c r="D761" i="1"/>
  <c r="D762" i="1"/>
  <c r="D763" i="1"/>
  <c r="D122" i="1"/>
  <c r="D765" i="1"/>
  <c r="D766" i="1"/>
  <c r="D767" i="1"/>
  <c r="D768" i="1"/>
  <c r="D269" i="1"/>
  <c r="D770" i="1"/>
  <c r="D1298" i="1"/>
  <c r="D772" i="1"/>
  <c r="D773" i="1"/>
  <c r="D774" i="1"/>
  <c r="D775" i="1"/>
  <c r="D776" i="1"/>
  <c r="D777" i="1"/>
  <c r="D124" i="1"/>
  <c r="D11" i="1"/>
  <c r="D270" i="1"/>
  <c r="D781" i="1"/>
  <c r="D782" i="1"/>
  <c r="D783" i="1"/>
  <c r="D729" i="1"/>
  <c r="D785" i="1"/>
  <c r="D1012" i="1"/>
  <c r="D335" i="1"/>
  <c r="D788" i="1"/>
  <c r="D789" i="1"/>
  <c r="D1174" i="1"/>
  <c r="D791" i="1"/>
  <c r="D792" i="1"/>
  <c r="D793" i="1"/>
  <c r="D794" i="1"/>
  <c r="D795" i="1"/>
  <c r="D796" i="1"/>
  <c r="D1983" i="1"/>
  <c r="D2125" i="1"/>
  <c r="D799" i="1"/>
  <c r="D800" i="1"/>
  <c r="D801" i="1"/>
  <c r="D802" i="1"/>
  <c r="D45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1394" i="1"/>
  <c r="D818" i="1"/>
  <c r="D819" i="1"/>
  <c r="D1500" i="1"/>
  <c r="D1507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189" i="1"/>
  <c r="D850" i="1"/>
  <c r="D199" i="1"/>
  <c r="D852" i="1"/>
  <c r="D853" i="1"/>
  <c r="D518" i="1"/>
  <c r="D855" i="1"/>
  <c r="D856" i="1"/>
  <c r="D857" i="1"/>
  <c r="D858" i="1"/>
  <c r="D859" i="1"/>
  <c r="D860" i="1"/>
  <c r="D1799" i="1"/>
  <c r="D862" i="1"/>
  <c r="D863" i="1"/>
  <c r="D864" i="1"/>
  <c r="D865" i="1"/>
  <c r="D866" i="1"/>
  <c r="D867" i="1"/>
  <c r="D868" i="1"/>
  <c r="D730" i="1"/>
  <c r="D870" i="1"/>
  <c r="D871" i="1"/>
  <c r="D872" i="1"/>
  <c r="D873" i="1"/>
  <c r="D874" i="1"/>
  <c r="D1603" i="1"/>
  <c r="D2226" i="1"/>
  <c r="D877" i="1"/>
  <c r="D878" i="1"/>
  <c r="D879" i="1"/>
  <c r="D880" i="1"/>
  <c r="D881" i="1"/>
  <c r="D882" i="1"/>
  <c r="D883" i="1"/>
  <c r="D127" i="1"/>
  <c r="D885" i="1"/>
  <c r="D886" i="1"/>
  <c r="D887" i="1"/>
  <c r="D888" i="1"/>
  <c r="D889" i="1"/>
  <c r="D890" i="1"/>
  <c r="D891" i="1"/>
  <c r="D892" i="1"/>
  <c r="D893" i="1"/>
  <c r="D894" i="1"/>
  <c r="D895" i="1"/>
  <c r="D1300" i="1"/>
  <c r="D897" i="1"/>
  <c r="D898" i="1"/>
  <c r="D899" i="1"/>
  <c r="D900" i="1"/>
  <c r="D901" i="1"/>
  <c r="D1605" i="1"/>
  <c r="D2005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2010" i="1"/>
  <c r="D935" i="1"/>
  <c r="D936" i="1"/>
  <c r="D937" i="1"/>
  <c r="D938" i="1"/>
  <c r="D939" i="1"/>
  <c r="D940" i="1"/>
  <c r="D941" i="1"/>
  <c r="D1513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2079" i="1"/>
  <c r="D956" i="1"/>
  <c r="D957" i="1"/>
  <c r="D958" i="1"/>
  <c r="D959" i="1"/>
  <c r="D960" i="1"/>
  <c r="D961" i="1"/>
  <c r="D520" i="1"/>
  <c r="D963" i="1"/>
  <c r="D964" i="1"/>
  <c r="D965" i="1"/>
  <c r="D966" i="1"/>
  <c r="D580" i="1"/>
  <c r="D968" i="1"/>
  <c r="D969" i="1"/>
  <c r="D970" i="1"/>
  <c r="D971" i="1"/>
  <c r="D972" i="1"/>
  <c r="D973" i="1"/>
  <c r="D974" i="1"/>
  <c r="D975" i="1"/>
  <c r="D1178" i="1"/>
  <c r="D461" i="1"/>
  <c r="D978" i="1"/>
  <c r="D979" i="1"/>
  <c r="D980" i="1"/>
  <c r="D981" i="1"/>
  <c r="D982" i="1"/>
  <c r="D983" i="1"/>
  <c r="D984" i="1"/>
  <c r="D985" i="1"/>
  <c r="D2018" i="1"/>
  <c r="D987" i="1"/>
  <c r="D988" i="1"/>
  <c r="D989" i="1"/>
  <c r="D990" i="1"/>
  <c r="D991" i="1"/>
  <c r="D992" i="1"/>
  <c r="D993" i="1"/>
  <c r="D994" i="1"/>
  <c r="D1015" i="1"/>
  <c r="D996" i="1"/>
  <c r="D997" i="1"/>
  <c r="D998" i="1"/>
  <c r="D999" i="1"/>
  <c r="D1000" i="1"/>
  <c r="D522" i="1"/>
  <c r="D1002" i="1"/>
  <c r="D1003" i="1"/>
  <c r="D1004" i="1"/>
  <c r="D1005" i="1"/>
  <c r="D1006" i="1"/>
  <c r="D1019" i="1"/>
  <c r="D1008" i="1"/>
  <c r="D1009" i="1"/>
  <c r="D1010" i="1"/>
  <c r="D1011" i="1"/>
  <c r="D854" i="1"/>
  <c r="D1013" i="1"/>
  <c r="D1014" i="1"/>
  <c r="D582" i="1"/>
  <c r="D1016" i="1"/>
  <c r="D1017" i="1"/>
  <c r="D1018" i="1"/>
  <c r="D732" i="1"/>
  <c r="D1020" i="1"/>
  <c r="D1021" i="1"/>
  <c r="D1022" i="1"/>
  <c r="D1023" i="1"/>
  <c r="D1024" i="1"/>
  <c r="D1025" i="1"/>
  <c r="D1026" i="1"/>
  <c r="D1027" i="1"/>
  <c r="D1028" i="1"/>
  <c r="D1029" i="1"/>
  <c r="D798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30" i="1"/>
  <c r="D1045" i="1"/>
  <c r="D1046" i="1"/>
  <c r="D1047" i="1"/>
  <c r="D1048" i="1"/>
  <c r="D1049" i="1"/>
  <c r="D1050" i="1"/>
  <c r="D1051" i="1"/>
  <c r="D1052" i="1"/>
  <c r="D1053" i="1"/>
  <c r="D1054" i="1"/>
  <c r="D379" i="1"/>
  <c r="D1056" i="1"/>
  <c r="D1057" i="1"/>
  <c r="D1058" i="1"/>
  <c r="D1059" i="1"/>
  <c r="D1060" i="1"/>
  <c r="D1061" i="1"/>
  <c r="D1062" i="1"/>
  <c r="D1063" i="1"/>
  <c r="D1064" i="1"/>
  <c r="D348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44" i="1"/>
  <c r="D1082" i="1"/>
  <c r="D1514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181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312" i="1"/>
  <c r="D2022" i="1"/>
  <c r="D1117" i="1"/>
  <c r="D525" i="1"/>
  <c r="D1321" i="1"/>
  <c r="D1120" i="1"/>
  <c r="D2184" i="1"/>
  <c r="D1122" i="1"/>
  <c r="D1123" i="1"/>
  <c r="D1124" i="1"/>
  <c r="D1125" i="1"/>
  <c r="D1126" i="1"/>
  <c r="D13" i="1"/>
  <c r="D1128" i="1"/>
  <c r="D1129" i="1"/>
  <c r="D1130" i="1"/>
  <c r="D1131" i="1"/>
  <c r="D1132" i="1"/>
  <c r="D745" i="1"/>
  <c r="D1134" i="1"/>
  <c r="D1620" i="1"/>
  <c r="D1136" i="1"/>
  <c r="D1137" i="1"/>
  <c r="D1138" i="1"/>
  <c r="D1520" i="1"/>
  <c r="D2089" i="1"/>
  <c r="D1141" i="1"/>
  <c r="D1142" i="1"/>
  <c r="D1143" i="1"/>
  <c r="D1144" i="1"/>
  <c r="D1145" i="1"/>
  <c r="D1395" i="1"/>
  <c r="D1147" i="1"/>
  <c r="D1148" i="1"/>
  <c r="D1149" i="1"/>
  <c r="D1150" i="1"/>
  <c r="D1151" i="1"/>
  <c r="D534" i="1"/>
  <c r="D528" i="1"/>
  <c r="D529" i="1"/>
  <c r="D531" i="1"/>
  <c r="D1156" i="1"/>
  <c r="D410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328" i="1"/>
  <c r="D1175" i="1"/>
  <c r="D1176" i="1"/>
  <c r="D1177" i="1"/>
  <c r="D326" i="1"/>
  <c r="D1179" i="1"/>
  <c r="D1180" i="1"/>
  <c r="D216" i="1"/>
  <c r="D596" i="1"/>
  <c r="D1183" i="1"/>
  <c r="D1527" i="1"/>
  <c r="D598" i="1"/>
  <c r="D1186" i="1"/>
  <c r="D1187" i="1"/>
  <c r="D1188" i="1"/>
  <c r="D1182" i="1"/>
  <c r="D527" i="1"/>
  <c r="D1191" i="1"/>
  <c r="D218" i="1"/>
  <c r="D1193" i="1"/>
  <c r="D749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303" i="1"/>
  <c r="D1211" i="1"/>
  <c r="D1212" i="1"/>
  <c r="D1213" i="1"/>
  <c r="D1214" i="1"/>
  <c r="D1215" i="1"/>
  <c r="D1216" i="1"/>
  <c r="D1217" i="1"/>
  <c r="D1218" i="1"/>
  <c r="D1955" i="1"/>
  <c r="D1220" i="1"/>
  <c r="D1221" i="1"/>
  <c r="D1222" i="1"/>
  <c r="D1223" i="1"/>
  <c r="D1224" i="1"/>
  <c r="D1225" i="1"/>
  <c r="D1226" i="1"/>
  <c r="D1227" i="1"/>
  <c r="D750" i="1"/>
  <c r="D1229" i="1"/>
  <c r="D1622" i="1"/>
  <c r="D1231" i="1"/>
  <c r="D1232" i="1"/>
  <c r="D1233" i="1"/>
  <c r="D1119" i="1"/>
  <c r="D1235" i="1"/>
  <c r="D1236" i="1"/>
  <c r="D1055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94" i="1"/>
  <c r="D1264" i="1"/>
  <c r="D1265" i="1"/>
  <c r="D1266" i="1"/>
  <c r="D1267" i="1"/>
  <c r="D1268" i="1"/>
  <c r="D1269" i="1"/>
  <c r="D1270" i="1"/>
  <c r="D1271" i="1"/>
  <c r="D1272" i="1"/>
  <c r="D1273" i="1"/>
  <c r="D37" i="1"/>
  <c r="D1065" i="1"/>
  <c r="D1276" i="1"/>
  <c r="D1277" i="1"/>
  <c r="D538" i="1"/>
  <c r="D76" i="1"/>
  <c r="D1280" i="1"/>
  <c r="D1281" i="1"/>
  <c r="D1282" i="1"/>
  <c r="D1283" i="1"/>
  <c r="D1284" i="1"/>
  <c r="D1285" i="1"/>
  <c r="D1919" i="1"/>
  <c r="D1287" i="1"/>
  <c r="D1288" i="1"/>
  <c r="D1289" i="1"/>
  <c r="D1290" i="1"/>
  <c r="D1291" i="1"/>
  <c r="D1292" i="1"/>
  <c r="D1293" i="1"/>
  <c r="D1294" i="1"/>
  <c r="D1295" i="1"/>
  <c r="D1296" i="1"/>
  <c r="D1297" i="1"/>
  <c r="D463" i="1"/>
  <c r="D1299" i="1"/>
  <c r="D605" i="1"/>
  <c r="D1301" i="1"/>
  <c r="D1302" i="1"/>
  <c r="D1303" i="1"/>
  <c r="D1304" i="1"/>
  <c r="D1305" i="1"/>
  <c r="D1306" i="1"/>
  <c r="D1307" i="1"/>
  <c r="D1308" i="1"/>
  <c r="D1309" i="1"/>
  <c r="D1310" i="1"/>
  <c r="D1311" i="1"/>
  <c r="D2028" i="1"/>
  <c r="D1313" i="1"/>
  <c r="D1314" i="1"/>
  <c r="D1315" i="1"/>
  <c r="D1316" i="1"/>
  <c r="D1317" i="1"/>
  <c r="D1318" i="1"/>
  <c r="D1319" i="1"/>
  <c r="D1320" i="1"/>
  <c r="D1626" i="1"/>
  <c r="D1322" i="1"/>
  <c r="D1323" i="1"/>
  <c r="D1324" i="1"/>
  <c r="D1325" i="1"/>
  <c r="D1326" i="1"/>
  <c r="D1327" i="1"/>
  <c r="D1081" i="1"/>
  <c r="D1329" i="1"/>
  <c r="D1330" i="1"/>
  <c r="D2035" i="1"/>
  <c r="D1332" i="1"/>
  <c r="D1333" i="1"/>
  <c r="D1334" i="1"/>
  <c r="D1335" i="1"/>
  <c r="D1336" i="1"/>
  <c r="D1337" i="1"/>
  <c r="D1350" i="1"/>
  <c r="D1339" i="1"/>
  <c r="D1340" i="1"/>
  <c r="D89" i="1"/>
  <c r="D1342" i="1"/>
  <c r="D1343" i="1"/>
  <c r="D2040" i="1"/>
  <c r="D1345" i="1"/>
  <c r="D1346" i="1"/>
  <c r="D1347" i="1"/>
  <c r="D1348" i="1"/>
  <c r="D1349" i="1"/>
  <c r="D219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752" i="1"/>
  <c r="D1367" i="1"/>
  <c r="D1368" i="1"/>
  <c r="D1369" i="1"/>
  <c r="D1370" i="1"/>
  <c r="D803" i="1"/>
  <c r="D1372" i="1"/>
  <c r="D1373" i="1"/>
  <c r="D1374" i="1"/>
  <c r="D1375" i="1"/>
  <c r="D1083" i="1"/>
  <c r="D1377" i="1"/>
  <c r="D1378" i="1"/>
  <c r="D1379" i="1"/>
  <c r="D1380" i="1"/>
  <c r="D1636" i="1"/>
  <c r="D1382" i="1"/>
  <c r="D1383" i="1"/>
  <c r="D1384" i="1"/>
  <c r="D1385" i="1"/>
  <c r="D1386" i="1"/>
  <c r="D1387" i="1"/>
  <c r="D1388" i="1"/>
  <c r="D1389" i="1"/>
  <c r="D1390" i="1"/>
  <c r="D1391" i="1"/>
  <c r="D1392" i="1"/>
  <c r="D817" i="1"/>
  <c r="D1099" i="1"/>
  <c r="D616" i="1"/>
  <c r="D1396" i="1"/>
  <c r="D2287" i="1"/>
  <c r="D861" i="1"/>
  <c r="D1399" i="1"/>
  <c r="D1400" i="1"/>
  <c r="D1401" i="1"/>
  <c r="D539" i="1"/>
  <c r="D1403" i="1"/>
  <c r="D1404" i="1"/>
  <c r="D1405" i="1"/>
  <c r="D1406" i="1"/>
  <c r="D1407" i="1"/>
  <c r="D1408" i="1"/>
  <c r="D625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891" i="1"/>
  <c r="D1425" i="1"/>
  <c r="D1426" i="1"/>
  <c r="D1427" i="1"/>
  <c r="D1428" i="1"/>
  <c r="D1429" i="1"/>
  <c r="D1430" i="1"/>
  <c r="D484" i="1"/>
  <c r="D1432" i="1"/>
  <c r="D1433" i="1"/>
  <c r="D1434" i="1"/>
  <c r="D1435" i="1"/>
  <c r="D1436" i="1"/>
  <c r="D1437" i="1"/>
  <c r="D1438" i="1"/>
  <c r="D1439" i="1"/>
  <c r="D472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542" i="1"/>
  <c r="D1461" i="1"/>
  <c r="D1462" i="1"/>
  <c r="D1463" i="1"/>
  <c r="D1464" i="1"/>
  <c r="D1465" i="1"/>
  <c r="D1466" i="1"/>
  <c r="D1467" i="1"/>
  <c r="D1702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536" i="1"/>
  <c r="D1483" i="1"/>
  <c r="D1484" i="1"/>
  <c r="D1485" i="1"/>
  <c r="D1486" i="1"/>
  <c r="D1487" i="1"/>
  <c r="D1488" i="1"/>
  <c r="D1489" i="1"/>
  <c r="D1184" i="1"/>
  <c r="D1491" i="1"/>
  <c r="D1492" i="1"/>
  <c r="D1493" i="1"/>
  <c r="D1494" i="1"/>
  <c r="D1495" i="1"/>
  <c r="D1496" i="1"/>
  <c r="D1497" i="1"/>
  <c r="D547" i="1"/>
  <c r="D1499" i="1"/>
  <c r="D556" i="1"/>
  <c r="D1501" i="1"/>
  <c r="D1502" i="1"/>
  <c r="D1503" i="1"/>
  <c r="D1504" i="1"/>
  <c r="D1505" i="1"/>
  <c r="D1506" i="1"/>
  <c r="D1190" i="1"/>
  <c r="D1508" i="1"/>
  <c r="D1509" i="1"/>
  <c r="D1510" i="1"/>
  <c r="D1511" i="1"/>
  <c r="D1512" i="1"/>
  <c r="D1338" i="1"/>
  <c r="D1583" i="1"/>
  <c r="D1515" i="1"/>
  <c r="D1516" i="1"/>
  <c r="D1517" i="1"/>
  <c r="D1518" i="1"/>
  <c r="D1519" i="1"/>
  <c r="D2052" i="1"/>
  <c r="D1521" i="1"/>
  <c r="D1522" i="1"/>
  <c r="D1523" i="1"/>
  <c r="D1524" i="1"/>
  <c r="D1525" i="1"/>
  <c r="D1526" i="1"/>
  <c r="D1670" i="1"/>
  <c r="D1528" i="1"/>
  <c r="D1529" i="1"/>
  <c r="D1530" i="1"/>
  <c r="D1531" i="1"/>
  <c r="D1532" i="1"/>
  <c r="D1533" i="1"/>
  <c r="D1534" i="1"/>
  <c r="D1535" i="1"/>
  <c r="D1536" i="1"/>
  <c r="D1537" i="1"/>
  <c r="D1538" i="1"/>
  <c r="D650" i="1"/>
  <c r="D1540" i="1"/>
  <c r="D1541" i="1"/>
  <c r="D1973" i="1"/>
  <c r="D1745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2200" i="1"/>
  <c r="D1565" i="1"/>
  <c r="D1566" i="1"/>
  <c r="D1440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708" i="1"/>
  <c r="D1584" i="1"/>
  <c r="D1585" i="1"/>
  <c r="D1586" i="1"/>
  <c r="D1402" i="1"/>
  <c r="D1588" i="1"/>
  <c r="D1589" i="1"/>
  <c r="D1590" i="1"/>
  <c r="D1591" i="1"/>
  <c r="D1592" i="1"/>
  <c r="D1593" i="1"/>
  <c r="D1133" i="1"/>
  <c r="D530" i="1"/>
  <c r="D1596" i="1"/>
  <c r="D1482" i="1"/>
  <c r="D1135" i="1"/>
  <c r="D1599" i="1"/>
  <c r="D1600" i="1"/>
  <c r="D1121" i="1"/>
  <c r="D1602" i="1"/>
  <c r="D1539" i="1"/>
  <c r="D1604" i="1"/>
  <c r="D2238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839" i="1"/>
  <c r="D1621" i="1"/>
  <c r="D1659" i="1"/>
  <c r="D1623" i="1"/>
  <c r="D1624" i="1"/>
  <c r="D1625" i="1"/>
  <c r="D1911" i="1"/>
  <c r="D1627" i="1"/>
  <c r="D1628" i="1"/>
  <c r="D1629" i="1"/>
  <c r="D1630" i="1"/>
  <c r="D1631" i="1"/>
  <c r="D1632" i="1"/>
  <c r="D1633" i="1"/>
  <c r="D1634" i="1"/>
  <c r="D1635" i="1"/>
  <c r="D87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711" i="1"/>
  <c r="D1660" i="1"/>
  <c r="D1661" i="1"/>
  <c r="D1662" i="1"/>
  <c r="D1663" i="1"/>
  <c r="D1664" i="1"/>
  <c r="D1713" i="1"/>
  <c r="D1666" i="1"/>
  <c r="D1667" i="1"/>
  <c r="D1668" i="1"/>
  <c r="D1669" i="1"/>
  <c r="D1263" i="1"/>
  <c r="D1671" i="1"/>
  <c r="D1672" i="1"/>
  <c r="D1673" i="1"/>
  <c r="D1674" i="1"/>
  <c r="D1675" i="1"/>
  <c r="D1676" i="1"/>
  <c r="D1677" i="1"/>
  <c r="D1678" i="1"/>
  <c r="D1679" i="1"/>
  <c r="D1274" i="1"/>
  <c r="D1681" i="1"/>
  <c r="D1682" i="1"/>
  <c r="D1683" i="1"/>
  <c r="D1684" i="1"/>
  <c r="D1685" i="1"/>
  <c r="D1686" i="1"/>
  <c r="D1543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192" i="1"/>
  <c r="D1703" i="1"/>
  <c r="D1704" i="1"/>
  <c r="D1705" i="1"/>
  <c r="D1706" i="1"/>
  <c r="D1707" i="1"/>
  <c r="D560" i="1"/>
  <c r="D1709" i="1"/>
  <c r="D1710" i="1"/>
  <c r="D2107" i="1"/>
  <c r="D1712" i="1"/>
  <c r="D242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658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807" i="1"/>
  <c r="D1746" i="1"/>
  <c r="D1341" i="1"/>
  <c r="D1748" i="1"/>
  <c r="D1749" i="1"/>
  <c r="D1750" i="1"/>
  <c r="D1366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680" i="1"/>
  <c r="D1770" i="1"/>
  <c r="D1771" i="1"/>
  <c r="D1772" i="1"/>
  <c r="D1773" i="1"/>
  <c r="D1774" i="1"/>
  <c r="D1775" i="1"/>
  <c r="D1776" i="1"/>
  <c r="D1777" i="1"/>
  <c r="D1778" i="1"/>
  <c r="D1779" i="1"/>
  <c r="D1780" i="1"/>
  <c r="D2239" i="1"/>
  <c r="D1782" i="1"/>
  <c r="D1783" i="1"/>
  <c r="D1784" i="1"/>
  <c r="D1785" i="1"/>
  <c r="D1786" i="1"/>
  <c r="D1787" i="1"/>
  <c r="D1788" i="1"/>
  <c r="D1789" i="1"/>
  <c r="D1790" i="1"/>
  <c r="D1431" i="1"/>
  <c r="D1792" i="1"/>
  <c r="D1793" i="1"/>
  <c r="D1794" i="1"/>
  <c r="D1795" i="1"/>
  <c r="D1796" i="1"/>
  <c r="D1797" i="1"/>
  <c r="D1798" i="1"/>
  <c r="D549" i="1"/>
  <c r="D1800" i="1"/>
  <c r="D1801" i="1"/>
  <c r="D1802" i="1"/>
  <c r="D1803" i="1"/>
  <c r="D1804" i="1"/>
  <c r="D1805" i="1"/>
  <c r="D1806" i="1"/>
  <c r="D550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903" i="1"/>
  <c r="D1826" i="1"/>
  <c r="D1827" i="1"/>
  <c r="D1828" i="1"/>
  <c r="D1829" i="1"/>
  <c r="D1830" i="1"/>
  <c r="D1875" i="1"/>
  <c r="D1832" i="1"/>
  <c r="D1833" i="1"/>
  <c r="D1834" i="1"/>
  <c r="D1835" i="1"/>
  <c r="D1836" i="1"/>
  <c r="D1837" i="1"/>
  <c r="D1838" i="1"/>
  <c r="D677" i="1"/>
  <c r="D1840" i="1"/>
  <c r="D1841" i="1"/>
  <c r="D1842" i="1"/>
  <c r="D1843" i="1"/>
  <c r="D1844" i="1"/>
  <c r="D1845" i="1"/>
  <c r="D1846" i="1"/>
  <c r="D1847" i="1"/>
  <c r="D760" i="1"/>
  <c r="D1849" i="1"/>
  <c r="D1850" i="1"/>
  <c r="D2145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194" i="1"/>
  <c r="D1865" i="1"/>
  <c r="D1866" i="1"/>
  <c r="D1867" i="1"/>
  <c r="D1868" i="1"/>
  <c r="D1869" i="1"/>
  <c r="D1870" i="1"/>
  <c r="D1871" i="1"/>
  <c r="D1872" i="1"/>
  <c r="D1873" i="1"/>
  <c r="D1874" i="1"/>
  <c r="D1460" i="1"/>
  <c r="D1876" i="1"/>
  <c r="D1877" i="1"/>
  <c r="D1747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902" i="1"/>
  <c r="D655" i="1"/>
  <c r="D1893" i="1"/>
  <c r="D1894" i="1"/>
  <c r="D1895" i="1"/>
  <c r="D1896" i="1"/>
  <c r="D1897" i="1"/>
  <c r="D1898" i="1"/>
  <c r="D1899" i="1"/>
  <c r="D543" i="1"/>
  <c r="D1901" i="1"/>
  <c r="D1902" i="1"/>
  <c r="D1903" i="1"/>
  <c r="D1904" i="1"/>
  <c r="D1905" i="1"/>
  <c r="D1906" i="1"/>
  <c r="D1907" i="1"/>
  <c r="D1908" i="1"/>
  <c r="D1909" i="1"/>
  <c r="D1910" i="1"/>
  <c r="D1878" i="1"/>
  <c r="D1912" i="1"/>
  <c r="D1913" i="1"/>
  <c r="D1914" i="1"/>
  <c r="D1915" i="1"/>
  <c r="D1916" i="1"/>
  <c r="D1917" i="1"/>
  <c r="D1918" i="1"/>
  <c r="D675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687" i="1"/>
  <c r="D1935" i="1"/>
  <c r="D544" i="1"/>
  <c r="D1937" i="1"/>
  <c r="D1938" i="1"/>
  <c r="D1939" i="1"/>
  <c r="D1940" i="1"/>
  <c r="D1941" i="1"/>
  <c r="D1942" i="1"/>
  <c r="D1943" i="1"/>
  <c r="D1944" i="1"/>
  <c r="D1945" i="1"/>
  <c r="D1946" i="1"/>
  <c r="D1189" i="1"/>
  <c r="D1948" i="1"/>
  <c r="D1949" i="1"/>
  <c r="D1825" i="1"/>
  <c r="D1951" i="1"/>
  <c r="D1952" i="1"/>
  <c r="D1953" i="1"/>
  <c r="D1954" i="1"/>
  <c r="D771" i="1"/>
  <c r="D1956" i="1"/>
  <c r="D1957" i="1"/>
  <c r="D1958" i="1"/>
  <c r="D884" i="1"/>
  <c r="D1960" i="1"/>
  <c r="D1961" i="1"/>
  <c r="D2151" i="1"/>
  <c r="D1963" i="1"/>
  <c r="D1964" i="1"/>
  <c r="D1965" i="1"/>
  <c r="D1966" i="1"/>
  <c r="D1967" i="1"/>
  <c r="D1968" i="1"/>
  <c r="D1969" i="1"/>
  <c r="D1970" i="1"/>
  <c r="D1971" i="1"/>
  <c r="D1972" i="1"/>
  <c r="D569" i="1"/>
  <c r="D469" i="1"/>
  <c r="D1975" i="1"/>
  <c r="D1976" i="1"/>
  <c r="D1977" i="1"/>
  <c r="D1978" i="1"/>
  <c r="D1979" i="1"/>
  <c r="D1980" i="1"/>
  <c r="D1981" i="1"/>
  <c r="D552" i="1"/>
  <c r="D541" i="1"/>
  <c r="D1984" i="1"/>
  <c r="D1985" i="1"/>
  <c r="D1986" i="1"/>
  <c r="D1987" i="1"/>
  <c r="D1988" i="1"/>
  <c r="D1344" i="1"/>
  <c r="D1990" i="1"/>
  <c r="D1991" i="1"/>
  <c r="D1992" i="1"/>
  <c r="D1993" i="1"/>
  <c r="D1994" i="1"/>
  <c r="D1995" i="1"/>
  <c r="D1996" i="1"/>
  <c r="D1997" i="1"/>
  <c r="D1998" i="1"/>
  <c r="D1999" i="1"/>
  <c r="D780" i="1"/>
  <c r="D2001" i="1"/>
  <c r="D2002" i="1"/>
  <c r="D2003" i="1"/>
  <c r="D2004" i="1"/>
  <c r="D656" i="1"/>
  <c r="D2006" i="1"/>
  <c r="D2007" i="1"/>
  <c r="D2008" i="1"/>
  <c r="D2009" i="1"/>
  <c r="D2190" i="1"/>
  <c r="D2011" i="1"/>
  <c r="D2012" i="1"/>
  <c r="D2013" i="1"/>
  <c r="D2014" i="1"/>
  <c r="D2015" i="1"/>
  <c r="D2016" i="1"/>
  <c r="D2017" i="1"/>
  <c r="D1139" i="1"/>
  <c r="D2019" i="1"/>
  <c r="D2020" i="1"/>
  <c r="D2021" i="1"/>
  <c r="D1595" i="1"/>
  <c r="D2023" i="1"/>
  <c r="D2024" i="1"/>
  <c r="D2025" i="1"/>
  <c r="D2026" i="1"/>
  <c r="D2027" i="1"/>
  <c r="D1468" i="1"/>
  <c r="D2029" i="1"/>
  <c r="D2030" i="1"/>
  <c r="D2031" i="1"/>
  <c r="D2032" i="1"/>
  <c r="D2033" i="1"/>
  <c r="D2034" i="1"/>
  <c r="D1210" i="1"/>
  <c r="D2036" i="1"/>
  <c r="D2037" i="1"/>
  <c r="D2038" i="1"/>
  <c r="D2039" i="1"/>
  <c r="D1730" i="1"/>
  <c r="D2041" i="1"/>
  <c r="D2042" i="1"/>
  <c r="D2043" i="1"/>
  <c r="D2044" i="1"/>
  <c r="D2045" i="1"/>
  <c r="D2046" i="1"/>
  <c r="D875" i="1"/>
  <c r="D676" i="1"/>
  <c r="D2049" i="1"/>
  <c r="D2050" i="1"/>
  <c r="D2051" i="1"/>
  <c r="D1115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784" i="1"/>
  <c r="D2070" i="1"/>
  <c r="D2071" i="1"/>
  <c r="D2072" i="1"/>
  <c r="D2073" i="1"/>
  <c r="D2074" i="1"/>
  <c r="D2075" i="1"/>
  <c r="D2076" i="1"/>
  <c r="D2077" i="1"/>
  <c r="D2078" i="1"/>
  <c r="D786" i="1"/>
  <c r="D2080" i="1"/>
  <c r="D2081" i="1"/>
  <c r="D2082" i="1"/>
  <c r="D2083" i="1"/>
  <c r="D2084" i="1"/>
  <c r="D2085" i="1"/>
  <c r="D2086" i="1"/>
  <c r="D2087" i="1"/>
  <c r="D2088" i="1"/>
  <c r="D1934" i="1"/>
  <c r="D2090" i="1"/>
  <c r="D2091" i="1"/>
  <c r="D2092" i="1"/>
  <c r="D2093" i="1"/>
  <c r="D2094" i="1"/>
  <c r="D2095" i="1"/>
  <c r="D2096" i="1"/>
  <c r="D1397" i="1"/>
  <c r="D2098" i="1"/>
  <c r="D1234" i="1"/>
  <c r="D1237" i="1"/>
  <c r="D2101" i="1"/>
  <c r="D2102" i="1"/>
  <c r="D869" i="1"/>
  <c r="D2104" i="1"/>
  <c r="D2105" i="1"/>
  <c r="D2106" i="1"/>
  <c r="D1831" i="1"/>
  <c r="D2108" i="1"/>
  <c r="D1564" i="1"/>
  <c r="D2110" i="1"/>
  <c r="D2111" i="1"/>
  <c r="D2112" i="1"/>
  <c r="D2113" i="1"/>
  <c r="D2114" i="1"/>
  <c r="D2115" i="1"/>
  <c r="D2116" i="1"/>
  <c r="D2117" i="1"/>
  <c r="D2118" i="1"/>
  <c r="D2119" i="1"/>
  <c r="D1567" i="1"/>
  <c r="D2121" i="1"/>
  <c r="D2122" i="1"/>
  <c r="D2123" i="1"/>
  <c r="D2124" i="1"/>
  <c r="D1781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1398" i="1"/>
  <c r="D2139" i="1"/>
  <c r="D2140" i="1"/>
  <c r="D2141" i="1"/>
  <c r="D2142" i="1"/>
  <c r="D2143" i="1"/>
  <c r="D2144" i="1"/>
  <c r="D896" i="1"/>
  <c r="D2146" i="1"/>
  <c r="D2147" i="1"/>
  <c r="D2148" i="1"/>
  <c r="D2149" i="1"/>
  <c r="D2192" i="1"/>
  <c r="D2138" i="1"/>
  <c r="D2152" i="1"/>
  <c r="D1962" i="1"/>
  <c r="D2154" i="1"/>
  <c r="D2155" i="1"/>
  <c r="D2156" i="1"/>
  <c r="D2157" i="1"/>
  <c r="D2158" i="1"/>
  <c r="D2159" i="1"/>
  <c r="D2160" i="1"/>
  <c r="D1769" i="1"/>
  <c r="D2153" i="1"/>
  <c r="D2097" i="1"/>
  <c r="D2164" i="1"/>
  <c r="D2165" i="1"/>
  <c r="D2166" i="1"/>
  <c r="D2167" i="1"/>
  <c r="D2168" i="1"/>
  <c r="D2169" i="1"/>
  <c r="D2170" i="1"/>
  <c r="D2171" i="1"/>
  <c r="D2172" i="1"/>
  <c r="D849" i="1"/>
  <c r="D2150" i="1"/>
  <c r="D2175" i="1"/>
  <c r="D2176" i="1"/>
  <c r="D2177" i="1"/>
  <c r="D2178" i="1"/>
  <c r="D2179" i="1"/>
  <c r="D2180" i="1"/>
  <c r="D2181" i="1"/>
  <c r="D2182" i="1"/>
  <c r="D2183" i="1"/>
  <c r="D1116" i="1"/>
  <c r="D2185" i="1"/>
  <c r="D1587" i="1"/>
  <c r="D2187" i="1"/>
  <c r="D2188" i="1"/>
  <c r="D2189" i="1"/>
  <c r="D754" i="1"/>
  <c r="D2191" i="1"/>
  <c r="D1665" i="1"/>
  <c r="D2193" i="1"/>
  <c r="D2194" i="1"/>
  <c r="D2195" i="1"/>
  <c r="D2196" i="1"/>
  <c r="D2197" i="1"/>
  <c r="D2198" i="1"/>
  <c r="D2199" i="1"/>
  <c r="D1982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633" i="1"/>
  <c r="D2223" i="1"/>
  <c r="D305" i="1"/>
  <c r="D2225" i="1"/>
  <c r="D2047" i="1"/>
  <c r="D2227" i="1"/>
  <c r="D2228" i="1"/>
  <c r="D2229" i="1"/>
  <c r="D2230" i="1"/>
  <c r="D2231" i="1"/>
  <c r="D2232" i="1"/>
  <c r="D2233" i="1"/>
  <c r="D2234" i="1"/>
  <c r="D2235" i="1"/>
  <c r="D2236" i="1"/>
  <c r="D2237" i="1"/>
  <c r="D1424" i="1"/>
  <c r="D306" i="1"/>
  <c r="D2240" i="1"/>
  <c r="D134" i="1"/>
  <c r="D2242" i="1"/>
  <c r="D2243" i="1"/>
  <c r="D2244" i="1"/>
  <c r="D2245" i="1"/>
  <c r="D2246" i="1"/>
  <c r="D2247" i="1"/>
  <c r="D2248" i="1"/>
  <c r="D2249" i="1"/>
  <c r="D778" i="1"/>
  <c r="D2251" i="1"/>
  <c r="D2252" i="1"/>
  <c r="D2253" i="1"/>
  <c r="D2254" i="1"/>
  <c r="D2255" i="1"/>
  <c r="D2256" i="1"/>
  <c r="D526" i="1"/>
  <c r="D2258" i="1"/>
  <c r="D2259" i="1"/>
  <c r="D466" i="1"/>
  <c r="D2261" i="1"/>
  <c r="D2262" i="1"/>
  <c r="D2263" i="1"/>
  <c r="D1594" i="1"/>
  <c r="D2265" i="1"/>
  <c r="D2266" i="1"/>
  <c r="D220" i="1"/>
  <c r="D2268" i="1"/>
  <c r="D2269" i="1"/>
  <c r="D2270" i="1"/>
  <c r="D2271" i="1"/>
  <c r="D2272" i="1"/>
  <c r="D2273" i="1"/>
  <c r="D2274" i="1"/>
  <c r="D277" i="1"/>
  <c r="D281" i="1"/>
  <c r="D2277" i="1"/>
  <c r="D820" i="1"/>
  <c r="D2279" i="1"/>
  <c r="D2280" i="1"/>
  <c r="D2281" i="1"/>
  <c r="D1751" i="1"/>
  <c r="D2283" i="1"/>
  <c r="D2284" i="1"/>
  <c r="D2285" i="1"/>
  <c r="D2286" i="1"/>
  <c r="D934" i="1"/>
  <c r="D2288" i="1"/>
  <c r="D2289" i="1"/>
  <c r="D135" i="1"/>
  <c r="D2291" i="1"/>
  <c r="D2048" i="1"/>
  <c r="D2293" i="1"/>
  <c r="D2294" i="1"/>
  <c r="D1118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93" i="1"/>
  <c r="D2309" i="1"/>
  <c r="D2310" i="1"/>
  <c r="D307" i="1"/>
  <c r="D2312" i="1"/>
  <c r="D2313" i="1"/>
  <c r="D2314" i="1"/>
  <c r="D2315" i="1"/>
  <c r="D648" i="1"/>
  <c r="D2317" i="1"/>
  <c r="D1230" i="1"/>
  <c r="D2319" i="1"/>
  <c r="D2320" i="1"/>
  <c r="D2321" i="1"/>
  <c r="D2322" i="1"/>
  <c r="D2323" i="1"/>
  <c r="D2324" i="1"/>
  <c r="D2325" i="1"/>
  <c r="D2326" i="1"/>
  <c r="D311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267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G474" i="1"/>
  <c r="G3" i="1"/>
  <c r="G4" i="1"/>
  <c r="G5" i="1"/>
  <c r="G6" i="1"/>
  <c r="G7" i="1"/>
  <c r="G8" i="1"/>
  <c r="G9" i="1"/>
  <c r="G172" i="1"/>
  <c r="G2241" i="1"/>
  <c r="G2282" i="1"/>
  <c r="G2290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483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363" i="1"/>
  <c r="G77" i="1"/>
  <c r="G78" i="1"/>
  <c r="G79" i="1"/>
  <c r="G80" i="1"/>
  <c r="G81" i="1"/>
  <c r="G82" i="1"/>
  <c r="G83" i="1"/>
  <c r="G84" i="1"/>
  <c r="G85" i="1"/>
  <c r="G86" i="1"/>
  <c r="G87" i="1"/>
  <c r="G88" i="1"/>
  <c r="G158" i="1"/>
  <c r="G90" i="1"/>
  <c r="G91" i="1"/>
  <c r="G92" i="1"/>
  <c r="G537" i="1"/>
  <c r="G678" i="1"/>
  <c r="G95" i="1"/>
  <c r="G96" i="1"/>
  <c r="G97" i="1"/>
  <c r="G98" i="1"/>
  <c r="G99" i="1"/>
  <c r="G100" i="1"/>
  <c r="G101" i="1"/>
  <c r="G102" i="1"/>
  <c r="G103" i="1"/>
  <c r="G104" i="1"/>
  <c r="G105" i="1"/>
  <c r="G506" i="1"/>
  <c r="G467" i="1"/>
  <c r="G108" i="1"/>
  <c r="G109" i="1"/>
  <c r="G352" i="1"/>
  <c r="G111" i="1"/>
  <c r="G112" i="1"/>
  <c r="G113" i="1"/>
  <c r="G114" i="1"/>
  <c r="G115" i="1"/>
  <c r="G116" i="1"/>
  <c r="G117" i="1"/>
  <c r="G118" i="1"/>
  <c r="G119" i="1"/>
  <c r="G120" i="1"/>
  <c r="G121" i="1"/>
  <c r="G535" i="1"/>
  <c r="G123" i="1"/>
  <c r="G146" i="1"/>
  <c r="G125" i="1"/>
  <c r="G126" i="1"/>
  <c r="G290" i="1"/>
  <c r="G128" i="1"/>
  <c r="G129" i="1"/>
  <c r="G130" i="1"/>
  <c r="G131" i="1"/>
  <c r="G132" i="1"/>
  <c r="G133" i="1"/>
  <c r="G320" i="1"/>
  <c r="G183" i="1"/>
  <c r="G136" i="1"/>
  <c r="G137" i="1"/>
  <c r="G241" i="1"/>
  <c r="G139" i="1"/>
  <c r="G140" i="1"/>
  <c r="G141" i="1"/>
  <c r="G142" i="1"/>
  <c r="G143" i="1"/>
  <c r="G144" i="1"/>
  <c r="G145" i="1"/>
  <c r="G542" i="1"/>
  <c r="G147" i="1"/>
  <c r="G148" i="1"/>
  <c r="G149" i="1"/>
  <c r="G150" i="1"/>
  <c r="G151" i="1"/>
  <c r="G152" i="1"/>
  <c r="G153" i="1"/>
  <c r="G154" i="1"/>
  <c r="G155" i="1"/>
  <c r="G471" i="1"/>
  <c r="G157" i="1"/>
  <c r="G107" i="1"/>
  <c r="G159" i="1"/>
  <c r="G160" i="1"/>
  <c r="G161" i="1"/>
  <c r="G162" i="1"/>
  <c r="G163" i="1"/>
  <c r="G164" i="1"/>
  <c r="G488" i="1"/>
  <c r="G166" i="1"/>
  <c r="G167" i="1"/>
  <c r="G168" i="1"/>
  <c r="G169" i="1"/>
  <c r="G366" i="1"/>
  <c r="G171" i="1"/>
  <c r="G380" i="1"/>
  <c r="G173" i="1"/>
  <c r="G174" i="1"/>
  <c r="G175" i="1"/>
  <c r="G176" i="1"/>
  <c r="G177" i="1"/>
  <c r="G178" i="1"/>
  <c r="G179" i="1"/>
  <c r="G180" i="1"/>
  <c r="G181" i="1"/>
  <c r="G182" i="1"/>
  <c r="G170" i="1"/>
  <c r="G184" i="1"/>
  <c r="G185" i="1"/>
  <c r="G186" i="1"/>
  <c r="G493" i="1"/>
  <c r="G188" i="1"/>
  <c r="G496" i="1"/>
  <c r="G190" i="1"/>
  <c r="G191" i="1"/>
  <c r="G192" i="1"/>
  <c r="G193" i="1"/>
  <c r="G194" i="1"/>
  <c r="G195" i="1"/>
  <c r="G196" i="1"/>
  <c r="G197" i="1"/>
  <c r="G198" i="1"/>
  <c r="G1331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32" i="1"/>
  <c r="G217" i="1"/>
  <c r="G684" i="1"/>
  <c r="G574" i="1"/>
  <c r="G413" i="1"/>
  <c r="G221" i="1"/>
  <c r="G779" i="1"/>
  <c r="G223" i="1"/>
  <c r="G224" i="1"/>
  <c r="G225" i="1"/>
  <c r="G226" i="1"/>
  <c r="G227" i="1"/>
  <c r="G228" i="1"/>
  <c r="G229" i="1"/>
  <c r="G230" i="1"/>
  <c r="G231" i="1"/>
  <c r="G222" i="1"/>
  <c r="G233" i="1"/>
  <c r="G234" i="1"/>
  <c r="G235" i="1"/>
  <c r="G236" i="1"/>
  <c r="G237" i="1"/>
  <c r="G238" i="1"/>
  <c r="G239" i="1"/>
  <c r="G240" i="1"/>
  <c r="G507" i="1"/>
  <c r="G546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381" i="1"/>
  <c r="G325" i="1"/>
  <c r="G261" i="1"/>
  <c r="G262" i="1"/>
  <c r="G263" i="1"/>
  <c r="G264" i="1"/>
  <c r="G265" i="1"/>
  <c r="G266" i="1"/>
  <c r="G267" i="1"/>
  <c r="G408" i="1"/>
  <c r="G165" i="1"/>
  <c r="G551" i="1"/>
  <c r="G271" i="1"/>
  <c r="G272" i="1"/>
  <c r="G273" i="1"/>
  <c r="G274" i="1"/>
  <c r="G275" i="1"/>
  <c r="G276" i="1"/>
  <c r="G106" i="1"/>
  <c r="G278" i="1"/>
  <c r="G279" i="1"/>
  <c r="G280" i="1"/>
  <c r="G1185" i="1"/>
  <c r="G282" i="1"/>
  <c r="G283" i="1"/>
  <c r="G284" i="1"/>
  <c r="G285" i="1"/>
  <c r="G286" i="1"/>
  <c r="G287" i="1"/>
  <c r="G288" i="1"/>
  <c r="G289" i="1"/>
  <c r="G821" i="1"/>
  <c r="G291" i="1"/>
  <c r="G292" i="1"/>
  <c r="G293" i="1"/>
  <c r="G294" i="1"/>
  <c r="G295" i="1"/>
  <c r="G296" i="1"/>
  <c r="G138" i="1"/>
  <c r="G368" i="1"/>
  <c r="G299" i="1"/>
  <c r="G300" i="1"/>
  <c r="G301" i="1"/>
  <c r="G302" i="1"/>
  <c r="G688" i="1"/>
  <c r="G304" i="1"/>
  <c r="G1597" i="1"/>
  <c r="G942" i="1"/>
  <c r="G674" i="1"/>
  <c r="G308" i="1"/>
  <c r="G309" i="1"/>
  <c r="G310" i="1"/>
  <c r="G1598" i="1"/>
  <c r="G312" i="1"/>
  <c r="G313" i="1"/>
  <c r="G314" i="1"/>
  <c r="G315" i="1"/>
  <c r="G316" i="1"/>
  <c r="G317" i="1"/>
  <c r="G318" i="1"/>
  <c r="G319" i="1"/>
  <c r="G297" i="1"/>
  <c r="G321" i="1"/>
  <c r="G322" i="1"/>
  <c r="G323" i="1"/>
  <c r="G324" i="1"/>
  <c r="G12" i="1"/>
  <c r="G787" i="1"/>
  <c r="G327" i="1"/>
  <c r="G328" i="1"/>
  <c r="G329" i="1"/>
  <c r="G330" i="1"/>
  <c r="G331" i="1"/>
  <c r="G332" i="1"/>
  <c r="G333" i="1"/>
  <c r="G259" i="1"/>
  <c r="G95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764" i="1"/>
  <c r="G349" i="1"/>
  <c r="G350" i="1"/>
  <c r="G351" i="1"/>
  <c r="G156" i="1"/>
  <c r="G353" i="1"/>
  <c r="G354" i="1"/>
  <c r="G355" i="1"/>
  <c r="G356" i="1"/>
  <c r="G357" i="1"/>
  <c r="G358" i="1"/>
  <c r="G359" i="1"/>
  <c r="G360" i="1"/>
  <c r="G361" i="1"/>
  <c r="G362" i="1"/>
  <c r="G575" i="1"/>
  <c r="G364" i="1"/>
  <c r="G365" i="1"/>
  <c r="G696" i="1"/>
  <c r="G367" i="1"/>
  <c r="G851" i="1"/>
  <c r="G369" i="1"/>
  <c r="G370" i="1"/>
  <c r="G371" i="1"/>
  <c r="G372" i="1"/>
  <c r="G373" i="1"/>
  <c r="G374" i="1"/>
  <c r="G375" i="1"/>
  <c r="G376" i="1"/>
  <c r="G377" i="1"/>
  <c r="G378" i="1"/>
  <c r="G508" i="1"/>
  <c r="G260" i="1"/>
  <c r="G137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187" i="1"/>
  <c r="G409" i="1"/>
  <c r="G298" i="1"/>
  <c r="G1275" i="1"/>
  <c r="G412" i="1"/>
  <c r="G577" i="1"/>
  <c r="G414" i="1"/>
  <c r="G415" i="1"/>
  <c r="G416" i="1"/>
  <c r="G417" i="1"/>
  <c r="G962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110" i="1"/>
  <c r="G454" i="1"/>
  <c r="G455" i="1"/>
  <c r="G456" i="1"/>
  <c r="G457" i="1"/>
  <c r="G458" i="1"/>
  <c r="G459" i="1"/>
  <c r="G460" i="1"/>
  <c r="G698" i="1"/>
  <c r="G462" i="1"/>
  <c r="G1498" i="1"/>
  <c r="G464" i="1"/>
  <c r="G465" i="1"/>
  <c r="G1892" i="1"/>
  <c r="G1989" i="1"/>
  <c r="G468" i="1"/>
  <c r="G967" i="1"/>
  <c r="G470" i="1"/>
  <c r="G976" i="1"/>
  <c r="G1140" i="1"/>
  <c r="G473" i="1"/>
  <c r="G701" i="1"/>
  <c r="G475" i="1"/>
  <c r="G476" i="1"/>
  <c r="G477" i="1"/>
  <c r="G478" i="1"/>
  <c r="G479" i="1"/>
  <c r="G480" i="1"/>
  <c r="G481" i="1"/>
  <c r="G482" i="1"/>
  <c r="G1490" i="1"/>
  <c r="G2161" i="1"/>
  <c r="G485" i="1"/>
  <c r="G486" i="1"/>
  <c r="G487" i="1"/>
  <c r="G1146" i="1"/>
  <c r="G489" i="1"/>
  <c r="G490" i="1"/>
  <c r="G491" i="1"/>
  <c r="G492" i="1"/>
  <c r="G977" i="1"/>
  <c r="G494" i="1"/>
  <c r="G495" i="1"/>
  <c r="G411" i="1"/>
  <c r="G497" i="1"/>
  <c r="G498" i="1"/>
  <c r="G499" i="1"/>
  <c r="G500" i="1"/>
  <c r="G501" i="1"/>
  <c r="G502" i="1"/>
  <c r="G503" i="1"/>
  <c r="G504" i="1"/>
  <c r="G505" i="1"/>
  <c r="G2275" i="1"/>
  <c r="G2292" i="1"/>
  <c r="G2327" i="1"/>
  <c r="G268" i="1"/>
  <c r="G510" i="1"/>
  <c r="G511" i="1"/>
  <c r="G512" i="1"/>
  <c r="G513" i="1"/>
  <c r="G514" i="1"/>
  <c r="G515" i="1"/>
  <c r="G516" i="1"/>
  <c r="G517" i="1"/>
  <c r="G1900" i="1"/>
  <c r="G519" i="1"/>
  <c r="G334" i="1"/>
  <c r="G521" i="1"/>
  <c r="G1278" i="1"/>
  <c r="G523" i="1"/>
  <c r="G524" i="1"/>
  <c r="G2356" i="1"/>
  <c r="G2109" i="1"/>
  <c r="G2355" i="1"/>
  <c r="G2222" i="1"/>
  <c r="G2224" i="1"/>
  <c r="G2250" i="1"/>
  <c r="G2257" i="1"/>
  <c r="G2318" i="1"/>
  <c r="G2276" i="1"/>
  <c r="G2295" i="1"/>
  <c r="G2120" i="1"/>
  <c r="G2162" i="1"/>
  <c r="G2099" i="1"/>
  <c r="G1959" i="1"/>
  <c r="G1601" i="1"/>
  <c r="G540" i="1"/>
  <c r="G2308" i="1"/>
  <c r="G2357" i="1"/>
  <c r="G2342" i="1"/>
  <c r="G2260" i="1"/>
  <c r="G545" i="1"/>
  <c r="G2163" i="1"/>
  <c r="G2264" i="1"/>
  <c r="G548" i="1"/>
  <c r="G2100" i="1"/>
  <c r="G1848" i="1"/>
  <c r="G2103" i="1"/>
  <c r="G2173" i="1"/>
  <c r="G553" i="1"/>
  <c r="G554" i="1"/>
  <c r="G555" i="1"/>
  <c r="G1409" i="1"/>
  <c r="G557" i="1"/>
  <c r="G558" i="1"/>
  <c r="G559" i="1"/>
  <c r="G790" i="1"/>
  <c r="G561" i="1"/>
  <c r="G562" i="1"/>
  <c r="G563" i="1"/>
  <c r="G564" i="1"/>
  <c r="G565" i="1"/>
  <c r="G566" i="1"/>
  <c r="G567" i="1"/>
  <c r="G568" i="1"/>
  <c r="G532" i="1"/>
  <c r="G570" i="1"/>
  <c r="G571" i="1"/>
  <c r="G572" i="1"/>
  <c r="G573" i="1"/>
  <c r="G708" i="1"/>
  <c r="G709" i="1"/>
  <c r="G576" i="1"/>
  <c r="G2000" i="1"/>
  <c r="G578" i="1"/>
  <c r="G579" i="1"/>
  <c r="G533" i="1"/>
  <c r="G581" i="1"/>
  <c r="G1279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1376" i="1"/>
  <c r="G597" i="1"/>
  <c r="G986" i="1"/>
  <c r="G599" i="1"/>
  <c r="G600" i="1"/>
  <c r="G601" i="1"/>
  <c r="G602" i="1"/>
  <c r="G603" i="1"/>
  <c r="G604" i="1"/>
  <c r="G719" i="1"/>
  <c r="G606" i="1"/>
  <c r="G607" i="1"/>
  <c r="G608" i="1"/>
  <c r="G609" i="1"/>
  <c r="G610" i="1"/>
  <c r="G611" i="1"/>
  <c r="G612" i="1"/>
  <c r="G613" i="1"/>
  <c r="G614" i="1"/>
  <c r="G615" i="1"/>
  <c r="G1127" i="1"/>
  <c r="G617" i="1"/>
  <c r="G618" i="1"/>
  <c r="G619" i="1"/>
  <c r="G620" i="1"/>
  <c r="G621" i="1"/>
  <c r="G622" i="1"/>
  <c r="G623" i="1"/>
  <c r="G624" i="1"/>
  <c r="G418" i="1"/>
  <c r="G626" i="1"/>
  <c r="G627" i="1"/>
  <c r="G628" i="1"/>
  <c r="G629" i="1"/>
  <c r="G630" i="1"/>
  <c r="G631" i="1"/>
  <c r="G632" i="1"/>
  <c r="G1381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1974" i="1"/>
  <c r="G649" i="1"/>
  <c r="G1228" i="1"/>
  <c r="G651" i="1"/>
  <c r="G652" i="1"/>
  <c r="G653" i="1"/>
  <c r="G654" i="1"/>
  <c r="G995" i="1"/>
  <c r="G1286" i="1"/>
  <c r="G657" i="1"/>
  <c r="G2186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1152" i="1"/>
  <c r="G1001" i="1"/>
  <c r="G2278" i="1"/>
  <c r="G2311" i="1"/>
  <c r="G2316" i="1"/>
  <c r="G679" i="1"/>
  <c r="G680" i="1"/>
  <c r="G681" i="1"/>
  <c r="G682" i="1"/>
  <c r="G683" i="1"/>
  <c r="G2069" i="1"/>
  <c r="G685" i="1"/>
  <c r="G686" i="1"/>
  <c r="G687" i="1"/>
  <c r="G1851" i="1"/>
  <c r="G689" i="1"/>
  <c r="G690" i="1"/>
  <c r="G691" i="1"/>
  <c r="G692" i="1"/>
  <c r="G693" i="1"/>
  <c r="G694" i="1"/>
  <c r="G695" i="1"/>
  <c r="G1153" i="1"/>
  <c r="G697" i="1"/>
  <c r="G1154" i="1"/>
  <c r="G699" i="1"/>
  <c r="G700" i="1"/>
  <c r="G1936" i="1"/>
  <c r="G702" i="1"/>
  <c r="G703" i="1"/>
  <c r="G704" i="1"/>
  <c r="G705" i="1"/>
  <c r="G706" i="1"/>
  <c r="G707" i="1"/>
  <c r="G797" i="1"/>
  <c r="G1155" i="1"/>
  <c r="G710" i="1"/>
  <c r="G711" i="1"/>
  <c r="G712" i="1"/>
  <c r="G713" i="1"/>
  <c r="G714" i="1"/>
  <c r="G715" i="1"/>
  <c r="G716" i="1"/>
  <c r="G717" i="1"/>
  <c r="G718" i="1"/>
  <c r="G2174" i="1"/>
  <c r="G720" i="1"/>
  <c r="G721" i="1"/>
  <c r="G722" i="1"/>
  <c r="G723" i="1"/>
  <c r="G724" i="1"/>
  <c r="G725" i="1"/>
  <c r="G726" i="1"/>
  <c r="G727" i="1"/>
  <c r="G769" i="1"/>
  <c r="G728" i="1"/>
  <c r="G1791" i="1"/>
  <c r="G731" i="1"/>
  <c r="G1393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1947" i="1"/>
  <c r="G746" i="1"/>
  <c r="G747" i="1"/>
  <c r="G748" i="1"/>
  <c r="G1950" i="1"/>
  <c r="G1864" i="1"/>
  <c r="G751" i="1"/>
  <c r="G1007" i="1"/>
  <c r="G753" i="1"/>
  <c r="G1157" i="1"/>
  <c r="G755" i="1"/>
  <c r="G756" i="1"/>
  <c r="G757" i="1"/>
  <c r="G758" i="1"/>
  <c r="G759" i="1"/>
  <c r="G509" i="1"/>
  <c r="G761" i="1"/>
  <c r="G762" i="1"/>
  <c r="G763" i="1"/>
  <c r="G122" i="1"/>
  <c r="G765" i="1"/>
  <c r="G766" i="1"/>
  <c r="G767" i="1"/>
  <c r="G768" i="1"/>
  <c r="G269" i="1"/>
  <c r="G770" i="1"/>
  <c r="G1298" i="1"/>
  <c r="G772" i="1"/>
  <c r="G773" i="1"/>
  <c r="G774" i="1"/>
  <c r="G775" i="1"/>
  <c r="G776" i="1"/>
  <c r="G777" i="1"/>
  <c r="G124" i="1"/>
  <c r="G11" i="1"/>
  <c r="G270" i="1"/>
  <c r="G781" i="1"/>
  <c r="G782" i="1"/>
  <c r="G783" i="1"/>
  <c r="G729" i="1"/>
  <c r="G785" i="1"/>
  <c r="G1012" i="1"/>
  <c r="G335" i="1"/>
  <c r="G788" i="1"/>
  <c r="G789" i="1"/>
  <c r="G1174" i="1"/>
  <c r="G791" i="1"/>
  <c r="G792" i="1"/>
  <c r="G793" i="1"/>
  <c r="G794" i="1"/>
  <c r="G795" i="1"/>
  <c r="G796" i="1"/>
  <c r="G1983" i="1"/>
  <c r="G2125" i="1"/>
  <c r="G799" i="1"/>
  <c r="G800" i="1"/>
  <c r="G801" i="1"/>
  <c r="G802" i="1"/>
  <c r="G45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1394" i="1"/>
  <c r="G818" i="1"/>
  <c r="G819" i="1"/>
  <c r="G1500" i="1"/>
  <c r="G1507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189" i="1"/>
  <c r="G850" i="1"/>
  <c r="G199" i="1"/>
  <c r="G852" i="1"/>
  <c r="G853" i="1"/>
  <c r="G518" i="1"/>
  <c r="G855" i="1"/>
  <c r="G856" i="1"/>
  <c r="G857" i="1"/>
  <c r="G858" i="1"/>
  <c r="G859" i="1"/>
  <c r="G860" i="1"/>
  <c r="G1799" i="1"/>
  <c r="G862" i="1"/>
  <c r="G863" i="1"/>
  <c r="G864" i="1"/>
  <c r="G865" i="1"/>
  <c r="G866" i="1"/>
  <c r="G867" i="1"/>
  <c r="G868" i="1"/>
  <c r="G730" i="1"/>
  <c r="G870" i="1"/>
  <c r="G871" i="1"/>
  <c r="G872" i="1"/>
  <c r="G873" i="1"/>
  <c r="G874" i="1"/>
  <c r="G1603" i="1"/>
  <c r="G2226" i="1"/>
  <c r="G877" i="1"/>
  <c r="G878" i="1"/>
  <c r="G879" i="1"/>
  <c r="G880" i="1"/>
  <c r="G881" i="1"/>
  <c r="G882" i="1"/>
  <c r="G883" i="1"/>
  <c r="G127" i="1"/>
  <c r="G885" i="1"/>
  <c r="G886" i="1"/>
  <c r="G887" i="1"/>
  <c r="G888" i="1"/>
  <c r="G889" i="1"/>
  <c r="G890" i="1"/>
  <c r="G891" i="1"/>
  <c r="G892" i="1"/>
  <c r="G893" i="1"/>
  <c r="G894" i="1"/>
  <c r="G895" i="1"/>
  <c r="G1300" i="1"/>
  <c r="G897" i="1"/>
  <c r="G898" i="1"/>
  <c r="G899" i="1"/>
  <c r="G900" i="1"/>
  <c r="G901" i="1"/>
  <c r="G1605" i="1"/>
  <c r="G2005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2010" i="1"/>
  <c r="G935" i="1"/>
  <c r="G936" i="1"/>
  <c r="G937" i="1"/>
  <c r="G938" i="1"/>
  <c r="G939" i="1"/>
  <c r="G940" i="1"/>
  <c r="G941" i="1"/>
  <c r="G1513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2079" i="1"/>
  <c r="G956" i="1"/>
  <c r="G957" i="1"/>
  <c r="G958" i="1"/>
  <c r="G959" i="1"/>
  <c r="G960" i="1"/>
  <c r="G961" i="1"/>
  <c r="G520" i="1"/>
  <c r="G963" i="1"/>
  <c r="G964" i="1"/>
  <c r="G965" i="1"/>
  <c r="G966" i="1"/>
  <c r="G580" i="1"/>
  <c r="G968" i="1"/>
  <c r="G969" i="1"/>
  <c r="G970" i="1"/>
  <c r="G971" i="1"/>
  <c r="G972" i="1"/>
  <c r="G973" i="1"/>
  <c r="G974" i="1"/>
  <c r="G975" i="1"/>
  <c r="G1178" i="1"/>
  <c r="G461" i="1"/>
  <c r="G978" i="1"/>
  <c r="G979" i="1"/>
  <c r="G980" i="1"/>
  <c r="G981" i="1"/>
  <c r="G982" i="1"/>
  <c r="G983" i="1"/>
  <c r="G984" i="1"/>
  <c r="G985" i="1"/>
  <c r="G2018" i="1"/>
  <c r="G987" i="1"/>
  <c r="G988" i="1"/>
  <c r="G989" i="1"/>
  <c r="G990" i="1"/>
  <c r="G991" i="1"/>
  <c r="G992" i="1"/>
  <c r="G993" i="1"/>
  <c r="G994" i="1"/>
  <c r="G1015" i="1"/>
  <c r="G996" i="1"/>
  <c r="G997" i="1"/>
  <c r="G998" i="1"/>
  <c r="G999" i="1"/>
  <c r="G1000" i="1"/>
  <c r="G522" i="1"/>
  <c r="G1002" i="1"/>
  <c r="G1003" i="1"/>
  <c r="G1004" i="1"/>
  <c r="G1005" i="1"/>
  <c r="G1006" i="1"/>
  <c r="G1019" i="1"/>
  <c r="G1008" i="1"/>
  <c r="G1009" i="1"/>
  <c r="G1010" i="1"/>
  <c r="G1011" i="1"/>
  <c r="G854" i="1"/>
  <c r="G1013" i="1"/>
  <c r="G1014" i="1"/>
  <c r="G582" i="1"/>
  <c r="G1016" i="1"/>
  <c r="G1017" i="1"/>
  <c r="G1018" i="1"/>
  <c r="G732" i="1"/>
  <c r="G1020" i="1"/>
  <c r="G1021" i="1"/>
  <c r="G1022" i="1"/>
  <c r="G1023" i="1"/>
  <c r="G1024" i="1"/>
  <c r="G1025" i="1"/>
  <c r="G1026" i="1"/>
  <c r="G1027" i="1"/>
  <c r="G1028" i="1"/>
  <c r="G1029" i="1"/>
  <c r="G798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30" i="1"/>
  <c r="G1045" i="1"/>
  <c r="G1046" i="1"/>
  <c r="G1047" i="1"/>
  <c r="G1048" i="1"/>
  <c r="G1049" i="1"/>
  <c r="G1050" i="1"/>
  <c r="G1051" i="1"/>
  <c r="G1052" i="1"/>
  <c r="G1053" i="1"/>
  <c r="G1054" i="1"/>
  <c r="G379" i="1"/>
  <c r="G1056" i="1"/>
  <c r="G1057" i="1"/>
  <c r="G1058" i="1"/>
  <c r="G1059" i="1"/>
  <c r="G1060" i="1"/>
  <c r="G1061" i="1"/>
  <c r="G1062" i="1"/>
  <c r="G1063" i="1"/>
  <c r="G1064" i="1"/>
  <c r="G348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44" i="1"/>
  <c r="G1082" i="1"/>
  <c r="G1514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181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312" i="1"/>
  <c r="G2022" i="1"/>
  <c r="G1117" i="1"/>
  <c r="G525" i="1"/>
  <c r="G1321" i="1"/>
  <c r="G1120" i="1"/>
  <c r="G2184" i="1"/>
  <c r="G1122" i="1"/>
  <c r="G1123" i="1"/>
  <c r="G1124" i="1"/>
  <c r="G1125" i="1"/>
  <c r="G1126" i="1"/>
  <c r="G13" i="1"/>
  <c r="G1128" i="1"/>
  <c r="G1129" i="1"/>
  <c r="G1130" i="1"/>
  <c r="G1131" i="1"/>
  <c r="G1132" i="1"/>
  <c r="G745" i="1"/>
  <c r="G1134" i="1"/>
  <c r="G1620" i="1"/>
  <c r="G1136" i="1"/>
  <c r="G1137" i="1"/>
  <c r="G1138" i="1"/>
  <c r="G1520" i="1"/>
  <c r="G2089" i="1"/>
  <c r="G1141" i="1"/>
  <c r="G1142" i="1"/>
  <c r="G1143" i="1"/>
  <c r="G1144" i="1"/>
  <c r="G1145" i="1"/>
  <c r="G1395" i="1"/>
  <c r="G1147" i="1"/>
  <c r="G1148" i="1"/>
  <c r="G1149" i="1"/>
  <c r="G1150" i="1"/>
  <c r="G1151" i="1"/>
  <c r="G534" i="1"/>
  <c r="G528" i="1"/>
  <c r="G529" i="1"/>
  <c r="G531" i="1"/>
  <c r="G1156" i="1"/>
  <c r="G410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328" i="1"/>
  <c r="G1175" i="1"/>
  <c r="G1176" i="1"/>
  <c r="G1177" i="1"/>
  <c r="G326" i="1"/>
  <c r="G1179" i="1"/>
  <c r="G1180" i="1"/>
  <c r="G216" i="1"/>
  <c r="G596" i="1"/>
  <c r="G1183" i="1"/>
  <c r="G1527" i="1"/>
  <c r="G598" i="1"/>
  <c r="G1186" i="1"/>
  <c r="G1187" i="1"/>
  <c r="G1188" i="1"/>
  <c r="G1182" i="1"/>
  <c r="G527" i="1"/>
  <c r="G1191" i="1"/>
  <c r="G218" i="1"/>
  <c r="G1193" i="1"/>
  <c r="G749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303" i="1"/>
  <c r="G1211" i="1"/>
  <c r="G1212" i="1"/>
  <c r="G1213" i="1"/>
  <c r="G1214" i="1"/>
  <c r="G1215" i="1"/>
  <c r="G1216" i="1"/>
  <c r="G1217" i="1"/>
  <c r="G1218" i="1"/>
  <c r="G1955" i="1"/>
  <c r="G1220" i="1"/>
  <c r="G1221" i="1"/>
  <c r="G1222" i="1"/>
  <c r="G1223" i="1"/>
  <c r="G1224" i="1"/>
  <c r="G1225" i="1"/>
  <c r="G1226" i="1"/>
  <c r="G1227" i="1"/>
  <c r="G750" i="1"/>
  <c r="G1229" i="1"/>
  <c r="G1622" i="1"/>
  <c r="G1231" i="1"/>
  <c r="G1232" i="1"/>
  <c r="G1233" i="1"/>
  <c r="G1119" i="1"/>
  <c r="G1235" i="1"/>
  <c r="G1236" i="1"/>
  <c r="G1055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94" i="1"/>
  <c r="G1264" i="1"/>
  <c r="G1265" i="1"/>
  <c r="G1266" i="1"/>
  <c r="G1267" i="1"/>
  <c r="G1268" i="1"/>
  <c r="G1269" i="1"/>
  <c r="G1270" i="1"/>
  <c r="G1271" i="1"/>
  <c r="G1272" i="1"/>
  <c r="G1273" i="1"/>
  <c r="G37" i="1"/>
  <c r="G1065" i="1"/>
  <c r="G1276" i="1"/>
  <c r="G1277" i="1"/>
  <c r="G538" i="1"/>
  <c r="G76" i="1"/>
  <c r="G1280" i="1"/>
  <c r="G1281" i="1"/>
  <c r="G1282" i="1"/>
  <c r="G1283" i="1"/>
  <c r="G1284" i="1"/>
  <c r="G1285" i="1"/>
  <c r="G1919" i="1"/>
  <c r="G1287" i="1"/>
  <c r="G1288" i="1"/>
  <c r="G1289" i="1"/>
  <c r="G1290" i="1"/>
  <c r="G1291" i="1"/>
  <c r="G1292" i="1"/>
  <c r="G1293" i="1"/>
  <c r="G1294" i="1"/>
  <c r="G1295" i="1"/>
  <c r="G1296" i="1"/>
  <c r="G1297" i="1"/>
  <c r="G463" i="1"/>
  <c r="G1299" i="1"/>
  <c r="G605" i="1"/>
  <c r="G1301" i="1"/>
  <c r="G1302" i="1"/>
  <c r="G1303" i="1"/>
  <c r="G1304" i="1"/>
  <c r="G1305" i="1"/>
  <c r="G1306" i="1"/>
  <c r="G1307" i="1"/>
  <c r="G1308" i="1"/>
  <c r="G1309" i="1"/>
  <c r="G1310" i="1"/>
  <c r="G1311" i="1"/>
  <c r="G2028" i="1"/>
  <c r="G1313" i="1"/>
  <c r="G1314" i="1"/>
  <c r="G1315" i="1"/>
  <c r="G1316" i="1"/>
  <c r="G1317" i="1"/>
  <c r="G1318" i="1"/>
  <c r="G1319" i="1"/>
  <c r="G1320" i="1"/>
  <c r="G1626" i="1"/>
  <c r="G1322" i="1"/>
  <c r="G1323" i="1"/>
  <c r="G1324" i="1"/>
  <c r="G1325" i="1"/>
  <c r="G1326" i="1"/>
  <c r="G1327" i="1"/>
  <c r="G1081" i="1"/>
  <c r="G1329" i="1"/>
  <c r="G1330" i="1"/>
  <c r="G2035" i="1"/>
  <c r="G1332" i="1"/>
  <c r="G1333" i="1"/>
  <c r="G1334" i="1"/>
  <c r="G1335" i="1"/>
  <c r="G1336" i="1"/>
  <c r="G1337" i="1"/>
  <c r="G1350" i="1"/>
  <c r="G1339" i="1"/>
  <c r="G1340" i="1"/>
  <c r="G89" i="1"/>
  <c r="G1342" i="1"/>
  <c r="G1343" i="1"/>
  <c r="G2040" i="1"/>
  <c r="G1345" i="1"/>
  <c r="G1346" i="1"/>
  <c r="G1347" i="1"/>
  <c r="G1348" i="1"/>
  <c r="G1349" i="1"/>
  <c r="G219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752" i="1"/>
  <c r="G1367" i="1"/>
  <c r="G1368" i="1"/>
  <c r="G1369" i="1"/>
  <c r="G1370" i="1"/>
  <c r="G803" i="1"/>
  <c r="G1372" i="1"/>
  <c r="G1373" i="1"/>
  <c r="G1374" i="1"/>
  <c r="G1375" i="1"/>
  <c r="G1083" i="1"/>
  <c r="G1377" i="1"/>
  <c r="G1378" i="1"/>
  <c r="G1379" i="1"/>
  <c r="G1380" i="1"/>
  <c r="G1636" i="1"/>
  <c r="G1382" i="1"/>
  <c r="G1383" i="1"/>
  <c r="G1384" i="1"/>
  <c r="G1385" i="1"/>
  <c r="G1386" i="1"/>
  <c r="G1387" i="1"/>
  <c r="G1388" i="1"/>
  <c r="G1389" i="1"/>
  <c r="G1390" i="1"/>
  <c r="G1391" i="1"/>
  <c r="G1392" i="1"/>
  <c r="G817" i="1"/>
  <c r="G1099" i="1"/>
  <c r="G616" i="1"/>
  <c r="G1396" i="1"/>
  <c r="G2287" i="1"/>
  <c r="G861" i="1"/>
  <c r="G1399" i="1"/>
  <c r="G1400" i="1"/>
  <c r="G1401" i="1"/>
  <c r="G539" i="1"/>
  <c r="G1403" i="1"/>
  <c r="G1404" i="1"/>
  <c r="G1405" i="1"/>
  <c r="G1406" i="1"/>
  <c r="G1407" i="1"/>
  <c r="G1408" i="1"/>
  <c r="G625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891" i="1"/>
  <c r="G1425" i="1"/>
  <c r="G1426" i="1"/>
  <c r="G1427" i="1"/>
  <c r="G1428" i="1"/>
  <c r="G1429" i="1"/>
  <c r="G1430" i="1"/>
  <c r="G484" i="1"/>
  <c r="G1432" i="1"/>
  <c r="G1433" i="1"/>
  <c r="G1434" i="1"/>
  <c r="G1435" i="1"/>
  <c r="G1436" i="1"/>
  <c r="G1437" i="1"/>
  <c r="G1438" i="1"/>
  <c r="G1439" i="1"/>
  <c r="G472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542" i="1"/>
  <c r="G1461" i="1"/>
  <c r="G1462" i="1"/>
  <c r="G1463" i="1"/>
  <c r="G1464" i="1"/>
  <c r="G1465" i="1"/>
  <c r="G1466" i="1"/>
  <c r="G1467" i="1"/>
  <c r="G1702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536" i="1"/>
  <c r="G1483" i="1"/>
  <c r="G1484" i="1"/>
  <c r="G1485" i="1"/>
  <c r="G1486" i="1"/>
  <c r="G1487" i="1"/>
  <c r="G1488" i="1"/>
  <c r="G1489" i="1"/>
  <c r="G1184" i="1"/>
  <c r="G1491" i="1"/>
  <c r="G1492" i="1"/>
  <c r="G1493" i="1"/>
  <c r="G1494" i="1"/>
  <c r="G1495" i="1"/>
  <c r="G1496" i="1"/>
  <c r="G1497" i="1"/>
  <c r="G547" i="1"/>
  <c r="G1499" i="1"/>
  <c r="G556" i="1"/>
  <c r="G1501" i="1"/>
  <c r="G1502" i="1"/>
  <c r="G1503" i="1"/>
  <c r="G1504" i="1"/>
  <c r="G1505" i="1"/>
  <c r="G1506" i="1"/>
  <c r="G1190" i="1"/>
  <c r="G1508" i="1"/>
  <c r="G1509" i="1"/>
  <c r="G1510" i="1"/>
  <c r="G1511" i="1"/>
  <c r="G1512" i="1"/>
  <c r="G1338" i="1"/>
  <c r="G1583" i="1"/>
  <c r="G1515" i="1"/>
  <c r="G1516" i="1"/>
  <c r="G1517" i="1"/>
  <c r="G1518" i="1"/>
  <c r="G1519" i="1"/>
  <c r="G2052" i="1"/>
  <c r="G1521" i="1"/>
  <c r="G1522" i="1"/>
  <c r="G1523" i="1"/>
  <c r="G1524" i="1"/>
  <c r="G1525" i="1"/>
  <c r="G1526" i="1"/>
  <c r="G1670" i="1"/>
  <c r="G1528" i="1"/>
  <c r="G1529" i="1"/>
  <c r="G1530" i="1"/>
  <c r="G1531" i="1"/>
  <c r="G1532" i="1"/>
  <c r="G1533" i="1"/>
  <c r="G1534" i="1"/>
  <c r="G1535" i="1"/>
  <c r="G1536" i="1"/>
  <c r="G1537" i="1"/>
  <c r="G1538" i="1"/>
  <c r="G650" i="1"/>
  <c r="G1540" i="1"/>
  <c r="G1541" i="1"/>
  <c r="G1973" i="1"/>
  <c r="G1745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2200" i="1"/>
  <c r="G1565" i="1"/>
  <c r="G1566" i="1"/>
  <c r="G1440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708" i="1"/>
  <c r="G1584" i="1"/>
  <c r="G1585" i="1"/>
  <c r="G1586" i="1"/>
  <c r="G1402" i="1"/>
  <c r="G1588" i="1"/>
  <c r="G1589" i="1"/>
  <c r="G1590" i="1"/>
  <c r="G1591" i="1"/>
  <c r="G1592" i="1"/>
  <c r="G1593" i="1"/>
  <c r="G1133" i="1"/>
  <c r="G530" i="1"/>
  <c r="G1596" i="1"/>
  <c r="G1482" i="1"/>
  <c r="G1135" i="1"/>
  <c r="G1599" i="1"/>
  <c r="G1600" i="1"/>
  <c r="G1121" i="1"/>
  <c r="G1602" i="1"/>
  <c r="G1539" i="1"/>
  <c r="G1604" i="1"/>
  <c r="G2238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839" i="1"/>
  <c r="G1621" i="1"/>
  <c r="G1659" i="1"/>
  <c r="G1623" i="1"/>
  <c r="G1624" i="1"/>
  <c r="G1625" i="1"/>
  <c r="G1911" i="1"/>
  <c r="G1627" i="1"/>
  <c r="G1628" i="1"/>
  <c r="G1629" i="1"/>
  <c r="G1630" i="1"/>
  <c r="G1631" i="1"/>
  <c r="G1632" i="1"/>
  <c r="G1633" i="1"/>
  <c r="G1634" i="1"/>
  <c r="G1635" i="1"/>
  <c r="G87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711" i="1"/>
  <c r="G1660" i="1"/>
  <c r="G1661" i="1"/>
  <c r="G1662" i="1"/>
  <c r="G1663" i="1"/>
  <c r="G1664" i="1"/>
  <c r="G1713" i="1"/>
  <c r="G1666" i="1"/>
  <c r="G1667" i="1"/>
  <c r="G1668" i="1"/>
  <c r="G1669" i="1"/>
  <c r="G1263" i="1"/>
  <c r="G1671" i="1"/>
  <c r="G1672" i="1"/>
  <c r="G1673" i="1"/>
  <c r="G1674" i="1"/>
  <c r="G1675" i="1"/>
  <c r="G1676" i="1"/>
  <c r="G1677" i="1"/>
  <c r="G1678" i="1"/>
  <c r="G1679" i="1"/>
  <c r="G1274" i="1"/>
  <c r="G1681" i="1"/>
  <c r="G1682" i="1"/>
  <c r="G1683" i="1"/>
  <c r="G1684" i="1"/>
  <c r="G1685" i="1"/>
  <c r="G1686" i="1"/>
  <c r="G1543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192" i="1"/>
  <c r="G1703" i="1"/>
  <c r="G1704" i="1"/>
  <c r="G1705" i="1"/>
  <c r="G1706" i="1"/>
  <c r="G1707" i="1"/>
  <c r="G560" i="1"/>
  <c r="G1709" i="1"/>
  <c r="G1710" i="1"/>
  <c r="G2107" i="1"/>
  <c r="G1712" i="1"/>
  <c r="G242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658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807" i="1"/>
  <c r="G1746" i="1"/>
  <c r="G1341" i="1"/>
  <c r="G1748" i="1"/>
  <c r="G1749" i="1"/>
  <c r="G1750" i="1"/>
  <c r="G1366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680" i="1"/>
  <c r="G1770" i="1"/>
  <c r="G1771" i="1"/>
  <c r="G1772" i="1"/>
  <c r="G1773" i="1"/>
  <c r="G1774" i="1"/>
  <c r="G1775" i="1"/>
  <c r="G1776" i="1"/>
  <c r="G1777" i="1"/>
  <c r="G1778" i="1"/>
  <c r="G1779" i="1"/>
  <c r="G1780" i="1"/>
  <c r="G2239" i="1"/>
  <c r="G1782" i="1"/>
  <c r="G1783" i="1"/>
  <c r="G1784" i="1"/>
  <c r="G1785" i="1"/>
  <c r="G1786" i="1"/>
  <c r="G1787" i="1"/>
  <c r="G1788" i="1"/>
  <c r="G1789" i="1"/>
  <c r="G1790" i="1"/>
  <c r="G1431" i="1"/>
  <c r="G1792" i="1"/>
  <c r="G1793" i="1"/>
  <c r="G1794" i="1"/>
  <c r="G1795" i="1"/>
  <c r="G1796" i="1"/>
  <c r="G1797" i="1"/>
  <c r="G1798" i="1"/>
  <c r="G549" i="1"/>
  <c r="G1800" i="1"/>
  <c r="G1801" i="1"/>
  <c r="G1802" i="1"/>
  <c r="G1803" i="1"/>
  <c r="G1804" i="1"/>
  <c r="G1805" i="1"/>
  <c r="G1806" i="1"/>
  <c r="G550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903" i="1"/>
  <c r="G1826" i="1"/>
  <c r="G1827" i="1"/>
  <c r="G1828" i="1"/>
  <c r="G1829" i="1"/>
  <c r="G1830" i="1"/>
  <c r="G1875" i="1"/>
  <c r="G1832" i="1"/>
  <c r="G1833" i="1"/>
  <c r="G1834" i="1"/>
  <c r="G1835" i="1"/>
  <c r="G1836" i="1"/>
  <c r="G1837" i="1"/>
  <c r="G1838" i="1"/>
  <c r="G677" i="1"/>
  <c r="G1840" i="1"/>
  <c r="G1841" i="1"/>
  <c r="G1842" i="1"/>
  <c r="G1843" i="1"/>
  <c r="G1844" i="1"/>
  <c r="G1845" i="1"/>
  <c r="G1846" i="1"/>
  <c r="G1847" i="1"/>
  <c r="G760" i="1"/>
  <c r="G1849" i="1"/>
  <c r="G1850" i="1"/>
  <c r="G2145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194" i="1"/>
  <c r="G1865" i="1"/>
  <c r="G1866" i="1"/>
  <c r="G1867" i="1"/>
  <c r="G1868" i="1"/>
  <c r="G1869" i="1"/>
  <c r="G1870" i="1"/>
  <c r="G1871" i="1"/>
  <c r="G1872" i="1"/>
  <c r="G1873" i="1"/>
  <c r="G1874" i="1"/>
  <c r="G1460" i="1"/>
  <c r="G1876" i="1"/>
  <c r="G1877" i="1"/>
  <c r="G1747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902" i="1"/>
  <c r="G655" i="1"/>
  <c r="G1893" i="1"/>
  <c r="G1894" i="1"/>
  <c r="G1895" i="1"/>
  <c r="G1896" i="1"/>
  <c r="G1897" i="1"/>
  <c r="G1898" i="1"/>
  <c r="G1899" i="1"/>
  <c r="G543" i="1"/>
  <c r="G1901" i="1"/>
  <c r="G1902" i="1"/>
  <c r="G1903" i="1"/>
  <c r="G1904" i="1"/>
  <c r="G1905" i="1"/>
  <c r="G1906" i="1"/>
  <c r="G1907" i="1"/>
  <c r="G1908" i="1"/>
  <c r="G1909" i="1"/>
  <c r="G1910" i="1"/>
  <c r="G1878" i="1"/>
  <c r="G1912" i="1"/>
  <c r="G1913" i="1"/>
  <c r="G1914" i="1"/>
  <c r="G1915" i="1"/>
  <c r="G1916" i="1"/>
  <c r="G1917" i="1"/>
  <c r="G1918" i="1"/>
  <c r="G675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687" i="1"/>
  <c r="G1935" i="1"/>
  <c r="G544" i="1"/>
  <c r="G1937" i="1"/>
  <c r="G1938" i="1"/>
  <c r="G1939" i="1"/>
  <c r="G1940" i="1"/>
  <c r="G1941" i="1"/>
  <c r="G1942" i="1"/>
  <c r="G1943" i="1"/>
  <c r="G1944" i="1"/>
  <c r="G1945" i="1"/>
  <c r="G1946" i="1"/>
  <c r="G1189" i="1"/>
  <c r="G1948" i="1"/>
  <c r="G1949" i="1"/>
  <c r="G1825" i="1"/>
  <c r="G1951" i="1"/>
  <c r="G1952" i="1"/>
  <c r="G1953" i="1"/>
  <c r="G1954" i="1"/>
  <c r="G771" i="1"/>
  <c r="G1956" i="1"/>
  <c r="G1957" i="1"/>
  <c r="G1958" i="1"/>
  <c r="G884" i="1"/>
  <c r="G1960" i="1"/>
  <c r="G1961" i="1"/>
  <c r="G2151" i="1"/>
  <c r="G1963" i="1"/>
  <c r="G1964" i="1"/>
  <c r="G1965" i="1"/>
  <c r="G1966" i="1"/>
  <c r="G1967" i="1"/>
  <c r="G1968" i="1"/>
  <c r="G1969" i="1"/>
  <c r="G1970" i="1"/>
  <c r="G1971" i="1"/>
  <c r="G1972" i="1"/>
  <c r="G569" i="1"/>
  <c r="G469" i="1"/>
  <c r="G1975" i="1"/>
  <c r="G1976" i="1"/>
  <c r="G1977" i="1"/>
  <c r="G1978" i="1"/>
  <c r="G1979" i="1"/>
  <c r="G1980" i="1"/>
  <c r="G1981" i="1"/>
  <c r="G552" i="1"/>
  <c r="G541" i="1"/>
  <c r="G1984" i="1"/>
  <c r="G1985" i="1"/>
  <c r="G1986" i="1"/>
  <c r="G1987" i="1"/>
  <c r="G1988" i="1"/>
  <c r="G1344" i="1"/>
  <c r="G1990" i="1"/>
  <c r="G1991" i="1"/>
  <c r="G1992" i="1"/>
  <c r="G1993" i="1"/>
  <c r="G1994" i="1"/>
  <c r="G1995" i="1"/>
  <c r="G1996" i="1"/>
  <c r="G1997" i="1"/>
  <c r="G1998" i="1"/>
  <c r="G1999" i="1"/>
  <c r="G780" i="1"/>
  <c r="G2001" i="1"/>
  <c r="G2002" i="1"/>
  <c r="G2003" i="1"/>
  <c r="G2004" i="1"/>
  <c r="G656" i="1"/>
  <c r="G2006" i="1"/>
  <c r="G2007" i="1"/>
  <c r="G2008" i="1"/>
  <c r="G2009" i="1"/>
  <c r="G2190" i="1"/>
  <c r="G2011" i="1"/>
  <c r="G2012" i="1"/>
  <c r="G2013" i="1"/>
  <c r="G2014" i="1"/>
  <c r="G2015" i="1"/>
  <c r="G2016" i="1"/>
  <c r="G2017" i="1"/>
  <c r="G1139" i="1"/>
  <c r="G2019" i="1"/>
  <c r="G2020" i="1"/>
  <c r="G2021" i="1"/>
  <c r="G1595" i="1"/>
  <c r="G2023" i="1"/>
  <c r="G2024" i="1"/>
  <c r="G2025" i="1"/>
  <c r="G2026" i="1"/>
  <c r="G2027" i="1"/>
  <c r="G1468" i="1"/>
  <c r="G2029" i="1"/>
  <c r="G2030" i="1"/>
  <c r="G2031" i="1"/>
  <c r="G2032" i="1"/>
  <c r="G2033" i="1"/>
  <c r="G2034" i="1"/>
  <c r="G1210" i="1"/>
  <c r="G2036" i="1"/>
  <c r="G2037" i="1"/>
  <c r="G2038" i="1"/>
  <c r="G2039" i="1"/>
  <c r="G1730" i="1"/>
  <c r="G2041" i="1"/>
  <c r="G2042" i="1"/>
  <c r="G2043" i="1"/>
  <c r="G2044" i="1"/>
  <c r="G2045" i="1"/>
  <c r="G2046" i="1"/>
  <c r="G875" i="1"/>
  <c r="G676" i="1"/>
  <c r="G2049" i="1"/>
  <c r="G2050" i="1"/>
  <c r="G2051" i="1"/>
  <c r="G1115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784" i="1"/>
  <c r="G2070" i="1"/>
  <c r="G2071" i="1"/>
  <c r="G2072" i="1"/>
  <c r="G2073" i="1"/>
  <c r="G2074" i="1"/>
  <c r="G2075" i="1"/>
  <c r="G2076" i="1"/>
  <c r="G2077" i="1"/>
  <c r="G2078" i="1"/>
  <c r="G786" i="1"/>
  <c r="G2080" i="1"/>
  <c r="G2081" i="1"/>
  <c r="G2082" i="1"/>
  <c r="G2083" i="1"/>
  <c r="G2084" i="1"/>
  <c r="G2085" i="1"/>
  <c r="G2086" i="1"/>
  <c r="G2087" i="1"/>
  <c r="G2088" i="1"/>
  <c r="G1934" i="1"/>
  <c r="G2090" i="1"/>
  <c r="G2091" i="1"/>
  <c r="G2092" i="1"/>
  <c r="G2093" i="1"/>
  <c r="G2094" i="1"/>
  <c r="G2095" i="1"/>
  <c r="G2096" i="1"/>
  <c r="G1397" i="1"/>
  <c r="G2098" i="1"/>
  <c r="G1234" i="1"/>
  <c r="G1237" i="1"/>
  <c r="G2101" i="1"/>
  <c r="G2102" i="1"/>
  <c r="G869" i="1"/>
  <c r="G2104" i="1"/>
  <c r="G2105" i="1"/>
  <c r="G2106" i="1"/>
  <c r="G1831" i="1"/>
  <c r="G2108" i="1"/>
  <c r="G1564" i="1"/>
  <c r="G2110" i="1"/>
  <c r="G2111" i="1"/>
  <c r="G2112" i="1"/>
  <c r="G2113" i="1"/>
  <c r="G2114" i="1"/>
  <c r="G2115" i="1"/>
  <c r="G2116" i="1"/>
  <c r="G2117" i="1"/>
  <c r="G2118" i="1"/>
  <c r="G2119" i="1"/>
  <c r="G1567" i="1"/>
  <c r="G2121" i="1"/>
  <c r="G2122" i="1"/>
  <c r="G2123" i="1"/>
  <c r="G2124" i="1"/>
  <c r="G1781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1398" i="1"/>
  <c r="G2139" i="1"/>
  <c r="G2140" i="1"/>
  <c r="G2141" i="1"/>
  <c r="G2142" i="1"/>
  <c r="G2143" i="1"/>
  <c r="G2144" i="1"/>
  <c r="G896" i="1"/>
  <c r="G2146" i="1"/>
  <c r="G2147" i="1"/>
  <c r="G2148" i="1"/>
  <c r="G2149" i="1"/>
  <c r="G2192" i="1"/>
  <c r="G2138" i="1"/>
  <c r="G2152" i="1"/>
  <c r="G1962" i="1"/>
  <c r="G2154" i="1"/>
  <c r="G2155" i="1"/>
  <c r="G2156" i="1"/>
  <c r="G2157" i="1"/>
  <c r="G2158" i="1"/>
  <c r="G2159" i="1"/>
  <c r="G2160" i="1"/>
  <c r="G1769" i="1"/>
  <c r="G2153" i="1"/>
  <c r="G2097" i="1"/>
  <c r="G2164" i="1"/>
  <c r="G2165" i="1"/>
  <c r="G2166" i="1"/>
  <c r="G2167" i="1"/>
  <c r="G2168" i="1"/>
  <c r="G2169" i="1"/>
  <c r="G2170" i="1"/>
  <c r="G2171" i="1"/>
  <c r="G2172" i="1"/>
  <c r="G849" i="1"/>
  <c r="G2150" i="1"/>
  <c r="G2175" i="1"/>
  <c r="G2176" i="1"/>
  <c r="G2177" i="1"/>
  <c r="G2178" i="1"/>
  <c r="G2179" i="1"/>
  <c r="G2180" i="1"/>
  <c r="G2181" i="1"/>
  <c r="G2182" i="1"/>
  <c r="G2183" i="1"/>
  <c r="G1116" i="1"/>
  <c r="G2185" i="1"/>
  <c r="G1587" i="1"/>
  <c r="G2187" i="1"/>
  <c r="G2188" i="1"/>
  <c r="G2189" i="1"/>
  <c r="G754" i="1"/>
  <c r="G2191" i="1"/>
  <c r="G1665" i="1"/>
  <c r="G2193" i="1"/>
  <c r="G2194" i="1"/>
  <c r="G2195" i="1"/>
  <c r="G2196" i="1"/>
  <c r="G2197" i="1"/>
  <c r="G2198" i="1"/>
  <c r="G2199" i="1"/>
  <c r="G1982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633" i="1"/>
  <c r="G2223" i="1"/>
  <c r="G305" i="1"/>
  <c r="G2225" i="1"/>
  <c r="G2047" i="1"/>
  <c r="G2227" i="1"/>
  <c r="G2228" i="1"/>
  <c r="G2229" i="1"/>
  <c r="G2230" i="1"/>
  <c r="G2231" i="1"/>
  <c r="G2232" i="1"/>
  <c r="G2233" i="1"/>
  <c r="G2234" i="1"/>
  <c r="G2235" i="1"/>
  <c r="G2236" i="1"/>
  <c r="G2237" i="1"/>
  <c r="G1424" i="1"/>
  <c r="G306" i="1"/>
  <c r="G2240" i="1"/>
  <c r="G134" i="1"/>
  <c r="G2242" i="1"/>
  <c r="G2243" i="1"/>
  <c r="G2244" i="1"/>
  <c r="G2245" i="1"/>
  <c r="G2246" i="1"/>
  <c r="G2247" i="1"/>
  <c r="G2248" i="1"/>
  <c r="G2249" i="1"/>
  <c r="G778" i="1"/>
  <c r="G2251" i="1"/>
  <c r="G2252" i="1"/>
  <c r="G2253" i="1"/>
  <c r="G2254" i="1"/>
  <c r="G2255" i="1"/>
  <c r="G2256" i="1"/>
  <c r="G526" i="1"/>
  <c r="G2258" i="1"/>
  <c r="G2259" i="1"/>
  <c r="G466" i="1"/>
  <c r="G2261" i="1"/>
  <c r="G2262" i="1"/>
  <c r="G2263" i="1"/>
  <c r="G1594" i="1"/>
  <c r="G2265" i="1"/>
  <c r="G2266" i="1"/>
  <c r="G220" i="1"/>
  <c r="G2268" i="1"/>
  <c r="G2269" i="1"/>
  <c r="G2270" i="1"/>
  <c r="G2271" i="1"/>
  <c r="G2272" i="1"/>
  <c r="G2273" i="1"/>
  <c r="G2274" i="1"/>
  <c r="G277" i="1"/>
  <c r="G281" i="1"/>
  <c r="G2277" i="1"/>
  <c r="G820" i="1"/>
  <c r="G2279" i="1"/>
  <c r="G2280" i="1"/>
  <c r="G2281" i="1"/>
  <c r="G1751" i="1"/>
  <c r="G2283" i="1"/>
  <c r="G2284" i="1"/>
  <c r="G2285" i="1"/>
  <c r="G2286" i="1"/>
  <c r="G934" i="1"/>
  <c r="G2288" i="1"/>
  <c r="G2289" i="1"/>
  <c r="G135" i="1"/>
  <c r="G2291" i="1"/>
  <c r="G2048" i="1"/>
  <c r="G2293" i="1"/>
  <c r="G2294" i="1"/>
  <c r="G1118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93" i="1"/>
  <c r="G2309" i="1"/>
  <c r="G2310" i="1"/>
  <c r="G307" i="1"/>
  <c r="G2312" i="1"/>
  <c r="G2313" i="1"/>
  <c r="G2314" i="1"/>
  <c r="G2315" i="1"/>
  <c r="G648" i="1"/>
  <c r="G2317" i="1"/>
  <c r="G1230" i="1"/>
  <c r="G2319" i="1"/>
  <c r="G2320" i="1"/>
  <c r="G2321" i="1"/>
  <c r="G2322" i="1"/>
  <c r="G2323" i="1"/>
  <c r="G2324" i="1"/>
  <c r="G2325" i="1"/>
  <c r="G2326" i="1"/>
  <c r="G311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267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K2359" i="1"/>
  <c r="K2" i="1"/>
  <c r="J2354" i="1"/>
  <c r="J474" i="1"/>
  <c r="J3" i="1"/>
  <c r="J4" i="1"/>
  <c r="J5" i="1"/>
  <c r="J6" i="1"/>
  <c r="J7" i="1"/>
  <c r="J8" i="1"/>
  <c r="J9" i="1"/>
  <c r="J172" i="1"/>
  <c r="J2241" i="1"/>
  <c r="J2282" i="1"/>
  <c r="J2290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483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363" i="1"/>
  <c r="J77" i="1"/>
  <c r="J78" i="1"/>
  <c r="J79" i="1"/>
  <c r="J80" i="1"/>
  <c r="J81" i="1"/>
  <c r="J82" i="1"/>
  <c r="J83" i="1"/>
  <c r="J84" i="1"/>
  <c r="J85" i="1"/>
  <c r="J86" i="1"/>
  <c r="J87" i="1"/>
  <c r="J88" i="1"/>
  <c r="J158" i="1"/>
  <c r="J90" i="1"/>
  <c r="J91" i="1"/>
  <c r="J92" i="1"/>
  <c r="J537" i="1"/>
  <c r="J678" i="1"/>
  <c r="J95" i="1"/>
  <c r="J96" i="1"/>
  <c r="J97" i="1"/>
  <c r="J98" i="1"/>
  <c r="J99" i="1"/>
  <c r="J100" i="1"/>
  <c r="J101" i="1"/>
  <c r="J102" i="1"/>
  <c r="J103" i="1"/>
  <c r="J104" i="1"/>
  <c r="J105" i="1"/>
  <c r="J506" i="1"/>
  <c r="J467" i="1"/>
  <c r="J108" i="1"/>
  <c r="J109" i="1"/>
  <c r="J352" i="1"/>
  <c r="J111" i="1"/>
  <c r="J112" i="1"/>
  <c r="J113" i="1"/>
  <c r="J114" i="1"/>
  <c r="J115" i="1"/>
  <c r="J116" i="1"/>
  <c r="J117" i="1"/>
  <c r="J118" i="1"/>
  <c r="J119" i="1"/>
  <c r="J120" i="1"/>
  <c r="J121" i="1"/>
  <c r="J535" i="1"/>
  <c r="J123" i="1"/>
  <c r="J146" i="1"/>
  <c r="J125" i="1"/>
  <c r="J126" i="1"/>
  <c r="J290" i="1"/>
  <c r="J128" i="1"/>
  <c r="J129" i="1"/>
  <c r="J130" i="1"/>
  <c r="J131" i="1"/>
  <c r="J132" i="1"/>
  <c r="J133" i="1"/>
  <c r="J320" i="1"/>
  <c r="J183" i="1"/>
  <c r="J136" i="1"/>
  <c r="J137" i="1"/>
  <c r="J241" i="1"/>
  <c r="J139" i="1"/>
  <c r="J140" i="1"/>
  <c r="J141" i="1"/>
  <c r="J142" i="1"/>
  <c r="J143" i="1"/>
  <c r="J144" i="1"/>
  <c r="J145" i="1"/>
  <c r="J542" i="1"/>
  <c r="J147" i="1"/>
  <c r="J148" i="1"/>
  <c r="J149" i="1"/>
  <c r="J150" i="1"/>
  <c r="J151" i="1"/>
  <c r="J152" i="1"/>
  <c r="J153" i="1"/>
  <c r="J154" i="1"/>
  <c r="J155" i="1"/>
  <c r="J471" i="1"/>
  <c r="J157" i="1"/>
  <c r="J107" i="1"/>
  <c r="J159" i="1"/>
  <c r="J160" i="1"/>
  <c r="J161" i="1"/>
  <c r="J162" i="1"/>
  <c r="J163" i="1"/>
  <c r="J164" i="1"/>
  <c r="J488" i="1"/>
  <c r="J166" i="1"/>
  <c r="J167" i="1"/>
  <c r="J168" i="1"/>
  <c r="J169" i="1"/>
  <c r="J366" i="1"/>
  <c r="J171" i="1"/>
  <c r="J380" i="1"/>
  <c r="J173" i="1"/>
  <c r="J174" i="1"/>
  <c r="J175" i="1"/>
  <c r="J176" i="1"/>
  <c r="J177" i="1"/>
  <c r="J178" i="1"/>
  <c r="J179" i="1"/>
  <c r="J180" i="1"/>
  <c r="J181" i="1"/>
  <c r="J182" i="1"/>
  <c r="J170" i="1"/>
  <c r="J184" i="1"/>
  <c r="J185" i="1"/>
  <c r="J186" i="1"/>
  <c r="J493" i="1"/>
  <c r="J188" i="1"/>
  <c r="J496" i="1"/>
  <c r="J190" i="1"/>
  <c r="J191" i="1"/>
  <c r="J192" i="1"/>
  <c r="J193" i="1"/>
  <c r="J194" i="1"/>
  <c r="J195" i="1"/>
  <c r="J196" i="1"/>
  <c r="J197" i="1"/>
  <c r="J198" i="1"/>
  <c r="J1331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32" i="1"/>
  <c r="J217" i="1"/>
  <c r="J684" i="1"/>
  <c r="J574" i="1"/>
  <c r="J413" i="1"/>
  <c r="J221" i="1"/>
  <c r="J779" i="1"/>
  <c r="J223" i="1"/>
  <c r="J224" i="1"/>
  <c r="J225" i="1"/>
  <c r="J226" i="1"/>
  <c r="J227" i="1"/>
  <c r="J228" i="1"/>
  <c r="J229" i="1"/>
  <c r="J230" i="1"/>
  <c r="J231" i="1"/>
  <c r="J222" i="1"/>
  <c r="J233" i="1"/>
  <c r="J234" i="1"/>
  <c r="J235" i="1"/>
  <c r="J236" i="1"/>
  <c r="J237" i="1"/>
  <c r="J238" i="1"/>
  <c r="J239" i="1"/>
  <c r="J240" i="1"/>
  <c r="J507" i="1"/>
  <c r="J546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381" i="1"/>
  <c r="J325" i="1"/>
  <c r="J261" i="1"/>
  <c r="J262" i="1"/>
  <c r="J263" i="1"/>
  <c r="J264" i="1"/>
  <c r="J265" i="1"/>
  <c r="J266" i="1"/>
  <c r="J267" i="1"/>
  <c r="J408" i="1"/>
  <c r="J165" i="1"/>
  <c r="J551" i="1"/>
  <c r="J271" i="1"/>
  <c r="J272" i="1"/>
  <c r="J273" i="1"/>
  <c r="J274" i="1"/>
  <c r="J275" i="1"/>
  <c r="J276" i="1"/>
  <c r="J106" i="1"/>
  <c r="J278" i="1"/>
  <c r="J279" i="1"/>
  <c r="J280" i="1"/>
  <c r="J1185" i="1"/>
  <c r="J282" i="1"/>
  <c r="J283" i="1"/>
  <c r="J284" i="1"/>
  <c r="J285" i="1"/>
  <c r="J286" i="1"/>
  <c r="J287" i="1"/>
  <c r="J288" i="1"/>
  <c r="J289" i="1"/>
  <c r="J821" i="1"/>
  <c r="J291" i="1"/>
  <c r="J292" i="1"/>
  <c r="J293" i="1"/>
  <c r="J294" i="1"/>
  <c r="J295" i="1"/>
  <c r="J296" i="1"/>
  <c r="J138" i="1"/>
  <c r="J368" i="1"/>
  <c r="J299" i="1"/>
  <c r="J300" i="1"/>
  <c r="J301" i="1"/>
  <c r="J302" i="1"/>
  <c r="J688" i="1"/>
  <c r="J304" i="1"/>
  <c r="J1597" i="1"/>
  <c r="J942" i="1"/>
  <c r="J674" i="1"/>
  <c r="J308" i="1"/>
  <c r="J309" i="1"/>
  <c r="J310" i="1"/>
  <c r="J1598" i="1"/>
  <c r="J312" i="1"/>
  <c r="J313" i="1"/>
  <c r="J314" i="1"/>
  <c r="J315" i="1"/>
  <c r="J316" i="1"/>
  <c r="J317" i="1"/>
  <c r="J318" i="1"/>
  <c r="J319" i="1"/>
  <c r="J297" i="1"/>
  <c r="J321" i="1"/>
  <c r="J322" i="1"/>
  <c r="J323" i="1"/>
  <c r="J324" i="1"/>
  <c r="J12" i="1"/>
  <c r="J787" i="1"/>
  <c r="J327" i="1"/>
  <c r="J328" i="1"/>
  <c r="J329" i="1"/>
  <c r="J330" i="1"/>
  <c r="J331" i="1"/>
  <c r="J332" i="1"/>
  <c r="J333" i="1"/>
  <c r="J259" i="1"/>
  <c r="J95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764" i="1"/>
  <c r="J349" i="1"/>
  <c r="J350" i="1"/>
  <c r="J351" i="1"/>
  <c r="J156" i="1"/>
  <c r="J353" i="1"/>
  <c r="J354" i="1"/>
  <c r="J355" i="1"/>
  <c r="J356" i="1"/>
  <c r="J357" i="1"/>
  <c r="J358" i="1"/>
  <c r="J359" i="1"/>
  <c r="J360" i="1"/>
  <c r="J361" i="1"/>
  <c r="J362" i="1"/>
  <c r="J575" i="1"/>
  <c r="J364" i="1"/>
  <c r="J365" i="1"/>
  <c r="J696" i="1"/>
  <c r="J367" i="1"/>
  <c r="J851" i="1"/>
  <c r="J369" i="1"/>
  <c r="J370" i="1"/>
  <c r="J371" i="1"/>
  <c r="J372" i="1"/>
  <c r="J373" i="1"/>
  <c r="J374" i="1"/>
  <c r="J375" i="1"/>
  <c r="J376" i="1"/>
  <c r="J377" i="1"/>
  <c r="J378" i="1"/>
  <c r="J508" i="1"/>
  <c r="J260" i="1"/>
  <c r="J137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187" i="1"/>
  <c r="J409" i="1"/>
  <c r="J298" i="1"/>
  <c r="J1275" i="1"/>
  <c r="J412" i="1"/>
  <c r="J577" i="1"/>
  <c r="J414" i="1"/>
  <c r="J415" i="1"/>
  <c r="J416" i="1"/>
  <c r="J417" i="1"/>
  <c r="J962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110" i="1"/>
  <c r="J454" i="1"/>
  <c r="J455" i="1"/>
  <c r="J456" i="1"/>
  <c r="J457" i="1"/>
  <c r="J458" i="1"/>
  <c r="J459" i="1"/>
  <c r="J460" i="1"/>
  <c r="J698" i="1"/>
  <c r="J462" i="1"/>
  <c r="J1498" i="1"/>
  <c r="J464" i="1"/>
  <c r="J465" i="1"/>
  <c r="J1892" i="1"/>
  <c r="J1989" i="1"/>
  <c r="J468" i="1"/>
  <c r="J967" i="1"/>
  <c r="J470" i="1"/>
  <c r="J976" i="1"/>
  <c r="J1140" i="1"/>
  <c r="J473" i="1"/>
  <c r="J701" i="1"/>
  <c r="J475" i="1"/>
  <c r="J476" i="1"/>
  <c r="J477" i="1"/>
  <c r="J478" i="1"/>
  <c r="J479" i="1"/>
  <c r="J480" i="1"/>
  <c r="J481" i="1"/>
  <c r="J482" i="1"/>
  <c r="J1490" i="1"/>
  <c r="J2161" i="1"/>
  <c r="J485" i="1"/>
  <c r="J486" i="1"/>
  <c r="J487" i="1"/>
  <c r="J1146" i="1"/>
  <c r="J489" i="1"/>
  <c r="J490" i="1"/>
  <c r="J491" i="1"/>
  <c r="J492" i="1"/>
  <c r="J977" i="1"/>
  <c r="J494" i="1"/>
  <c r="J495" i="1"/>
  <c r="J411" i="1"/>
  <c r="J497" i="1"/>
  <c r="J498" i="1"/>
  <c r="J499" i="1"/>
  <c r="J500" i="1"/>
  <c r="J501" i="1"/>
  <c r="J502" i="1"/>
  <c r="J503" i="1"/>
  <c r="J504" i="1"/>
  <c r="J505" i="1"/>
  <c r="J2275" i="1"/>
  <c r="J2292" i="1"/>
  <c r="J2327" i="1"/>
  <c r="J268" i="1"/>
  <c r="J510" i="1"/>
  <c r="J511" i="1"/>
  <c r="J512" i="1"/>
  <c r="J513" i="1"/>
  <c r="J514" i="1"/>
  <c r="J515" i="1"/>
  <c r="J516" i="1"/>
  <c r="J517" i="1"/>
  <c r="J1900" i="1"/>
  <c r="J519" i="1"/>
  <c r="J334" i="1"/>
  <c r="J521" i="1"/>
  <c r="J1278" i="1"/>
  <c r="J523" i="1"/>
  <c r="J524" i="1"/>
  <c r="J2356" i="1"/>
  <c r="J2109" i="1"/>
  <c r="J2355" i="1"/>
  <c r="J2222" i="1"/>
  <c r="J2224" i="1"/>
  <c r="J2250" i="1"/>
  <c r="J2257" i="1"/>
  <c r="J2318" i="1"/>
  <c r="J2276" i="1"/>
  <c r="J2295" i="1"/>
  <c r="J2120" i="1"/>
  <c r="J2162" i="1"/>
  <c r="J2099" i="1"/>
  <c r="J1959" i="1"/>
  <c r="J1601" i="1"/>
  <c r="J540" i="1"/>
  <c r="J2308" i="1"/>
  <c r="J2357" i="1"/>
  <c r="J2342" i="1"/>
  <c r="J2260" i="1"/>
  <c r="J545" i="1"/>
  <c r="J2163" i="1"/>
  <c r="J2264" i="1"/>
  <c r="J548" i="1"/>
  <c r="J2100" i="1"/>
  <c r="J1848" i="1"/>
  <c r="J2103" i="1"/>
  <c r="J2173" i="1"/>
  <c r="J553" i="1"/>
  <c r="J554" i="1"/>
  <c r="J555" i="1"/>
  <c r="J1409" i="1"/>
  <c r="J557" i="1"/>
  <c r="J558" i="1"/>
  <c r="J559" i="1"/>
  <c r="J790" i="1"/>
  <c r="J561" i="1"/>
  <c r="J562" i="1"/>
  <c r="J563" i="1"/>
  <c r="J564" i="1"/>
  <c r="J565" i="1"/>
  <c r="J566" i="1"/>
  <c r="J567" i="1"/>
  <c r="J568" i="1"/>
  <c r="J532" i="1"/>
  <c r="J570" i="1"/>
  <c r="J571" i="1"/>
  <c r="J572" i="1"/>
  <c r="J573" i="1"/>
  <c r="J708" i="1"/>
  <c r="J709" i="1"/>
  <c r="J576" i="1"/>
  <c r="J2000" i="1"/>
  <c r="J578" i="1"/>
  <c r="J579" i="1"/>
  <c r="J533" i="1"/>
  <c r="J581" i="1"/>
  <c r="J1279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1376" i="1"/>
  <c r="J597" i="1"/>
  <c r="J986" i="1"/>
  <c r="J599" i="1"/>
  <c r="J600" i="1"/>
  <c r="J601" i="1"/>
  <c r="J602" i="1"/>
  <c r="J603" i="1"/>
  <c r="J604" i="1"/>
  <c r="J719" i="1"/>
  <c r="J606" i="1"/>
  <c r="J607" i="1"/>
  <c r="J608" i="1"/>
  <c r="J609" i="1"/>
  <c r="J610" i="1"/>
  <c r="J611" i="1"/>
  <c r="J612" i="1"/>
  <c r="J613" i="1"/>
  <c r="J614" i="1"/>
  <c r="J615" i="1"/>
  <c r="J1127" i="1"/>
  <c r="J617" i="1"/>
  <c r="J618" i="1"/>
  <c r="J619" i="1"/>
  <c r="J620" i="1"/>
  <c r="J621" i="1"/>
  <c r="J622" i="1"/>
  <c r="J623" i="1"/>
  <c r="J624" i="1"/>
  <c r="J418" i="1"/>
  <c r="J626" i="1"/>
  <c r="J627" i="1"/>
  <c r="J628" i="1"/>
  <c r="J629" i="1"/>
  <c r="J630" i="1"/>
  <c r="J631" i="1"/>
  <c r="J632" i="1"/>
  <c r="J1381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1974" i="1"/>
  <c r="J649" i="1"/>
  <c r="J1228" i="1"/>
  <c r="J651" i="1"/>
  <c r="J652" i="1"/>
  <c r="J653" i="1"/>
  <c r="J654" i="1"/>
  <c r="J995" i="1"/>
  <c r="J1286" i="1"/>
  <c r="J657" i="1"/>
  <c r="J2186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1152" i="1"/>
  <c r="J1001" i="1"/>
  <c r="J2278" i="1"/>
  <c r="J2311" i="1"/>
  <c r="J2316" i="1"/>
  <c r="J679" i="1"/>
  <c r="J680" i="1"/>
  <c r="J681" i="1"/>
  <c r="J682" i="1"/>
  <c r="J683" i="1"/>
  <c r="J2069" i="1"/>
  <c r="J685" i="1"/>
  <c r="J686" i="1"/>
  <c r="J687" i="1"/>
  <c r="J1851" i="1"/>
  <c r="J689" i="1"/>
  <c r="J690" i="1"/>
  <c r="J691" i="1"/>
  <c r="J692" i="1"/>
  <c r="J693" i="1"/>
  <c r="J694" i="1"/>
  <c r="J695" i="1"/>
  <c r="J1153" i="1"/>
  <c r="J697" i="1"/>
  <c r="J1154" i="1"/>
  <c r="J699" i="1"/>
  <c r="J700" i="1"/>
  <c r="J1936" i="1"/>
  <c r="J702" i="1"/>
  <c r="J703" i="1"/>
  <c r="J704" i="1"/>
  <c r="J705" i="1"/>
  <c r="J706" i="1"/>
  <c r="J707" i="1"/>
  <c r="J797" i="1"/>
  <c r="J1155" i="1"/>
  <c r="J710" i="1"/>
  <c r="J711" i="1"/>
  <c r="J712" i="1"/>
  <c r="J713" i="1"/>
  <c r="J714" i="1"/>
  <c r="J715" i="1"/>
  <c r="J716" i="1"/>
  <c r="J717" i="1"/>
  <c r="J718" i="1"/>
  <c r="J2174" i="1"/>
  <c r="J720" i="1"/>
  <c r="J721" i="1"/>
  <c r="J722" i="1"/>
  <c r="J723" i="1"/>
  <c r="J724" i="1"/>
  <c r="J725" i="1"/>
  <c r="J726" i="1"/>
  <c r="J727" i="1"/>
  <c r="J769" i="1"/>
  <c r="J728" i="1"/>
  <c r="J1791" i="1"/>
  <c r="J731" i="1"/>
  <c r="J1393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1947" i="1"/>
  <c r="J746" i="1"/>
  <c r="J747" i="1"/>
  <c r="J748" i="1"/>
  <c r="J1950" i="1"/>
  <c r="J1864" i="1"/>
  <c r="J751" i="1"/>
  <c r="J1007" i="1"/>
  <c r="J753" i="1"/>
  <c r="J1157" i="1"/>
  <c r="J755" i="1"/>
  <c r="J756" i="1"/>
  <c r="J757" i="1"/>
  <c r="J758" i="1"/>
  <c r="J759" i="1"/>
  <c r="J509" i="1"/>
  <c r="J761" i="1"/>
  <c r="J762" i="1"/>
  <c r="J763" i="1"/>
  <c r="J122" i="1"/>
  <c r="J765" i="1"/>
  <c r="J766" i="1"/>
  <c r="J767" i="1"/>
  <c r="J768" i="1"/>
  <c r="J269" i="1"/>
  <c r="J770" i="1"/>
  <c r="J1298" i="1"/>
  <c r="J772" i="1"/>
  <c r="J773" i="1"/>
  <c r="J774" i="1"/>
  <c r="J775" i="1"/>
  <c r="J776" i="1"/>
  <c r="J777" i="1"/>
  <c r="J124" i="1"/>
  <c r="J11" i="1"/>
  <c r="J270" i="1"/>
  <c r="J781" i="1"/>
  <c r="J782" i="1"/>
  <c r="J783" i="1"/>
  <c r="J729" i="1"/>
  <c r="J785" i="1"/>
  <c r="J1012" i="1"/>
  <c r="J335" i="1"/>
  <c r="J788" i="1"/>
  <c r="J789" i="1"/>
  <c r="J1174" i="1"/>
  <c r="J791" i="1"/>
  <c r="J792" i="1"/>
  <c r="J793" i="1"/>
  <c r="J794" i="1"/>
  <c r="J795" i="1"/>
  <c r="J796" i="1"/>
  <c r="J1983" i="1"/>
  <c r="J2125" i="1"/>
  <c r="J799" i="1"/>
  <c r="J800" i="1"/>
  <c r="J801" i="1"/>
  <c r="J802" i="1"/>
  <c r="J45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1394" i="1"/>
  <c r="J818" i="1"/>
  <c r="J819" i="1"/>
  <c r="J1500" i="1"/>
  <c r="J1507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189" i="1"/>
  <c r="J850" i="1"/>
  <c r="J199" i="1"/>
  <c r="J852" i="1"/>
  <c r="J853" i="1"/>
  <c r="J518" i="1"/>
  <c r="J855" i="1"/>
  <c r="J856" i="1"/>
  <c r="J857" i="1"/>
  <c r="J858" i="1"/>
  <c r="J859" i="1"/>
  <c r="J860" i="1"/>
  <c r="J1799" i="1"/>
  <c r="J862" i="1"/>
  <c r="J863" i="1"/>
  <c r="J864" i="1"/>
  <c r="J865" i="1"/>
  <c r="J866" i="1"/>
  <c r="J867" i="1"/>
  <c r="J868" i="1"/>
  <c r="J730" i="1"/>
  <c r="J870" i="1"/>
  <c r="J871" i="1"/>
  <c r="J872" i="1"/>
  <c r="J873" i="1"/>
  <c r="J874" i="1"/>
  <c r="J1603" i="1"/>
  <c r="J2226" i="1"/>
  <c r="J877" i="1"/>
  <c r="J878" i="1"/>
  <c r="J879" i="1"/>
  <c r="J880" i="1"/>
  <c r="J881" i="1"/>
  <c r="J882" i="1"/>
  <c r="J883" i="1"/>
  <c r="J127" i="1"/>
  <c r="J885" i="1"/>
  <c r="J886" i="1"/>
  <c r="J887" i="1"/>
  <c r="J888" i="1"/>
  <c r="J889" i="1"/>
  <c r="J890" i="1"/>
  <c r="J891" i="1"/>
  <c r="J892" i="1"/>
  <c r="J893" i="1"/>
  <c r="J894" i="1"/>
  <c r="J895" i="1"/>
  <c r="J1300" i="1"/>
  <c r="J897" i="1"/>
  <c r="J898" i="1"/>
  <c r="J899" i="1"/>
  <c r="J900" i="1"/>
  <c r="J901" i="1"/>
  <c r="J1605" i="1"/>
  <c r="J2005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2010" i="1"/>
  <c r="J935" i="1"/>
  <c r="J936" i="1"/>
  <c r="J937" i="1"/>
  <c r="J938" i="1"/>
  <c r="J939" i="1"/>
  <c r="J940" i="1"/>
  <c r="J941" i="1"/>
  <c r="J1513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2079" i="1"/>
  <c r="J956" i="1"/>
  <c r="J957" i="1"/>
  <c r="J958" i="1"/>
  <c r="J959" i="1"/>
  <c r="J960" i="1"/>
  <c r="J961" i="1"/>
  <c r="J520" i="1"/>
  <c r="J963" i="1"/>
  <c r="J964" i="1"/>
  <c r="J965" i="1"/>
  <c r="J966" i="1"/>
  <c r="J580" i="1"/>
  <c r="J968" i="1"/>
  <c r="J969" i="1"/>
  <c r="J970" i="1"/>
  <c r="J971" i="1"/>
  <c r="J972" i="1"/>
  <c r="J973" i="1"/>
  <c r="J974" i="1"/>
  <c r="J975" i="1"/>
  <c r="J1178" i="1"/>
  <c r="J461" i="1"/>
  <c r="J978" i="1"/>
  <c r="J979" i="1"/>
  <c r="J980" i="1"/>
  <c r="J981" i="1"/>
  <c r="J982" i="1"/>
  <c r="J983" i="1"/>
  <c r="J984" i="1"/>
  <c r="J985" i="1"/>
  <c r="J2018" i="1"/>
  <c r="J987" i="1"/>
  <c r="J988" i="1"/>
  <c r="J989" i="1"/>
  <c r="J990" i="1"/>
  <c r="J991" i="1"/>
  <c r="J992" i="1"/>
  <c r="J993" i="1"/>
  <c r="J994" i="1"/>
  <c r="J1015" i="1"/>
  <c r="J996" i="1"/>
  <c r="J997" i="1"/>
  <c r="J998" i="1"/>
  <c r="J999" i="1"/>
  <c r="J1000" i="1"/>
  <c r="J522" i="1"/>
  <c r="J1002" i="1"/>
  <c r="J1003" i="1"/>
  <c r="J1004" i="1"/>
  <c r="J1005" i="1"/>
  <c r="J1006" i="1"/>
  <c r="J1019" i="1"/>
  <c r="J1008" i="1"/>
  <c r="J1009" i="1"/>
  <c r="J1010" i="1"/>
  <c r="J1011" i="1"/>
  <c r="J854" i="1"/>
  <c r="J1013" i="1"/>
  <c r="J1014" i="1"/>
  <c r="J582" i="1"/>
  <c r="J1016" i="1"/>
  <c r="J1017" i="1"/>
  <c r="J1018" i="1"/>
  <c r="J732" i="1"/>
  <c r="J1020" i="1"/>
  <c r="J1021" i="1"/>
  <c r="J1022" i="1"/>
  <c r="J1023" i="1"/>
  <c r="J1024" i="1"/>
  <c r="J1025" i="1"/>
  <c r="J1026" i="1"/>
  <c r="J1027" i="1"/>
  <c r="J1028" i="1"/>
  <c r="J1029" i="1"/>
  <c r="J798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30" i="1"/>
  <c r="J1045" i="1"/>
  <c r="J1046" i="1"/>
  <c r="J1047" i="1"/>
  <c r="J1048" i="1"/>
  <c r="J1049" i="1"/>
  <c r="J1050" i="1"/>
  <c r="J1051" i="1"/>
  <c r="J1052" i="1"/>
  <c r="J1053" i="1"/>
  <c r="J1054" i="1"/>
  <c r="J379" i="1"/>
  <c r="J1056" i="1"/>
  <c r="J1057" i="1"/>
  <c r="J1058" i="1"/>
  <c r="J1059" i="1"/>
  <c r="J1060" i="1"/>
  <c r="J1061" i="1"/>
  <c r="J1062" i="1"/>
  <c r="J1063" i="1"/>
  <c r="J1064" i="1"/>
  <c r="J348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44" i="1"/>
  <c r="J1082" i="1"/>
  <c r="J1514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181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312" i="1"/>
  <c r="J2022" i="1"/>
  <c r="J1117" i="1"/>
  <c r="J525" i="1"/>
  <c r="J1321" i="1"/>
  <c r="J1120" i="1"/>
  <c r="J2184" i="1"/>
  <c r="J1122" i="1"/>
  <c r="J1123" i="1"/>
  <c r="J1124" i="1"/>
  <c r="J1125" i="1"/>
  <c r="J1126" i="1"/>
  <c r="J13" i="1"/>
  <c r="J1128" i="1"/>
  <c r="J1129" i="1"/>
  <c r="J1130" i="1"/>
  <c r="J1131" i="1"/>
  <c r="J1132" i="1"/>
  <c r="J745" i="1"/>
  <c r="J1134" i="1"/>
  <c r="J1620" i="1"/>
  <c r="J1136" i="1"/>
  <c r="J1137" i="1"/>
  <c r="J1138" i="1"/>
  <c r="J1520" i="1"/>
  <c r="J2089" i="1"/>
  <c r="J1141" i="1"/>
  <c r="J1142" i="1"/>
  <c r="J1143" i="1"/>
  <c r="J1144" i="1"/>
  <c r="J1145" i="1"/>
  <c r="J1395" i="1"/>
  <c r="J1147" i="1"/>
  <c r="J1148" i="1"/>
  <c r="J1149" i="1"/>
  <c r="J1150" i="1"/>
  <c r="J1151" i="1"/>
  <c r="J534" i="1"/>
  <c r="J528" i="1"/>
  <c r="J529" i="1"/>
  <c r="J531" i="1"/>
  <c r="J1156" i="1"/>
  <c r="J410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328" i="1"/>
  <c r="J1175" i="1"/>
  <c r="J1176" i="1"/>
  <c r="J1177" i="1"/>
  <c r="J326" i="1"/>
  <c r="J1179" i="1"/>
  <c r="J1180" i="1"/>
  <c r="J216" i="1"/>
  <c r="J596" i="1"/>
  <c r="J1183" i="1"/>
  <c r="J1527" i="1"/>
  <c r="J598" i="1"/>
  <c r="J1186" i="1"/>
  <c r="J1187" i="1"/>
  <c r="J1188" i="1"/>
  <c r="J1182" i="1"/>
  <c r="J527" i="1"/>
  <c r="J1191" i="1"/>
  <c r="J218" i="1"/>
  <c r="J1193" i="1"/>
  <c r="J749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303" i="1"/>
  <c r="J1211" i="1"/>
  <c r="J1212" i="1"/>
  <c r="J1213" i="1"/>
  <c r="J1214" i="1"/>
  <c r="J1215" i="1"/>
  <c r="J1216" i="1"/>
  <c r="J1217" i="1"/>
  <c r="J1218" i="1"/>
  <c r="J1955" i="1"/>
  <c r="J1220" i="1"/>
  <c r="J1221" i="1"/>
  <c r="J1222" i="1"/>
  <c r="J1223" i="1"/>
  <c r="J1224" i="1"/>
  <c r="J1225" i="1"/>
  <c r="J1226" i="1"/>
  <c r="J1227" i="1"/>
  <c r="J750" i="1"/>
  <c r="J1229" i="1"/>
  <c r="J1622" i="1"/>
  <c r="J1231" i="1"/>
  <c r="J1232" i="1"/>
  <c r="J1233" i="1"/>
  <c r="J1119" i="1"/>
  <c r="J1235" i="1"/>
  <c r="J1236" i="1"/>
  <c r="J1055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94" i="1"/>
  <c r="J1264" i="1"/>
  <c r="J1265" i="1"/>
  <c r="J1266" i="1"/>
  <c r="J1267" i="1"/>
  <c r="J1268" i="1"/>
  <c r="J1269" i="1"/>
  <c r="J1270" i="1"/>
  <c r="J1271" i="1"/>
  <c r="J1272" i="1"/>
  <c r="J1273" i="1"/>
  <c r="J37" i="1"/>
  <c r="J1065" i="1"/>
  <c r="J1276" i="1"/>
  <c r="J1277" i="1"/>
  <c r="J538" i="1"/>
  <c r="J76" i="1"/>
  <c r="J1280" i="1"/>
  <c r="J1281" i="1"/>
  <c r="J1282" i="1"/>
  <c r="J1283" i="1"/>
  <c r="J1284" i="1"/>
  <c r="J1285" i="1"/>
  <c r="J1919" i="1"/>
  <c r="J1287" i="1"/>
  <c r="J1288" i="1"/>
  <c r="J1289" i="1"/>
  <c r="J1290" i="1"/>
  <c r="J1291" i="1"/>
  <c r="J1292" i="1"/>
  <c r="J1293" i="1"/>
  <c r="J1294" i="1"/>
  <c r="J1295" i="1"/>
  <c r="J1296" i="1"/>
  <c r="J1297" i="1"/>
  <c r="J463" i="1"/>
  <c r="J1299" i="1"/>
  <c r="J605" i="1"/>
  <c r="J1301" i="1"/>
  <c r="J1302" i="1"/>
  <c r="J1303" i="1"/>
  <c r="J1304" i="1"/>
  <c r="J1305" i="1"/>
  <c r="J1306" i="1"/>
  <c r="J1307" i="1"/>
  <c r="J1308" i="1"/>
  <c r="J1309" i="1"/>
  <c r="J1310" i="1"/>
  <c r="J1311" i="1"/>
  <c r="J2028" i="1"/>
  <c r="J1313" i="1"/>
  <c r="J1314" i="1"/>
  <c r="J1315" i="1"/>
  <c r="J1316" i="1"/>
  <c r="J1317" i="1"/>
  <c r="J1318" i="1"/>
  <c r="J1319" i="1"/>
  <c r="J1320" i="1"/>
  <c r="J1626" i="1"/>
  <c r="J1322" i="1"/>
  <c r="J1323" i="1"/>
  <c r="J1324" i="1"/>
  <c r="J1325" i="1"/>
  <c r="J1326" i="1"/>
  <c r="J1327" i="1"/>
  <c r="J1081" i="1"/>
  <c r="J1329" i="1"/>
  <c r="J1330" i="1"/>
  <c r="J2035" i="1"/>
  <c r="J1332" i="1"/>
  <c r="J1333" i="1"/>
  <c r="J1334" i="1"/>
  <c r="J1335" i="1"/>
  <c r="J1336" i="1"/>
  <c r="J1337" i="1"/>
  <c r="J1350" i="1"/>
  <c r="J1339" i="1"/>
  <c r="J1340" i="1"/>
  <c r="J89" i="1"/>
  <c r="J1342" i="1"/>
  <c r="J1343" i="1"/>
  <c r="J2040" i="1"/>
  <c r="J1345" i="1"/>
  <c r="J1346" i="1"/>
  <c r="J1347" i="1"/>
  <c r="J1348" i="1"/>
  <c r="J1349" i="1"/>
  <c r="J219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752" i="1"/>
  <c r="J1367" i="1"/>
  <c r="J1368" i="1"/>
  <c r="J1369" i="1"/>
  <c r="J1370" i="1"/>
  <c r="J803" i="1"/>
  <c r="J1372" i="1"/>
  <c r="J1373" i="1"/>
  <c r="J1374" i="1"/>
  <c r="J1375" i="1"/>
  <c r="J1083" i="1"/>
  <c r="J1377" i="1"/>
  <c r="J1378" i="1"/>
  <c r="J1379" i="1"/>
  <c r="J1380" i="1"/>
  <c r="J1636" i="1"/>
  <c r="J1382" i="1"/>
  <c r="J1383" i="1"/>
  <c r="J1384" i="1"/>
  <c r="J1385" i="1"/>
  <c r="J1386" i="1"/>
  <c r="J1387" i="1"/>
  <c r="J1388" i="1"/>
  <c r="J1389" i="1"/>
  <c r="J1390" i="1"/>
  <c r="J1391" i="1"/>
  <c r="J1392" i="1"/>
  <c r="J817" i="1"/>
  <c r="J1099" i="1"/>
  <c r="J616" i="1"/>
  <c r="J1396" i="1"/>
  <c r="J2287" i="1"/>
  <c r="J861" i="1"/>
  <c r="J1399" i="1"/>
  <c r="J1400" i="1"/>
  <c r="J1401" i="1"/>
  <c r="J539" i="1"/>
  <c r="J1403" i="1"/>
  <c r="J1404" i="1"/>
  <c r="J1405" i="1"/>
  <c r="J1406" i="1"/>
  <c r="J1407" i="1"/>
  <c r="J1408" i="1"/>
  <c r="J625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891" i="1"/>
  <c r="J1425" i="1"/>
  <c r="J1426" i="1"/>
  <c r="J1427" i="1"/>
  <c r="J1428" i="1"/>
  <c r="J1429" i="1"/>
  <c r="J1430" i="1"/>
  <c r="J484" i="1"/>
  <c r="J1432" i="1"/>
  <c r="J1433" i="1"/>
  <c r="J1434" i="1"/>
  <c r="J1435" i="1"/>
  <c r="J1436" i="1"/>
  <c r="J1437" i="1"/>
  <c r="J1438" i="1"/>
  <c r="J1439" i="1"/>
  <c r="J472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542" i="1"/>
  <c r="J1461" i="1"/>
  <c r="J1462" i="1"/>
  <c r="J1463" i="1"/>
  <c r="J1464" i="1"/>
  <c r="J1465" i="1"/>
  <c r="J1466" i="1"/>
  <c r="J1467" i="1"/>
  <c r="J1702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536" i="1"/>
  <c r="J1483" i="1"/>
  <c r="J1484" i="1"/>
  <c r="J1485" i="1"/>
  <c r="J1486" i="1"/>
  <c r="J1487" i="1"/>
  <c r="J1488" i="1"/>
  <c r="J1489" i="1"/>
  <c r="J1184" i="1"/>
  <c r="J1491" i="1"/>
  <c r="J1492" i="1"/>
  <c r="J1493" i="1"/>
  <c r="J1494" i="1"/>
  <c r="J1495" i="1"/>
  <c r="J1496" i="1"/>
  <c r="J1497" i="1"/>
  <c r="J547" i="1"/>
  <c r="J1499" i="1"/>
  <c r="J556" i="1"/>
  <c r="J1501" i="1"/>
  <c r="J1502" i="1"/>
  <c r="J1503" i="1"/>
  <c r="J1504" i="1"/>
  <c r="J1505" i="1"/>
  <c r="J1506" i="1"/>
  <c r="J1190" i="1"/>
  <c r="J1508" i="1"/>
  <c r="J1509" i="1"/>
  <c r="J1510" i="1"/>
  <c r="J1511" i="1"/>
  <c r="J1512" i="1"/>
  <c r="J1338" i="1"/>
  <c r="J1583" i="1"/>
  <c r="J1515" i="1"/>
  <c r="J1516" i="1"/>
  <c r="J1517" i="1"/>
  <c r="J1518" i="1"/>
  <c r="J1519" i="1"/>
  <c r="J2052" i="1"/>
  <c r="J1521" i="1"/>
  <c r="J1522" i="1"/>
  <c r="J1523" i="1"/>
  <c r="J1524" i="1"/>
  <c r="J1525" i="1"/>
  <c r="J1526" i="1"/>
  <c r="J1670" i="1"/>
  <c r="J1528" i="1"/>
  <c r="J1529" i="1"/>
  <c r="J1530" i="1"/>
  <c r="J1531" i="1"/>
  <c r="J1532" i="1"/>
  <c r="J1533" i="1"/>
  <c r="J1534" i="1"/>
  <c r="J1535" i="1"/>
  <c r="J1536" i="1"/>
  <c r="J1537" i="1"/>
  <c r="J1538" i="1"/>
  <c r="J650" i="1"/>
  <c r="J1540" i="1"/>
  <c r="J1541" i="1"/>
  <c r="J1973" i="1"/>
  <c r="J1745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2200" i="1"/>
  <c r="J1565" i="1"/>
  <c r="J1566" i="1"/>
  <c r="J1440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708" i="1"/>
  <c r="J1584" i="1"/>
  <c r="J1585" i="1"/>
  <c r="J1586" i="1"/>
  <c r="J1402" i="1"/>
  <c r="J1588" i="1"/>
  <c r="J1589" i="1"/>
  <c r="J1590" i="1"/>
  <c r="J1591" i="1"/>
  <c r="J1592" i="1"/>
  <c r="J1593" i="1"/>
  <c r="J1133" i="1"/>
  <c r="J530" i="1"/>
  <c r="J1596" i="1"/>
  <c r="J1482" i="1"/>
  <c r="J1135" i="1"/>
  <c r="J1599" i="1"/>
  <c r="J1600" i="1"/>
  <c r="J1121" i="1"/>
  <c r="J1602" i="1"/>
  <c r="J1539" i="1"/>
  <c r="J1604" i="1"/>
  <c r="J2238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839" i="1"/>
  <c r="J1621" i="1"/>
  <c r="J1659" i="1"/>
  <c r="J1623" i="1"/>
  <c r="J1624" i="1"/>
  <c r="J1625" i="1"/>
  <c r="J1911" i="1"/>
  <c r="J1627" i="1"/>
  <c r="J1628" i="1"/>
  <c r="J1629" i="1"/>
  <c r="J1630" i="1"/>
  <c r="J1631" i="1"/>
  <c r="J1632" i="1"/>
  <c r="J1633" i="1"/>
  <c r="J1634" i="1"/>
  <c r="J1635" i="1"/>
  <c r="J87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711" i="1"/>
  <c r="J1660" i="1"/>
  <c r="J1661" i="1"/>
  <c r="J1662" i="1"/>
  <c r="J1663" i="1"/>
  <c r="J1664" i="1"/>
  <c r="J1713" i="1"/>
  <c r="J1666" i="1"/>
  <c r="J1667" i="1"/>
  <c r="J1668" i="1"/>
  <c r="J1669" i="1"/>
  <c r="J1263" i="1"/>
  <c r="J1671" i="1"/>
  <c r="J1672" i="1"/>
  <c r="J1673" i="1"/>
  <c r="J1674" i="1"/>
  <c r="J1675" i="1"/>
  <c r="J1676" i="1"/>
  <c r="J1677" i="1"/>
  <c r="J1678" i="1"/>
  <c r="J1679" i="1"/>
  <c r="J1274" i="1"/>
  <c r="J1681" i="1"/>
  <c r="J1682" i="1"/>
  <c r="J1683" i="1"/>
  <c r="J1684" i="1"/>
  <c r="J1685" i="1"/>
  <c r="J1686" i="1"/>
  <c r="J1543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192" i="1"/>
  <c r="J1703" i="1"/>
  <c r="J1704" i="1"/>
  <c r="J1705" i="1"/>
  <c r="J1706" i="1"/>
  <c r="J1707" i="1"/>
  <c r="J560" i="1"/>
  <c r="J1709" i="1"/>
  <c r="J1710" i="1"/>
  <c r="J2107" i="1"/>
  <c r="J1712" i="1"/>
  <c r="J242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658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807" i="1"/>
  <c r="J1746" i="1"/>
  <c r="J1341" i="1"/>
  <c r="J1748" i="1"/>
  <c r="J1749" i="1"/>
  <c r="J1750" i="1"/>
  <c r="J1366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680" i="1"/>
  <c r="J1770" i="1"/>
  <c r="J1771" i="1"/>
  <c r="J1772" i="1"/>
  <c r="J1773" i="1"/>
  <c r="J1774" i="1"/>
  <c r="J1775" i="1"/>
  <c r="J1776" i="1"/>
  <c r="J1777" i="1"/>
  <c r="J1778" i="1"/>
  <c r="J1779" i="1"/>
  <c r="J1780" i="1"/>
  <c r="J2239" i="1"/>
  <c r="J1782" i="1"/>
  <c r="J1783" i="1"/>
  <c r="J1784" i="1"/>
  <c r="J1785" i="1"/>
  <c r="J1786" i="1"/>
  <c r="J1787" i="1"/>
  <c r="J1788" i="1"/>
  <c r="J1789" i="1"/>
  <c r="J1790" i="1"/>
  <c r="J1431" i="1"/>
  <c r="J1792" i="1"/>
  <c r="J1793" i="1"/>
  <c r="J1794" i="1"/>
  <c r="J1795" i="1"/>
  <c r="J1796" i="1"/>
  <c r="J1797" i="1"/>
  <c r="J1798" i="1"/>
  <c r="J549" i="1"/>
  <c r="J1800" i="1"/>
  <c r="J1801" i="1"/>
  <c r="J1802" i="1"/>
  <c r="J1803" i="1"/>
  <c r="J1804" i="1"/>
  <c r="J1805" i="1"/>
  <c r="J1806" i="1"/>
  <c r="J550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903" i="1"/>
  <c r="J1826" i="1"/>
  <c r="J1827" i="1"/>
  <c r="J1828" i="1"/>
  <c r="J1829" i="1"/>
  <c r="J1830" i="1"/>
  <c r="J1875" i="1"/>
  <c r="J1832" i="1"/>
  <c r="J1833" i="1"/>
  <c r="J1834" i="1"/>
  <c r="J1835" i="1"/>
  <c r="J1836" i="1"/>
  <c r="J1837" i="1"/>
  <c r="J1838" i="1"/>
  <c r="J677" i="1"/>
  <c r="J1840" i="1"/>
  <c r="J1841" i="1"/>
  <c r="J1842" i="1"/>
  <c r="J1843" i="1"/>
  <c r="J1844" i="1"/>
  <c r="J1845" i="1"/>
  <c r="J1846" i="1"/>
  <c r="J1847" i="1"/>
  <c r="J760" i="1"/>
  <c r="J1849" i="1"/>
  <c r="J1850" i="1"/>
  <c r="J2145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194" i="1"/>
  <c r="J1865" i="1"/>
  <c r="J1866" i="1"/>
  <c r="J1867" i="1"/>
  <c r="J1868" i="1"/>
  <c r="J1869" i="1"/>
  <c r="J1870" i="1"/>
  <c r="J1871" i="1"/>
  <c r="J1872" i="1"/>
  <c r="J1873" i="1"/>
  <c r="J1874" i="1"/>
  <c r="J1460" i="1"/>
  <c r="J1876" i="1"/>
  <c r="J1877" i="1"/>
  <c r="J1747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902" i="1"/>
  <c r="J655" i="1"/>
  <c r="J1893" i="1"/>
  <c r="J1894" i="1"/>
  <c r="J1895" i="1"/>
  <c r="J1896" i="1"/>
  <c r="J1897" i="1"/>
  <c r="J1898" i="1"/>
  <c r="J1899" i="1"/>
  <c r="J543" i="1"/>
  <c r="J1901" i="1"/>
  <c r="J1902" i="1"/>
  <c r="J1903" i="1"/>
  <c r="J1904" i="1"/>
  <c r="J1905" i="1"/>
  <c r="J1906" i="1"/>
  <c r="J1907" i="1"/>
  <c r="J1908" i="1"/>
  <c r="J1909" i="1"/>
  <c r="J1910" i="1"/>
  <c r="J1878" i="1"/>
  <c r="J1912" i="1"/>
  <c r="J1913" i="1"/>
  <c r="J1914" i="1"/>
  <c r="J1915" i="1"/>
  <c r="J1916" i="1"/>
  <c r="J1917" i="1"/>
  <c r="J1918" i="1"/>
  <c r="J675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687" i="1"/>
  <c r="J1935" i="1"/>
  <c r="J544" i="1"/>
  <c r="J1937" i="1"/>
  <c r="J1938" i="1"/>
  <c r="J1939" i="1"/>
  <c r="J1940" i="1"/>
  <c r="J1941" i="1"/>
  <c r="J1942" i="1"/>
  <c r="J1943" i="1"/>
  <c r="J1944" i="1"/>
  <c r="J1945" i="1"/>
  <c r="J1946" i="1"/>
  <c r="J1189" i="1"/>
  <c r="J1948" i="1"/>
  <c r="J1949" i="1"/>
  <c r="J1825" i="1"/>
  <c r="J1951" i="1"/>
  <c r="J1952" i="1"/>
  <c r="J1953" i="1"/>
  <c r="J1954" i="1"/>
  <c r="J771" i="1"/>
  <c r="J1956" i="1"/>
  <c r="J1957" i="1"/>
  <c r="J1958" i="1"/>
  <c r="J884" i="1"/>
  <c r="J1960" i="1"/>
  <c r="J1961" i="1"/>
  <c r="J2151" i="1"/>
  <c r="J1963" i="1"/>
  <c r="J1964" i="1"/>
  <c r="J1965" i="1"/>
  <c r="J1966" i="1"/>
  <c r="J1967" i="1"/>
  <c r="J1968" i="1"/>
  <c r="J1969" i="1"/>
  <c r="J1970" i="1"/>
  <c r="J1971" i="1"/>
  <c r="J1972" i="1"/>
  <c r="J569" i="1"/>
  <c r="J469" i="1"/>
  <c r="J1975" i="1"/>
  <c r="J1976" i="1"/>
  <c r="J1977" i="1"/>
  <c r="J1978" i="1"/>
  <c r="J1979" i="1"/>
  <c r="J1980" i="1"/>
  <c r="J1981" i="1"/>
  <c r="J552" i="1"/>
  <c r="J541" i="1"/>
  <c r="J1984" i="1"/>
  <c r="J1985" i="1"/>
  <c r="J1986" i="1"/>
  <c r="J1987" i="1"/>
  <c r="J1988" i="1"/>
  <c r="J1344" i="1"/>
  <c r="J1990" i="1"/>
  <c r="J1991" i="1"/>
  <c r="J1992" i="1"/>
  <c r="J1993" i="1"/>
  <c r="J1994" i="1"/>
  <c r="J1995" i="1"/>
  <c r="J1996" i="1"/>
  <c r="J1997" i="1"/>
  <c r="J1998" i="1"/>
  <c r="J1999" i="1"/>
  <c r="J780" i="1"/>
  <c r="J2001" i="1"/>
  <c r="J2002" i="1"/>
  <c r="J2003" i="1"/>
  <c r="J2004" i="1"/>
  <c r="J656" i="1"/>
  <c r="J2006" i="1"/>
  <c r="J2007" i="1"/>
  <c r="J2008" i="1"/>
  <c r="J2009" i="1"/>
  <c r="J2190" i="1"/>
  <c r="J2011" i="1"/>
  <c r="J2012" i="1"/>
  <c r="J2013" i="1"/>
  <c r="J2014" i="1"/>
  <c r="J2015" i="1"/>
  <c r="J2016" i="1"/>
  <c r="J2017" i="1"/>
  <c r="J1139" i="1"/>
  <c r="J2019" i="1"/>
  <c r="J2020" i="1"/>
  <c r="J2021" i="1"/>
  <c r="J1595" i="1"/>
  <c r="J2023" i="1"/>
  <c r="J2024" i="1"/>
  <c r="J2025" i="1"/>
  <c r="J2026" i="1"/>
  <c r="J2027" i="1"/>
  <c r="J1468" i="1"/>
  <c r="J2029" i="1"/>
  <c r="J2030" i="1"/>
  <c r="J2031" i="1"/>
  <c r="J2032" i="1"/>
  <c r="J2033" i="1"/>
  <c r="J2034" i="1"/>
  <c r="J1210" i="1"/>
  <c r="J2036" i="1"/>
  <c r="J2037" i="1"/>
  <c r="J2038" i="1"/>
  <c r="J2039" i="1"/>
  <c r="J1730" i="1"/>
  <c r="J2041" i="1"/>
  <c r="J2042" i="1"/>
  <c r="J2043" i="1"/>
  <c r="J2044" i="1"/>
  <c r="J2045" i="1"/>
  <c r="J2046" i="1"/>
  <c r="J875" i="1"/>
  <c r="J676" i="1"/>
  <c r="J2049" i="1"/>
  <c r="J2050" i="1"/>
  <c r="J2051" i="1"/>
  <c r="J1115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784" i="1"/>
  <c r="J2070" i="1"/>
  <c r="J2071" i="1"/>
  <c r="J2072" i="1"/>
  <c r="J2073" i="1"/>
  <c r="J2074" i="1"/>
  <c r="J2075" i="1"/>
  <c r="J2076" i="1"/>
  <c r="J2077" i="1"/>
  <c r="J2078" i="1"/>
  <c r="J786" i="1"/>
  <c r="J2080" i="1"/>
  <c r="J2081" i="1"/>
  <c r="J2082" i="1"/>
  <c r="J2083" i="1"/>
  <c r="J2084" i="1"/>
  <c r="J2085" i="1"/>
  <c r="J2086" i="1"/>
  <c r="J2087" i="1"/>
  <c r="J2088" i="1"/>
  <c r="J1934" i="1"/>
  <c r="J2090" i="1"/>
  <c r="J2091" i="1"/>
  <c r="J2092" i="1"/>
  <c r="J2093" i="1"/>
  <c r="J2094" i="1"/>
  <c r="J2095" i="1"/>
  <c r="J2096" i="1"/>
  <c r="J1397" i="1"/>
  <c r="J2098" i="1"/>
  <c r="J1234" i="1"/>
  <c r="J1237" i="1"/>
  <c r="J2101" i="1"/>
  <c r="J2102" i="1"/>
  <c r="J869" i="1"/>
  <c r="J2104" i="1"/>
  <c r="J2105" i="1"/>
  <c r="J2106" i="1"/>
  <c r="J1831" i="1"/>
  <c r="J2108" i="1"/>
  <c r="J1564" i="1"/>
  <c r="J2110" i="1"/>
  <c r="J2111" i="1"/>
  <c r="J2112" i="1"/>
  <c r="J2113" i="1"/>
  <c r="J2114" i="1"/>
  <c r="J2115" i="1"/>
  <c r="J2116" i="1"/>
  <c r="J2117" i="1"/>
  <c r="J2118" i="1"/>
  <c r="J2119" i="1"/>
  <c r="J1567" i="1"/>
  <c r="J2121" i="1"/>
  <c r="J2122" i="1"/>
  <c r="J2123" i="1"/>
  <c r="J2124" i="1"/>
  <c r="J1781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1398" i="1"/>
  <c r="J2139" i="1"/>
  <c r="J2140" i="1"/>
  <c r="J2141" i="1"/>
  <c r="J2142" i="1"/>
  <c r="J2143" i="1"/>
  <c r="J2144" i="1"/>
  <c r="J896" i="1"/>
  <c r="J2146" i="1"/>
  <c r="J2147" i="1"/>
  <c r="J2148" i="1"/>
  <c r="J2149" i="1"/>
  <c r="J2192" i="1"/>
  <c r="J2138" i="1"/>
  <c r="J2152" i="1"/>
  <c r="J1962" i="1"/>
  <c r="J2154" i="1"/>
  <c r="J2155" i="1"/>
  <c r="J2156" i="1"/>
  <c r="J2157" i="1"/>
  <c r="J2158" i="1"/>
  <c r="J2159" i="1"/>
  <c r="J2160" i="1"/>
  <c r="J1769" i="1"/>
  <c r="J2153" i="1"/>
  <c r="J2097" i="1"/>
  <c r="J2164" i="1"/>
  <c r="J2165" i="1"/>
  <c r="J2166" i="1"/>
  <c r="J2167" i="1"/>
  <c r="J2168" i="1"/>
  <c r="J2169" i="1"/>
  <c r="J2170" i="1"/>
  <c r="J2171" i="1"/>
  <c r="J2172" i="1"/>
  <c r="J849" i="1"/>
  <c r="J2150" i="1"/>
  <c r="J2175" i="1"/>
  <c r="J2176" i="1"/>
  <c r="J2177" i="1"/>
  <c r="J2178" i="1"/>
  <c r="J2179" i="1"/>
  <c r="J2180" i="1"/>
  <c r="J2181" i="1"/>
  <c r="J2182" i="1"/>
  <c r="J2183" i="1"/>
  <c r="J1116" i="1"/>
  <c r="J2185" i="1"/>
  <c r="J1587" i="1"/>
  <c r="J2187" i="1"/>
  <c r="J2188" i="1"/>
  <c r="J2189" i="1"/>
  <c r="J754" i="1"/>
  <c r="J2191" i="1"/>
  <c r="J1665" i="1"/>
  <c r="J2193" i="1"/>
  <c r="J2194" i="1"/>
  <c r="J2195" i="1"/>
  <c r="J2196" i="1"/>
  <c r="J2197" i="1"/>
  <c r="J2198" i="1"/>
  <c r="J2199" i="1"/>
  <c r="J1982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633" i="1"/>
  <c r="J2223" i="1"/>
  <c r="J305" i="1"/>
  <c r="J2225" i="1"/>
  <c r="J2047" i="1"/>
  <c r="J2227" i="1"/>
  <c r="J2228" i="1"/>
  <c r="J2229" i="1"/>
  <c r="J2230" i="1"/>
  <c r="J2231" i="1"/>
  <c r="J2232" i="1"/>
  <c r="J2233" i="1"/>
  <c r="J2234" i="1"/>
  <c r="J2235" i="1"/>
  <c r="J2236" i="1"/>
  <c r="J2237" i="1"/>
  <c r="J1424" i="1"/>
  <c r="J306" i="1"/>
  <c r="J2240" i="1"/>
  <c r="J134" i="1"/>
  <c r="J2242" i="1"/>
  <c r="J2243" i="1"/>
  <c r="J2244" i="1"/>
  <c r="J2245" i="1"/>
  <c r="J2246" i="1"/>
  <c r="J2247" i="1"/>
  <c r="J2248" i="1"/>
  <c r="J2249" i="1"/>
  <c r="J778" i="1"/>
  <c r="J2251" i="1"/>
  <c r="J2252" i="1"/>
  <c r="J2253" i="1"/>
  <c r="J2254" i="1"/>
  <c r="J2255" i="1"/>
  <c r="J2256" i="1"/>
  <c r="J526" i="1"/>
  <c r="J2258" i="1"/>
  <c r="J2259" i="1"/>
  <c r="J466" i="1"/>
  <c r="J2261" i="1"/>
  <c r="J2262" i="1"/>
  <c r="J2263" i="1"/>
  <c r="J1594" i="1"/>
  <c r="J2265" i="1"/>
  <c r="J2266" i="1"/>
  <c r="J220" i="1"/>
  <c r="J2268" i="1"/>
  <c r="J2269" i="1"/>
  <c r="J2270" i="1"/>
  <c r="J2271" i="1"/>
  <c r="J2272" i="1"/>
  <c r="J2273" i="1"/>
  <c r="J2274" i="1"/>
  <c r="J277" i="1"/>
  <c r="J281" i="1"/>
  <c r="J2277" i="1"/>
  <c r="J820" i="1"/>
  <c r="J2279" i="1"/>
  <c r="J2280" i="1"/>
  <c r="J2281" i="1"/>
  <c r="J1751" i="1"/>
  <c r="J2283" i="1"/>
  <c r="J2284" i="1"/>
  <c r="J2285" i="1"/>
  <c r="J2286" i="1"/>
  <c r="J934" i="1"/>
  <c r="J2288" i="1"/>
  <c r="J2289" i="1"/>
  <c r="J135" i="1"/>
  <c r="J2291" i="1"/>
  <c r="J2048" i="1"/>
  <c r="J2293" i="1"/>
  <c r="J2294" i="1"/>
  <c r="J1118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93" i="1"/>
  <c r="J2309" i="1"/>
  <c r="J2310" i="1"/>
  <c r="J307" i="1"/>
  <c r="J2312" i="1"/>
  <c r="J2313" i="1"/>
  <c r="J2314" i="1"/>
  <c r="J2315" i="1"/>
  <c r="J648" i="1"/>
  <c r="J2317" i="1"/>
  <c r="J1230" i="1"/>
  <c r="J2319" i="1"/>
  <c r="J2320" i="1"/>
  <c r="J2321" i="1"/>
  <c r="J2322" i="1"/>
  <c r="J2323" i="1"/>
  <c r="J2324" i="1"/>
  <c r="J2325" i="1"/>
  <c r="J2326" i="1"/>
  <c r="J311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267" i="1"/>
  <c r="J2343" i="1"/>
  <c r="J2344" i="1"/>
  <c r="J2345" i="1"/>
  <c r="J2346" i="1"/>
  <c r="J2347" i="1"/>
  <c r="J2348" i="1"/>
  <c r="J2349" i="1"/>
  <c r="J2350" i="1"/>
  <c r="J2351" i="1"/>
  <c r="J2352" i="1"/>
  <c r="J2353" i="1"/>
  <c r="I2359" i="1"/>
  <c r="G2359" i="1" l="1"/>
  <c r="D2359" i="1"/>
  <c r="J2" i="1"/>
  <c r="J2358" i="1" l="1"/>
  <c r="J2359" i="1" s="1"/>
  <c r="J1219" i="1"/>
</calcChain>
</file>

<file path=xl/connections.xml><?xml version="1.0" encoding="utf-8"?>
<connections xmlns="http://schemas.openxmlformats.org/spreadsheetml/2006/main">
  <connection id="1" keepAlive="1" name="Query - mamikos_data_bekasi" description="Connection to the 'mamikos_data_bekasi' query in the workbook." type="5" refreshedVersion="0" background="1">
    <dbPr connection="Provider=Microsoft.Mashup.OleDb.1;Data Source=$Workbook$;Location=mamikos_data_bekasi;Extended Properties=&quot;&quot;" command="SELECT * FROM [mamikos_data_bekasi]"/>
  </connection>
  <connection id="2" keepAlive="1" name="Query - mamikos_data_bogor" description="Connection to the 'mamikos_data_bogor' query in the workbook." type="5" refreshedVersion="0" background="1">
    <dbPr connection="Provider=Microsoft.Mashup.OleDb.1;Data Source=$Workbook$;Location=mamikos_data_bogor;Extended Properties=&quot;&quot;" command="SELECT * FROM [mamikos_data_bogor]"/>
  </connection>
  <connection id="3" keepAlive="1" name="Query - mamikos_data_bogor (2)" description="Connection to the 'mamikos_data_bogor (2)' query in the workbook." type="5" refreshedVersion="8" background="1" saveData="1">
    <dbPr connection="Provider=Microsoft.Mashup.OleDb.1;Data Source=$Workbook$;Location=&quot;mamikos_data_bogor (2)&quot;;Extended Properties=&quot;&quot;" command="SELECT * FROM [mamikos_data_bogor (2)]"/>
  </connection>
  <connection id="4" keepAlive="1" name="Query - mamikos_data_depok" description="Connection to the 'mamikos_data_depok' query in the workbook." type="5" refreshedVersion="0" background="1">
    <dbPr connection="Provider=Microsoft.Mashup.OleDb.1;Data Source=$Workbook$;Location=mamikos_data_depok;Extended Properties=&quot;&quot;" command="SELECT * FROM [mamikos_data_depok]"/>
  </connection>
  <connection id="5" keepAlive="1" name="Query - mamikos_data_jakarta_selatan" description="Connection to the 'mamikos_data_jakarta_selatan' query in the workbook." type="5" refreshedVersion="8" background="1" saveData="1">
    <dbPr connection="Provider=Microsoft.Mashup.OleDb.1;Data Source=$Workbook$;Location=mamikos_data_jakarta_selatan;Extended Properties=&quot;&quot;" command="SELECT * FROM [mamikos_data_jakarta_selatan]"/>
  </connection>
  <connection id="6" keepAlive="1" name="Query - mamikos_data_jakbar" description="Connection to the 'mamikos_data_jakbar' query in the workbook." type="5" refreshedVersion="0" background="1">
    <dbPr connection="Provider=Microsoft.Mashup.OleDb.1;Data Source=$Workbook$;Location=mamikos_data_jakbar;Extended Properties=&quot;&quot;" command="SELECT * FROM [mamikos_data_jakbar]"/>
  </connection>
  <connection id="7" keepAlive="1" name="Query - mamikos_data_jakbar (2)" description="Connection to the 'mamikos_data_jakbar (2)' query in the workbook." type="5" refreshedVersion="0" background="1">
    <dbPr connection="Provider=Microsoft.Mashup.OleDb.1;Data Source=$Workbook$;Location=&quot;mamikos_data_jakbar (2)&quot;;Extended Properties=&quot;&quot;" command="SELECT * FROM [mamikos_data_jakbar (2)]"/>
  </connection>
  <connection id="8" keepAlive="1" name="Query - mamikos_data_jakpus" description="Connection to the 'mamikos_data_jakpus' query in the workbook." type="5" refreshedVersion="0" background="1">
    <dbPr connection="Provider=Microsoft.Mashup.OleDb.1;Data Source=$Workbook$;Location=mamikos_data_jakpus;Extended Properties=&quot;&quot;" command="SELECT * FROM [mamikos_data_jakpus]"/>
  </connection>
  <connection id="9" keepAlive="1" name="Query - mamikos_data_jaksel" description="Connection to the 'mamikos_data_jaksel' query in the workbook." type="5" refreshedVersion="0" background="1">
    <dbPr connection="Provider=Microsoft.Mashup.OleDb.1;Data Source=$Workbook$;Location=mamikos_data_jaksel;Extended Properties=&quot;&quot;" command="SELECT * FROM [mamikos_data_jaksel]"/>
  </connection>
  <connection id="10" keepAlive="1" name="Query - mamikos_data_jaksel_2" description="Connection to the 'mamikos_data_jaksel_2' query in the workbook." type="5" refreshedVersion="0" background="1">
    <dbPr connection="Provider=Microsoft.Mashup.OleDb.1;Data Source=$Workbook$;Location=mamikos_data_jaksel_2;Extended Properties=&quot;&quot;" command="SELECT * FROM [mamikos_data_jaksel_2]"/>
  </connection>
  <connection id="11" keepAlive="1" name="Query - mamikos_data_jakut" description="Connection to the 'mamikos_data_jakut' query in the workbook." type="5" refreshedVersion="0" background="1">
    <dbPr connection="Provider=Microsoft.Mashup.OleDb.1;Data Source=$Workbook$;Location=mamikos_data_jakut;Extended Properties=&quot;&quot;" command="SELECT * FROM [mamikos_data_jakut]"/>
  </connection>
  <connection id="12" keepAlive="1" name="Query - mamikos_data_tangerang" description="Connection to the 'mamikos_data_tangerang' query in the workbook." type="5" refreshedVersion="0" background="1">
    <dbPr connection="Provider=Microsoft.Mashup.OleDb.1;Data Source=$Workbook$;Location=mamikos_data_tangerang;Extended Properties=&quot;&quot;" command="SELECT * FROM [mamikos_data_tangerang]"/>
  </connection>
  <connection id="13" keepAlive="1" name="Query - mamikos_data_tangerang_selatan" description="Connection to the 'mamikos_data_tangerang_selatan' query in the workbook." type="5" refreshedVersion="0" background="1">
    <dbPr connection="Provider=Microsoft.Mashup.OleDb.1;Data Source=$Workbook$;Location=mamikos_data_tangerang_selatan;Extended Properties=&quot;&quot;" command="SELECT * FROM [mamikos_data_tangerang_selatan]"/>
  </connection>
</connections>
</file>

<file path=xl/sharedStrings.xml><?xml version="1.0" encoding="utf-8"?>
<sst xmlns="http://schemas.openxmlformats.org/spreadsheetml/2006/main" count="22339" uniqueCount="5864">
  <si>
    <t>room_size</t>
  </si>
  <si>
    <t>is_electricity_included</t>
  </si>
  <si>
    <t>price_before_discount_bs</t>
  </si>
  <si>
    <t>all_facilities_bs</t>
  </si>
  <si>
    <t>room_name</t>
  </si>
  <si>
    <t>price</t>
  </si>
  <si>
    <t>rating</t>
  </si>
  <si>
    <t>tipe_kos</t>
  </si>
  <si>
    <t>location</t>
  </si>
  <si>
    <t>discount_amount</t>
  </si>
  <si>
    <t>region</t>
  </si>
  <si>
    <t>Kost Omah Ningrat Dramaga Bogor</t>
  </si>
  <si>
    <t>3 x 3 meter</t>
  </si>
  <si>
    <t>Tidak termasuk listrik</t>
  </si>
  <si>
    <t>N/A</t>
  </si>
  <si>
    <t>3 x 3 meter; Tidak termasuk listrik; Kasur; Lemari Baju; K. Mandi Dalam; Kloset Duduk; Shower; WiFi; R. Tamu; Dapur; TV; Balcon; Pengurus Kos; Jemuran; Parkir Mobil; Parkir Motor; Parkir Sepeda</t>
  </si>
  <si>
    <t>Rp500.000</t>
  </si>
  <si>
    <t>Rp1.300.000</t>
  </si>
  <si>
    <t>Kos Putri</t>
  </si>
  <si>
    <t>Dramaga</t>
  </si>
  <si>
    <t>Bogor</t>
  </si>
  <si>
    <t>Kost Dean Dramaga Bogor</t>
  </si>
  <si>
    <t>3 x 3 meter; Tidak termasuk listrik; AC; Kasur; Meja; Meja Rias; TV; Kulkas; Lemari Baju; Ventilasi; Bantal; Cermin; K. Mandi Dalam; Kloset Duduk; Wastafel; Shower; Air panas; WiFi; Penjaga Kos; Mushola; Dapur; Dispenser; Balcon; CCTV; Gazebo; Jemuran; Parkir Mobil; Parkir Motor</t>
  </si>
  <si>
    <t>Rp1.700.000</t>
  </si>
  <si>
    <t>Kecamatan Dramaga</t>
  </si>
  <si>
    <t>Kost Singgahsini Casablanca III Tipe A Bogor</t>
  </si>
  <si>
    <t>3.2 x 3 meter</t>
  </si>
  <si>
    <t>Rp1.525.000</t>
  </si>
  <si>
    <t>3.2 x 3 meter; Tidak termasuk listrik; AC; Kasur; Meja; Lemari Baju; Kursi; Bantal; Cermin; Jendela; Kloset Duduk; K. Mandi Luar; Wastafel; Shower; WiFi; Kulkas; R. Tamu; R. Makan; R. Jemur; Dapur; Dispenser; TV; CCTV; Rice Cooker; Parkir Mobil; Parkir Motor; Parkir Sepeda</t>
  </si>
  <si>
    <t>Rp1.450.000</t>
  </si>
  <si>
    <t>Babakan Madang</t>
  </si>
  <si>
    <t>Diskon 75rb</t>
  </si>
  <si>
    <t>Kost Dary Sirkuit Sentul Citeureup Bogor</t>
  </si>
  <si>
    <t>3 x 4 meter</t>
  </si>
  <si>
    <t>Termasuk listrik (implied)</t>
  </si>
  <si>
    <t>3 x 4 meter; Termasuk listrik; Kasur; Meja; Lemari Baju; Ventilasi; Kursi; Bantal; Cermin; Guling; Jendela; K. Mandi Dalam; Kloset Jongkok; Ember mandi; WiFi; R. Jemur; R. Santai; Balcon; Pengurus Kos; Jemuran; Parkir Mobil; Parkir Motor; Parkir Sepeda</t>
  </si>
  <si>
    <t>Rp1.200.000</t>
  </si>
  <si>
    <t>Kos Putra</t>
  </si>
  <si>
    <t>Citeureup</t>
  </si>
  <si>
    <t>Kost Wisma Sanata Nur Tipe B1 Gunung Sindur Bogor</t>
  </si>
  <si>
    <t>2.7 x 3 meter</t>
  </si>
  <si>
    <t>2.7 x 3 meter; Termasuk listrik; Kasur; Meja; Lemari Baju; Ventilasi; Bantal; Cermin; Guling; Jendela; Kipas Angin; Kursi; K. Mandi Dalam; Kloset Duduk; Ember mandi; Shower; WiFi; Kulkas; R. Cuci; Penjaga Kos; R. Tamu; Mushola; R. Jemur; R. Makan; R. Santai; Dapur; Parkir Mobil; Parkir Motor; Parkir Sepeda</t>
  </si>
  <si>
    <t>Rp1.100.000</t>
  </si>
  <si>
    <t>Kos Campur</t>
  </si>
  <si>
    <t>Gunung Sindur</t>
  </si>
  <si>
    <t>Kost Apik Wisma Lamban Muli Tipe A Dramaga Bogor</t>
  </si>
  <si>
    <t>Rp675.000</t>
  </si>
  <si>
    <t>3 x 3 meter; Termasuk listrik; Kasur; Meja; Lemari Baju; Kursi; Bantal; Jendela; Kloset Duduk; Kloset Jongkok; K. Mandi Luar; Ember mandi; WiFi; R. Cuci; Kulkas; Penjaga Kos; R. Jemur; Mushola; Dapur; Rice Cooker; Parkir Motor; Parkir Sepeda</t>
  </si>
  <si>
    <t>Rp623.000</t>
  </si>
  <si>
    <t>Diskon 52rb</t>
  </si>
  <si>
    <t>Kost Arrayyan Living Ciampea Bogor</t>
  </si>
  <si>
    <t>3 x 4 meter; Tidak termasuk listrik; AC; Kasur; Meja; Lemari Baju; Kursi; Bantal; Guling; Jendela; K. Mandi Dalam; Kloset Duduk; Shower; Air panas; WiFi; Kulkas; Penjaga Kos; R. Jemur; R. Santai; Dapur; TV; Taman; CCTV; Pengurus Kos; Parkir Mobil; Parkir Motor; Parkir Sepeda</t>
  </si>
  <si>
    <t>Rp1.000.000</t>
  </si>
  <si>
    <t>Rp2.150.000</t>
  </si>
  <si>
    <t>Kecamatan Ciampea</t>
  </si>
  <si>
    <t>Kost Ciangsana Wiss Tipe Studio Gunung Putri Bogor</t>
  </si>
  <si>
    <t>3 x 4 meter; Tidak termasuk listrik; AC; Kasur; Lemari Baju; Jendela; Wastafel; Bantal; Dapur Pribadi; Guling; K. Mandi Dalam; Kloset Duduk; Shower; WiFi; R. Jemur; Dapur; Balcon; CCTV; Jemuran; Pengurus Kos; Rooftop; Parkir Mobil; Parkir Motor; Parkir Sepeda; Parkir Motor &amp; Sepeda</t>
  </si>
  <si>
    <t>Rp1.435.000</t>
  </si>
  <si>
    <t>Kecamatan Gunung Putri</t>
  </si>
  <si>
    <t>Kost Pondok Delima Tipe B Dramaga Bogor</t>
  </si>
  <si>
    <t>2 x 2.5 meter</t>
  </si>
  <si>
    <t>2 x 2.5 meter; Tidak termasuk listrik; Kasur; Meja; Lemari Baju; Ventilasi; Bantal; Guling; Jendela; Kursi; Kloset Jongkok; K. Mandi Luar; Ember mandi; Wastafel; Bak mandi; WiFi; Kulkas; R. Tamu; R. Jemur; R. Makan; R. Santai; Dapur; Balcon; Jemuran; Parkir Motor &amp; Sepeda</t>
  </si>
  <si>
    <t>Rp550.000</t>
  </si>
  <si>
    <t>Kost Belawan Tipe Standard Babakan Madang Bogor</t>
  </si>
  <si>
    <t>2 x 3 meter</t>
  </si>
  <si>
    <t>2 x 3 meter; Termasuk listrik; AC; Kasur; Meja; Lemari Baju; Bantal; Kursi; Kloset Duduk; K. Mandi Luar; Wastafel; Shower; WiFi; R. Makan; Dapur; Dispenser; Balcon; Taman; Parkir Motor &amp; Sepeda</t>
  </si>
  <si>
    <t>Rp1.500.000</t>
  </si>
  <si>
    <t>Kecamatan Babakan Madang</t>
  </si>
  <si>
    <t>Kost Pak Yul 2 Tipe A Gunung Putri Bogor</t>
  </si>
  <si>
    <t>3 x 3 meter; Termasuk listrik; Kasur; Meja; Lemari Baju; Ventilasi; Bantal; Cermin; Guling; Jendela; Kipas Angin; Wastafel; Kloset Duduk; Ember mandi; R. Cuci; R. Tamu; R. Jemur; R. Makan; R. Santai; Dapur; Jemuran; Jual Makanan; R. Keluarga; Taman; Parkir Mobil; Parkir Motor</t>
  </si>
  <si>
    <t>Kost Taman Budaya Compact Babakan Madang Bogor</t>
  </si>
  <si>
    <t>3 x 5 meter</t>
  </si>
  <si>
    <t>3 x 5 meter; Tidak termasuk listrik; AC; Kasur; Meja; Lemari Baju; Ventilasi; Bantal; Guling; Jendela; Kursi; TV Kabel; Kloset Duduk; K. Mandi Luar; Shower; WiFi; Kulkas; Penjaga Kos; R. Tamu; R. Jemur; R. Makan; R. Santai; Dispenser; CCTV; Balcon; Parkir Mobil; Parkir Motor</t>
  </si>
  <si>
    <t>Kost H Alex Tipe B Bojonggede Bogor</t>
  </si>
  <si>
    <t>2.5 x 2.5 meter</t>
  </si>
  <si>
    <t>2.5 x 2.5 meter; Tidak termasuk listrik; Jendela; Wastafel; Kloset Jongkok; K. Mandi Luar; Penjaga Kos; R. Jemur; Jemuran; Jual Makanan; Pengurus Kos; R. Keluarga; Parkir Mobil; Parkir Motor; Parkir Sepeda; Parkir Motor &amp; Sepeda</t>
  </si>
  <si>
    <t>Rp750.000</t>
  </si>
  <si>
    <t>Kecamatan Bojonggede</t>
  </si>
  <si>
    <t>Kost Vanya 2 Dramaga Bogor</t>
  </si>
  <si>
    <t>4 x 4 meter</t>
  </si>
  <si>
    <t>4 x 4 meter; Tidak termasuk listrik; AC; Kasur; Meja; Dispenser; Lemari Baju; Ventilasi; Bantal; Guling; Jendela; Kursi; K. Mandi Dalam; Kloset Duduk; Wastafel; Shower; Air panas; WiFi; Kulkas; R. Cuci; Penjaga Kos; R. Tamu; Laundry; Mesin Cuci; R. Jemur; R. Makan; Mushola; Parkir Mobil; Parkir Motor; Parkir Sepeda; Parkir Motor &amp; Sepeda</t>
  </si>
  <si>
    <t>Rp1.400.000</t>
  </si>
  <si>
    <t>Kost Sopo House Cileungsi Bogor</t>
  </si>
  <si>
    <t>3 x 4 meter; Tidak termasuk listrik; AC; Kasur; Meja; Lemari Baju; Bantal; Cermin; Jendela; Kursi; Guling; K. Mandi Dalam; Kloset Duduk; Shower; Air panas; WiFi; Kulkas; Penjaga Kos; Mesin Cuci; R. Tamu; R. Makan; R. Jemur; R. Santai; Dapur; CCTV; Parkir Mobil; Parkir Motor; Parkir Sepeda; Parkir Motor &amp; Sepeda</t>
  </si>
  <si>
    <t>Cileungsi</t>
  </si>
  <si>
    <t>Kost Pondok Venesia I Babakan Madang Bogor</t>
  </si>
  <si>
    <t>3 x 3 meter; Termasuk listrik; AC; Kasur; Meja; Ventilasi; Bantal; Cermin; Guling; Jendela; Kursi; K. Mandi Dalam; Kloset Duduk; Ember mandi; Shower; Air panas; WiFi; Kulkas; Mesin Cuci; R. Tamu; R. Makan; R. Santai; Dapur; Dispenser; Pengurus Kos; Rice Cooker</t>
  </si>
  <si>
    <t>Rp1.850.000</t>
  </si>
  <si>
    <t>Kost Emerald Dramaga Bogor</t>
  </si>
  <si>
    <t>3 x 4 meter; Tidak termasuk listrik; AC; Kasur; Meja Rias; Lemari Baju; Bantal; Jendela; Kursi; K. Mandi Dalam; Kloset Duduk; Shower; WiFi; Kulkas; R. Cuci; Mesin Cuci; Penjaga Kos; R. Jemur; R. Santai; Dapur; Dispenser; Jemuran; Parkir Motor &amp; Sepeda</t>
  </si>
  <si>
    <t>Rp1.650.000</t>
  </si>
  <si>
    <t>Kost Btari Tipe A Citeureup Bogor</t>
  </si>
  <si>
    <t>3 x 4 meter; Tidak termasuk listrik; Kasur; Meja; Lemari Baju; Ventilasi; Cermin; Jendela; Kipas Angin; Kursi; K. Mandi Dalam; Kloset Duduk; Shower; WiFi; Kulkas; R. Cuci; Penjaga Kos; R. Jemur; R. Makan; R. Santai; Dapur; Balcon; CCTV; Parkir Motor &amp; Sepeda</t>
  </si>
  <si>
    <t>Kost Kosy Tipe A Babakan Madang Bogor</t>
  </si>
  <si>
    <t>3 x 4 meter; Termasuk listrik; AC; Kasur; Meja; Lemari Baju; Ventilasi; Bantal; Cermin; Dapur Pribadi; Guling; Jendela; Kloset Duduk; K. Mandi Luar; Ember mandi; Shower; Air panas; WiFi; R. Cuci; Kulkas; Penjaga Kos; Laundry; Mesin Cuci; R. Tamu; R. Jemur; R. Makan; R. Santai; Parkir Mobil; Parkir Motor &amp; Sepeda</t>
  </si>
  <si>
    <t>Rp1.600.000</t>
  </si>
  <si>
    <t>Kost Pondok Raos Dramaga Bogor</t>
  </si>
  <si>
    <t>2.5 x 2.7 meter</t>
  </si>
  <si>
    <t>2.5 x 2.7 meter; Tidak termasuk listrik; Kasur; Ventilasi; Bantal; Jendela; Kloset Duduk; Kloset Jongkok; K. Mandi Luar; Ember mandi; Shower; R. Cuci; R. Jemur; Dapur; Dispenser; Balcon; Jemuran; Parkir Motor &amp; Sepeda</t>
  </si>
  <si>
    <t>Kost Wulan Gunung Sindur Bogor</t>
  </si>
  <si>
    <t>3 x 3 meter; Termasuk listrik; Kasur; Meja; Lemari Baju; Bantal; Kipas Angin; Kursi; Ember mandi; WiFi; Kulkas; R. Tamu; Dapur; Parkir Motor; Parkir Sepeda</t>
  </si>
  <si>
    <t>Rp900.000</t>
  </si>
  <si>
    <t>Kecamatan Gunung Sindur</t>
  </si>
  <si>
    <t>Kost Almic Property Tipe A Caringin Bogor</t>
  </si>
  <si>
    <t>3 x 3 meter; Tidak termasuk listrik; Kasur; Lemari Baju; Bantal; Jendela; Kloset Duduk; K. Mandi Luar; Ember mandi; Dapur; Parkir Motor</t>
  </si>
  <si>
    <t>Rp650.000</t>
  </si>
  <si>
    <t>Kecamatan Caringin</t>
  </si>
  <si>
    <t>Kost Almic Property Tipe L Caringin Bogor</t>
  </si>
  <si>
    <t>3 x 4 meter; Tidak termasuk listrik; Kasur; Meja; Lemari Baju; Bantal; K. Mandi Dalam; Kloset Jongkok; Jemuran; Parkir Motor</t>
  </si>
  <si>
    <t>Rp800.000</t>
  </si>
  <si>
    <t/>
  </si>
  <si>
    <t>Kost Haji Umar Tipe A1 Cileungsi Bogor</t>
  </si>
  <si>
    <t>3 x 3 meter; Termasuk listrik; Kasur; Lemari Baju; Bantal; Dapur Pribadi; Jendela; Wastafel; K. Mandi Dalam; Kloset Jongkok; Ember mandi; WiFi; Penjaga Kos; Dapur; Balcon; CCTV; Jemuran; Jual Makanan; Pengurus Kos; Parkir Motor; Parkir Sepeda; Parkir Motor &amp; Sepeda</t>
  </si>
  <si>
    <t>Kecamatan Cileungsi</t>
  </si>
  <si>
    <t>Kost Almic Property Tipe M Caringin Bogor</t>
  </si>
  <si>
    <t>Kost Almic Tipe B Caringin Bogor</t>
  </si>
  <si>
    <t>3 x 3 meter; Tidak termasuk listrik; Kasur; Lemari Baju; Bantal; Jendela; Kursi; Wastafel; K. Mandi Dalam; Kloset Jongkok; Ember mandi; Penjaga Kos; Jemuran; Parkir Motor</t>
  </si>
  <si>
    <t>Kost Luffy Sukaraja Bogor</t>
  </si>
  <si>
    <t>3 x 3 meter; Tidak termasuk listrik; Kasur; Lemari Baju; Ventilasi; Bantal; Guling; Jendela; K. Mandi Dalam; Kloset Jongkok; Ember mandi; WiFi; Laundry; Dapur; Pengurus Kos; Parkir Motor; Parkir Sepeda</t>
  </si>
  <si>
    <t>Kecamatan Sukaraja</t>
  </si>
  <si>
    <t>Kost Billabong Tipe Standart Bojong Gede Bogor</t>
  </si>
  <si>
    <t>3 x 7 meter</t>
  </si>
  <si>
    <t>3 x 7 meter; Tidak termasuk listrik; Kasur; Meja; Dispenser; TV; Lemari Baju; Kulkas; Ventilasi; Kursi; Bantal; Cermin; K. Mandi Dalam; Kloset Jongkok; Ember mandi; WiFi; R. Cuci; Laundry; Mesin Cuci; Penjaga Kos; R. Jemur; Mushola; Dapur; Taman; Parkir Motor; Parkir Sepeda</t>
  </si>
  <si>
    <t>Bojong Gede</t>
  </si>
  <si>
    <t>Kost Billabong Tipe A Bojong Gede Bogor</t>
  </si>
  <si>
    <t>Kost My Room VVIP Gunung Putri Bogor</t>
  </si>
  <si>
    <t>3 x 6 meter</t>
  </si>
  <si>
    <t>3 x 6 meter; Termasuk listrik; AC; Kasur; Meja; TV; Kulkas; Lemari Baju; Bantal; Cermin; Guling; Wastafel; K. Mandi Dalam; Kloset Duduk; Shower; Air panas; Parkir Mobil; Parkir Motor</t>
  </si>
  <si>
    <t>Rp2.000.000</t>
  </si>
  <si>
    <t>Kost Singgahsini Casablanca III Tipe C Bogor</t>
  </si>
  <si>
    <t>4.8 x 3 meter</t>
  </si>
  <si>
    <t>Rp2.525.000</t>
  </si>
  <si>
    <t>4.8 x 3 meter; Tidak termasuk listrik; AC; Kasur; Meja; Lemari Baju; Kursi; K. Mandi Dalam; Kloset Duduk; Air panas; WiFi; Kulkas; R. Tamu; R. Makan; R. Jemur; Dapur; Dispenser; TV; CCTV; Rice Cooker; Parkir Mobil; Parkir Motor; Parkir Sepeda</t>
  </si>
  <si>
    <t>Rp2.400.000</t>
  </si>
  <si>
    <t>Diskon 125rb</t>
  </si>
  <si>
    <t>Kost Twin House Tipe VVIP Dramaga Bogor</t>
  </si>
  <si>
    <t>3 x 3 meter; Tidak termasuk listrik; AC; Kasur; Meja; Lemari Baju; Ventilasi; Bantal; Cermin; Jendela; Kursi; K. Mandi Dalam; Kloset Duduk; Shower; WiFi; Kulkas; R. Tamu; R. Makan; R. Santai; Dapur; CCTV; Kartu Akses; R. Keluarga; Taman; Parkir Mobil; Parkir Motor; Parkir Sepeda</t>
  </si>
  <si>
    <t>Rp1.550.000</t>
  </si>
  <si>
    <t>Kost Modern Byyu Sentulcity Eksklusif Babakan Madang Bogor</t>
  </si>
  <si>
    <t>3 x 4 meter; Tidak termasuk listrik; AC; Kasur; Meja; TV; Lemari Baju; Bantal; Cermin; Cleaning service; Guling; Jendela; K. Mandi Dalam; Kloset Duduk; Ember mandi; Shower; Air panas; WiFi; Kulkas; Penjaga Kos; R. Tamu; Laundry; Mushola; R. Makan; R. Santai; Dapur; Dispenser; Parkir Mobil; Parkir Motor; Parkir Sepeda; Parkir Motor &amp; Sepeda</t>
  </si>
  <si>
    <t>Rumah Kontrakan CNA Home Tamansari Bogor</t>
  </si>
  <si>
    <t>5 x 6 meter</t>
  </si>
  <si>
    <t>5 x 6 meter; Tidak termasuk listrik; AC; Kasur; Meja; TV; Kulkas; Kursi; K. Mandi Dalam; Kloset Duduk; Ember mandi; Wastafel; Shower; Air panas; R. Tamu; Dapur; Taman; Parkir Mobil; Parkir Motor; Parkir Sepeda; Parkir Motor &amp; Sepeda</t>
  </si>
  <si>
    <t>Rp3.500.000</t>
  </si>
  <si>
    <t>Tamansari</t>
  </si>
  <si>
    <t>Kost Mirasony 2 Tipe A Cileungsi Bogor</t>
  </si>
  <si>
    <t>3 x 3 meter; Termasuk listrik; Kasur; Dispenser; Lemari Baju; Kulkas; Ventilasi; Bantal; Cermin; Guling; Meja makan; Sofa; Kloset Duduk; K. Mandi Luar; Ember mandi; WiFi; R. Cuci; Mesin Cuci; Penjaga Kos; R. Tamu; Mushola; R. Jemur; R. Makan; R. Santai; Parkir Motor &amp; Sepeda</t>
  </si>
  <si>
    <t>Kost H Mahmud Babakan Madang Bogor</t>
  </si>
  <si>
    <t>3 x 3 meter; Tidak termasuk listrik; AC; Kasur; Meja; TV; Lemari Baju; Ventilasi; Bantal; Cermin; Guling; Jendela; K. Mandi Dalam; Kloset Duduk; Shower; Air panas; WiFi; Kulkas; R. Cuci; Laundry; Mesin Cuci; Penjaga Kos; R. Tamu; Mushola; R. Jemur; R. Makan; Parkir Motor &amp; Sepeda</t>
  </si>
  <si>
    <t>Kost Habib Cibungbulang Bogor</t>
  </si>
  <si>
    <t>12 x 6 meter</t>
  </si>
  <si>
    <t>12 x 6 meter; Tidak termasuk listrik; Ventilasi; Wastafel; Dapur Pribadi; Jendela; K. Mandi Dalam; Kloset Jongkok; Ember mandi; R. Cuci; R. Tamu; R. Makan; R. Jemur; Mushola; R. Santai; Dapur; Taman; R. Keluarga; Jemuran; Parkir Mobil; Parkir Motor; Parkir Sepeda</t>
  </si>
  <si>
    <t>Cibungbulang</t>
  </si>
  <si>
    <t>Kost Almic Property Tipe N Caringin Bogor</t>
  </si>
  <si>
    <t>3 x 4 meter; Tidak termasuk listrik; AC; Kasur; Meja; Lemari Baju; Bantal; Cermin; Jendela; Kursi; Wastafel; K. Mandi Dalam; Kloset Jongkok; Jemuran; Parkir Motor</t>
  </si>
  <si>
    <t>Kost Abas Babakan Madang Bogor</t>
  </si>
  <si>
    <t>3 x 4 meter; Tidak termasuk listrik; AC; Kasur; Lemari Baju; Bantal; Jendela; Kloset Duduk; K. Mandi Luar; Ember mandi; Laundry; R. Jemur; Dispenser</t>
  </si>
  <si>
    <t>Rp700.000</t>
  </si>
  <si>
    <t>Kost Swanhouse Tipe A Ciampea Bogor</t>
  </si>
  <si>
    <t>4 x 5 meter</t>
  </si>
  <si>
    <t>4 x 5 meter; Tidak termasuk listrik; AC; Kasur; Dispenser; Meja; Lemari Baju; Ventilasi; Bantal; Cermin; Cleaning service; Jendela; K. Mandi Dalam; Kloset Duduk; Ember mandi; Wastafel; Shower; Air panas; WiFi; Laundry; Penjaga Kos; R. Tamu; R. Jemur; R. Santai; Dapur; Balcon; CCTV; Parkir Mobil; Parkir Motor; Parkir Sepeda; Parkir Motor &amp; Sepeda</t>
  </si>
  <si>
    <t>Kost Cidokom Tipe A Gunung Sindur Bogor</t>
  </si>
  <si>
    <t>3 x 3 meter; Termasuk listrik; Kasur; Meja; Lemari Baju; Bantal; Jendela; Kursi; Kloset Jongkok; K. Mandi Luar; Ember mandi; R. Jemur; R. Santai; Dapur; Dispenser; Jemuran; Parkir Motor; Parkir Sepeda; Parkir Motor &amp; Sepeda</t>
  </si>
  <si>
    <t>Kost By The River 01 Tipe VIP Ciampea Bogor</t>
  </si>
  <si>
    <t>3 x 3 meter; Tidak termasuk listrik; AC; Kasur; Meja; Lemari Baju; Ventilasi; Bantal; Cermin; Cleaning service; Jendela; Kursi; K. Mandi Dalam; Kloset Duduk; Kloset Jongkok; Wastafel; Shower; WiFi; Kulkas; R. Cuci; Laundry; Penjaga Kos; R. Tamu; Mesin Cuci; R. Jemur; R. Makan; R. Santai; Parkir Mobil; Parkir Motor; Parkir Sepeda</t>
  </si>
  <si>
    <t>Ciampea</t>
  </si>
  <si>
    <t>Kost Singgahsini Casablanca III Tipe B Bogor</t>
  </si>
  <si>
    <t>Rp4.525.000</t>
  </si>
  <si>
    <t>3 x 3 meter; Tidak termasuk listrik; AC; Kasur; Meja; Lemari Baju; Kursi; Bantal; Cermin; Jendela; K. Mandi Dalam; Kloset Duduk; Wastafel; Shower; Air panas; WiFi; Kulkas; R. Tamu; R. Makan; R. Jemur; Dapur; Dispenser; TV; CCTV; Rice Cooker; Parkir Mobil; Parkir Motor; Parkir Sepeda</t>
  </si>
  <si>
    <t>Rp4.165.000</t>
  </si>
  <si>
    <t>Diskon 360rb</t>
  </si>
  <si>
    <t>Kost Cahaya Dramaga Bogor</t>
  </si>
  <si>
    <t>2 x 3 meter; Termasuk listrik; Kasur; Lemari Baju; Kulkas; Bantal; Kipas Angin; Wastafel; Kloset Jongkok; K. Mandi Luar; Ember mandi; WiFi; R. Jemur; R. Santai; Dapur; CCTV; Jemuran; Parkir Motor</t>
  </si>
  <si>
    <t>Rp600.000</t>
  </si>
  <si>
    <t>Kost Fatih Resort Dramaga Bogor</t>
  </si>
  <si>
    <t>3 x 3 meter; Tidak termasuk listrik; AC; Kasur; Dispenser; Meja; Meja Rias; Lemari Baju; Ventilasi; Bantal; Cermin; Cleaning service; K. Mandi Dalam; Kloset Duduk; Ember mandi; Shower; WiFi; Kulkas; Penjaga Kos; Dapur; CCTV; Pengurus Kos; Parkir Mobil; Parkir Motor; Parkir Sepeda; Parkir Motor &amp; Sepeda</t>
  </si>
  <si>
    <t>Rp450.000</t>
  </si>
  <si>
    <t>Kost Almic Property Tipe I Caringin Bogor</t>
  </si>
  <si>
    <t>2.5 x 3 meter</t>
  </si>
  <si>
    <t>2.5 x 3 meter; Tidak termasuk listrik; Kasur; Meja; Lemari Baju; Ventilasi; Bantal; K. Mandi Dalam; Kloset Jongkok; Ember mandi; Jemuran; Parkir Motor</t>
  </si>
  <si>
    <t>Kost Omaesopo Tipe B Dramaga Bogor</t>
  </si>
  <si>
    <t>3 x 3 meter; Tidak termasuk listrik; AC; Kasur; Meja; Lemari Baju; Bantal; Jendela; Kursi; Kloset Duduk; K. Mandi Luar; Shower; WiFi; Kulkas; R. Cuci; R. Tamu; Mesin Cuci; R. Jemur; R. Makan; R. Santai; Dapur; Parkir Motor</t>
  </si>
  <si>
    <t>Rp1.475.000</t>
  </si>
  <si>
    <t>Kost Bintang Dramaga Bogor</t>
  </si>
  <si>
    <t>3 x 3 meter; Tidak termasuk listrik; Kasur; Meja; Lemari Baju; Ventilasi; Bantal; Guling; Jendela; Kipas Angin; Kursi; K. Mandi Dalam; Kloset Duduk; Shower; WiFi; R. Cuci; Laundry; Penjaga Kos; R. Jemur; Dapur; Balcon; CCTV; Gazebo; Jemuran; Parkir Motor; Parkir Sepeda; Parkir Motor &amp; Sepeda</t>
  </si>
  <si>
    <t>Rp850.000</t>
  </si>
  <si>
    <t>Kost Dean 2 Dramaga Bogor</t>
  </si>
  <si>
    <t>3.5 x 3.5 meter</t>
  </si>
  <si>
    <t>3.5 x 3.5 meter; Tidak termasuk listrik; AC; Kasur; Meja; Meja Rias; TV; Kulkas; Lemari Baju; Ventilasi; Bantal; Cermin; K. Mandi Dalam; Kloset Duduk; Wastafel; Shower; WiFi; Penjaga Kos; Dapur; CCTV; Kartu Akses; Pengurus Kos; Rooftop; Taman; Parkir Mobil; Parkir Motor; Parkir Sepeda; Parkir Motor &amp; Sepeda</t>
  </si>
  <si>
    <t>Kost RegFel Residence 2 Gunung Putri Bogor</t>
  </si>
  <si>
    <t>3 x 4 meter; Termasuk listrik; AC; Kasur; Meja; Lemari Baju; Bantal; Cermin; Guling; Jendela; Kloset Duduk; K. Mandi Luar; Wastafel; Shower; Air panas; WiFi; Kulkas; Laundry; Dapur; Dispenser; CCTV; Parkir Mobil; Parkir Motor; Parkir Sepeda</t>
  </si>
  <si>
    <t>Kost H Alex Tipe A Bojonggede Bogor</t>
  </si>
  <si>
    <t>2.5 x 2.5 meter; Tidak termasuk listrik; Kasur; Jendela; Wastafel; Kloset Jongkok; K. Mandi Luar; Ember mandi; Bak mandi; Penjaga Kos; R. Jemur; Dapur; Jemuran; Jual Makanan; Pengurus Kos; R. Keluarga; Parkir Mobil; Parkir Motor; Parkir Sepeda; Parkir Motor &amp; Sepeda</t>
  </si>
  <si>
    <t>Kost Warbun Tipe C Cileungsi Bogor</t>
  </si>
  <si>
    <t>3 x 4 meter; Tidak termasuk listrik; Kasur; Ventilasi; Kloset Duduk; K. Mandi Luar; Wastafel; Shower; Air panas; WiFi; Penjaga Kos; R. Jemur; Balcon; CCTV; Gazebo; Jemuran; Jual Makanan; Rooftop; Parkir Mobil; Parkir Motor; Parkir Sepeda; Parkir Motor &amp; Sepeda</t>
  </si>
  <si>
    <t>Kost Singgahsini Casablanca III Tipe D Bogor</t>
  </si>
  <si>
    <t>Rp1.825.000</t>
  </si>
  <si>
    <t>3 x 3 meter; Tidak termasuk listrik; AC; Kasur; Meja; Lemari Baju; Kursi; K. Mandi Dalam; Kloset Duduk; Air panas; WiFi; Kulkas; R. Tamu; R. Makan; R. Jemur; Dapur; Dispenser; TV; CCTV; Rice Cooker; Parkir Mobil; Parkir Motor; Parkir Sepeda; Parkir Motor &amp; Sepeda</t>
  </si>
  <si>
    <t>Rp1.735.000</t>
  </si>
  <si>
    <t>Diskon 90rb</t>
  </si>
  <si>
    <t>Kost Pondok Salam Ciampea Bogor</t>
  </si>
  <si>
    <t>3 x 3 meter; Tidak termasuk listrik; Jendela; K. Mandi Dalam; Kloset Jongkok; Shower; R. Tamu; R. Jemur; R. Makan; Dapur; Balcon; Jemuran; R. Keluarga; Parkir Mobil; Parkir Motor; Parkir Sepeda; Parkir Motor &amp; Sepeda</t>
  </si>
  <si>
    <t>Rp1.250.000</t>
  </si>
  <si>
    <t>Kost Rumah Tenjo Bogor</t>
  </si>
  <si>
    <t>3 x 4 meter; Tidak termasuk listrik; AC; Kloset Duduk; R. Cuci; R. Tamu; R. Jemur; R. Makan; R. Santai; Dapur; Balcon; Kartu Akses; R. Keluarga; Taman; Parkir Mobil; Parkir Motor; Parkir Sepeda; Parkir Motor &amp; Sepeda</t>
  </si>
  <si>
    <t>Kecamatan Tenjo</t>
  </si>
  <si>
    <t>Kost Permata Pancoran Mas Depok</t>
  </si>
  <si>
    <t>3 x 3 meter; Termasuk listrik; Kasur; Lemari Baju; Bantal; Cermin; Jendela; Kloset Duduk; Kloset Jongkok; K. Mandi Luar; Ember mandi; Wastafel; Shower; R. Cuci; Penjaga Kos; R. Jemur; R. Santai; Jemuran; R. Keluarga; Parkir Motor</t>
  </si>
  <si>
    <t>Pancoran Mas</t>
  </si>
  <si>
    <t>Kost VB98 Sentul City Babakan Madang Bogor</t>
  </si>
  <si>
    <t>2.5 x 2.8 meter</t>
  </si>
  <si>
    <t>2.5 x 2.8 meter; Tidak termasuk listrik; AC; Kasur; Meja; Ventilasi; Jendela; Guling; Kursi; Bantal; K. Mandi Dalam; Kloset Duduk; Ember mandi; Shower; Air panas; Kulkas; R. Cuci; Penjaga Kos; R. Tamu; R. Jemur; R. Santai; Dispenser; Dapur; Balcon; Jemuran; Parkir Motor</t>
  </si>
  <si>
    <t>Kost Teras Berkat Tipe A Babakan Madang Bogor</t>
  </si>
  <si>
    <t>3 x 4 meter; Termasuk listrik; AC; Kasur; Meja; Lemari Baju; Bantal; Guling; Jendela; Kursi; Wastafel; Kloset Duduk; K. Mandi Luar; Ember mandi; Shower; Air panas; Kulkas; R. Cuci; Mesin Cuci; R. Jemur; R. Makan; R. Santai; Dapur; Balcon; Jemuran; Jual Makanan; Parkir Mobil; Parkir Motor; Parkir Sepeda</t>
  </si>
  <si>
    <t>Kost Membramo Babakan Madang Bogor</t>
  </si>
  <si>
    <t>3 x 4 meter; Tidak termasuk listrik; AC; Kasur; Meja; Lemari Baju; Bantal; Guling; Jendela; Cleaning service; K. Mandi Dalam; Kloset Duduk; Shower; WiFi; R. Cuci; Mesin Cuci; Penjaga Kos; R. Jemur; R. Santai; Dapur; Dispenser; Taman; CCTV; Parkir Mobil; Parkir Motor</t>
  </si>
  <si>
    <t>Kost Ibu Tum Cibinong Bogor</t>
  </si>
  <si>
    <t>3 x 4 meter; Tidak termasuk listrik; Ventilasi; Wastafel; K. Mandi Dalam; Kloset Jongkok; R. Cuci; R. Tamu; R. Makan; R. Jemur; R. Santai; Dapur; Pengurus Kos; Jemuran; Parkir Motor</t>
  </si>
  <si>
    <t>Cibinong</t>
  </si>
  <si>
    <t>Rumah Kontrakan Nanang Bojong Rangkas Ciampea Bogor</t>
  </si>
  <si>
    <t>3 x 3 meter; Tidak termasuk listrik; Ventilasi; Dapur Pribadi; Jendela; Wastafel; Kloset Jongkok; K. Mandi Luar; Shower; R. Cuci; R. Tamu; R. Jemur; R. Makan; R. Santai; Dapur; Balcon; Jual Makanan; R. Keluarga; Parkir Motor; Parkir Sepeda</t>
  </si>
  <si>
    <t>Kost Rafa Rafi 2 Tipe B Cibinong Bogor</t>
  </si>
  <si>
    <t>3 x 5 meter; Tidak termasuk listrik; AC; Kasur; Meja; Kulkas; Lemari Baju; Bantal; Cermin; Guling; Jendela; Kursi; K. Mandi Dalam; Kloset Duduk; Shower; Air panas; WiFi; R. Cuci; Penjaga Kos; R. Tamu; R. Jemur; R. Santai; Dapur; Balcon; CCTV; Parkir Mobil; Parkir Motor; Parkir Sepeda</t>
  </si>
  <si>
    <t>Kost Aeon Bsd Tipe Executive Cisauk Tangerang</t>
  </si>
  <si>
    <t>4 x 4 meter; Tidak termasuk listrik; AC; TV; Lemari Baju; Ventilasi; Wastafel; Dapur Pribadi; TV Kabel; Jendela; K. Mandi Dalam; Kloset Jongkok; Ember mandi; WiFi; R. Tamu; Mushola; R. Jemur; R. Makan; R. Santai; Dapur; CCTV; Jemuran; R. Keluarga; Parkir Mobil; Parkir Motor; Parkir Sepeda; Parkir Motor &amp; Sepeda</t>
  </si>
  <si>
    <t>Cisauk</t>
  </si>
  <si>
    <t>Kost Eksekutif MGD Tipe Single Babakan Madang Bogor</t>
  </si>
  <si>
    <t>3 x 4 meter; Tidak termasuk listrik; AC; Kasur; Meja; TV; Meja Rias; Lemari Baju; Kursi; Cleaning service; TV Kabel; K. Mandi Dalam; Kloset Duduk; Ember mandi; Shower; Air panas; WiFi; Kulkas; R. Tamu; Laundry; R. Makan; R. Jemur; R. Santai; Dapur; R. Keluarga; Parkir Mobil; Parkir Motor</t>
  </si>
  <si>
    <t>Rp1.800.000</t>
  </si>
  <si>
    <t>Kost Pinta Tipe 1 Cileungsi Bogor</t>
  </si>
  <si>
    <t>3 x 3 meter; Termasuk listrik; AC; Kasur; TV; Lemari Baju; Kulkas; Wastafel; Guling; Bantal; Kloset Duduk; K. Mandi Luar; Ember mandi; Shower; WiFi; R. Tamu; Penjaga Kos; R. Makan; Dapur; CCTV; Jual Makanan; Parkir Mobil; Parkir Motor</t>
  </si>
  <si>
    <t>Kost Ijiq House Citeureup Bogor</t>
  </si>
  <si>
    <t>3 x 3 meter; Tidak termasuk listrik; Kasur; Lemari Baju; Ventilasi; Bantal; Cermin; Guling; Jendela; Kipas Angin; K. Mandi Dalam; Kloset Duduk; Ember mandi; Bak mandi; WiFi; Kulkas; R. Tamu; R. Santai; Dapur; Dispenser; Balcon; Jemuran; Jual Makanan; Parkir Motor; Parkir Sepeda</t>
  </si>
  <si>
    <t>Kecamatan Citeureup</t>
  </si>
  <si>
    <t>Kost Hijau Cibinong Bogor</t>
  </si>
  <si>
    <t>3 x 4 meter; Tidak termasuk listrik; AC; Kasur; Meja; Lemari Baju; Bantal; Guling; Jendela; Kipas Angin; Wastafel; Kursi; K. Mandi Dalam; Kloset Jongkok; Ember mandi; Shower; R. Tamu; R. Jemur; Dapur; R. Keluarga; Pengurus Kos; Parkir Motor</t>
  </si>
  <si>
    <t>Kecamatan Cibinong</t>
  </si>
  <si>
    <t>Kost Limus Pratama Living Deluxe Cileungsi Bogor</t>
  </si>
  <si>
    <t>3.5 x 4 meter</t>
  </si>
  <si>
    <t>3.5 x 4 meter; Tidak termasuk listrik; AC; Kasur; Dispenser; Meja; TV; Kulkas; Lemari Baju; Ventilasi; Bantal; Cermin; K. Mandi Dalam; Kloset Duduk; Wastafel; Shower; Air panas; WiFi; Penjaga Kos; Dapur; CCTV; Kartu Akses; Pengurus Kos; Parkir Mobil; Parkir Motor; Parkir Sepeda; Parkir Motor &amp; Sepeda</t>
  </si>
  <si>
    <t>Rp2.050.000</t>
  </si>
  <si>
    <t>Kost Asyaatun Tipe A Cibinong Bogor</t>
  </si>
  <si>
    <t>4 x 5 meter; Tidak termasuk listrik; AC; Kasur; Meja; Meja Rias; Lemari Baju; Kursi; K. Mandi Dalam; Ember mandi; Shower; R. Cuci; Kulkas; R. Tamu; Penjaga Kos; Laundry; R. Makan; R. Jemur; Mushola; R. Santai; Dapur; Parkir Mobil; Parkir Motor; Parkir Sepeda</t>
  </si>
  <si>
    <t>Kost Pondok Iona Tipe B Ciampea Bogor</t>
  </si>
  <si>
    <t>3 x 4 meter; Termasuk listrik; Kasur; Meja; Lemari Baju; Ventilasi; Kursi; Bantal; Jendela; K. Mandi Dalam; Kloset Jongkok; Ember mandi; WiFi; R. Tamu; Penjaga Kos; R. Makan; R. Jemur; R. Santai; Dapur; TV; Taman; R. Keluarga; Parkir Mobil; Parkir Motor; Parkir Sepeda</t>
  </si>
  <si>
    <t>Rp820.000</t>
  </si>
  <si>
    <t>Kost Kosy Tipe B Babakan Madang Bogor</t>
  </si>
  <si>
    <t>3 x 4 meter; Termasuk listrik; Kasur; Meja; Lemari Baju; Ventilasi; Bantal; Cermin; Dapur Pribadi; Guling; Jendela; Kipas Angin; Kloset Duduk; K. Mandi Luar; Shower; Air panas; Bak mandi; WiFi; R. Cuci; Penjaga Kos; Laundry; Mesin Cuci; R. Jemur; R. Santai; Dapur; CCTV; Jemuran; Parkir Mobil; Parkir Motor &amp; Sepeda</t>
  </si>
  <si>
    <t>Kost Edelweis Tipe A Cibinong Bogor</t>
  </si>
  <si>
    <t>2.5 x 2.5 meter; Tidak termasuk listrik; AC; Kasur; Lemari Baju; Bantal; Cermin; Guling; K. Mandi Dalam; Kloset Duduk; Ember mandi; Shower; WiFi; R. Cuci; Kulkas; R. Tamu; Penjaga Kos; R. Jemur; Dapur; CCTV; Rice Cooker; Parkir Motor; Parkir Sepeda</t>
  </si>
  <si>
    <t>Kost Mama Wulan Cibinong Bogor</t>
  </si>
  <si>
    <t>3 x 4 meter; Tidak termasuk listrik; Kasur; Lemari Baju; Ventilasi; Jendela; Wastafel; Bantal; Cermin; Guling; Kipas Angin; K. Mandi Dalam; Kloset Jongkok; Ember mandi; Bak mandi; WiFi; Laundry; R. Jemur; R. Santai; Dapur; Balcon; Jemuran; Jual Makanan; Locker; CCTV; Parkir Motor; Parkir Sepeda; Parkir Motor &amp; Sepeda</t>
  </si>
  <si>
    <t>Rp970.000</t>
  </si>
  <si>
    <t>Kost Tasima Adaro Ciampea Bogor</t>
  </si>
  <si>
    <t>3 x 3 meter; Termasuk listrik; Kasur; Meja; Lemari Baju; Bantal; Guling; Kursi; K. Mandi Dalam; Kloset Jongkok; Ember mandi; WiFi; Kulkas; Penjaga Kos; R. Tamu; R. Jemur; R. Makan; R. Santai; Dapur; Balcon; CCTV; Parkir Motor</t>
  </si>
  <si>
    <t>Kost Tiseri Tipe Standar Dramaga Bogor</t>
  </si>
  <si>
    <t>2.5 x 3 meter; Tidak termasuk listrik; AC; Kasur; Meja; Dispenser; Lemari Baju; Ventilasi; Bantal; Cermin; Kursi; K. Mandi Dalam; Kloset Duduk; Shower; WiFi; Kulkas; R. Cuci; R. Tamu; R. Jemur; R. Santai; Dapur; Balcon; Jemuran; Parkir Motor; Parkir Motor &amp; Sepeda</t>
  </si>
  <si>
    <t>Rp1.350.000</t>
  </si>
  <si>
    <t>Kost Ibu Dewi VIP Gunung Sindur Bogor</t>
  </si>
  <si>
    <t>3 x 4 meter; Termasuk listrik; Kasur; TV; Ventilasi; Wastafel; Bantal; Jendela; K. Mandi Dalam; Kloset Jongkok; Ember mandi; Shower; WiFi; R. Tamu; Laundry; R. Jemur; Mushola; Taman; Balcon; K. Mandi Luar; Pengurus Kos; Jemuran; Parkir Motor</t>
  </si>
  <si>
    <t>Kost Atika Syuaib Dramaga Bogor</t>
  </si>
  <si>
    <t>3 x 4 meter; Tidak termasuk listrik; Kasur; Meja; Lemari Baju; Bantal; Cermin; Guling; Jendela; Kloset Duduk; Kloset Jongkok; K. Mandi Luar; Ember mandi; Shower; WiFi; Kulkas; R. Tamu; R. Makan; R. Jemur; R. Santai; Dapur; Jemuran; Parkir Motor</t>
  </si>
  <si>
    <t>Kost Andi Cibinong Bogor</t>
  </si>
  <si>
    <t>3 x 4 meter; Tidak termasuk listrik; AC; Kasur; Meja; Lemari Baju; Kursi; Kloset Duduk; K. Mandi Luar; Wastafel; Shower; WiFi; Kulkas; R. Tamu; Mesin Cuci; R. Makan; R. Jemur; R. Santai; Dapur; TV; Parkir Mobil; Parkir Motor; Parkir Sepeda</t>
  </si>
  <si>
    <t>Kost Gardenia Dramaga Bogor</t>
  </si>
  <si>
    <t>2 x 3 meter; Tidak termasuk listrik; Kasur; Meja; Lemari Baju; Kursi; K. Mandi Dalam; Kloset Jongkok; Ember mandi; R. Jemur; Dapur; Parkir Motor</t>
  </si>
  <si>
    <t>Kost Emir 3 Tipe A Gunung Sindur Bogor</t>
  </si>
  <si>
    <t>3 x 3 meter; Tidak termasuk listrik; AC; Kasur; Meja; Lemari Baju; Ventilasi; Bantal; Cermin; Jendela; Kursi; Kipas Angin; Kloset Duduk; Kloset Jongkok; K. Mandi Luar; Ember mandi; Shower; Air panas; WiFi; R. Tamu; R. Jemur; R. Makan; Dapur; CCTV; Taman; Parkir Mobil; Parkir Motor; Parkir Sepeda</t>
  </si>
  <si>
    <t>Kost Salira 1 Tipe A Cibinong Bogor</t>
  </si>
  <si>
    <t>3 x 4 meter; Termasuk listrik; AC; Kasur; Meja; Lemari Baju; Ventilasi; Cermin; Guling; TV Kabel; Jendela; Kursi; K. Mandi Dalam; Kloset Duduk; Ember mandi; WiFi; Kulkas; R. Cuci; R. Tamu; Mesin Cuci; R. Jemur; R. Santai; Dapur; Dispenser; Jemuran; Parkir Mobil; Parkir Motor; Parkir Sepeda</t>
  </si>
  <si>
    <t>Kost Andina Cibinong Bogor</t>
  </si>
  <si>
    <t>3 x 4 meter; Tidak termasuk listrik; AC; Kasur; Lemari Baju; Ventilasi; Bantal; Dapur Pribadi; Jendela; Sofa; Wastafel; Kursi; K. Mandi Dalam; Kloset Duduk; Shower; R. Tamu; R. Makan; R. Santai; Dapur; R. Keluarga; Taman; Kartu Akses; Locker; Parkir Mobil; Parkir Motor; Parkir Sepeda</t>
  </si>
  <si>
    <t>Rp2.500.000</t>
  </si>
  <si>
    <t>Kost Lingga Tipe A Cileungsi Bogor</t>
  </si>
  <si>
    <t>3 x 4 meter; Termasuk listrik; Kasur; Meja; Lemari Baju; Ventilasi; Bantal; Guling; Jendela; Kursi; Kipas Angin; K. Mandi Dalam; Kloset Duduk; Ember mandi; WiFi; Dapur; CCTV; Jemuran; Pengurus Kos; Parkir Motor; Parkir Sepeda</t>
  </si>
  <si>
    <t>Kost Shambala 2 Ciampea Bogor</t>
  </si>
  <si>
    <t>3 x 6 meter; Termasuk listrik; Kasur; Meja; Lemari Baju; Jendela; K. Mandi Dalam; Kloset Duduk; WiFi; R. Jemur; R. Makan; R. Santai; Dapur; Jemuran; Parkir Mobil; Parkir Motor; Parkir Sepeda</t>
  </si>
  <si>
    <t>Rp670.000</t>
  </si>
  <si>
    <t>Kost Wisma La Sapienza Dramaga Bogor</t>
  </si>
  <si>
    <t>3 x 4 meter; Tidak termasuk listrik; Kasur; Meja; Lemari Baju; Jendela; Kloset Jongkok; Bak mandi; WiFi; Kulkas; R. Cuci; R. Tamu; R. Jemur; R. Santai; Dapur; Jemuran; K. Mandi Luar; Pengurus Kos; Parkir Motor</t>
  </si>
  <si>
    <t>Kost Duta Cileungsi Bogor</t>
  </si>
  <si>
    <t>3 x 3 meter; Termasuk listrik; AC; Kasur; Meja; Lemari Baju; Kulkas; Ventilasi; Kursi; Kipas Angin; Sofa; Bantal; Kloset Jongkok; K. Mandi Luar; Ember mandi; Bak mandi; R. Tamu; Penjaga Kos; R. Jemur; Dapur; Taman; Jemuran; Pengurus Kos; Parkir Mobil; Parkir Motor; Parkir Sepeda</t>
  </si>
  <si>
    <t>Kost Rizki 1 Gunung Putri Bogor</t>
  </si>
  <si>
    <t>3 x 3 meter; Tidak termasuk listrik; Ventilasi; Kloset Duduk; Penjaga Kos; R. Jemur; Jemuran; Pengurus Kos; Parkir Motor</t>
  </si>
  <si>
    <t>Kost Wisma Nusantara Dramaga Bogor</t>
  </si>
  <si>
    <t>3 x 2 meter</t>
  </si>
  <si>
    <t>3 x 2 meter; Tidak termasuk listrik; Kasur; Lemari Baju; K. Mandi Dalam; Kloset Jongkok; WiFi; Kulkas; Penjaga Kos; Dapur; CCTV; Jemuran; Parkir Motor</t>
  </si>
  <si>
    <t>Kost Pak Harto Dramaga Bogor</t>
  </si>
  <si>
    <t>3 x 3 meter; Termasuk listrik; Kasur; Lemari Baju; Ventilasi; Bantal; Jendela; K. Mandi Luar; Ember mandi; Bak mandi; WiFi; R. Cuci; Kulkas; R. Tamu; R. Jemur; R. Santai; Dapur; Taman; R. Keluarga; CCTV; Parkir Mobil; Parkir Motor; Parkir Sepeda</t>
  </si>
  <si>
    <t>Kost Vorden Tipe A Cibinong Bogor</t>
  </si>
  <si>
    <t>3 x 4 meter; Tidak termasuk listrik; Kasur; Lemari Baju; Ventilasi; Jendela; K. Mandi Dalam; Kloset Jongkok; Ember mandi; WiFi; R. Jemur; R. Santai; Dapur; CCTV; Gazebo; Jemuran; Rooftop; Taman; Parkir Mobil; Parkir Motor; Parkir Sepeda; Parkir Motor &amp; Sepeda</t>
  </si>
  <si>
    <t>Kost New Beyem Cibubur Tipe Executive Gunung Putri Bogor</t>
  </si>
  <si>
    <t>3 x 3 meter; Tidak termasuk listrik; Kasur; Lemari Baju; Ventilasi; Bantal; Jendela; Kloset Duduk; Kloset Jongkok; K. Mandi Luar; Ember mandi; Wastafel; Shower; WiFi; Kulkas; Laundry; Dapur; Dispenser; Balcon; Gazebo; Jemuran; Jual Makanan; Pengurus Kos; Parkir Mobil; Parkir Motor</t>
  </si>
  <si>
    <t>Gunung Putri</t>
  </si>
  <si>
    <t>Kost Nurlaila H Cileungsi Bogor</t>
  </si>
  <si>
    <t>3 x 4 meter; Tidak termasuk listrik; Kasur; Meja; Lemari Baju; Kulkas; Kipas Angin; Cermin; Bantal; Kursi; Jendela; Sofa; K. Mandi Dalam; K. Mandi Luar; Ember mandi; Shower; WiFi; TV; Parkir Mobil; Parkir Motor; Parkir Sepeda</t>
  </si>
  <si>
    <t>Kost At Taqwa 90 Jatisampurna Bekasi</t>
  </si>
  <si>
    <t>3 x 4 meter; Tidak termasuk listrik; Kasur; Meja; Lemari Baju; Ventilasi; Dapur Pribadi; Jendela; Kursi; K. Mandi Dalam; Kloset Jongkok; Ember mandi; R. Tamu; R. Jemur; Jemuran; Pengurus Kos; Parkir Motor; Parkir Sepeda</t>
  </si>
  <si>
    <t>Jatisampurna</t>
  </si>
  <si>
    <t>Kost Muslimah Nuy Tipe Single Dramaga Bogor</t>
  </si>
  <si>
    <t>3 x 3 meter; Tidak termasuk listrik; Kasur; Meja; Lemari Baju; Kulkas; Ventilasi; Bantal; Jendela; Kursi; K. Mandi Dalam; Kloset Jongkok; Ember mandi; Shower; WiFi; Penjaga Kos; R. Tamu; R. Jemur; R. Santai; Dapur; Balcon; CCTV; Jemuran; Parkir Mobil; Parkir Motor; Parkir Sepeda</t>
  </si>
  <si>
    <t>Kost Pondok Khadijah Executive Dramaga Bogor</t>
  </si>
  <si>
    <t>3 x 3 meter; Tidak termasuk listrik; AC; Kasur; Lemari Baju; Ventilasi; Bantal; Jendela; Kursi; Meja makan; K. Mandi Dalam; Kloset Duduk; Ember mandi; Shower; WiFi; Kulkas; R. Jemur; Dapur; Balcon; CCTV; Jemuran; Pengurus Kos; Rooftop; Parkir Motor &amp; Sepeda</t>
  </si>
  <si>
    <t>Kost BLI Jelita Babakan Madang Bogor</t>
  </si>
  <si>
    <t>3 x 2.1 meter</t>
  </si>
  <si>
    <t>3 x 2.1 meter; Termasuk listrik; AC; Kasur; Meja; Lemari Baju; Ventilasi; Bantal; Cermin; Guling; Kloset Duduk; K. Mandi Luar; Ember mandi; Wastafel; Shower; Air panas; WiFi; Kulkas; R. Cuci; Laundry; Mesin Cuci; Penjaga Kos; R. Tamu; R. Jemur; R. Makan; R. Santai; Parkir Mobil; Parkir Motor</t>
  </si>
  <si>
    <t>Rp1.750.000</t>
  </si>
  <si>
    <t>Kost Zhakost Dramaga Bogor</t>
  </si>
  <si>
    <t>3 x 3 meter; Termasuk listrik; Kasur; Meja; Kursi; Cleaning service; Bantal; Jendela; K. Mandi Dalam; Kloset Jongkok; K. Mandi Luar; Ember mandi; WiFi; Kulkas; R. Makan; R. Jemur; R. Santai; Dapur; Balcon; CCTV; Jemuran; Parkir Motor</t>
  </si>
  <si>
    <t>Kost Pondok Iona Tipe A Ciampea Bogor</t>
  </si>
  <si>
    <t>3 x 4 meter; Termasuk listrik; Kasur; Meja; Lemari Baju; Ventilasi; Kursi; Bantal; Jendela; Kloset Jongkok; K. Mandi Luar; Ember mandi; WiFi; R. Tamu; Penjaga Kos; R. Makan; R. Jemur; R. Santai; Dapur; TV; Taman; R. Keluarga; Parkir Mobil; Parkir Motor; Parkir Sepeda</t>
  </si>
  <si>
    <t>Rp710.000</t>
  </si>
  <si>
    <t>Kost Cemerlang Dramaga Bogor</t>
  </si>
  <si>
    <t>2 x 2 meter</t>
  </si>
  <si>
    <t>2 x 2 meter; Tidak termasuk listrik; AC; Kasur; Meja; Lemari Baju; Bantal; Jendela; Kursi; Kloset Jongkok; Ember mandi; Wastafel; WiFi; Kulkas; R. Cuci; R. Tamu; R. Jemur; Dapur; Jemuran; K. Mandi Luar; Pengurus Kos; TV; Parkir Mobil; Parkir Motor; Parkir Sepeda</t>
  </si>
  <si>
    <t>Rp525.000</t>
  </si>
  <si>
    <t>Kost Cileungsi 1 Cileungsi Bogor</t>
  </si>
  <si>
    <t>3 x 4 meter; Tidak termasuk listrik; Lemari Baju; Kipas Angin; K. Mandi Dalam; Kloset Jongkok; Parkir Mobil; Parkir Motor; Parkir Sepeda</t>
  </si>
  <si>
    <t>Kost Azzahra 1 Tipe A Dramaga Bogor</t>
  </si>
  <si>
    <t>3 x 3 meter; Tidak termasuk listrik; AC; Kasur; Meja; Lemari Baju; Bantal; Jendela; Guling; Kipas Angin; Kursi; K. Mandi Dalam; Kloset Duduk; Kloset Jongkok; Shower; WiFi; Kulkas; Penjaga Kos; R. Tamu; R. Santai; Dapur; CCTV; Jemuran; Rice Cooker; TV; Parkir Mobil; Parkir Motor</t>
  </si>
  <si>
    <t>Kost Ibu Hj Yanti Cibinong Bogor</t>
  </si>
  <si>
    <t>3 x 4 meter; Tidak termasuk listrik; Ventilasi; Dapur Pribadi; K. Mandi Dalam; Kloset Jongkok; Penjaga Kos; R. Tamu; R. Makan; R. Santai; Dapur; Jemuran; R. Keluarga; Parkir Mobil; Parkir Motor</t>
  </si>
  <si>
    <t>Kost Omah Cuantique Tipe A Cibinong Bogor</t>
  </si>
  <si>
    <t>3 x 4 meter; Tidak termasuk listrik; AC; Kasur; Meja; Meja Rias; TV; Lemari Baju; Bantal; Guling; K. Mandi Dalam; Kloset Jongkok; Ember mandi; Bak mandi; WiFi; R. Cuci; Penjaga Kos; R. Tamu; R. Jemur; R. Makan; R. Santai; Jual Makanan; Taman; Parkir Motor</t>
  </si>
  <si>
    <t>Kost Paradise VVIP Cibinong Bogor</t>
  </si>
  <si>
    <t>3 x 4 meter; Tidak termasuk listrik; AC; Kasur; Meja; Lemari Baju; Ventilasi; Bantal; Cermin; Jendela; Kipas Angin; Kursi; K. Mandi Dalam; Kloset Jongkok; Wastafel; Ember mandi; Bak mandi; WiFi; R. Tamu; Dapur; CCTV; Jemuran; Pengurus Kos; TV; Parkir Mobil; Parkir Motor; Parkir Sepeda</t>
  </si>
  <si>
    <t>Kost Musdalipa Cibinong Bogor</t>
  </si>
  <si>
    <t>3 x 3 meter; Termasuk listrik; Kasur; TV; Lemari Baju; Kursi; Sofa; Bantal; Jendela; K. Mandi Dalam; Kloset Duduk; Kloset Jongkok; K. Mandi Luar; Ember mandi; WiFi; R. Jemur; Dapur; Pengurus Kos; Parkir Motor</t>
  </si>
  <si>
    <t>Kost Tiara Ciampea Bogor</t>
  </si>
  <si>
    <t>3 x 3 meter; Tidak termasuk listrik; Kasur; Meja; Lemari Baju; Jendela; Kursi; K. Mandi Dalam; Kloset Duduk; Kloset Jongkok; K. Mandi Luar; Bak mandi; WiFi; Dapur; Jemuran; Parkir Mobil; Parkir Motor</t>
  </si>
  <si>
    <t>Kost Pondok Aisyah Tipe VIP Dramaga Bogor</t>
  </si>
  <si>
    <t>3 x 4 meter; Termasuk listrik; Kasur; Meja; Lemari Baju; Ventilasi; Kursi; Kipas Angin; Bantal; Cermin; Guling; Jendela; K. Mandi Dalam; Kloset Jongkok; Ember mandi; Shower; WiFi; R. Cuci; Kulkas; R. Tamu; Mesin Cuci; Penjaga Kos; R. Jemur; Mushola; R. Makan; R. Santai; Parkir Motor; Parkir Sepeda; Parkir Motor &amp; Sepeda</t>
  </si>
  <si>
    <t>Kost Gria Village Cibinong Bogor</t>
  </si>
  <si>
    <t>3 x 4 meter; Tidak termasuk listrik; AC; Kasur; Meja; Lemari Baju; Bantal; Cermin; Dapur Pribadi; Jendela; Kursi; Wastafel; K. Mandi Dalam; Kloset Duduk; Shower; WiFi; Penjaga Kos; Balcon; CCTV; Pengurus Kos; Parkir Mobil; Parkir Motor; Parkir Sepeda; Parkir Motor &amp; Sepeda</t>
  </si>
  <si>
    <t>Kost Salira New Cibinong Bogor</t>
  </si>
  <si>
    <t>3 x 4 meter; Tidak termasuk listrik; AC; Kasur; Meja; Lemari Baju; Ventilasi; Bantal; Cermin; Dapur Pribadi; Jendela; Kursi; K. Mandi Dalam; Kloset Duduk; Ember mandi; Wastafel; WiFi; R. Cuci; Kulkas; R. Tamu; Mesin Cuci; R. Jemur; R. Santai; CCTV; Jemuran; Pengurus Kos; Parkir Motor; Parkir Sepeda; Parkir Motor &amp; Sepeda</t>
  </si>
  <si>
    <t>Kost Cathacost 12 Cibinong Bogor</t>
  </si>
  <si>
    <t>3 x 4 meter; Tidak termasuk listrik; AC; Kasur; Meja; Lemari Baju; Bantal; Cermin; Jendela; K. Mandi Dalam; Kloset Duduk; Shower; WiFi; Kulkas; Penjaga Kos; R. Tamu; R. Jemur; R. Santai; Dapur; Balcon; CCTV; Jemuran; Parkir Motor</t>
  </si>
  <si>
    <t>Rp1.230.000</t>
  </si>
  <si>
    <t>Kost Amanah Cileungsi Bogor</t>
  </si>
  <si>
    <t>3 x 3 meter; Termasuk listrik; AC; Kasur; Meja; Lemari Baju; Kloset Duduk; Ember mandi; Bak mandi; R. Cuci; R. Tamu; Mesin Cuci; Penjaga Kos; R. Makan; R. Jemur; Parkir Motor; Parkir Sepeda</t>
  </si>
  <si>
    <t>Kost Skyland Gunung Putri Bogor</t>
  </si>
  <si>
    <t>3 x 2 meter; Termasuk listrik; Kasur; Dispenser; Ventilasi; Wastafel; Kipas Angin; Bantal; Jendela; Kloset Jongkok; K. Mandi Luar; Shower; WiFi; R. Cuci; Kulkas; Mesin Cuci; R. Jemur; Dapur; TV; CCTV; Parkir Motor; Parkir Sepeda</t>
  </si>
  <si>
    <t>Kost Sabana Bojong Gede Bogor</t>
  </si>
  <si>
    <t>3 x 3 meter; Termasuk listrik; Kasur; Meja Rias; Lemari Baju; Ventilasi; Cleaning service; Jendela; Bantal; K. Mandi Dalam; Kloset Jongkok; K. Mandi Luar; Ember mandi; WiFi; R. Cuci; Kulkas; R. Tamu; Penjaga Kos; Laundry; R. Makan; R. Jemur; R. Santai; Dapur; Parkir Mobil; Parkir Motor; Parkir Sepeda</t>
  </si>
  <si>
    <t>Rp495.000</t>
  </si>
  <si>
    <t>Kost Pemerena Dramaga Bogor</t>
  </si>
  <si>
    <t>4 x 3 meter</t>
  </si>
  <si>
    <t>4 x 3 meter; Tidak termasuk listrik; AC; Kasur; Meja; Lemari Baju; Kursi; K. Mandi Dalam; Kloset Jongkok; Ember mandi; WiFi; Kulkas; R. Tamu; Penjaga Kos; R. Jemur; R. Santai; Dapur; TV; Taman; K. Mandi Luar; Parkir Mobil; Parkir Motor; Parkir Sepeda</t>
  </si>
  <si>
    <t>Kost Ibu Dwi Tipe A Cibinong Bogor</t>
  </si>
  <si>
    <t>6 x 3.5 meter</t>
  </si>
  <si>
    <t>6 x 3.5 meter; Tidak termasuk listrik; AC; Kasur; Meja; TV; Lemari Baju; Cermin; Jendela; Kursi; Bantal; Guling; K. Mandi Dalam; Kloset Duduk; Ember mandi; Shower; WiFi; Kulkas; R. Tamu; R. Jemur; Dapur; Jemuran; Pengurus Kos; CCTV; Parkir Mobil; Parkir Motor; Parkir Sepeda</t>
  </si>
  <si>
    <t>Rp1.900.000</t>
  </si>
  <si>
    <t>Kost 0088 Tipe A Babakan Madang Bogor</t>
  </si>
  <si>
    <t>3 x 4 meter; Termasuk listrik; Kasur; Bantal; Guling; Jendela; K. Mandi Dalam; Kloset Duduk; Ember mandi; Shower; Dapur; Dispenser; Balcon; CCTV; Taman; Parkir Mobil; Parkir Motor; Parkir Sepeda; Parkir Motor &amp; Sepeda</t>
  </si>
  <si>
    <t>Rp950.000</t>
  </si>
  <si>
    <t>Kost Bintangg Cileungsi Bogor</t>
  </si>
  <si>
    <t>3 x 4 meter; Tidak termasuk listrik; Ventilasi; Jendela; K. Mandi Dalam; Kloset Jongkok; Shower; Parkir Motor</t>
  </si>
  <si>
    <t>Kost Kaca Metland Cileungsi Bogor</t>
  </si>
  <si>
    <t>3 x 3 meter; Tidak termasuk listrik; AC; Kasur; Bantal; Cermin; Guling; Jendela; K. Mandi Dalam; Kloset Duduk; Kloset Jongkok; K. Mandi Luar; Shower; WiFi; Kulkas; R. Tamu; R. Santai; Dapur; Dispenser; Jemuran; R. Keluarga; Taman; Parkir Motor; Parkir Sepeda</t>
  </si>
  <si>
    <t>Rp885.000</t>
  </si>
  <si>
    <t>Kost Ibu Dewi Tipe VIP Gunung Sindur Bogor</t>
  </si>
  <si>
    <t>3 x 3 meter; Termasuk listrik; Kasur; Meja; TV; Lemari Baju; Ventilasi; Kursi; Bantal; Jendela; Kipas Angin; Kloset Jongkok; K. Mandi Luar; Ember mandi; Shower; WiFi; R. Tamu; Laundry; R. Jemur; Mushola; R. Santai; Taman; Balcon; Pengurus Kos; Parkir Motor</t>
  </si>
  <si>
    <t>Kost Griya Kenari Mas Bu Nina Cileungsi Bogor</t>
  </si>
  <si>
    <t>3 x 4 meter; Termasuk listrik; Kasur; Lemari Baju; Ventilasi; Bantal; Jendela; Kipas Angin; Kloset Jongkok; K. Mandi Luar; Ember mandi; Bak mandi; R. Jemur; Dapur; Jemuran; Jual Makanan; Pengurus Kos</t>
  </si>
  <si>
    <t>Kost Bu Nani Cempaka Ciawi Bogor</t>
  </si>
  <si>
    <t>3 x 6 meter; Tidak termasuk listrik; Kasur; Meja; Lemari Baju; Ventilasi; Kursi; Cleaning service; Bantal; Guling; Jendela; K. Mandi Dalam; Kloset Jongkok; Ember mandi; Laundry; Penjaga Kos; Balcon; Jemuran; Jual Makanan; Pengurus Kos; Parkir Motor</t>
  </si>
  <si>
    <t>Ciawi</t>
  </si>
  <si>
    <t>Kost Trio Tipe A Ciampea Bogor</t>
  </si>
  <si>
    <t>3 x 3 meter; Tidak termasuk listrik; Dapur Pribadi; Jendela; Kloset Duduk; Shower; R. Tamu; R. Makan; R. Santai; Dapur; Balcon; K. Mandi Luar; R. Keluarga; Parkir Mobil; Parkir Motor; Parkir Sepeda; Parkir Motor &amp; Sepeda</t>
  </si>
  <si>
    <t>Kost Kesie Tipe A Cibinong Bogor</t>
  </si>
  <si>
    <t>3 x 3 meter; Tidak termasuk listrik; Bantal; Jendela; Kloset Duduk; K. Mandi Luar; Ember mandi; Bak mandi; Penjaga Kos; Jemuran; Pengurus Kos; Parkir Motor; Parkir Sepeda; Parkir Motor &amp; Sepeda</t>
  </si>
  <si>
    <t>Kost Nuo Atu Udayana Babakan Madang Bogor</t>
  </si>
  <si>
    <t>1 x 1.5 meter</t>
  </si>
  <si>
    <t>1 x 1.5 meter; Termasuk listrik; Kasur; Meja; Lemari Baju; Bantal; Cermin; Guling; Jendela; Kipas Angin; K. Mandi Dalam; Kloset Duduk; K. Mandi Luar; Ember mandi; Shower; WiFi; Kulkas; R. Tamu; R. Makan; R. Santai; Dapur; CCTV; Balcon; Jemuran; Pengurus Kos; Parkir Mobil; Parkir Motor; Parkir Sepeda</t>
  </si>
  <si>
    <t>Kost Pelangi 4 Cileungsi Bogor</t>
  </si>
  <si>
    <t>3 x 3 meter; Tidak termasuk listrik; Kasur; Meja; Kursi; Kipas Angin; Bantal; Guling; Jendela; Kloset Duduk; K. Mandi Luar; Ember mandi; Mesin Cuci; R. Jemur; R. Santai; Dapur; Dispenser; TV; Jemuran; Parkir Motor; Parkir Sepeda</t>
  </si>
  <si>
    <t>Kost Pondok Hijau Dramaga Bogor</t>
  </si>
  <si>
    <t>3 x 3 meter; Termasuk listrik; Kasur; Meja; Lemari Baju; Kloset Jongkok; K. Mandi Luar; Ember mandi; Shower; WiFi; Kulkas; Penjaga Kos; Dapur; Pengurus Kos; Parkir Motor</t>
  </si>
  <si>
    <t>Rp560.000</t>
  </si>
  <si>
    <t>Kost Asri Depan RSUD Tipe B Cibinong Bogor</t>
  </si>
  <si>
    <t>3 x 4 meter; Tidak termasuk listrik; AC; Kasur; Meja; Lemari Baju; Wastafel; K. Mandi Dalam; Kloset Jongkok; Bak mandi; R. Jemur; Dapur; Parkir Motor; Parkir Sepeda</t>
  </si>
  <si>
    <t>Kost Bu Sri Tipe B Babakan Madang Bogor</t>
  </si>
  <si>
    <t>3 x 3 meter; Termasuk listrik; AC; Kasur; Meja; Lemari Baju; Kursi; Wastafel; Sofa; Bantal; Guling; Kloset Duduk; K. Mandi Luar; Ember mandi; Shower; Air panas; WiFi; R. Cuci; Kulkas; R. Tamu; Mesin Cuci; R. Makan; R. Jemur; R. Santai; Dapur; Dispenser; Parkir Mobil; Parkir Motor</t>
  </si>
  <si>
    <t>Kost Warbun Tipe VIP Cileungsi Bogor</t>
  </si>
  <si>
    <t>3 x 4 meter; Tidak termasuk listrik; AC; Kasur; Dispenser; Meja; Meja Rias; Bantal; Cermin; Kursi; Wastafel; K. Mandi Dalam; Kloset Duduk; Shower; R. Jemur; Balcon; CCTV; Gazebo; Jemuran; Jual Makanan; Parkir Mobil; Parkir Motor; Parkir Sepeda; Parkir Motor &amp; Sepeda</t>
  </si>
  <si>
    <t>Kost Johar Indah Tipe D Cileungsi Bogor</t>
  </si>
  <si>
    <t>3 x 3 meter; Tidak termasuk listrik; AC; Kasur; Lemari Baju; Kloset Duduk; Shower; R. Tamu; R. Jemur; Dapur; Parkir Mobil; Parkir Motor; Parkir Sepeda</t>
  </si>
  <si>
    <t>Kost Dramaga F17 Dramaga Bogor</t>
  </si>
  <si>
    <t>3 x 4 meter; Tidak termasuk listrik; Jendela; Kloset Jongkok; Ember mandi; Dapur; Parkir Mobil; Parkir Motor</t>
  </si>
  <si>
    <t>Kost Sofia Tipe 1 Dramaga Bogor</t>
  </si>
  <si>
    <t>4 x 3 meter; Termasuk listrik; AC; Kasur; Meja; TV; Lemari Baju; Bantal; Cermin; Guling; Kursi; Meja makan; K. Mandi Dalam; Kloset Duduk; Ember mandi; Shower; Air panas; WiFi; R. Cuci; Mesin Cuci; Penjaga Kos; R. Tamu; R. Jemur; R. Makan; Dapur; Dispenser; Jemuran; Parkir Mobil; Parkir Motor; Parkir Sepeda; Parkir Motor &amp; Sepeda</t>
  </si>
  <si>
    <t>Kost Ibu Dewi Tipe VVIP Gunung Sindur Bogor</t>
  </si>
  <si>
    <t>5 x 10 meter</t>
  </si>
  <si>
    <t>5 x 10 meter; Tidak termasuk listrik; Kasur; TV; Lemari Baju; Ventilasi; Bantal; Dapur Pribadi; Jendela; Kipas Angin; Kursi; Wastafel; K. Mandi Dalam; Kloset Jongkok; Ember mandi; Bak mandi; R. Cuci; R. Tamu; Laundry; R. Jemur; Mushola; Dapur; Taman; Balcon; Jual Makanan; Pengurus Kos; Parkir Motor; Parkir Sepeda</t>
  </si>
  <si>
    <t>Kost Almic Tipe A Caringin Bogor</t>
  </si>
  <si>
    <t>4 x 5 meter; Tidak termasuk listrik; Kasur; Lemari Baju; Ventilasi; Bantal; Jendela; Kursi; Wastafel; K. Mandi Dalam; Kloset Jongkok; Ember mandi; Penjaga Kos; Parkir Motor</t>
  </si>
  <si>
    <t>Kost Ashri By Hutama IPB Tipe A Dramaga Bogor</t>
  </si>
  <si>
    <t>3 x 3 meter; Tidak termasuk listrik; AC; Kasur; Meja; Lemari Baju; Ventilasi; Bantal; Guling; Jendela; Kursi; Kloset Duduk; K. Mandi Luar; Shower; WiFi; Kulkas; R. Cuci; Penjaga Kos; R. Jemur; Jemuran; Jual Makanan; Pengurus Kos; Parkir Motor; Parkir Sepeda; Parkir Motor &amp; Sepeda</t>
  </si>
  <si>
    <t>Kost Bojong Gede Tipe Supreme Sukaraja Bogor</t>
  </si>
  <si>
    <t>40 x 40 meter</t>
  </si>
  <si>
    <t>40 x 40 meter; Tidak termasuk listrik; Jendela; K. Mandi Dalam; Bak mandi; R. Cuci; R. Tamu; R. Jemur; R. Makan; R. Santai; R. Keluarga; Taman; Parkir Mobil; Parkir Motor; Parkir Sepeda; Parkir Motor &amp; Sepeda</t>
  </si>
  <si>
    <t>Sukaraja</t>
  </si>
  <si>
    <t>Rumah Kontrakan Lily Jonggol Bogor</t>
  </si>
  <si>
    <t>2 x 3 meter; Tidak termasuk listrik; AC; Kloset Duduk; CCTV; Parkir Mobil</t>
  </si>
  <si>
    <t>Jonggol</t>
  </si>
  <si>
    <t>Kost Pondok Diana Cibinong Bogor</t>
  </si>
  <si>
    <t>3 x 4 meter; Termasuk listrik; Kasur; Meja; Dispenser; Lemari Baju; Kipas Angin; Bantal; Guling; Kloset Jongkok; K. Mandi Luar; Ember mandi; Shower; Bak mandi; R. Cuci; R. Tamu; Laundry; R. Jemur; R. Santai; Parkir Motor</t>
  </si>
  <si>
    <t>Kost Jalan Alternatif IPB Tipe B Dramaga Bogor</t>
  </si>
  <si>
    <t>3 x 4 meter; Tidak termasuk listrik; AC; Kasur; Meja; TV; Lemari Baju; Kulkas; Ventilasi; Kursi; TV Kabel; Bantal; K. Mandi Dalam; Kloset Duduk; Shower; Air panas; WiFi; R. Tamu; Penjaga Kos; R. Jemur; Mushola; Dispenser; Taman; Gazebo; Jual Makanan; Pengurus Kos; Parkir Mobil; Parkir Motor; Parkir Sepeda</t>
  </si>
  <si>
    <t>Kost Cemerlang 3 Dramaga Bogor</t>
  </si>
  <si>
    <t>3 x 3 meter; Tidak termasuk listrik; Kasur; Meja; Bantal; Guling; Jendela; Kipas Angin; Kursi; Kloset Jongkok; Ember mandi; WiFi; Kulkas; Dapur; Pengurus Kos; TV; Parkir Mobil; Parkir Motor; Parkir Sepeda</t>
  </si>
  <si>
    <t>Rp535.000</t>
  </si>
  <si>
    <t>Kost Mama Tipe B Cileungsi Bogor</t>
  </si>
  <si>
    <t>2.5 x 4 meter</t>
  </si>
  <si>
    <t>2.5 x 4 meter; Termasuk listrik; Kasur; Lemari Baju; Ventilasi; Bantal; Cermin; Jendela; Kipas Angin; Kloset Jongkok; K. Mandi Luar; Ember mandi; Kulkas; R. Cuci; Mesin Cuci; R. Tamu; R. Jemur; R. Makan; R. Santai; Dapur; Jemuran; Pengurus Kos; Parkir Motor; Parkir Motor &amp; Sepeda</t>
  </si>
  <si>
    <t>Kost Uj Babakan Madang Bogor</t>
  </si>
  <si>
    <t>3 x 4 meter; Tidak termasuk listrik; AC; Kasur; Bantal; Cermin; Guling; Jendela; K. Mandi Dalam; Kloset Duduk; Ember mandi; WiFi; Kulkas; Dapur; Dispenser; CCTV; Parkir Mobil; Parkir Motor</t>
  </si>
  <si>
    <t>Kost Asyaatun Tipe C Cibinong Bogor</t>
  </si>
  <si>
    <t>4 x 5 meter; Tidak termasuk listrik; Kasur; Bantal; Kloset Duduk; Ember mandi; Shower; WiFi; R. Cuci; R. Tamu; Laundry; R. Makan; R. Jemur; R. Santai; R. Keluarga; Balcon; CCTV; Parkir Mobil; Parkir Motor; Parkir Sepeda</t>
  </si>
  <si>
    <t>Kost Tifani Tipe A Dramaga Bogor</t>
  </si>
  <si>
    <t>3 x 3 meter; Tidak termasuk listrik; AC; Kasur; Meja; Lemari Baju; Bantal; Cleaning service; Kursi; Guling; Jendela; K. Mandi Dalam; Kloset Duduk; Shower; WiFi; Kulkas; R. Tamu; R. Jemur; R. Makan; Dapur; Jemuran; CCTV; Parkir Motor</t>
  </si>
  <si>
    <t>Kost Asri Depan RSUD Tipe A Cibinong Bogor</t>
  </si>
  <si>
    <t>3 x 3 meter; Tidak termasuk listrik; Kasur; Meja; Lemari Baju; Wastafel; Kipas Angin; K. Mandi Dalam; Kloset Jongkok; Bak mandi; R. Jemur; Dapur; Parkir Motor; Parkir Sepeda</t>
  </si>
  <si>
    <t>Kost Lily Tipe C Cibinong Bogor</t>
  </si>
  <si>
    <t>3 x 4 meter; Termasuk listrik; Kasur; Lemari Baju; Ventilasi; Bantal; Dapur Pribadi; Guling; Jendela; Kipas Angin; Wastafel; K. Mandi Dalam; Kloset Jongkok; Ember mandi; Bak mandi; Dapur; Jemuran; Jual Makanan; Parkir Motor; Parkir Sepeda</t>
  </si>
  <si>
    <t>Kost Wisma Orange Stasiun Tenjo Bogor</t>
  </si>
  <si>
    <t>3 x 9 meter</t>
  </si>
  <si>
    <t>3 x 9 meter; Tidak termasuk listrik; Ventilasi; Dapur Pribadi; Kloset Jongkok; R. Tamu; R. Jemur; Dapur; Taman; Parkir Mobil; Parkir Motor; Parkir Sepeda</t>
  </si>
  <si>
    <t>Kost Haji Kasmir 2 Tipe B Ciampea Bogor</t>
  </si>
  <si>
    <t>2 x 2 meter; Tidak termasuk listrik; Kasur; Meja; Lemari Baju; Ventilasi; Bantal; Jendela; Kipas Angin; Wastafel; Cermin; Guling; Kloset Jongkok; K. Mandi Luar; Bak mandi; R. Tamu; R. Jemur; R. Santai; Dapur; Jemuran; Parkir Motor</t>
  </si>
  <si>
    <t>Kost Perum Bambu Kuning Bojong Gede Bogor</t>
  </si>
  <si>
    <t>3 x 3 meter; Tidak termasuk listrik; Wastafel; K. Mandi Dalam; Bak mandi; R. Cuci; R. Tamu; R. Jemur; Dapur; Taman; Parkir Mobil</t>
  </si>
  <si>
    <t>Kost Hasanah Cibinong Bogor</t>
  </si>
  <si>
    <t>3.5 x 5.5 meter</t>
  </si>
  <si>
    <t>3.5 x 5.5 meter; Tidak termasuk listrik; Kasur; Lemari Baju; Ventilasi; Bantal; Jendela; Wastafel; K. Mandi Dalam; Kloset Jongkok; Ember mandi; WiFi; CCTV; Jemuran; Rooftop; Parkir Motor; Parkir Sepeda; Parkir Motor &amp; Sepeda</t>
  </si>
  <si>
    <t>Kost Bu Sri Tipe D Babakan Madang Bogor</t>
  </si>
  <si>
    <t>3 x 3 meter; Termasuk listrik; AC; Kasur; Meja; Lemari Baju; Kursi; Cleaning service; K. Mandi Dalam; Kloset Duduk; K. Mandi Luar; Wastafel; Shower; Air panas; WiFi; Parkir Mobil</t>
  </si>
  <si>
    <t>Kost Kalamenta Podomoro Tenjo Tenjo Bogor</t>
  </si>
  <si>
    <t>3 x 4 meter; Tidak termasuk listrik; Ventilasi; Jendela; Kloset Jongkok; Shower; Penjaga Kos; R. Tamu; R. Jemur; Dapur; Jemuran; Taman; Parkir Mobil; Parkir Motor; Parkir Sepeda</t>
  </si>
  <si>
    <t>Rp775.000</t>
  </si>
  <si>
    <t>Kost Cibubur Tipe C Gunung Putri Bogor</t>
  </si>
  <si>
    <t>3 x 5 meter; Tidak termasuk listrik; AC; Kasur; TV; Lemari Baju; Wastafel; K. Mandi Dalam; Kloset Duduk; Shower; Air panas; WiFi; Kulkas; Dapur; Taman; Parkir Mobil; Parkir Motor; Parkir Sepeda</t>
  </si>
  <si>
    <t>Kost Muslimah Maharani Cibinong Bogor</t>
  </si>
  <si>
    <t>3 x 3 meter; Termasuk listrik; AC; Meja; Lemari Baju; Bantal; Guling; Kloset Duduk; Ember mandi; Shower; Kulkas; R. Tamu; Dapur; Jemuran; Balcon</t>
  </si>
  <si>
    <t>Kost Johar Indah Tipe B Limus Pratama Cileungsi Bogor</t>
  </si>
  <si>
    <t>3 x 4.5 meter</t>
  </si>
  <si>
    <t>3 x 4.5 meter; Tidak termasuk listrik; AC; Kasur; Lemari Baju; Wastafel; K. Mandi Dalam; Kloset Duduk; Shower; R. Tamu; R. Jemur; Dapur; Parkir Mobil; Parkir Motor; Parkir Sepeda</t>
  </si>
  <si>
    <t>Rp2.250.000</t>
  </si>
  <si>
    <t>Kost Grandvil Tajur Halang Bogor</t>
  </si>
  <si>
    <t>3 x 4 meter; Tidak termasuk listrik; Kloset Duduk; K. Mandi Luar; Shower; R. Cuci; R. Tamu; R. Jemur; R. Makan; R. Keluarga; Taman; Parkir Mobil; Parkir Motor; Parkir Sepeda; Parkir Motor &amp; Sepeda</t>
  </si>
  <si>
    <t>Rp2.100.000</t>
  </si>
  <si>
    <t>Tajur Halang</t>
  </si>
  <si>
    <t>Kost Pondok Iona Tipe C Ciampea Bogor</t>
  </si>
  <si>
    <t>7 x 3 meter</t>
  </si>
  <si>
    <t>7 x 3 meter; Termasuk listrik; Kasur; Meja; Lemari Baju; Ventilasi; Kursi; Bantal; Jendela; K. Mandi Dalam; Kloset Duduk; Bak mandi; WiFi; R. Tamu; Penjaga Kos; R. Makan; R. Jemur; R. Santai; Dapur; TV; Taman; R. Keluarga; Parkir Mobil; Parkir Motor; Parkir Sepeda</t>
  </si>
  <si>
    <t>Rp1.040.000</t>
  </si>
  <si>
    <t>Kost Marlaba 3 Tipe A Bojong Gede Bogor</t>
  </si>
  <si>
    <t>3 x 3 meter; Tidak termasuk listrik; Kasur; Ventilasi; Dapur Pribadi; Jendela; Wastafel; Kipas Angin; K. Mandi Dalam; Kloset Duduk; Kloset Jongkok; K. Mandi Luar; Ember mandi; Shower; Bak mandi; R. Tamu; R. Jemur; R. Makan; Dapur; Balcon; Jemuran; R. Keluarga; Parkir Motor</t>
  </si>
  <si>
    <t>Kecamatan Bojong Gede</t>
  </si>
  <si>
    <t>Kost Kahayan 95 Tipe Single Bed Babakan Madang Bogor</t>
  </si>
  <si>
    <t>3 x 3 meter; Termasuk listrik; AC; Kasur; Dispenser; Meja; TV; Kulkas; Lemari Baju; Ventilasi; Bantal; Cermin; K. Mandi Dalam; Kloset Duduk; Kloset Jongkok; K. Mandi Luar; Wastafel; Shower; Air panas; Bak mandi; WiFi; R. Cuci; Mesin Cuci; R. Tamu; Penjaga Kos; R. Jemur; R. Makan; R. Santai; Dapur; Parkir Motor &amp; Sepeda</t>
  </si>
  <si>
    <t>Kost Rumah Gemma Tipe A Cibinong Bogor</t>
  </si>
  <si>
    <t>3 x 4 meter; Tidak termasuk listrik; Kasur; Meja; Lemari Baju; Bantal; Jendela; Kipas Angin; Kloset Jongkok; Ember mandi; WiFi; Kulkas; R. Tamu; R. Jemur; R. Santai; Dapur; Jemuran; Pengurus Kos; R. Keluarga; Parkir Motor; Parkir Sepeda; Parkir Motor &amp; Sepeda</t>
  </si>
  <si>
    <t>Kost Ibu Iis Gunung Putri Bogor</t>
  </si>
  <si>
    <t>3 x 3 meter; Tidak termasuk listrik; Ventilasi; Wastafel; K. Mandi Dalam; Kloset Jongkok; Taman; Jemuran</t>
  </si>
  <si>
    <t>Kost Arbain Babakan Madang Bogor</t>
  </si>
  <si>
    <t>4 x 4 meter; Tidak termasuk listrik; Kasur; Meja; Meja Rias; Lemari Baju; Bantal; Cermin; Wastafel; K. Mandi Dalam; Kloset Duduk; Ember mandi; Shower; WiFi; Kulkas; Penjaga Kos; R. Tamu; R. Jemur; R. Santai; Dapur; Dispenser; Jemuran; Jual Makanan; Parkir Mobil; Parkir Motor</t>
  </si>
  <si>
    <t>Kost Exclusive Tipe A Gunung Putri Bogor</t>
  </si>
  <si>
    <t>3 x 3 meter; Termasuk listrik; AC; Kasur; Lemari Baju; Kloset Duduk; K. Mandi Luar; Shower; R. Tamu; R. Santai; Dapur; R. Keluarga; Parkir Mobil; Parkir Motor; Parkir Sepeda</t>
  </si>
  <si>
    <t>Kost Cahyani Tipe A Cibungbulang Bogor</t>
  </si>
  <si>
    <t>9 x 3 meter</t>
  </si>
  <si>
    <t>9 x 3 meter; Termasuk listrik; Kasur; Meja; Lemari Baju; Bantal; Jendela; Kursi; K. Mandi Dalam; Kloset Jongkok; Ember mandi; WiFi; R. Tamu; R. Jemur; R. Santai; Dapur; Balcon; CCTV; Jemuran; Jual Makanan; Pengurus Kos; Parkir Motor &amp; Sepeda</t>
  </si>
  <si>
    <t>Kost Jj Tipe B Babakan Madang Bogor</t>
  </si>
  <si>
    <t>3 x 4 meter; Termasuk listrik; Kasur; Lemari Baju; Kulkas; Kipas Angin; Bantal; Cermin; Guling; Jendela; K. Mandi Luar; Ember mandi; Shower; WiFi; R. Tamu; Mesin Cuci; R. Jemur; R. Santai; Dapur; Dispenser; CCTV; Parkir Motor; Parkir Sepeda</t>
  </si>
  <si>
    <t>Kost Hr Hani Residence Blue Cibinong Bogor</t>
  </si>
  <si>
    <t>4 x 5 meter; Termasuk listrik; AC; Kasur; Lemari Baju; Ventilasi; Bantal; Jendela; Kursi; Wastafel; Kloset Duduk; K. Mandi Luar; Ember mandi; WiFi; R. Cuci; R. Jemur; R. Santai; Dapur; Balcon; Jemuran; CCTV; Pengurus Kos; Parkir Mobil; Parkir Motor; Parkir Sepeda; Parkir Motor &amp; Sepeda</t>
  </si>
  <si>
    <t>Rp1.050.000</t>
  </si>
  <si>
    <t>Kost Exclusive Tipe A Babakan Madang Bogor</t>
  </si>
  <si>
    <t>4 x 5 meter; Termasuk listrik; AC; Kasur; Meja; Bantal; Cermin; Guling; Jendela; K. Mandi Dalam; Kloset Duduk; Wastafel; Shower; Kulkas; R. Tamu; R. Jemur; R. Makan; R. Santai; Dapur; Dispenser; Jemuran; K. Mandi Luar; R. Keluarga; Parkir Mobil; Parkir Motor; Parkir Sepeda</t>
  </si>
  <si>
    <t>Kost Hr Hani Residence Pink Room Cibinong Bogor</t>
  </si>
  <si>
    <t>5 x 5 meter</t>
  </si>
  <si>
    <t>5 x 5 meter; Termasuk listrik; AC; Kasur; Meja; Lemari Baju; Ventilasi; Bantal; Jendela; Kursi; Kloset Duduk; K. Mandi Luar; Ember mandi; Wastafel; Shower; WiFi; R. Tamu; R. Santai; Dapur; Balcon; Jemuran; CCTV; Pengurus Kos; Parkir Mobil; Parkir Motor; Parkir Sepeda; Parkir Motor &amp; Sepeda</t>
  </si>
  <si>
    <t>Kost Jefa House Tipe B Sukaraja Bogor</t>
  </si>
  <si>
    <t>3.5 x 3.5 meter; Termasuk listrik; Kasur; Meja; Lemari Baju; Kursi; Cermin; Jendela; Bantal; K. Mandi Dalam; Kloset Jongkok; K. Mandi Luar; WiFi; Kulkas; R. Cuci; R. Jemur; Dapur; CCTV; Pengurus Kos; Jemuran; Parkir Motor</t>
  </si>
  <si>
    <t>Kost Lamdis VVIP Citeureup Bogor</t>
  </si>
  <si>
    <t>3 x 4 meter; Tidak termasuk listrik; AC; Kasur; Meja; Lemari Baju; Ventilasi; Bantal; Cermin; Guling; Jendela; Kloset Duduk; Kloset Jongkok; K. Mandi Luar; Ember mandi; Shower; Bak mandi; WiFi; Kulkas; Penjaga Kos; R. Tamu; R. Jemur; R. Makan; R. Santai; Dapur; Dispenser; Balcon; Parkir Motor; Parkir Sepeda</t>
  </si>
  <si>
    <t>Kost Ibu Dewi Executive Gunung Sindur Bogor</t>
  </si>
  <si>
    <t>5 x 10 meter; Tidak termasuk listrik; Kasur; Lemari Baju; Ventilasi; Bantal; Dapur Pribadi; Jendela; Kursi; Wastafel; Kipas Angin; K. Mandi Dalam; Kloset Jongkok; Ember mandi; Shower; Bak mandi; WiFi; R. Cuci; R. Tamu; Penjaga Kos; R. Jemur; Mushola; Dapur; Taman; Balcon; Jual Makanan; Parkir Mobil; Parkir Motor; Parkir Sepeda</t>
  </si>
  <si>
    <t>Kost Haji Kasmir 2 Tipe A Ciampea Bogor</t>
  </si>
  <si>
    <t>3 x 4 meter; Tidak termasuk listrik; Kasur; Meja; Lemari Baju; Ventilasi; Bantal; Jendela; Kipas Angin; Cermin; Guling; Kloset Jongkok; Bak mandi; R. Tamu; R. Jemur; R. Santai; Dapur; K. Mandi Luar; Parkir Motor</t>
  </si>
  <si>
    <t>Kost Azalia Tipe B Gunung Putri Bogor</t>
  </si>
  <si>
    <t>3 x 4 meter; Tidak termasuk listrik; AC; Kasur; Meja; Lemari Baju; Ventilasi; Bantal; Jendela; Kursi; TV Kabel; K. Mandi Dalam; Kloset Duduk; Shower; Air panas; WiFi; Kulkas; Mesin Cuci; Penjaga Kos; R. Tamu; Dapur; Dispenser; Balcon; Jemuran; K. Mandi Luar; Parkir Mobil; Parkir Motor &amp; Sepeda</t>
  </si>
  <si>
    <t>Kost Z Dramaga Bogor</t>
  </si>
  <si>
    <t>3 x 4 meter; Tidak termasuk listrik; AC; Kasur; Meja; Lemari Baju; Bantal; Cermin; Guling; Jendela; Kursi; K. Mandi Dalam; Kloset Duduk; Shower; WiFi; Kulkas; R. Cuci; Mesin Cuci; Penjaga Kos; R. Tamu; R. Jemur; R. Santai; Dapur; Dispenser; Parkir Motor; Parkir Sepeda</t>
  </si>
  <si>
    <t>Kost Bayem I Gunung Putri Bogor</t>
  </si>
  <si>
    <t>3 x 7 meter; Tidak termasuk listrik; AC; Kasur; Meja; Lemari Baju; Ventilasi; Bantal; Cermin; Jendela; Kursi; K. Mandi Dalam; Kloset Jongkok; Ember mandi; Shower; WiFi; Laundry; R. Jemur; R. Santai; Jemuran; Joglo; Pengurus Kos; Parkir Mobil; Parkir Motor</t>
  </si>
  <si>
    <t>Kost Al Musafir Bogor Co Living VIP MEZZO Dramaga Bogor</t>
  </si>
  <si>
    <t>3 x 6 meter; Tidak termasuk listrik; AC; Kasur; Meja; Lemari Baju; Ventilasi; Bantal; Jendela; Kursi; K. Mandi Dalam; Kloset Duduk; Ember mandi; Shower; WiFi; Kulkas; Penjaga Kos; R. Tamu; Mushola; R. Jemur; R. Makan; R. Santai; Dapur; Dispenser; Parkir Mobil; Parkir Motor; Parkir Sepeda; Parkir Motor &amp; Sepeda</t>
  </si>
  <si>
    <t>Kost Dream House Tipe A Dramaga Bogor</t>
  </si>
  <si>
    <t>3 x 4 meter; Tidak termasuk listrik; AC; Kasur; Meja; Lemari Baju; Bantal; Cermin; Jendela; Kursi; K. Mandi Dalam; Kloset Duduk; Shower; Air panas; WiFi; Kulkas; R. Cuci; R. Tamu; R. Jemur; R. Makan; R. Santai; Dapur; Balcon; CCTV; Parkir Mobil; Parkir Motor</t>
  </si>
  <si>
    <t>Kost Cibubur Tipe B Gunung Putri Bogor</t>
  </si>
  <si>
    <t>3 x 6 meter; Tidak termasuk listrik; AC; Kasur; Meja; Lemari Baju; Kursi; Wastafel; K. Mandi Dalam; Kloset Duduk; Shower; R. Cuci; Kulkas; Laundry; R. Jemur; Dapur; Parkir Mobil; Parkir Motor; Parkir Sepeda</t>
  </si>
  <si>
    <t>Kost Aqila Gadog Tipe Standard Single Ciawi Bogor</t>
  </si>
  <si>
    <t>5 x 3 meter</t>
  </si>
  <si>
    <t>5 x 3 meter; Tidak termasuk listrik; AC; Kasur; TV; Lemari Baju; Ventilasi; Bantal; Cermin; Cleaning service; Jendela; Wastafel; K. Mandi Dalam; Kloset Duduk; Shower; Air panas; WiFi; Laundry; Penjaga Kos; R. Makan; R. Santai; CCTV; Balcon; Jual Makanan; Pengurus Kos; Taman; Parkir Mobil; Parkir Motor; Parkir Sepeda; Parkir Motor &amp; Sepeda</t>
  </si>
  <si>
    <t>Kost Cozy Living Patambran Kemang Bogor</t>
  </si>
  <si>
    <t>5 x 4.5 meter</t>
  </si>
  <si>
    <t>5 x 4.5 meter; Tidak termasuk listrik; Dapur Pribadi; Jendela; Kloset Jongkok; Ember mandi; Wastafel; Penjaga Kos; Dapur; CCTV; Jemuran; Parkir Mobil; Parkir Motor</t>
  </si>
  <si>
    <t>Kemang</t>
  </si>
  <si>
    <t>Kost Bumi Alam VVIP Babakan Madang Bogor</t>
  </si>
  <si>
    <t>3 x 3 meter; Termasuk listrik; AC; Kasur; Meja; Lemari Baju; Ventilasi; Bantal; Cermin; Guling; Jendela; Kloset Duduk; Kloset Jongkok; K. Mandi Luar; Ember mandi; Wastafel; Shower; WiFi; Kulkas; Penjaga Kos; R. Tamu; R. Santai; Dapur; Dispenser; Balcon; CCTV; Jemuran; Parkir Motor; Parkir Sepeda</t>
  </si>
  <si>
    <t>Kost Gepin Tajur Halang Bogor</t>
  </si>
  <si>
    <t>3 x 4 meter; Termasuk listrik; Kasur; Meja; Bantal; Cermin; Jendela; Kursi; Kloset Duduk; K. Mandi Luar; Ember mandi; Wastafel; WiFi; Kulkas; R. Tamu; R. Makan; R. Santai; Dapur; Dispenser; Jemuran; Rice Cooker; Parkir Mobil; Parkir Motor; Parkir Sepeda; Parkir Motor &amp; Sepeda</t>
  </si>
  <si>
    <t>Kost Dramaga Tipe A Dramaga Bogor</t>
  </si>
  <si>
    <t>3 x 4 meter; Tidak termasuk listrik; Kasur; Meja; Lemari Baju; Ventilasi; Bantal; Cermin; Cleaning service; Dapur Pribadi; Guling; Jendela; K. Mandi Dalam; Kloset Duduk; Ember mandi; Wastafel; Shower; Bak mandi; Laundry; Penjaga Kos; Balcon; Jual Makanan; Pengurus Kos; Parkir Mobil; Parkir Motor; Parkir Sepeda; Parkir Motor &amp; Sepeda</t>
  </si>
  <si>
    <t>Kost Tante Madia Cileungsi Bogor</t>
  </si>
  <si>
    <t>3 x 4 meter; Tidak termasuk listrik; Dapur Pribadi; Jendela; Kloset Duduk; Dapur; Jemuran; Parkir Mobil; Parkir Motor; Parkir Sepeda; Parkir Motor &amp; Sepeda</t>
  </si>
  <si>
    <t>Kost Ibu Dyah Gunung Putri Bogor</t>
  </si>
  <si>
    <t>5 x 5 meter; Tidak termasuk listrik; AC; Kasur; Meja; Lemari Baju; Bantal; Cermin; Dapur Pribadi; Guling; Jendela; Kursi; K. Mandi Dalam; Kloset Duduk; Wastafel; Shower; Air panas; WiFi; Penjaga Kos; Dapur; Balcon; CCTV; Jemuran; Parkir Mobil; Parkir Motor</t>
  </si>
  <si>
    <t>Kost Jl Ciangsana Raya Ciangsana Bogor</t>
  </si>
  <si>
    <t>3 x 6 meter; Tidak termasuk listrik; K. Mandi Dalam; Kloset Jongkok; R. Tamu; Parkir Motor; Parkir Sepeda</t>
  </si>
  <si>
    <t>Kost Kristal Garden Cibinong Bogor</t>
  </si>
  <si>
    <t>3 x 4 meter; Tidak termasuk listrik; AC; Kasur; Meja; Lemari Baju; Ventilasi; Kursi; Bantal; Cermin; Guling; Jendela; Kloset Duduk; K. Mandi Luar; Wastafel; Ember mandi; WiFi; R. Tamu; R. Makan; R. Jemur; Dapur; Dispenser; TV; Taman; Jemuran</t>
  </si>
  <si>
    <t>Kost Curug Executive Gunung Sindur Bogor</t>
  </si>
  <si>
    <t>4 x 5 meter; Termasuk listrik; Kasur; Meja; Lemari Baju; Ventilasi; Bantal; Cermin; Jendela; Kursi; Wastafel; Kloset Duduk; Kloset Jongkok; K. Mandi Luar; Ember mandi; Penjaga Kos; R. Jemur; R. Santai; Dapur; Balcon; Jemuran; Jual Makanan; Pengurus Kos; Taman; Parkir Mobil; Parkir Motor &amp; Sepeda</t>
  </si>
  <si>
    <t>Kost At Thohiroh Tipe B Dramaga Bogor</t>
  </si>
  <si>
    <t>4 x 5 meter; Tidak termasuk listrik; AC; Kasur; Meja; Lemari Baju; Bantal; Kursi; K. Mandi Dalam; Kloset Duduk; Shower; WiFi; Kulkas; R. Tamu; R. Jemur; Dapur; Dispenser; CCTV; Jemuran; Locker; Parkir Motor</t>
  </si>
  <si>
    <t>Kost Oma Gunung Putri Bogor</t>
  </si>
  <si>
    <t>2.5 x 08 meter</t>
  </si>
  <si>
    <t>2.5 x 08 meter; Tidak termasuk listrik; Dapur Pribadi; Jendela; K. Mandi Dalam; Kloset Jongkok; Bak mandi; Penjaga Kos; Dapur; Jemuran; Parkir Motor &amp; Sepeda</t>
  </si>
  <si>
    <t>Kost Ibu Dyah Tipe A Gunung Putri Bogor</t>
  </si>
  <si>
    <t>3 x 6 meter; Tidak termasuk listrik; AC; Kasur; Meja; Lemari Baju; Bantal; Dapur Pribadi; Guling; Jendela; Kursi; K. Mandi Dalam; Kloset Jongkok; Ember mandi; WiFi; Penjaga Kos; R. Jemur; Dapur; CCTV; Parkir Mobil; Parkir Motor</t>
  </si>
  <si>
    <t>Kost Rumah Zakia Tipe A Dramaga Bogor</t>
  </si>
  <si>
    <t>3 x 3 meter; Tidak termasuk listrik; AC; Kasur; Meja; Lemari Baju; Kulkas; Kursi; Cleaning service; Bantal; Cermin; Guling; K. Mandi Dalam; Kloset Duduk; Shower; WiFi; R. Jemur; Dapur; TV; Balcon; CCTV; Jual Makanan; Pengurus Kos; Jemuran; Parkir Mobil; Parkir Motor; Parkir Sepeda</t>
  </si>
  <si>
    <t>Kost Mirasony 1 Cileungsi Bogor</t>
  </si>
  <si>
    <t>3 x 3 meter; Termasuk listrik; Kasur; Meja; TV; Lemari Baju; Ventilasi; Bantal; Cermin; Guling; Jendela; Kursi; Kloset Duduk; K. Mandi Luar; Ember mandi; Shower; WiFi; Kulkas; R. Cuci; Mesin Cuci; Penjaga Kos; R. Tamu; Laundry; Mushola; R. Jemur; R. Makan; Parkir Sepeda; Parkir Motor</t>
  </si>
  <si>
    <t>Kost Behomy Suite Cibinong Bogor</t>
  </si>
  <si>
    <t>3 x 4 meter; Tidak termasuk listrik; AC; Kasur; Meja; TV; Lemari Baju; Bantal; Cermin; Guling; Kursi; K. Mandi Dalam; Kloset Duduk; Shower; Air panas; WiFi; Kulkas; R. Cuci; Laundry; Mesin Cuci; Penjaga Kos; R. Jemur; Dapur; Dispenser; CCTV; Parkir Mobil; Parkir Motor; Parkir Sepeda</t>
  </si>
  <si>
    <t>Kost Exclusive Tipe D Gunung Putri Bogor</t>
  </si>
  <si>
    <t>3 x 4 meter; Tidak termasuk listrik; AC; Kasur; K. Mandi Dalam; Kloset Duduk; Shower; R. Tamu; R. Santai; Dapur; R. Keluarga; Parkir Mobil; Parkir Motor; Parkir Sepeda</t>
  </si>
  <si>
    <t>Kost Griya Madani Ciangsana Tipe C Gunung Putri Bogor</t>
  </si>
  <si>
    <t>2.2 x 3 meter</t>
  </si>
  <si>
    <t>2.2 x 3 meter; Termasuk listrik; Kasur; Lemari Baju; Ventilasi; Bantal; Jendela; Kipas Angin; Cermin; Kloset Duduk; K. Mandi Luar; Ember mandi; Wastafel; Shower; WiFi; Kulkas; R. Cuci; Mesin Cuci; R. Jemur; R. Makan; Dapur; Jemuran; Pengurus Kos; Rice Cooker; Parkir Mobil; Parkir Motor</t>
  </si>
  <si>
    <t>Rp975.000</t>
  </si>
  <si>
    <t>Kost Umanami Standar Gunung Putri Bogor</t>
  </si>
  <si>
    <t>3 x 4 meter; Tidak termasuk listrik; Kasur; Lemari Baju; Ventilasi; Bantal; Guling; Jendela; Kloset Jongkok; K. Mandi Luar; Bak mandi; R. Cuci; Kulkas; R. Tamu; Mesin Cuci; R. Jemur; R. Makan; Dapur; Dispenser; Balcon; Jemuran; Parkir Mobil; Parkir Motor</t>
  </si>
  <si>
    <t>Kost Ciberem Tipe A Dramaga Bogor</t>
  </si>
  <si>
    <t>4 x 9 meter</t>
  </si>
  <si>
    <t>4 x 9 meter; Tidak termasuk listrik; Dapur Pribadi; Kloset Jongkok; Ember mandi; Balcon; Jemuran; Parkir Mobil; Parkir Motor; Parkir Sepeda; Parkir Motor &amp; Sepeda</t>
  </si>
  <si>
    <t>Kost Jalan Alternatif IPB Tipe A Dramaga Bogor</t>
  </si>
  <si>
    <t>3 x 4 meter; Tidak termasuk listrik; AC; Kasur; Meja; TV; Lemari Baju; Ventilasi; Kursi; TV Kabel; Bantal; Cermin; K. Mandi Dalam; Kloset Duduk; Shower; Air panas; WiFi; R. Tamu; Penjaga Kos; Mushola; Taman; Gazebo; Jual Makanan; Pengurus Kos; Parkir Mobil; Parkir Motor; Parkir Sepeda</t>
  </si>
  <si>
    <t>Rp1.925.000</t>
  </si>
  <si>
    <t>Kost Alam Pesona Sentul City Cluster Babakan Madang Bogor</t>
  </si>
  <si>
    <t>3 x 3 meter; Tidak termasuk listrik; AC; Kasur; Meja; Lemari Baju; Ventilasi; Kursi; Cleaning service; Bantal; Cermin; Guling; Kloset Duduk; K. Mandi Luar; Wastafel; Ember mandi; Shower; WiFi; Kulkas; R. Tamu; R. Makan; R. Jemur; R. Santai; Dapur; TV; Taman; R. Keluarga; Parkir Mobil; Parkir Motor</t>
  </si>
  <si>
    <t>Kost RegFel Kota Wisata Gunung Putri Bogor</t>
  </si>
  <si>
    <t>3 x 4 meter; Termasuk listrik; AC; Kasur; Meja; Lemari Baju; Kursi; Wastafel; Bantal; Guling; Jendela; K. Mandi Dalam; Kloset Duduk; Shower; Air panas; WiFi; R. Cuci; Kulkas; R. Tamu; Mesin Cuci; Penjaga Kos; R. Makan; R. Jemur; Dapur; Dispenser; Parkir Mobil; Parkir Motor</t>
  </si>
  <si>
    <t>Kost Koe Cibinong Bogor</t>
  </si>
  <si>
    <t>3 x 4 meter; Tidak termasuk listrik; AC; Kasur; Meja; Lemari Baju; Bantal; Dapur Pribadi; Jendela; Kursi; Kloset Duduk; Ember mandi; R. Jemur; Jemuran; Parkir Mobil; Parkir Motor; Parkir Sepeda; Parkir Motor &amp; Sepeda</t>
  </si>
  <si>
    <t>Rp1.370.000</t>
  </si>
  <si>
    <t>Kost Parung Parung Bogor</t>
  </si>
  <si>
    <t>3 x 4.8 meter</t>
  </si>
  <si>
    <t>3 x 4.8 meter; Tidak termasuk listrik; Kasur; Dapur Pribadi; Jendela; K. Mandi Dalam; Kloset Duduk; Ember mandi; Shower; Penjaga Kos; R. Tamu; R. Santai; Dapur; Jemuran; Parkir Mobil; Parkir Motor; Parkir Sepeda</t>
  </si>
  <si>
    <t>Parung</t>
  </si>
  <si>
    <t>Kost Sudut Dua Belas Babakan Madang Bogor</t>
  </si>
  <si>
    <t>5 x 4 meter</t>
  </si>
  <si>
    <t>5 x 4 meter; Tidak termasuk listrik; AC; Kasur; TV; Kulkas; Lemari Baju; Bantal; Cermin; Dapur Pribadi; Guling; Jendela; K. Mandi Dalam; Kloset Duduk; Shower; Air panas; Dapur; CCTV; Parkir Mobil; Parkir Motor &amp; Sepeda</t>
  </si>
  <si>
    <t>Kost Kota Wisata Cibubur Cileungsi Bogor</t>
  </si>
  <si>
    <t>3 x 4 meter; Tidak termasuk listrik; AC; Kasur; Meja; Meja Rias; Lemari Baju; Ventilasi; Kursi; Bantal; Cermin; Jendela; Kloset Duduk; K. Mandi Luar; Wastafel; Shower; Air panas; WiFi; R. Cuci; Kulkas; R. Tamu; Penjaga Kos; Laundry; R. Jemur; R. Santai; Dapur; TV; Parkir Mobil; Parkir Motor; Parkir Sepeda</t>
  </si>
  <si>
    <t>Kost Merah Tipe B Cibinong Bogor</t>
  </si>
  <si>
    <t>8 x 4 meter</t>
  </si>
  <si>
    <t>8 x 4 meter; Tidak termasuk listrik; Kasur; Lemari Baju; Ventilasi; Kipas Angin; Dapur Pribadi; Jendela; K. Mandi Dalam; Kloset Jongkok; Ember mandi; WiFi; R. Tamu; Laundry; R. Jemur; Mushola; Dapur; Jemuran; Parkir Motor</t>
  </si>
  <si>
    <t>Kost Pondok Delima 2 Tipe A Dramaga Bogor</t>
  </si>
  <si>
    <t>2 x 3 meter; Tidak termasuk listrik; Kasur; Meja; Lemari Baju; Bantal; Guling; Jendela; Kursi; Kloset Jongkok; K. Mandi Luar; Ember mandi; WiFi; Kulkas; R. Cuci; R. Tamu; R. Jemur; R. Santai; Dapur; Balcon; Jemuran; R. Keluarga; Parkir Motor &amp; Sepeda</t>
  </si>
  <si>
    <t>Kost The Pom Tipe Standard Dramaga Bogor</t>
  </si>
  <si>
    <t>3 x 4 meter; Tidak termasuk listrik; Kasur; Meja; Lemari Baju; Ventilasi; Bantal; Cermin; Cleaning service; Dapur Pribadi; Guling; Jendela; K. Mandi Dalam; Kloset Duduk; Ember mandi; Wastafel; Shower; Penjaga Kos; Jual Makanan; Pengurus Kos; Taman; Parkir Mobil; Parkir Motor; Parkir Sepeda; Parkir Motor &amp; Sepeda</t>
  </si>
  <si>
    <t>Kost Kafein Tipe B Cibinong Bogor</t>
  </si>
  <si>
    <t>3 x 4 meter; Tidak termasuk listrik; AC; Kasur; Meja; TV; Lemari Baju; Kulkas; Ventilasi; Bantal; Cermin; Cleaning service; K. Mandi Dalam; Kloset Duduk; Ember mandi; Shower; WiFi; R. Cuci; Mesin Cuci; R. Tamu; Penjaga Kos; R. Jemur; R. Makan; R. Santai; Dapur; Parkir Motor; Parkir Sepeda</t>
  </si>
  <si>
    <t>Kost Tafkya House Tipe Standard Parung Panjang Bogor</t>
  </si>
  <si>
    <t>3 x 4 meter; Termasuk listrik; AC; Kasur; Meja; Meja Rias; Lemari Baju; Ventilasi; Bantal; Cermin; Kursi; Jendela; K. Mandi Dalam; Kloset Duduk; Wastafel; Shower; WiFi; Kulkas; R. Cuci; R. Tamu; R. Jemur; R. Makan; R. Santai; Dapur; Pengurus Kos; Jemuran; Parkir Mobil; Parkir Motor</t>
  </si>
  <si>
    <t>Parung Panjang</t>
  </si>
  <si>
    <t>Kost Yasmin Tipe B Dramaga Bogor</t>
  </si>
  <si>
    <t>3 x 4 meter; Termasuk listrik; Kasur; Dispenser; Lemari Baju; Ventilasi; Bantal; Cermin; Guling; Jendela; Kipas Angin; Kursi; K. Mandi Dalam; Kloset Jongkok; Ember mandi; Shower; WiFi; Penjaga Kos; R. Jemur; Balcon; Jemuran; Pengurus Kos; Parkir Motor; Parkir Motor &amp; Sepeda</t>
  </si>
  <si>
    <t>Kost Merah 3 Petak Cibinong Bogor</t>
  </si>
  <si>
    <t>8 x 3 meter</t>
  </si>
  <si>
    <t>8 x 3 meter; Tidak termasuk listrik; Ventilasi; Dapur Pribadi; Jendela; K. Mandi Dalam; Kloset Jongkok; Ember mandi; WiFi; R. Tamu; Laundry; R. Jemur; Mushola; Dapur; Balcon; Jemuran; Parkir Motor</t>
  </si>
  <si>
    <t>Kost 20088 Babakan Madang Bogor</t>
  </si>
  <si>
    <t>3 x 4 meter; Termasuk listrik; Kasur; Lemari Baju; Ventilasi; Bantal; Guling; Jendela; K. Mandi Dalam; Kloset Duduk; K. Mandi Luar; Ember mandi; Shower; R. Tamu; R. Jemur; R. Makan; R. Santai; Dispenser; CCTV; Jemuran; Pengurus Kos; Kartu Akses; Parkir Motor</t>
  </si>
  <si>
    <t>Kost Aeon BSD Tipe Supreme Cisauk Tangerang</t>
  </si>
  <si>
    <t>5 x 6 meter; Tidak termasuk listrik; AC; TV; Lemari Baju; Ventilasi; Jendela; Wastafel; Dapur Pribadi; K. Mandi Dalam; Kloset Jongkok; Ember mandi; WiFi; R. Cuci; R. Tamu; R. Jemur; R. Makan; R. Santai; CCTV; R. Keluarga; Parkir Mobil; Parkir Motor; Parkir Sepeda; Parkir Motor &amp; Sepeda</t>
  </si>
  <si>
    <t>Kost Marlaba 4 Bojonggede Bogor</t>
  </si>
  <si>
    <t>3 x 4 meter; Termasuk listrik; Kasur; Lemari Baju; Ventilasi; Cermin; Jendela; Kipas Angin; Kursi; K. Mandi Dalam; Kloset Duduk; Ember mandi; Bak mandi; R. Cuci; Penjaga Kos; R. Tamu; R. Jemur; R. Santai; CCTV; Jemuran; Pengurus Kos; R. Keluarga; TV; Parkir Motor; Parkir Sepeda; Parkir Motor &amp; Sepeda</t>
  </si>
  <si>
    <t>Kost Dea Tipe B Parung Panjang Bogor</t>
  </si>
  <si>
    <t>3 x 3 meter; Tidak termasuk listrik; Kasur; Lemari Baju; Bantal; Guling; Jendela; Kipas Angin; Sofa; K. Mandi Dalam; Kloset Duduk; Shower; R. Tamu; Dapur; CCTV; Parkir Mobil</t>
  </si>
  <si>
    <t>Kecamatan Parung Panjang</t>
  </si>
  <si>
    <t>Kost Gandaria Pak Rudy Bojonggede Bogor</t>
  </si>
  <si>
    <t>3 x 7 meter; Tidak termasuk listrik; Dapur Pribadi; K. Mandi Dalam; Kloset Jongkok; Wastafel; Bak mandi; Balcon; Parkir Motor &amp; Sepeda</t>
  </si>
  <si>
    <t>Kost Nyaman Nanggewer Gunung Putri Bogor</t>
  </si>
  <si>
    <t>3 x 8 meter</t>
  </si>
  <si>
    <t>3 x 8 meter; Tidak termasuk listrik; Jendela; Wastafel; K. Mandi Dalam; Kloset Jongkok; R. Tamu; Dapur; Jemuran; Parkir Motor</t>
  </si>
  <si>
    <t>Kost Aqila Gadog Tipe Deluxe Single Ciawi Bogor</t>
  </si>
  <si>
    <t>4 x 6 meter</t>
  </si>
  <si>
    <t>4 x 6 meter; Tidak termasuk listrik; AC; Kasur; Meja; TV; Lemari Baju; Ventilasi; Bantal; Cermin; Cleaning service; Dapur Pribadi; K. Mandi Dalam; Kloset Duduk; Wastafel; Shower; Air panas; WiFi; Laundry; R. Tamu; Penjaga Kos; R. Makan; R. Santai; CCTV; Jual Makanan; Balcon; K. Mandi Luar; Parkir Mobil; Parkir Motor; Parkir Sepeda; Parkir Motor &amp; Sepeda</t>
  </si>
  <si>
    <t>Kecamatan Ciawi</t>
  </si>
  <si>
    <t>Kost Barito Babakan Madang Bogor</t>
  </si>
  <si>
    <t>3 x 4 meter; Termasuk listrik; AC; Kasur; Meja; TV; Lemari Baju; Ventilasi; Bantal; Cermin; Guling; Jendela; Kloset Duduk; Ember mandi; Shower; Air panas; WiFi; Kulkas; R. Cuci; Mesin Cuci; R. Tamu; R. Jemur; R. Makan; R. Santai; Dapur; Dispenser; Parkir Mobil; Parkir Motor</t>
  </si>
  <si>
    <t>Kost Yahya Sirkuit Sentul Citeureup Bogor</t>
  </si>
  <si>
    <t>3 x 4.5 meter; Termasuk listrik; Kasur; Meja; Lemari Baju; Kulkas; Ventilasi; Kursi; Bantal; Cermin; Guling; Jendela; K. Mandi Dalam; Kloset Jongkok; K. Mandi Luar; Ember mandi; Bak mandi; WiFi; Penjaga Kos; R. Jemur; Mushola; R. Santai; Balcon; Pengurus Kos; Jemuran; Kartu Akses; Parkir Mobil; Parkir Motor; Parkir Sepeda</t>
  </si>
  <si>
    <t>Kost Dyta Ciomas Bogor</t>
  </si>
  <si>
    <t>3 x 5 meter; Termasuk listrik; Kasur; Meja; Lemari Baju; Kursi; TV Kabel; K. Mandi Dalam; Kloset Duduk; Shower; R. Tamu; Penjaga Kos; Parkir Motor</t>
  </si>
  <si>
    <t>Ciomas</t>
  </si>
  <si>
    <t>Kost Bu Sabar 1 Cileungsi Bogor</t>
  </si>
  <si>
    <t>3 x 3 meter; Tidak termasuk listrik; Kasur; Lemari Baju; Ventilasi; Bantal; Guling; Jendela; Kipas Angin; Kloset Jongkok; K. Mandi Luar; Ember mandi; Kulkas; Dispenser; Jemuran; Parkir Motor; Parkir Sepeda</t>
  </si>
  <si>
    <t>Kost Pondok Delima Tipe A Dramaga Bogor</t>
  </si>
  <si>
    <t>3 x 2.5 meter</t>
  </si>
  <si>
    <t>3 x 2.5 meter; Tidak termasuk listrik; Kasur; Meja; Lemari Baju; Ventilasi; Bantal; Guling; Jendela; Kursi; Kloset Jongkok; K. Mandi Luar; Ember mandi; Wastafel; Bak mandi; WiFi; Kulkas; R. Tamu; R. Jemur; R. Makan; R. Santai; Dapur; Balcon; Jemuran; Parkir Motor &amp; Sepeda</t>
  </si>
  <si>
    <t>Kost Tirta F30 Tipe A Dramaga Bogor</t>
  </si>
  <si>
    <t>3 x 3 meter; Tidak termasuk listrik; AC; Kasur; Meja; Lemari Baju; Ventilasi; Bantal; Cermin; Jendela; Kursi; K. Mandi Dalam; Kloset Jongkok; Ember mandi; Shower; WiFi; Kulkas; R. Cuci; R. Tamu; R. Jemur; R. Makan; R. Santai; Dapur; Jemuran; K. Mandi Luar; Parkir Mobil; Parkir Motor; Parkir Sepeda</t>
  </si>
  <si>
    <t>Kost Yellow Unhan Sentul Tipe Executive Citeureup Bogor</t>
  </si>
  <si>
    <t>3 x 4 meter; Termasuk listrik; Kasur; Meja; Lemari Baju; Ventilasi; Bantal; Dapur Pribadi; Guling; Jendela; Kipas Angin; K. Mandi Dalam; Kloset Duduk; Kloset Jongkok; K. Mandi Luar; Ember mandi; Shower; Bak mandi; Kulkas; R. Cuci; R. Tamu; Mushola; R. Jemur; R. Makan; R. Santai; Dapur; Dispenser; Balcon; Parkir Mobil; Parkir Motor; Parkir Sepeda</t>
  </si>
  <si>
    <t>Kost Ashri By Hutama IPB Tipe B Dramaga Bogor</t>
  </si>
  <si>
    <t>3 x 4 meter; Tidak termasuk listrik; AC; Kasur; Meja; Kulkas; Lemari Baju; Ventilasi; Bantal; Cleaning service; Guling; Jendela; K. Mandi Dalam; Kloset Duduk; Shower; WiFi; R. Cuci; Penjaga Kos; R. Jemur; Jemuran; Jual Makanan; K. Mandi Luar; Pengurus Kos; Parkir Motor; Parkir Sepeda; Parkir Motor &amp; Sepeda</t>
  </si>
  <si>
    <t>Kost De Raincity Dramaga Bogor</t>
  </si>
  <si>
    <t>3 x 4 meter; Tidak termasuk listrik; AC; Kasur; Meja; TV; Lemari Baju; Ventilasi; Bantal; Cermin; Jendela; K. Mandi Dalam; Kloset Duduk; Ember mandi; Shower; WiFi; Penjaga Kos; Dispenser; Taman; Parkir Mobil; Parkir Motor; Parkir Sepeda</t>
  </si>
  <si>
    <t>Kost Dion 2 Gunung Sindur Bogor</t>
  </si>
  <si>
    <t>5 x 3 meter; Tidak termasuk listrik; Kasur; K. Mandi Dalam; Kloset Jongkok; Dapur; Jemuran; Parkir Motor</t>
  </si>
  <si>
    <t>Kost Bagja Cibinong Bogor</t>
  </si>
  <si>
    <t>2 x 3 meter; Termasuk listrik; AC; Kasur; Ventilasi; Jendela; Kloset Jongkok; K. Mandi Luar; Ember mandi; Bak mandi; R. Jemur; Dapur; Taman; Balcon; Parkir Mobil; Parkir Motor</t>
  </si>
  <si>
    <t>Kost Azzahra 1 Tipe Berdua Dramaga Bogor</t>
  </si>
  <si>
    <t>3 x 4.5 meter; Tidak termasuk listrik; Kasur; Meja; Lemari Baju; Guling; Bantal; Kipas Angin; Kursi; K. Mandi Dalam; Kloset Duduk; Kloset Jongkok; Shower; Kulkas; Penjaga Kos; R. Tamu; R. Santai; Dapur; CCTV; Jemuran; Rice Cooker; TV; Parkir Mobil; Parkir Motor</t>
  </si>
  <si>
    <t>Kost Rumah Kaca Metland Cileungsi Bogor</t>
  </si>
  <si>
    <t>3 x 4 meter; Tidak termasuk listrik; AC; Kasur; Meja; Lemari Baju; Jendela; K. Mandi Dalam; Kloset Duduk; Kloset Jongkok; K. Mandi Luar; Ember mandi; WiFi; R. Cuci; Kulkas; Penjaga Kos; R. Jemur; R. Makan; Dapur; Jemuran; Balcon; Parkir Mobil; Parkir Motor; Parkir Sepeda</t>
  </si>
  <si>
    <t>Kost Mewah Cendana Suite Cileungsi Bogor</t>
  </si>
  <si>
    <t>4 x 4 meter; Tidak termasuk listrik; AC; Kasur; Meja; Kulkas; Lemari Baju; Ventilasi; Bantal; Cermin; Guling; Jendela; K. Mandi Dalam; Kloset Duduk; K. Mandi Luar; Wastafel; Shower; Dapur; Balcon; Jemuran; Parkir Mobil; Parkir Motor &amp; Sepeda</t>
  </si>
  <si>
    <t>Kost Umah Putih Tipe A Ciampea Bogor</t>
  </si>
  <si>
    <t>3 x 3 meter; Termasuk listrik; Kasur; Meja; Ventilasi; Bantal; Cermin; Jendela; Kipas Angin; Kursi; K. Mandi Dalam; Kloset Jongkok; K. Mandi Luar; Ember mandi; Penjaga Kos; Jemuran; Pengurus Kos; Taman; Parkir Mobil; Parkir Motor</t>
  </si>
  <si>
    <t>Kost Eksklusif Mara Juara Tipe Reguler Bedroom Beji Depok</t>
  </si>
  <si>
    <t>3 x 3 meter; Tidak termasuk listrik; AC; Kasur; Meja; TV; Lemari Baju; Ventilasi; Kursi; Cleaning service; Bantal; Cermin; K. Mandi Dalam; Kloset Duduk; Wastafel; Shower; Air panas; WiFi; R. Cuci; Kulkas; R. Tamu; Mesin Cuci; Penjaga Kos; Laundry; R. Makan; R. Jemur; R. Santai; Parkir Mobil; Parkir Motor; Parkir Sepeda</t>
  </si>
  <si>
    <t>Rp1.699.000</t>
  </si>
  <si>
    <t>Sukmajaya</t>
  </si>
  <si>
    <t>Depok</t>
  </si>
  <si>
    <t>Kost Griya Laksana Beji Depok</t>
  </si>
  <si>
    <t>3 x 4 meter; Tidak termasuk listrik; AC; Kasur; Meja; Lemari Baju; Kursi; Wastafel; K. Mandi Dalam; Kloset Duduk; Ember mandi; Shower; WiFi; Kulkas; Mesin Cuci; Laundry; Dapur; Dispenser; Parkir Mobil; Parkir Motor; Parkir Sepeda</t>
  </si>
  <si>
    <t>Beji</t>
  </si>
  <si>
    <t>Kost Griya Jasta Tipe A Beji Depok</t>
  </si>
  <si>
    <t>6 x 3.7 meter</t>
  </si>
  <si>
    <t>6 x 3.7 meter; Tidak termasuk listrik; AC; Kasur; Meja; Lemari Baju; Kulkas; Bantal; Cermin; Jendela; Kursi; Wastafel; K. Mandi Dalam; Kloset Duduk; Shower; Air panas; WiFi; Laundry; Penjaga Kos; Dapur; Dispenser; CCTV; Parkir Mobil; Parkir Motor; Parkir Sepeda</t>
  </si>
  <si>
    <t>Rp2.350.000</t>
  </si>
  <si>
    <t>Kost Singgahsini Zire Kukusan Beji Depok</t>
  </si>
  <si>
    <t>Rp925.000</t>
  </si>
  <si>
    <t>4 x 4 meter; Tidak termasuk listrik; Kasur; Meja; Lemari Baju; Ventilasi; Kursi; Bantal; Jendela; K. Mandi Dalam; Kloset Duduk; Kloset Jongkok; Ember mandi; Shower; WiFi; R. Cuci; Penjaga Kos; Dapur; Parkir Mobil; Parkir Motor; Parkir Sepeda; Parkir Motor &amp; Sepeda</t>
  </si>
  <si>
    <t>Rp835.000</t>
  </si>
  <si>
    <t>Kost Apik Kukusan Ahmad Dahlan Tipe A Beji Depok</t>
  </si>
  <si>
    <t>3 x 3.5 meter</t>
  </si>
  <si>
    <t>Rp915.000</t>
  </si>
  <si>
    <t>3 x 3.5 meter; Termasuk listrik; Kasur; Meja; Lemari Baju; Kursi; Kipas Angin; Bantal; Guling; Jendela; Kloset Jongkok; K. Mandi Luar; Ember mandi; WiFi; Kulkas; R. Tamu; Penjaga Kos; R. Jemur; Dapur; Dispenser; TV; CCTV; Parkir Mobil; Parkir Motor; Parkir Sepeda</t>
  </si>
  <si>
    <t>Rp826.000</t>
  </si>
  <si>
    <t>Kecamatan Beji</t>
  </si>
  <si>
    <t>Diskon 89rb</t>
  </si>
  <si>
    <t>Kost Singgahsini Rifidikan Tipe A Cimanggis Depok</t>
  </si>
  <si>
    <t>3.2 x 4 meter</t>
  </si>
  <si>
    <t>Rp1.225.000</t>
  </si>
  <si>
    <t>3.2 x 4 meter; Tidak termasuk listrik; AC; Kasur; Meja; Lemari Baju; Ventilasi; Kursi; Bantal; Guling; Cermin; Jendela; K. Mandi Dalam; Kloset Duduk; Ember mandi; Shower; WiFi; R. Tamu; Penjaga Kos; Laundry; R. Jemur; Mushola; Dapur; Taman; CCTV; Jemuran; Parkir Motor &amp; Sepeda</t>
  </si>
  <si>
    <t>Rp1.105.000</t>
  </si>
  <si>
    <t>Cimanggis</t>
  </si>
  <si>
    <t>Diskon 120rb</t>
  </si>
  <si>
    <t>Kost Singgahsini Pondok Bukit Pisang Tipe C Beji Depok</t>
  </si>
  <si>
    <t>4.5 x 3 meter</t>
  </si>
  <si>
    <t>4.5 x 3 meter; Termasuk listrik; Kasur; Meja; Lemari Baju; Ventilasi; Kursi; Bantal; Jendela; K. Mandi Dalam; Kloset Duduk; Shower; WiFi; R. Tamu; Penjaga Kos; R. Makan; R. Jemur; Mushola; Dapur; Taman; CCTV; Parkir Motor &amp; Sepeda</t>
  </si>
  <si>
    <t>Diskon 100rb</t>
  </si>
  <si>
    <t>Kost Singgahsini Pondok Bukit Pisang Tipe A Beji Depok</t>
  </si>
  <si>
    <t>4.5 x 3 meter; Termasuk listrik; AC; Kasur; Meja; Lemari Baju; Ventilasi; Kursi; Bantal; Jendela; K. Mandi Dalam; Kloset Duduk; Shower; WiFi; R. Tamu; Penjaga Kos; R. Makan; R. Jemur; Mushola; Dapur; Dispenser; Taman; CCTV; Parkir Motor &amp; Sepeda</t>
  </si>
  <si>
    <t>Rp1.440.000</t>
  </si>
  <si>
    <t>Diskon 160rb</t>
  </si>
  <si>
    <t>Kost Apik Griya Caraka Tipe A Beji Depok</t>
  </si>
  <si>
    <t>Rp1.055.000</t>
  </si>
  <si>
    <t>3 x 5 meter; Tidak termasuk listrik; Kasur; Meja; Lemari Baju; Ventilasi; Kursi; Bantal; Cermin; Jendela; K. Mandi Dalam; Kloset Jongkok; Ember mandi; Shower; WiFi; R. Tamu; Mesin Cuci; Penjaga Kos; R. Jemur; Dapur; Dispenser; CCTV; Jemuran; Parkir Mobil; Parkir Motor; Parkir Sepeda</t>
  </si>
  <si>
    <t>Rp952.000</t>
  </si>
  <si>
    <t>Diskon 103rb</t>
  </si>
  <si>
    <t>Kost Singgahsini Pondok Bukit Pisang Tipe B Beji Depok</t>
  </si>
  <si>
    <t>4.5 x 3 meter; Termasuk listrik; AC; Kasur; Meja; Lemari Baju; Ventilasi; Kursi; Bantal; Jendela; K. Mandi Dalam; Kloset Duduk; Shower; WiFi; R. Tamu; Penjaga Kos; R. Makan; R. Jemur; Mushola; Dapur; Taman; CCTV; Parkir Motor &amp; Sepeda</t>
  </si>
  <si>
    <t>Diskon 150rb</t>
  </si>
  <si>
    <t>Kost Apik Kukusan Ahmad Dahlan Tipe C Beji Depok</t>
  </si>
  <si>
    <t>Rp1.325.000</t>
  </si>
  <si>
    <t>3 x 3.5 meter; Tidak termasuk listrik; AC; Kasur; Meja; TV; Lemari Baju; Kursi; Bantal; Guling; Jendela; Kloset Jongkok; K. Mandi Luar; Ember mandi; WiFi; Kulkas; R. Tamu; Penjaga Kos; R. Jemur; Dapur; Dispenser; CCTV; Parkir Mobil; Parkir Motor; Parkir Sepeda</t>
  </si>
  <si>
    <t>Rp1.195.000</t>
  </si>
  <si>
    <t>Diskon 130rb</t>
  </si>
  <si>
    <t>Kost Apik Puri Gading 1 UI Tipe B Beji Depok</t>
  </si>
  <si>
    <t>Rp898.000</t>
  </si>
  <si>
    <t>3 x 3 meter; Termasuk listrik; Kasur; Meja; Lemari Baju; Kursi; Bantal; Guling; Jendela; K. Mandi Dalam; Kloset Jongkok; Ember mandi; WiFi; Kulkas; R. Tamu; R. Jemur; Dapur; Dispenser; TV; CCTV; Parkir Motor; Parkir Sepeda</t>
  </si>
  <si>
    <t>Rp810.700</t>
  </si>
  <si>
    <t>Diskon 87rb</t>
  </si>
  <si>
    <t>Kost Apik Kukusan Ahmad Dahlan Tipe B Beji Depok</t>
  </si>
  <si>
    <t>Rp1.655.000</t>
  </si>
  <si>
    <t>4 x 6 meter; Tidak termasuk listrik; AC; Kasur; Meja; Lemari Baju; Kursi; Bantal; Cermin; Guling; Jendela; Kloset Jongkok; K. Mandi Luar; Ember mandi; WiFi; Kulkas; R. Tamu; Penjaga Kos; R. Jemur; Dapur; Dispenser; TV; CCTV; Parkir Mobil; Parkir Motor; Parkir Sepeda</t>
  </si>
  <si>
    <t>Rp1.492.000</t>
  </si>
  <si>
    <t>Diskon 163rb</t>
  </si>
  <si>
    <t>Kost Singgahsini Baitussalam Kukusan Tipe B Beji Depok</t>
  </si>
  <si>
    <t>Rp1.275.000</t>
  </si>
  <si>
    <t>3 x 4 meter; Tidak termasuk listrik; AC; Kasur; Meja; Lemari Baju; Bantal; Guling; Jendela; K. Mandi Dalam; Kloset Duduk; Ember mandi; Shower; WiFi; R. Cuci; Kulkas; R. Tamu; R. Jemur; Dapur; K. Mandi Luar; Parkir Sepeda</t>
  </si>
  <si>
    <t>Rp1.150.000</t>
  </si>
  <si>
    <t>Kost Singgahsini UI Raisa Tipe A Beji Depok</t>
  </si>
  <si>
    <t>Rp1.625.000</t>
  </si>
  <si>
    <t>3 x 4 meter; Tidak termasuk listrik; AC; Kasur; Meja; Lemari Baju; Kursi; Bantal; Cermin; Guling; Jendela; K. Mandi Dalam; Kloset Duduk; Shower; WiFi; Kulkas; R. Jemur; Dapur; Dispenser; CCTV; Parkir Motor; Parkir Sepeda</t>
  </si>
  <si>
    <t>Rp1.465.000</t>
  </si>
  <si>
    <t>Kost Singgahsini Baitussalam Kukusan Tipe A Beji Depok</t>
  </si>
  <si>
    <t>3 x 3.5 meter; Tidak termasuk listrik; AC; Kasur; Meja; Lemari Baju; Kursi; Bantal; Cermin; Guling; Jendela; Kloset Duduk; K. Mandi Luar; Ember mandi; Shower; WiFi; R. Cuci; Kulkas; R. Tamu; R. Jemur; Dapur; Parkir Sepeda</t>
  </si>
  <si>
    <t>Rp1.078.000</t>
  </si>
  <si>
    <t>Diskon 117rb</t>
  </si>
  <si>
    <t>Kost Singgahsini Baitussalam Kukusan Tipe C Beji Depok</t>
  </si>
  <si>
    <t>Rp875.000</t>
  </si>
  <si>
    <t>3 x 2.5 meter; Tidak termasuk listrik; AC; Kasur; Meja; Lemari Baju; Kursi; Bantal; Guling; Jendela; Kloset Duduk; K. Mandi Luar; Ember mandi; Shower; WiFi; R. Cuci; Kulkas; R. Tamu; Mesin Cuci; R. Makan; R. Jemur; Dapur; TV; Parkir Motor; Parkir Sepeda</t>
  </si>
  <si>
    <t>Rp790.000</t>
  </si>
  <si>
    <t>Diskon 85rb</t>
  </si>
  <si>
    <t>Kost Singgahsini Griya Sentosa Tugu Indah Tipe B Cimanggis Depok</t>
  </si>
  <si>
    <t>Rp825.000</t>
  </si>
  <si>
    <t>3 x 4 meter; Tidak termasuk listrik; Kasur; Meja; Lemari Baju; Ventilasi; Kursi; Bantal; Cermin; Jendela; K. Mandi Dalam; Kloset Duduk; Wastafel; Shower; WiFi; R. Cuci; R. Tamu; R. Jemur; Dapur; Dispenser; Rice Cooker; Parkir Mobil; Parkir Motor; Parkir Sepeda</t>
  </si>
  <si>
    <t>Rp745.000</t>
  </si>
  <si>
    <t>Kecamatan Cimanggis</t>
  </si>
  <si>
    <t>Diskon 80rb</t>
  </si>
  <si>
    <t>Kost Singgahsini Baitussalam Kukusan Tipe D Beji Depok</t>
  </si>
  <si>
    <t>3 x 3 meter; Tidak termasuk listrik; AC; Kasur; Meja; Lemari Baju; Bantal; Cermin; Guling; Jendela; K. Mandi Dalam; Kloset Duduk; K. Mandi Luar; Shower; WiFi; R. Cuci; Kulkas; R. Tamu; Mesin Cuci; R. Makan; R. Jemur; Dapur; TV; Parkir Motor; Parkir Sepeda</t>
  </si>
  <si>
    <t>Kost Singgahsini Baitussalam Kukusan Tipe E Beji Depok</t>
  </si>
  <si>
    <t>3 x 2.8 meter</t>
  </si>
  <si>
    <t>Rp1.125.000</t>
  </si>
  <si>
    <t>3 x 2.8 meter; Tidak termasuk listrik; AC; Kasur; Meja; Lemari Baju; Ventilasi; Kursi; Bantal; Guling; Jendela; Kloset Duduk; K. Mandi Luar; Ember mandi; Shower; WiFi; R. Cuci; Kulkas; R. Tamu; R. Jemur; Dapur; Jemuran; Parkir Motor; Parkir Sepeda</t>
  </si>
  <si>
    <t>Rp1.015.000</t>
  </si>
  <si>
    <t>Diskon 110rb</t>
  </si>
  <si>
    <t>Kost Tara Residence Deluxe Beji Depok</t>
  </si>
  <si>
    <t>2.8 x 3 meter</t>
  </si>
  <si>
    <t>2.8 x 3 meter; Tidak termasuk listrik; AC; Kasur; Meja; Lemari Baju; Ventilasi; Bantal; Kursi; Jendela; Kloset Duduk; K. Mandi Luar; Wastafel; Shower; Air panas; WiFi; Kulkas; Laundry; R. Tamu; Penjaga Kos; R. Jemur; Dapur; Rooftop; CCTV; Parkir Motor &amp; Sepeda</t>
  </si>
  <si>
    <t>Kost Singgahsini Homey Beji Tipe C UI Depok</t>
  </si>
  <si>
    <t>3 x 2 meter; Tidak termasuk listrik; AC; Kasur; Meja; Lemari Baju; Ventilasi; Kursi; Kipas Angin; Bantal; Jendela; Kloset Duduk; Kloset Jongkok; K. Mandi Luar; Ember mandi; Shower; Bak mandi; WiFi; R. Cuci; Kulkas; R. Tamu; Penjaga Kos; R. Makan; Dapur; Dispenser; TV; Parkir Mobil; Parkir Motor; Parkir Sepeda; Parkir Motor &amp; Sepeda</t>
  </si>
  <si>
    <t>Rp1.080.000</t>
  </si>
  <si>
    <t>Kost Apik Aulia Tipe A Cimanggis Depok</t>
  </si>
  <si>
    <t>Rp770.000</t>
  </si>
  <si>
    <t>3 x 3.5 meter; Termasuk listrik; Kasur; Lemari Baju; Ventilasi; Bantal; Jendela; K. Mandi Dalam; Kloset Jongkok; Ember mandi; WiFi; Penjaga Kos; Parkir Motor &amp; Sepeda</t>
  </si>
  <si>
    <t>Rp693.000</t>
  </si>
  <si>
    <t>Diskon 77rb</t>
  </si>
  <si>
    <t>Kost Singgahsini Hana UI Tipe B Beji Depok</t>
  </si>
  <si>
    <t>3 x 3 meter; Tidak termasuk listrik; AC; Kasur; Meja; Lemari Baju; Bantal; Guling; K. Mandi Dalam; Kloset Duduk; K. Mandi Luar; Shower; Air panas; WiFi; Kulkas; R. Tamu; R. Jemur; Dapur; TV; CCTV; Parkir Motor; Parkir Sepeda</t>
  </si>
  <si>
    <t>Kost Apik Wisma Asgard 1 Tipe A Beji Depok</t>
  </si>
  <si>
    <t>Rp680.000</t>
  </si>
  <si>
    <t>3 x 3 meter; Termasuk listrik; Kasur; Meja; Lemari Baju; Kursi; Jendela; Bantal; Guling; Kipas Angin; Kloset Jongkok; K. Mandi Luar; Ember mandi; Shower; WiFi; R. Cuci; Kulkas; Penjaga Kos; R. Jemur; Dapur; Parkir Motor &amp; Sepeda</t>
  </si>
  <si>
    <t>Rp612.000</t>
  </si>
  <si>
    <t>Diskon 68rb</t>
  </si>
  <si>
    <t>Kost Griya Akhilendra Cinere Depok</t>
  </si>
  <si>
    <t>4 x 4 meter; Tidak termasuk listrik; AC; Kasur; Meja; TV; Lemari Baju; Kursi; Cleaning service; K. Mandi Dalam; Kloset Duduk; Shower; WiFi; R. Tamu; Penjaga Kos; Mushola; Dapur; Dispenser; K. Mandi Luar; Parkir Mobil; Parkir Motor; Parkir Sepeda</t>
  </si>
  <si>
    <t>Rp1.950.000</t>
  </si>
  <si>
    <t>Cinere</t>
  </si>
  <si>
    <t>Kost Singgahsini Hana UI Tipe E Beji Depok</t>
  </si>
  <si>
    <t>5 x 5 meter; Tidak termasuk listrik; AC; Kasur; Meja; Lemari Baju; Kursi; Bantal; Guling; Jendela; K. Mandi Dalam; Kloset Duduk; K. Mandi Luar; Shower; Air panas; Bathtub; WiFi; Kulkas; R. Tamu; R. Jemur; Dapur; TV; CCTV; Parkir Motor; Parkir Sepeda</t>
  </si>
  <si>
    <t>Diskon 115rb</t>
  </si>
  <si>
    <t>Kost Singgahsini Sudarto Kukusan Tipe A Beji Depok</t>
  </si>
  <si>
    <t>Rp1.535.000</t>
  </si>
  <si>
    <t>WiFi; R. Tamu; Penjaga Kos; R. Makan; Gazebo; K. Mandi Luar; CCTV; Parkir Mobil; Parkir Motor; Parkir Sepeda</t>
  </si>
  <si>
    <t>Rp1.384.000</t>
  </si>
  <si>
    <t>Diskon 151rb</t>
  </si>
  <si>
    <t>Kost Rumah Bunda 3 Beji Depok</t>
  </si>
  <si>
    <t>3 x 4 meter; Tidak termasuk listrik; AC; Kasur; Meja; TV; Lemari Baju; Bantal; Cermin; Guling; Jendela; Kursi; K. Mandi Dalam; Kloset Duduk; Ember mandi; Shower; WiFi; Kulkas; R. Santai; Dispenser; Dapur; Pengurus Kos; Parkir Motor; Parkir Sepeda</t>
  </si>
  <si>
    <t>Kost Permata Sukses 2 Tipe B Beji Depok</t>
  </si>
  <si>
    <t>3 x 4 meter; Tidak termasuk listrik; AC; Kasur; Meja; Bantal; Cermin; Jendela; Kursi; Wastafel; K. Mandi Dalam; Kloset Duduk; Shower; Air panas; WiFi; Kulkas; Laundry; Penjaga Kos; R. Tamu; R. Makan; R. Santai; Dapur; Balcon; CCTV; Parkir Mobil; Parkir Motor; Parkir Sepeda</t>
  </si>
  <si>
    <t>Diskon 179rb</t>
  </si>
  <si>
    <t>Kost Singgahsini Mangga 99 Tipe A Beji Depok</t>
  </si>
  <si>
    <t>2.5 x 3.4 meter</t>
  </si>
  <si>
    <t>Rp1.615.000</t>
  </si>
  <si>
    <t>2.5 x 3.4 meter; Termasuk listrik; AC; Kasur; Meja; Lemari Baju; Kursi; Bantal; Cermin; Guling; K. Mandi Dalam; Kloset Duduk; Shower; WiFi; R. Tamu; Penjaga Kos; K. Mandi Luar; CCTV; Parkir Mobil; Parkir Motor; Parkir Sepeda</t>
  </si>
  <si>
    <t>Rp1.456.000</t>
  </si>
  <si>
    <t>Diskon 159rb</t>
  </si>
  <si>
    <t>Kost Apik Pondok Elba Tipe C Beji Depok</t>
  </si>
  <si>
    <t>2.5 x 2.5 meter; Tidak termasuk listrik; AC; Kasur; Meja; Lemari Baju; Kursi; Kloset Jongkok; K. Mandi Luar; Shower; WiFi; Kulkas; R. Tamu; Penjaga Kos; R. Makan; R. Jemur; TV; Parkir Motor &amp; Sepeda</t>
  </si>
  <si>
    <t>Kost De Breeze Mansion Beji Depok</t>
  </si>
  <si>
    <t>4.5 x 4.5 meter</t>
  </si>
  <si>
    <t>4.5 x 4.5 meter; Termasuk listrik; AC; Kasur; Meja; TV; Meja Rias; Lemari Baju; Kursi; Wastafel; Cleaning service; K. Mandi Dalam; Kloset Duduk; Shower; WiFi; R. Tamu; Penjaga Kos; R. Makan; Kartu Akses; Parkir Mobil; Parkir Motor; Parkir Sepeda</t>
  </si>
  <si>
    <t>Kost Apik Pondok Elba Tipe A Beji Depok</t>
  </si>
  <si>
    <t>3.5 x 2.5 meter</t>
  </si>
  <si>
    <t>3.5 x 2.5 meter; Tidak termasuk listrik; AC; Kasur; Meja; Lemari Baju; Kursi; K. Mandi Dalam; Kloset Jongkok; Bak mandi; WiFi; Kulkas; R. Tamu; Penjaga Kos; R. Makan; R. Jemur; TV; Parkir Motor &amp; Sepeda</t>
  </si>
  <si>
    <t>Kost Apik Pondok Refasya Tipe B Beji Depok</t>
  </si>
  <si>
    <t>3.3 x 3.5 meter</t>
  </si>
  <si>
    <t>Rp1.175.000</t>
  </si>
  <si>
    <t>3.3 x 3.5 meter; Termasuk listrik; Kasur; Meja; Lemari Baju; Ventilasi; Kursi; Bantal; Jendela; Kloset Jongkok; K. Mandi Luar; Ember mandi; WiFi; R. Jemur; Dapur; CCTV; Jemuran; Parkir Mobil; Parkir Motor; Parkir Sepeda</t>
  </si>
  <si>
    <t>Rp1.060.000</t>
  </si>
  <si>
    <t>Kost Wisma Tiara Tipe A Beji Depok</t>
  </si>
  <si>
    <t>3 x 8 meter; Tidak termasuk listrik; AC; Kasur; Meja; Lemari Baju; Bantal; Jendela; Kursi; K. Mandi Dalam; Kloset Jongkok; Ember mandi; WiFi; Balcon; Parkir Mobil; Parkir Motor</t>
  </si>
  <si>
    <t>Kost Apik Bali Kukusan Tipe A Beji Depok</t>
  </si>
  <si>
    <t>3.2 x 2.8 meter</t>
  </si>
  <si>
    <t>3.2 x 2.8 meter; Termasuk listrik; Kasur; Meja; Lemari Baju; Kursi; Kipas Angin; Bantal; Cermin; K. Mandi Dalam; Kloset Jongkok; Ember mandi; Shower; WiFi; Penjaga Kos; R. Jemur; Dapur; Jemuran; Parkir Motor; Parkir Sepeda</t>
  </si>
  <si>
    <t>Kost Singgahsini Griya Berkah Bersama Tipe A Beji Depok</t>
  </si>
  <si>
    <t>2.4 x 3.6 meter</t>
  </si>
  <si>
    <t>Rp1.555.000</t>
  </si>
  <si>
    <t>2.4 x 3.6 meter; Tidak termasuk listrik; AC; Kasur; Meja; Lemari Baju; Kursi; K. Mandi Dalam; Kloset Duduk; Ember mandi; Shower; WiFi; Kulkas; R. Tamu; Penjaga Kos; R. Makan; R. Jemur; Dapur; Dispenser; Kartu Akses; CCTV; Parkir Motor &amp; Sepeda</t>
  </si>
  <si>
    <t>Rp1.402.000</t>
  </si>
  <si>
    <t>Diskon 153rb</t>
  </si>
  <si>
    <t>Kost Singgahsini Parkit 24 Tipe A Beji Depok</t>
  </si>
  <si>
    <t>3 x 4 meter; Termasuk listrik; AC; Kasur; Meja; TV; Lemari Baju; Ventilasi; Kursi; Jendela; Bantal; Cermin; K. Mandi Dalam; Kloset Duduk; Ember mandi; Wastafel; Shower; WiFi; R. Cuci; Kulkas; R. Tamu; Penjaga Kos; R. Makan; R. Jemur; Dapur; Taman; Parkir Mobil; Parkir Motor &amp; Sepeda</t>
  </si>
  <si>
    <t>Kost Singgahsini Ikhaya Kukusan Tipe B Beji Depok</t>
  </si>
  <si>
    <t>6.2 x 4 meter</t>
  </si>
  <si>
    <t>Rp3.075.000</t>
  </si>
  <si>
    <t>6.2 x 4 meter; Tidak termasuk listrik; AC; Kasur; Meja; TV; Lemari Baju; Kulkas; Ventilasi; Kursi; Wastafel; Sofa; K. Mandi Dalam; Kloset Duduk; Shower; Air panas; WiFi; R. Tamu; Penjaga Kos; R. Makan; R. Jemur; Dapur; Dispenser; Taman; Parkir Mobil; Parkir Motor</t>
  </si>
  <si>
    <t>Rp2.770.000</t>
  </si>
  <si>
    <t>Diskon 305rb</t>
  </si>
  <si>
    <t>Kost Naf Tipe A Limo Depok</t>
  </si>
  <si>
    <t>3 x 3 meter; Tidak termasuk listrik; AC; Kasur; Meja; Lemari Baju; Ventilasi; Bantal; Cermin; Guling; Jendela; Kursi; K. Mandi Dalam; Kloset Duduk; Shower; Air panas; WiFi; Kulkas; R. Cuci; R. Tamu; R. Jemur; R. Makan; R. Santai; Dapur; Dispenser; Balcon; Parkir Motor &amp; Sepeda</t>
  </si>
  <si>
    <t>Limo</t>
  </si>
  <si>
    <t>Kost Galunggung Limo Depok</t>
  </si>
  <si>
    <t>3 x 4 meter; Tidak termasuk listrik; AC; Kasur; Meja; Lemari Baju; Bantal; Guling; Kursi; K. Mandi Dalam; Kloset Duduk; Ember mandi; Shower; WiFi; Penjaga Kos; Mushola; CCTV; Parkir Mobil; Parkir Motor; Parkir Sepeda</t>
  </si>
  <si>
    <t>Kost Homey House Tipe B Beji Depok</t>
  </si>
  <si>
    <t>3 x 4 meter; Tidak termasuk listrik; AC; Kasur; Meja; Lemari Baju; Kursi; Bantal; Cermin; Guling; Jendela; K. Mandi Dalam; Kloset Duduk; Shower; WiFi; R. Cuci; Kulkas; R. Tamu; Penjaga Kos; R. Jemur; Mushola; R. Santai; Dapur; Dispenser; Parkir Motor; Parkir Sepeda</t>
  </si>
  <si>
    <t>Kost Apik Pondok Sally Tipe A Beji Depok</t>
  </si>
  <si>
    <t>4.5 x 3 meter; Termasuk listrik; Kasur; Meja; Lemari Baju; Kursi; Bantal; Jendela; K. Mandi Dalam; Kloset Jongkok; Ember mandi; Shower; WiFi; Kulkas; R. Tamu; R. Jemur; Dapur; Parkir Mobil; Parkir Motor; Parkir Sepeda</t>
  </si>
  <si>
    <t>Rp810.000</t>
  </si>
  <si>
    <t>Kost Singgahsini Hana UI Tipe C Beji Depok</t>
  </si>
  <si>
    <t>Rp1.375.000</t>
  </si>
  <si>
    <t>3 x 4 meter; Tidak termasuk listrik; AC; Kasur; Meja; Lemari Baju; Bantal; Guling; K. Mandi Dalam; Kloset Duduk; K. Mandi Luar; Shower; Air panas; WiFi; Kulkas; R. Tamu; R. Jemur; Dapur; TV; CCTV; Parkir Motor; Parkir Sepeda</t>
  </si>
  <si>
    <t>Rp1.240.000</t>
  </si>
  <si>
    <t>Diskon 135rb</t>
  </si>
  <si>
    <t>Kost Muslimah Sakinah Tipe Ac Beji Depok</t>
  </si>
  <si>
    <t>3 x 4 meter; Tidak termasuk listrik; AC; Kasur; Meja; Lemari Baju; Ventilasi; Kursi; Bantal; Jendela; K. Mandi Dalam; Kloset Duduk; Ember mandi; Shower; WiFi; Kulkas; R. Tamu; R. Makan; R. Jemur; R. Santai; Dapur; Taman; CCTV; Pengurus Kos; Parkir Motor; Parkir Sepeda</t>
  </si>
  <si>
    <t>Kost Singgahsini Gajah Dua Delapan Andara Tipe A Cinere Depok</t>
  </si>
  <si>
    <t>2.5 x 2 meter</t>
  </si>
  <si>
    <t>Rp2.300.000</t>
  </si>
  <si>
    <t>2.5 x 2 meter; Tidak termasuk listrik; AC; Kasur; Meja; Lemari Baju; Kursi; Bantal; Jendela; K. Mandi Dalam; Kloset Duduk; Wastafel; Ember mandi; Shower; Air panas; WiFi; Kulkas; Penjaga Kos; R. Makan; R. Jemur; R. Santai; Dapur; Dispenser; CCTV; Jemuran; Parkir Mobil; Parkir Motor &amp; Sepeda</t>
  </si>
  <si>
    <t>Rp2.070.000</t>
  </si>
  <si>
    <t>Diskon 230rb</t>
  </si>
  <si>
    <t>Kost Singgahsini Homey Beji Tipe B UI Depok</t>
  </si>
  <si>
    <t>3 x 3 meter; Tidak termasuk listrik; AC; Kasur; Meja; Lemari Baju; Ventilasi; Kursi; Bantal; Cermin; Jendela; Kloset Duduk; Kloset Jongkok; K. Mandi Luar; Ember mandi; Shower; Bak mandi; WiFi; R. Cuci; Kulkas; R. Tamu; Penjaga Kos; R. Makan; Dapur; Dispenser; TV; Parkir Mobil; Parkir Motor; Parkir Sepeda; Parkir Motor &amp; Sepeda</t>
  </si>
  <si>
    <t>Rp1.035.000</t>
  </si>
  <si>
    <t>Kost Gayatri House 1 Beji Depok</t>
  </si>
  <si>
    <t>3 x 4 meter; Termasuk listrik; AC; Kasur; Meja; Bantal; Guling; Jendela; Wastafel; Kursi; K. Mandi Dalam; Kloset Duduk; Shower; Air panas; WiFi; Penjaga Kos; Mushola; R. Makan; R. Santai; Dapur; CCTV; Pengurus Kos; Parkir Mobil; Parkir Motor</t>
  </si>
  <si>
    <t>Kost Singgahsini Homey Beji Tipe A UI Depok</t>
  </si>
  <si>
    <t>3 x 3 meter; Tidak termasuk listrik; AC; Kasur; Meja; Lemari Baju; Ventilasi; Kursi; Bantal; Cermin; Jendela; K. Mandi Dalam; Kloset Duduk; Kloset Jongkok; Ember mandi; Shower; Bak mandi; WiFi; R. Cuci; Kulkas; R. Tamu; Penjaga Kos; R. Makan; Dapur; Dispenser; TV; K. Mandi Luar; Parkir Mobil; Parkir Motor; Parkir Sepeda; Parkir Motor &amp; Sepeda</t>
  </si>
  <si>
    <t>Rp1.215.000</t>
  </si>
  <si>
    <t>Kost Singgahsini PIM Margonda Raya Beji Depok</t>
  </si>
  <si>
    <t>Rp1.815.000</t>
  </si>
  <si>
    <t>3 x 3 meter; Tidak termasuk listrik; AC; Kasur; Meja; TV; Lemari Baju; Kursi; Bantal; Cermin; Guling; Jendela; K. Mandi Dalam; Kloset Duduk; Ember mandi; Shower; Air panas; WiFi; R. Cuci; Kulkas; R. Tamu; R. Jemur; Dapur; Parkir Mobil; Parkir Motor; Parkir Sepeda</t>
  </si>
  <si>
    <t>Rp1.636.000</t>
  </si>
  <si>
    <t>Kost Apik Pondok Refasya Tipe C Beji Depok</t>
  </si>
  <si>
    <t>3 x 3.3 meter</t>
  </si>
  <si>
    <t>Rp1.075.000</t>
  </si>
  <si>
    <t>3 x 3.3 meter; Termasuk listrik; Kasur; Meja; Lemari Baju; Ventilasi; Kursi; Bantal; Jendela; Kloset Jongkok; K. Mandi Luar; Ember mandi; WiFi; R. Jemur; Dapur; CCTV; Jemuran; Parkir Mobil; Parkir Motor; Parkir Sepeda</t>
  </si>
  <si>
    <t>Diskon 105rb</t>
  </si>
  <si>
    <t>Kost Grya Alisha 2 Tipe A Beji Depok</t>
  </si>
  <si>
    <t>3 x 3 meter; Termasuk listrik; AC; Kasur; Meja; Lemari Baju; Kursi; Cleaning service; K. Mandi Dalam; Kloset Duduk; K. Mandi Luar; Shower; Kulkas; R. Tamu; Laundry; R. Makan; Dapur; Dispenser; TV; Taman; Parkir Mobil; Parkir Motor</t>
  </si>
  <si>
    <t>Kost Singgahsini Ara H17 Tipe B Cinere Depok</t>
  </si>
  <si>
    <t>3 x 3 meter; Tidak termasuk listrik; AC; Kasur; Meja; Lemari Baju; Kursi; K. Mandi Dalam; Kloset Duduk; Shower; WiFi; Kulkas; R. Tamu; Penjaga Kos; R. Makan; R. Jemur; Parkir Motor &amp; Sepeda</t>
  </si>
  <si>
    <t>Kost Idea Tipe Deluxe Beji Depok</t>
  </si>
  <si>
    <t>3 x 4 meter; Tidak termasuk listrik; AC; Kasur; Meja; Lemari Baju; Kursi; Cleaning service; K. Mandi Dalam; Kloset Duduk; Air panas; WiFi; Kulkas; R. Tamu; Penjaga Kos; R. Makan; R. Jemur; R. Santai; Dapur; Dispenser; Parkir Motor</t>
  </si>
  <si>
    <t>Kost Griya Fikarda Autumn Gold Room Beji Depok</t>
  </si>
  <si>
    <t>3 x 4 meter; Tidak termasuk listrik; AC; Kasur; Meja; Lemari Baju; Ventilasi; Kursi; Bantal; Guling; Jendela; Cermin; K. Mandi Dalam; Kloset Duduk; Wastafel; Shower; Air panas; WiFi; Kulkas; Penjaga Kos; R. Tamu; R. Makan; R. Jemur; Mushola; R. Santai; Dapur; CCTV; Parkir Mobil; Parkir Sepeda; Parkir Motor; Parkir Motor &amp; Sepeda</t>
  </si>
  <si>
    <t>Rp2.200.000</t>
  </si>
  <si>
    <t>Kost Singgahsini Me Tipe A Beji Depok</t>
  </si>
  <si>
    <t>3.5 x 2.5 meter; Tidak termasuk listrik; AC; Kasur; Meja; Lemari Baju; Bantal; Cermin; Jendela; K. Mandi Dalam; Kloset Duduk; Shower; WiFi; R. Cuci; Penjaga Kos; R. Jemur; Dapur; CCTV; Rooftop; Parkir Motor &amp; Sepeda</t>
  </si>
  <si>
    <t>Kost Nugie II Tipe A Beji Depok</t>
  </si>
  <si>
    <t>3 x 4 meter; Tidak termasuk listrik; AC; Kasur; Meja; Lemari Baju; Kursi; Cleaning service; Bantal; Guling; K. Mandi Dalam; Kloset Duduk; Ember mandi; Shower; WiFi; Kulkas; R. Tamu; R. Santai; Dapur; Dispenser; TV; CCTV; Pengurus Kos; Parkir Motor; Parkir Sepeda</t>
  </si>
  <si>
    <t>Kost Pondok Fanay Standard Pancoran Mas Depok</t>
  </si>
  <si>
    <t>2.5 x 3 meter; Tidak termasuk listrik; AC; Kasur; Meja; Lemari Baju; Ventilasi; Bantal; Cermin; Guling; Jendela; Kursi; K. Mandi Dalam; Kloset Duduk; Shower; Air panas; WiFi; Kulkas; R. Cuci; Mesin Cuci; R. Jemur; R. Makan; Dapur; Dispenser; CCTV; Jemuran; Parkir Motor &amp; Sepeda</t>
  </si>
  <si>
    <t>Kecamatan Pancoran Mas</t>
  </si>
  <si>
    <t>Kost Singgahsini Alhidayah EMH-4 Tipe B Beji Depok</t>
  </si>
  <si>
    <t>Rp1.445.000</t>
  </si>
  <si>
    <t>3 x 4 meter; Tidak termasuk listrik; AC; Kasur; Meja; Lemari Baju; Kursi; Bantal; Guling; Jendela; K. Mandi Dalam; Kloset Duduk; Shower; WiFi; R. Cuci; R. Tamu; R. Jemur; Dapur; K. Mandi Luar; Parkir Mobil; Parkir Motor; Parkir Sepeda; Parkir Motor &amp; Sepeda</t>
  </si>
  <si>
    <t>Rp1.303.000</t>
  </si>
  <si>
    <t>Diskon 142rb</t>
  </si>
  <si>
    <t>Kost Apik Pondok Elba Tipe D Beji Depok</t>
  </si>
  <si>
    <t>Rp625.000</t>
  </si>
  <si>
    <t>2 x 2 meter; Tidak termasuk listrik; Kasur; Meja; Lemari Baju; Kursi; Kloset Jongkok; K. Mandi Luar; Shower; WiFi; Kulkas; R. Tamu; Penjaga Kos; R. Makan; R. Jemur; TV; Parkir Motor &amp; Sepeda</t>
  </si>
  <si>
    <t>Rp565.000</t>
  </si>
  <si>
    <t>Diskon 60rb</t>
  </si>
  <si>
    <t>Kost Singgahsini Pringgondani Tipe A Cimanggis Depok</t>
  </si>
  <si>
    <t>5 x 3 meter; Tidak termasuk listrik; AC; Kasur; Meja; Lemari Baju; Ventilasi; Kursi; Bantal; K. Mandi Dalam; Kloset Duduk; Shower; WiFi; R. Tamu; Penjaga Kos; Mushola; CCTV; Parkir Mobil; Parkir Motor &amp; Sepeda</t>
  </si>
  <si>
    <t>Kost Singgahsini Ikhaya Kukusan Tipe A Beji Depok</t>
  </si>
  <si>
    <t>Rp1.965.000</t>
  </si>
  <si>
    <t>3 x 4 meter; Tidak termasuk listrik; AC; Kasur; Meja; TV; Lemari Baju; Ventilasi; Kursi; Bantal; Guling; Jendela; K. Mandi Dalam; Kloset Duduk; Wastafel; Shower; Air panas; WiFi; Kulkas; R. Tamu; Penjaga Kos; R. Makan; R. Jemur; Dapur; Dispenser; Taman; Parkir Mobil; Parkir Motor</t>
  </si>
  <si>
    <t>Rp1.771.000</t>
  </si>
  <si>
    <t>Diskon 194rb</t>
  </si>
  <si>
    <t>Kost Apik Pondok Refasya Tipe A Beji Depok</t>
  </si>
  <si>
    <t>4 x 3.5 meter</t>
  </si>
  <si>
    <t>4 x 3.5 meter; Termasuk listrik; Kasur; Meja; Lemari Baju; Ventilasi; Kursi; Bantal; Jendela; Kloset Jongkok; K. Mandi Luar; Ember mandi; WiFi; R. Jemur; Dapur; CCTV; Jemuran; Parkir Mobil; Parkir Motor; Parkir Sepeda</t>
  </si>
  <si>
    <t>Kost Mamanesi Tipe A Cinere Depok</t>
  </si>
  <si>
    <t>3 x 4 meter; Tidak termasuk listrik; AC; Kasur; Meja; Lemari Baju; Bantal; Cermin; Cleaning service; Guling; Kursi; Jendela; K. Mandi Dalam; Kloset Duduk; Ember mandi; Shower; WiFi; Kulkas; Laundry; Penjaga Kos; R. Santai; Dapur; Dispenser; CCTV; Jemuran; Jual Makanan; Parkir Mobil; Parkir Motor</t>
  </si>
  <si>
    <t>Kost Apik Bali Kukusan Tipe B Beji Depok</t>
  </si>
  <si>
    <t>3.6 x 3 meter</t>
  </si>
  <si>
    <t>3.6 x 3 meter; Termasuk listrik; AC; Kasur; Meja; Lemari Baju; Kursi; Kipas Angin; Bantal; Cermin; K. Mandi Dalam; Kloset Jongkok; Ember mandi; Shower; WiFi; Penjaga Kos; R. Jemur; Dapur; Jemuran; Parkir Motor; Parkir Sepeda</t>
  </si>
  <si>
    <t>Kost Singgahsini Alhidayah EMH-4 Tipe A Beji Depok</t>
  </si>
  <si>
    <t>4.3 x 4.8 meter</t>
  </si>
  <si>
    <t>Rp1.875.000</t>
  </si>
  <si>
    <t>4.3 x 4.8 meter; Tidak termasuk listrik; AC; Kasur; Meja; Lemari Baju; Ventilasi; Kursi; Bantal; Guling; Jendela; K. Mandi Dalam; Kloset Duduk; Shower; WiFi; R. Cuci; R. Tamu; R. Jemur; Dapur; K. Mandi Luar; Parkir Mobil; Parkir Motor; Parkir Sepeda; Parkir Motor &amp; Sepeda</t>
  </si>
  <si>
    <t>Rp1.690.000</t>
  </si>
  <si>
    <t>Diskon 185rb</t>
  </si>
  <si>
    <t>Kost Rumah Permata Sukses Beji Depok</t>
  </si>
  <si>
    <t>4 x 4 meter; Tidak termasuk listrik; AC; Kasur; Meja; Lemari Baju; Kursi; Wastafel; Cleaning service; K. Mandi Dalam; Kloset Duduk; Shower; Air panas; WiFi; R. Cuci; R. Tamu; Penjaga Kos; R. Makan; R. Jemur; R. Santai; Dapur; Kartu Akses; TV; Parkir Mobil; Parkir Motor; Parkir Sepeda</t>
  </si>
  <si>
    <t>Kost Premium Dekat UI Hypocrates Gallery Tipe A Beji Depok</t>
  </si>
  <si>
    <t>3 x 4 meter; Tidak termasuk listrik; AC; Kasur; Meja; Lemari Baju; Jendela; Cermin; Wastafel; K. Mandi Dalam; Kloset Duduk; Shower; Air panas; WiFi; Kulkas; R. Tamu; Penjaga Kos; R. Makan; Dapur; CCTV; Pengurus Kos; TV</t>
  </si>
  <si>
    <t>Diskon 220rb</t>
  </si>
  <si>
    <t>Kost Griya Muslimah Kukusan Beji Depok</t>
  </si>
  <si>
    <t>3 x 3 meter; Tidak termasuk listrik; AC; Kasur; Meja; Lemari Baju; Kursi; Wastafel; K. Mandi Dalam; Kloset Duduk; Shower; WiFi; Kulkas; R. Tamu; R. Makan; R. Jemur; R. Santai; Dapur; TV; Balcon; Parkir Mobil; Parkir Motor</t>
  </si>
  <si>
    <t>Kost Singgahsini Omah Nena Tipe B Beji Depok</t>
  </si>
  <si>
    <t>3.7 x 2.8 meter</t>
  </si>
  <si>
    <t>Rp1.725.000</t>
  </si>
  <si>
    <t>3.7 x 2.8 meter; Tidak termasuk listrik; AC; Kasur; Meja; Lemari Baju; Kursi; Bantal; Cermin; Guling; Jendela; K. Mandi Dalam; Kloset Duduk; Shower; WiFi; Kulkas; Penjaga Kos; R. Jemur; Dapur; Dispenser; Rooftop; CCTV; Parkir Mobil; Parkir Motor &amp; Sepeda</t>
  </si>
  <si>
    <t>Diskon 170rb</t>
  </si>
  <si>
    <t>Kost Apik Margonda 5 Tipe C Beji Depok</t>
  </si>
  <si>
    <t>3 x 3 meter; Tidak termasuk listrik; AC; Kasur; Lemari Baju; Bantal; Jendela; K. Mandi Dalam; Kloset Jongkok; Ember mandi; WiFi; R. Tamu; Penjaga Kos; Dapur; Parkir Mobil; Parkir Motor &amp; Sepeda</t>
  </si>
  <si>
    <t>Kost Apik Pondok Elba Tipe B Beji Depok</t>
  </si>
  <si>
    <t>3 x 2 meter; Tidak termasuk listrik; AC; Kasur; Meja; Lemari Baju; Kursi; Kloset Jongkok; K. Mandi Luar; Shower; WiFi; Kulkas; R. Tamu; Penjaga Kos; R. Makan; R. Jemur; TV; Parkir Motor &amp; Sepeda</t>
  </si>
  <si>
    <t>Kost Singgahsini Hana UI Tipe A Beji Depok</t>
  </si>
  <si>
    <t>Kost Permata Sukses 2 Tipe A Beji Depok</t>
  </si>
  <si>
    <t>3 x 4 meter; Tidak termasuk listrik; AC; Kasur; Meja; Lemari Baju; Ventilasi; Bantal; Cermin; Guling; Jendela; Kursi; K. Mandi Dalam; Kloset Duduk; Wastafel; Shower; Air panas; WiFi; Kulkas; Laundry; Penjaga Kos; R. Tamu; R. Makan; R. Santai; Dapur; Balcon; CCTV; Parkir Mobil; Parkir Sepeda; Parkir Motor</t>
  </si>
  <si>
    <t>Kost Singgahsini Hana UI Tipe D Beji Depok</t>
  </si>
  <si>
    <t>4 x 5 meter; Tidak termasuk listrik; AC; Kasur; Meja; Lemari Baju; Bantal; Guling; Jendela; K. Mandi Dalam; Kloset Duduk; K. Mandi Luar; Shower; Air panas; WiFi; Kulkas; R. Tamu; R. Jemur; Dapur; TV; CCTV; Parkir Motor; Parkir Sepeda</t>
  </si>
  <si>
    <t>Rp1.425.000</t>
  </si>
  <si>
    <t>Kost Graha Rahayu Tipe A Cimanggis Depok</t>
  </si>
  <si>
    <t>3.5 x 4.5 meter</t>
  </si>
  <si>
    <t>3.5 x 4.5 meter; Tidak termasuk listrik; AC; Kasur; Meja; Lemari Baju; Jendela; Kursi; K. Mandi Dalam; Kloset Duduk; Shower; WiFi; Kulkas; R. Jemur; Dapur; Balcon; Jemuran; Pengurus Kos; Taman; Parkir Motor</t>
  </si>
  <si>
    <t>Kost Singgahsini Pringgondani Tipe B Cimanggis Depok</t>
  </si>
  <si>
    <t>Rp1.025.000</t>
  </si>
  <si>
    <t>5 x 3 meter; Tidak termasuk listrik; Kasur; Meja; Lemari Baju; Ventilasi; Kursi; Bantal; Jendela; K. Mandi Dalam; Kloset Duduk; Shower; WiFi; R. Tamu; Penjaga Kos; Mushola; CCTV; Parkir Mobil; Parkir Motor &amp; Sepeda</t>
  </si>
  <si>
    <t>Kost Ismaya 86 Cinere Depok</t>
  </si>
  <si>
    <t>3 x 4 meter; Tidak termasuk listrik; AC; Kasur; Dispenser; Lemari Baju; Bantal; K. Mandi Dalam; Kloset Jongkok; Shower; WiFi; Penjaga Kos; CCTV; Pengurus Kos; Parkir Motor; Parkir Sepeda</t>
  </si>
  <si>
    <t>Kecamatan Cinere</t>
  </si>
  <si>
    <t>Kost Wisma Puteri Ayu Beji Depok</t>
  </si>
  <si>
    <t>4.5 x 3 meter; Termasuk listrik; Kasur; Lemari Baju; K. Mandi Dalam; Kloset Jongkok; Ember mandi; WiFi; Penjaga Kos; R. Santai; Pengurus Kos; Parkir Motor</t>
  </si>
  <si>
    <t>Kost Griya Navisha Cimanggis Depok</t>
  </si>
  <si>
    <t>3 x 4 meter; Tidak termasuk listrik; AC; Kasur; Meja; Lemari Baju; Bantal; Cermin; Guling; Jendela; Kursi; Wastafel; K. Mandi Dalam; Kloset Duduk; Shower; Air panas; WiFi; Kulkas; R. Cuci; Mesin Cuci; Penjaga Kos; R. Tamu; R. Jemur; Dapur; Dispenser; Balcon; Parkir Motor</t>
  </si>
  <si>
    <t>Kost Omah Amalia Beji Depok</t>
  </si>
  <si>
    <t>3 x 4 meter; Termasuk listrik; AC; Kasur; Meja; Lemari Baju; Kursi; Wastafel; Cleaning service; Bantal; Jendela; K. Mandi Dalam; Kloset Duduk; Shower; WiFi; Kulkas; R. Tamu; R. Makan; Dapur; Dispenser; TV; Parkir Motor</t>
  </si>
  <si>
    <t>Kost Idea Tipe A Beji Depok</t>
  </si>
  <si>
    <t>3 x 3 meter; Tidak termasuk listrik; AC; Kasur; Meja; Lemari Baju; Kursi; Cleaning service; Cermin; Kloset Duduk; K. Mandi Luar; WiFi; Kulkas; R. Tamu; Penjaga Kos; R. Makan; R. Jemur; R. Santai; Dapur; Dispenser; TV; Parkir Motor</t>
  </si>
  <si>
    <t>Kost Singgahsini Mangga 99 Tipe B Beji Depok</t>
  </si>
  <si>
    <t>Rp1.530.000</t>
  </si>
  <si>
    <t>2.5 x 3.4 meter; Termasuk listrik; AC; Kasur; Meja; Lemari Baju; Kursi; Bantal; Cermin; Guling; Jendela; Kloset Duduk; K. Mandi Luar; Shower; WiFi; R. Tamu; Penjaga Kos; CCTV; Parkir Mobil; Parkir Motor; Parkir Sepeda</t>
  </si>
  <si>
    <t>Rp1.379.500</t>
  </si>
  <si>
    <t>Kost N2 Beji Depok</t>
  </si>
  <si>
    <t>3 x 4 meter; Tidak termasuk listrik; AC; Kasur; Meja; Lemari Baju; Kursi; K. Mandi Dalam; Kloset Duduk; Shower; WiFi; Kulkas; R. Jemur; Dapur; CCTV; Jemuran; Parkir Motor</t>
  </si>
  <si>
    <t>Kost Puri Lebak Cimanggis Depok</t>
  </si>
  <si>
    <t>3 x 4 meter; Termasuk listrik; Kasur; Meja; Lemari Baju; Ventilasi; Kursi; Jendela; K. Mandi Dalam; Kloset Duduk; Ember mandi; WiFi; R. Cuci; Kulkas; R. Tamu; Mesin Cuci; Penjaga Kos; Laundry; R. Jemur; Mushola; R. Santai; Parkir Motor; Parkir Sepeda</t>
  </si>
  <si>
    <t>Kost Singgahsini Andara Cinere Depok</t>
  </si>
  <si>
    <t>Rp2.125.000</t>
  </si>
  <si>
    <t>4 x 4 meter; Tidak termasuk listrik; AC; Kasur; Meja; Lemari Baju; Kursi; Bantal; Jendela; K. Mandi Dalam; Kloset Duduk; Wastafel; Shower; Air panas; WiFi; Kulkas; R. Tamu; Dapur; Dispenser; Parkir Mobil; Parkir Motor</t>
  </si>
  <si>
    <t>Rp1.915.000</t>
  </si>
  <si>
    <t>Diskon 210rb</t>
  </si>
  <si>
    <t>Kost Singgahsini Puspita Tipe C Beji Depok</t>
  </si>
  <si>
    <t>3.2 x 3.2 meter</t>
  </si>
  <si>
    <t>3.2 x 3.2 meter; Tidak termasuk listrik; AC; Kasur; Meja; Lemari Baju; Bantal; Cermin; Jendela; K. Mandi Dalam; Kloset Duduk; Ember mandi; Shower; WiFi; Kulkas; R. Tamu; Penjaga Kos; R. Jemur; Dapur; TV; Gazebo; Jemuran; Parkir Motor &amp; Sepeda</t>
  </si>
  <si>
    <t>Kost Idea VIP Beji Depok</t>
  </si>
  <si>
    <t>3 x 4.5 meter; Tidak termasuk listrik; AC; Kasur; Meja; Lemari Baju; Ventilasi; Bantal; Cermin; Cleaning service; Jendela; Kipas Angin; K. Mandi Dalam; Kloset Duduk; Air panas; WiFi; Kulkas; R. Tamu; Penjaga Kos; R. Makan; R. Jemur; R. Santai; Dapur; Dispenser; CCTV; Parkir Motor</t>
  </si>
  <si>
    <t>Kost Casa 36 Tipe A1 Beji Depok</t>
  </si>
  <si>
    <t>3 x 4 meter; Tidak termasuk listrik; AC; Kasur; Meja; Lemari Baju; Ventilasi; Bantal; Cermin; Guling; Jendela; Kursi; K. Mandi Dalam; Kloset Duduk; Wastafel; Shower; WiFi; Kulkas; Penjaga Kos; R. Tamu; R. Santai; TV; Taman; Parkir Mobil; Parkir Motor; Parkir Sepeda</t>
  </si>
  <si>
    <t>Kost Omah Ijo Beji Depok</t>
  </si>
  <si>
    <t>4 x 4 meter; Tidak termasuk listrik; Kasur; Meja; Lemari Baju; Ventilasi; Kursi; Jendela; K. Mandi Dalam; Kloset Duduk; Ember mandi; Shower; WiFi; R. Santai; Balcon; Pengurus Kos; Parkir Motor; Parkir Sepeda</t>
  </si>
  <si>
    <t>Kost Madame Huis Standard Room Pancoran Mas Depok</t>
  </si>
  <si>
    <t>3 x 3 meter; Termasuk listrik; AC; Kasur; Meja; Kulkas; Lemari Baju; Ventilasi; Bantal; Cermin; Jendela; Kursi; Kloset Duduk; K. Mandi Luar; Shower; Penjaga Kos; R. Tamu; R. Jemur; R. Santai; Dapur; Dispenser; CCTV; Jemuran; TV; Parkir Motor</t>
  </si>
  <si>
    <t>Kost Hasan Living Tipe AC Sukmajaya Depok</t>
  </si>
  <si>
    <t>3 x 3 meter; Tidak termasuk listrik; AC; Kasur; Meja; Bantal; Cermin; Cleaning service; Guling; Jendela; Kursi; K. Mandi Dalam; Kloset Duduk; Kloset Jongkok; Shower; WiFi; Kulkas; Laundry; Penjaga Kos; R. Jemur; R. Makan; R. Santai; Dapur; Dispenser; Balcon; Parkir Motor</t>
  </si>
  <si>
    <t>Kecamatan Sukmajaya</t>
  </si>
  <si>
    <t>Kost Singgahsini Rumah Sarastri Tipe A Beji Depok</t>
  </si>
  <si>
    <t>4 x 3 meter; Tidak termasuk listrik; AC; Kasur; Meja; Lemari Baju; Ventilasi; Kursi; Bantal; Jendela; K. Mandi Dalam; Kloset Duduk; Shower; Air panas; WiFi; Kulkas; Penjaga Kos; R. Jemur; Dapur; Parkir Mobil; Parkir Motor &amp; Sepeda</t>
  </si>
  <si>
    <t>Rp1.975.000</t>
  </si>
  <si>
    <t>Kost Rafka 1 Limo Depok</t>
  </si>
  <si>
    <t>3 x 4 meter; Tidak termasuk listrik; AC; Kasur; Lemari Baju; Ventilasi; Bantal; Dapur Pribadi; Guling; Jendela; Wastafel; K. Mandi Dalam; Kloset Duduk; Shower; WiFi; CCTV; Parkir Motor; Parkir Sepeda; Parkir Motor &amp; Sepeda</t>
  </si>
  <si>
    <t>Kecamatan Limo</t>
  </si>
  <si>
    <t>Kost Homestay Puspaloka 1 Tipe A Cimanggis Depok</t>
  </si>
  <si>
    <t>3 x 3 meter; Termasuk listrik; Kasur; Meja; Lemari Baju; Ventilasi; Kursi; Bantal; Cermin; Jendela; Kloset Duduk; K. Mandi Luar; Ember mandi; Shower; R. Cuci; Kulkas; R. Tamu; Mesin Cuci; R. Makan; R. Jemur; R. Santai; Dapur; Dispenser; TV; Parkir Mobil; Parkir Motor; Parkir Sepeda</t>
  </si>
  <si>
    <t>Kost Pondok Ananda Tipe A Beji Depok</t>
  </si>
  <si>
    <t>3 x 4 meter; Tidak termasuk listrik; Kasur; Meja; Lemari Baju; Jendela; Kursi; Kipas Angin; K. Mandi Dalam; Kloset Duduk; Ember mandi; Shower; WiFi; Penjaga Kos; R. Jemur; Dapur; Jemuran; Jual Makanan; Pengurus Kos; Parkir Motor; Parkir Sepeda</t>
  </si>
  <si>
    <t>Kost Apik Margonda 5 Tipe A Beji Depok</t>
  </si>
  <si>
    <t>3.5 x 3.5 meter; Tidak termasuk listrik; AC; Kasur; Lemari Baju; Bantal; Cermin; Jendela; K. Mandi Dalam; Kloset Duduk; Ember mandi; Shower; WiFi; R. Tamu; Penjaga Kos; Dapur; Parkir Mobil; Parkir Motor &amp; Sepeda</t>
  </si>
  <si>
    <t>Kost Griya Fikarda Pocin Stepa Room Beji Depok</t>
  </si>
  <si>
    <t>4 x 4 meter; Tidak termasuk listrik; AC; Kasur; Meja; Meja Rias; TV; Lemari Baju; Ventilasi; Bantal; Cermin; Dapur Pribadi; K. Mandi Dalam; Kloset Duduk; Wastafel; Shower; Air panas; WiFi; Kulkas; Laundry; R. Makan; R. Santai; Dapur; CCTV; Kartu Akses; Pengurus Kos; Rooftop; Parkir Motor; Parkir Sepeda; Parkir Motor &amp; Sepeda</t>
  </si>
  <si>
    <t>Diskon 270rb</t>
  </si>
  <si>
    <t>Kost Abu Beji Depok</t>
  </si>
  <si>
    <t>3 x 3 meter; Termasuk listrik; Kasur; Lemari Baju; Ventilasi; Bantal; Jendela; Kloset Jongkok; K. Mandi Luar; Ember mandi; WiFi; Kulkas; R. Tamu; R. Makan; R. Jemur; R. Santai; Dapur; Balcon; CCTV; Parkir Motor; Parkir Sepeda</t>
  </si>
  <si>
    <t>Kost Singgahsini Taman Bunga Tipe A Cimanggis Depok</t>
  </si>
  <si>
    <t>5 x 4 meter; Tidak termasuk listrik; AC; Kasur; Meja; Lemari Baju; Ventilasi; Kursi; Jendela; Bantal; Cermin; K. Mandi Dalam; Kloset Duduk; Shower; Air panas; WiFi; R. Cuci; Kulkas; R. Tamu; Penjaga Kos; R. Makan; R. Jemur; Dapur; CCTV; Parkir Mobil; Parkir Motor &amp; Sepeda</t>
  </si>
  <si>
    <t>Diskon 250rb</t>
  </si>
  <si>
    <t>Kost Bambon Tipe 1 Beji Depok</t>
  </si>
  <si>
    <t>4 x 4 meter; Tidak termasuk listrik; AC; Kasur; Meja; Lemari Baju; Kursi; Bantal; Guling; Jendela; K. Mandi Dalam; Kloset Duduk; Shower; WiFi; Kulkas; R. Jemur; R. Santai; Gazebo; Balcon; CCTV; Pengurus Kos; Parkir Motor; Parkir Motor &amp; Sepeda</t>
  </si>
  <si>
    <t>Kost Apik Margonda 5 Tipe B Beji Depok</t>
  </si>
  <si>
    <t>3 x 3 meter; Tidak termasuk listrik; AC; Kasur; Lemari Baju; Bantal; Cermin; Jendela; K. Mandi Dalam; Kloset Jongkok; Ember mandi; WiFi; R. Tamu; Penjaga Kos; Dapur; Parkir Mobil; Parkir Motor &amp; Sepeda</t>
  </si>
  <si>
    <t>Rp1.288.000</t>
  </si>
  <si>
    <t>Diskon 112rb</t>
  </si>
  <si>
    <t>Kost Arjuna Beji Depok</t>
  </si>
  <si>
    <t>3 x 4 meter; Termasuk listrik; Kasur; Lemari Baju; Ventilasi; Jendela; K. Mandi Dalam; WiFi; Penjaga Kos</t>
  </si>
  <si>
    <t>Kost Apik Ayu Kencana Tipe B Beji Depok</t>
  </si>
  <si>
    <t>3.2 x 2.7 meter</t>
  </si>
  <si>
    <t>3.2 x 2.7 meter; Termasuk listrik; Kasur; Meja; Lemari Baju; Ventilasi; Kursi; Bantal; Cermin; Jendela; K. Mandi Dalam; Kloset Jongkok; Ember mandi; Shower; WiFi; R. Tamu; Penjaga Kos; R. Jemur; Dapur; Jemuran; Parkir Motor &amp; Sepeda</t>
  </si>
  <si>
    <t>Kost Toha Limo Depok</t>
  </si>
  <si>
    <t>3 x 3 meter; Tidak termasuk listrik; Kasur; TV; Lemari Baju; Kipas Angin; Bantal; Guling; Jendela; Cermin; Kloset Jongkok; K. Mandi Luar; Ember mandi; Bak mandi; WiFi; R. Cuci; Mesin Cuci; R. Santai; Taman; Gazebo; Jemuran; Parkir Motor</t>
  </si>
  <si>
    <t>Kost Mami Tipe A Limo Depok</t>
  </si>
  <si>
    <t>3 x 3 meter; Tidak termasuk listrik; Kasur; Lemari Baju; Bantal; Kipas Angin; Dapur Pribadi; Jendela; Kloset Duduk; Kloset Jongkok; K. Mandi Luar; WiFi; Laundry; Penjaga Kos; R. Jemur; R. Santai; Dapur; Balcon; Jemuran; Jual Makanan; Parkir Mobil; Parkir Motor; Parkir Sepeda</t>
  </si>
  <si>
    <t>Kost Sal Tipe A Limo Depok</t>
  </si>
  <si>
    <t>3 x 5 meter; Tidak termasuk listrik; AC; Kasur; Meja; Lemari Baju; Bantal; Cermin; Wastafel; K. Mandi Dalam; Kloset Jongkok; Ember mandi; WiFi; Kulkas; Penjaga Kos; R. Tamu; R. Jemur; Dapur; Balcon; CCTV; Jemuran; Jual Makanan; Parkir Mobil; Parkir Motor; Parkir Sepeda</t>
  </si>
  <si>
    <t>Kost Apik Khadijah Limo Tipe B Cinere Depok</t>
  </si>
  <si>
    <t>3 x 3 meter; Termasuk listrik; Kasur; Meja; Lemari Baju; Ventilasi; Bantal; Kipas Angin; Guling; Kloset Duduk; K. Mandi Luar; Shower; WiFi; R. Tamu; Penjaga Kos; R. Jemur; Dapur; CCTV; Parkir Motor &amp; Sepeda</t>
  </si>
  <si>
    <t>Kost Griya Fikarda Autumn Bronze Room Beji Depok</t>
  </si>
  <si>
    <t>3 x 4 meter; Tidak termasuk listrik; AC; Kasur; Meja; Lemari Baju; Ventilasi; Kursi; Bantal; Guling; Cermin; Jendela; K. Mandi Dalam; Kloset Duduk; Wastafel; Shower; Air panas; WiFi; Kulkas; Penjaga Kos; R. Tamu; R. Makan; R. Jemur; Mushola; R. Santai; Dapur; CCTV; Parkir Mobil; Parkir Sepeda; Parkir Motor; Parkir Motor &amp; Sepeda</t>
  </si>
  <si>
    <t>Kost Erisa House Beji Depok</t>
  </si>
  <si>
    <t>3 x 3,6 meter; Tidak termasuk listrik; AC; Kasur; Meja; Lemari Baju; Kursi; Bantal; Guling; Jendela; K. Mandi Dalam; Kloset Duduk; Ember mandi; Shower; WiFi; R. Cuci; Kulkas; Penjaga Kos; Laundry; R. Jemur; Dapur; Dispenser; TV; K. Mandi Luar; Parkir Motor; Parkir Sepeda</t>
  </si>
  <si>
    <t>Kost 50 Tipe A Limo Depok</t>
  </si>
  <si>
    <t>3 x 4 meter; Tidak termasuk listrik; AC; Kasur; Meja; Lemari Baju; Ventilasi; Kursi; Bantal; Guling; Jendela; Cermin; K. Mandi Dalam; Kloset Duduk; Ember mandi; Shower; WiFi; R. Cuci; Kulkas; R. Tamu; Mesin Cuci; Penjaga Kos; R. Makan; R. Jemur; R. Santai; Dapur; Parkir Mobil; Parkir Motor; Parkir Sepeda</t>
  </si>
  <si>
    <t>Kost Noeks Cinere Depok</t>
  </si>
  <si>
    <t>2.5 x 3 meter; Tidak termasuk listrik; AC; Kasur; Meja; Lemari Baju; Kursi; Bantal; Cermin; K. Mandi Dalam; Kloset Duduk; Wastafel; Shower; Parkir Motor</t>
  </si>
  <si>
    <t>Kost Singgahsini Wisma Abyu UI Tipe A Beji Depok</t>
  </si>
  <si>
    <t>2.7 x 2.7 meter</t>
  </si>
  <si>
    <t>2.7 x 2.7 meter; Tidak termasuk listrik; AC; Kasur; Meja; Lemari Baju; Kursi; Jendela; Bantal; K. Mandi Dalam; Kloset Duduk; Ember mandi; Shower; Air panas; WiFi; Kulkas; R. Tamu; Penjaga Kos; CCTV; Parkir Motor &amp; Sepeda</t>
  </si>
  <si>
    <t>Kost Eksklusif Mara Juara Tipe Large Bedroom Beji Depok</t>
  </si>
  <si>
    <t>4 x 4 meter; Tidak termasuk listrik; AC; Kasur; Meja; TV; Lemari Baju; Ventilasi; Kursi; Cleaning service; Bantal; Cermin; K. Mandi Dalam; Kloset Duduk; Wastafel; Shower; Air panas; WiFi; R. Cuci; Kulkas; R. Tamu; Mesin Cuci; Penjaga Kos; Laundry; R. Makan; R. Jemur; R. Santai; Parkir Mobil; Parkir Motor; Parkir Sepeda</t>
  </si>
  <si>
    <t>Rp2.399.000</t>
  </si>
  <si>
    <t>Kost Padussi Tipen Tipe C Beji Depok</t>
  </si>
  <si>
    <t>3 x 3 meter; Tidak termasuk listrik; Kasur; Meja; Lemari Baju; Kursi; K. Mandi Dalam; Kloset Jongkok; WiFi; Kulkas; Penjaga Kos; Dapur; Dispenser; Gazebo; Pengurus Kos; Taman; Parkir Mobil; Parkir Motor; Parkir Sepeda</t>
  </si>
  <si>
    <t>Kost Bude Tipe A Cimanggis Depok</t>
  </si>
  <si>
    <t>3 x 3 meter; Tidak termasuk listrik; Kasur; Kulkas; Lemari Baju; Bantal; Dapur Pribadi; Guling; TV Kabel; Kloset Duduk; Kloset Jongkok; K. Mandi Luar; Ember mandi; Wastafel; Shower; Bak mandi; WiFi; R. Cuci; Mesin Cuci; R. Tamu; Mushola; R. Jemur; R. Makan; R. Santai; Dapur; Parkir Motor; Parkir Sepeda</t>
  </si>
  <si>
    <t>Kost Singgahsini Rumah Sarastri Tipe B Beji Depok</t>
  </si>
  <si>
    <t>3.7 x 2.7 meter</t>
  </si>
  <si>
    <t>3.7 x 2.7 meter; Tidak termasuk listrik; AC; Kasur; Meja; Lemari Baju; Ventilasi; Kursi; Jendela; Guling; K. Mandi Dalam; Kloset Duduk; Shower; Air panas; WiFi; Kulkas; Penjaga Kos; R. Jemur; Dapur; Parkir Mobil; Parkir Motor &amp; Sepeda</t>
  </si>
  <si>
    <t>Kost Delan Tipe A Tapos Depok</t>
  </si>
  <si>
    <t>4 x 6 meter; Termasuk listrik; AC; Kasur; Meja; Ventilasi; Bantal; Cermin; Dapur Pribadi; Guling; Jendela; Kipas Angin; K. Mandi Dalam; Kloset Duduk; Wastafel; Shower; WiFi; Kulkas; Penjaga Kos; R. Tamu; R. Jemur; R. Makan; R. Santai; Dapur; Balcon; CCTV; Parkir Mobil; Parkir Motor; Parkir Sepeda</t>
  </si>
  <si>
    <t>Kecamatan Tapos</t>
  </si>
  <si>
    <t>Kost Cluster Setu Baru VVIP Sukmajaya Depok</t>
  </si>
  <si>
    <t>3 x 4 meter; Tidak termasuk listrik; AC; Kasur; Lemari Baju; Cermin; K. Mandi Dalam; Kloset Duduk; Shower; WiFi; Kulkas; R. Tamu; Dapur; Dispenser; Pengurus Kos; TV; Taman; Parkir Mobil; Parkir Motor</t>
  </si>
  <si>
    <t>Sukma Jaya</t>
  </si>
  <si>
    <t>Kost Singgahsini Wisma Abyu UI Tipe B Beji Depok</t>
  </si>
  <si>
    <t>Rp1.575.000</t>
  </si>
  <si>
    <t>2.7 x 2.7 meter; Tidak termasuk listrik; AC; Kasur; Meja; Lemari Baju; Kursi; Jendela; Bantal; K. Mandi Dalam; Kloset Duduk; Ember mandi; Shower; WiFi; Kulkas; R. Tamu; Penjaga Kos; CCTV; Parkir Motor &amp; Sepeda</t>
  </si>
  <si>
    <t>Rp1.420.000</t>
  </si>
  <si>
    <t>Diskon 155rb</t>
  </si>
  <si>
    <t>Kost Singgahsini DFlory Tipe A Cinere Depok</t>
  </si>
  <si>
    <t>4.7 x 3.2 meter</t>
  </si>
  <si>
    <t>Rp2.275.000</t>
  </si>
  <si>
    <t>4.7 x 3.2 meter; Tidak termasuk listrik; AC; Kasur; Meja; Lemari Baju; Kursi; Bantal; Cermin; Jendela; Guling; K. Mandi Dalam; Kloset Duduk; Shower; Air panas; WiFi; R. Cuci; Kulkas; R. Tamu; Mesin Cuci; Penjaga Kos; R. Jemur; Dapur; Dispenser; Taman; Parkir Mobil; Parkir Motor &amp; Sepeda</t>
  </si>
  <si>
    <t>Rp2.162.500</t>
  </si>
  <si>
    <t>Diskon 113rb</t>
  </si>
  <si>
    <t>Kost Puri Asri Executive Limo Depok</t>
  </si>
  <si>
    <t>3 x 3 meter; Tidak termasuk listrik; AC; Meja; Lemari Baju; Kursi; K. Mandi Dalam; Kloset Duduk; Ember mandi; Shower; R. Tamu; R. Jemur; Dapur; Dispenser; Balcon; Parkir Motor</t>
  </si>
  <si>
    <t>Kost Rumah Nimas Sawangan Depok</t>
  </si>
  <si>
    <t>3 x 4 meter; Tidak termasuk listrik; AC; Kasur; Meja; Lemari Baju; Ventilasi; Bantal; Jendela; Kipas Angin; K. Mandi Dalam; Kloset Duduk; Kloset Jongkok; Ember mandi; Bak mandi; R. Cuci; Kulkas; R. Tamu; R. Jemur; R. Makan; R. Santai; Dapur; Jemuran; Jual Makanan; Pengurus Kos; Parkir Mobil; Parkir Motor; Parkir Sepeda</t>
  </si>
  <si>
    <t>Sawangan</t>
  </si>
  <si>
    <t>Kost Arnnika House Sukmajaya Depok</t>
  </si>
  <si>
    <t>3.5 x 4 meter; Tidak termasuk listrik; Kasur; Lemari Baju; Bantal; Guling; Jendela; K. Mandi Dalam; Kloset Duduk; Ember mandi; Bak mandi; WiFi; Penjaga Kos; CCTV; Balcon; Parkir Mobil; Parkir Motor; Parkir Sepeda; Parkir Motor &amp; Sepeda</t>
  </si>
  <si>
    <t>Kost Apik Ayu Kencana Tipe A Beji Depok</t>
  </si>
  <si>
    <t>3.7 x 2.7 meter; Termasuk listrik; Kasur; Meja; Lemari Baju; Ventilasi; Kursi; Bantal; Cermin; Jendela; K. Mandi Dalam; Kloset Jongkok; Ember mandi; Shower; WiFi; R. Tamu; Penjaga Kos; R. Jemur; Dapur; Jemuran; Parkir Motor &amp; Sepeda</t>
  </si>
  <si>
    <t>Kost Madame Huis Deluxe Room Pancoran Mas Depok</t>
  </si>
  <si>
    <t>3 x 3 meter; Termasuk listrik; AC; Kasur; Meja; Kulkas; Lemari Baju; Bantal; Cermin; Jendela; Kursi; K. Mandi Dalam; Kloset Duduk; Shower; Penjaga Kos; R. Tamu; R. Jemur; R. Santai; Dapur; Dispenser; CCTV; Jemuran; TV; Parkir Motor</t>
  </si>
  <si>
    <t>Kost Star Residence Beji Depok</t>
  </si>
  <si>
    <t>3 x 4 meter; Termasuk listrik; AC; Kasur; Meja; Lemari Baju; Bantal; Cleaning service; Guling; Jendela; Kursi; Kloset Duduk; Wastafel; Shower; WiFi; Kulkas; Laundry; Penjaga Kos; R. Tamu; Mushola; R. Santai; Dapur; Dispenser; Balcon; Parkir Mobil; Parkir Motor</t>
  </si>
  <si>
    <t>Kost Singgahsini Taman Bunga Tipe B Cimanggis Depok</t>
  </si>
  <si>
    <t>4 x 3 meter; Tidak termasuk listrik; AC; Kasur; Meja; Lemari Baju; Kursi; Jendela; Bantal; Cermin; K. Mandi Dalam; Kloset Duduk; Shower; Air panas; WiFi; R. Cuci; Kulkas; R. Tamu; Penjaga Kos; R. Makan; R. Jemur; Dapur; CCTV; Parkir Mobil; Parkir Motor &amp; Sepeda</t>
  </si>
  <si>
    <t>Rp1.980.000</t>
  </si>
  <si>
    <t>Kost RKN Tapos Depok</t>
  </si>
  <si>
    <t>3 x 3 meter; Tidak termasuk listrik; AC; Kasur; Meja; Lemari Baju; Kulkas; Ventilasi; Bantal; Cleaning service; Guling; Jendela; K. Mandi Dalam; Kloset Duduk; K. Mandi Luar; Ember mandi; Wastafel; Shower; WiFi; R. Cuci; Penjaga Kos; R. Tamu; Laundry; R. Jemur; R. Makan; R. Santai; Dapur; Parkir Mobil; Parkir Motor; Parkir Sepeda</t>
  </si>
  <si>
    <t>Tapos</t>
  </si>
  <si>
    <t>Kost Singgahsini Taman Bunga Tipe C Cimanggis Depok</t>
  </si>
  <si>
    <t>3.5 x 3 meter</t>
  </si>
  <si>
    <t>3.5 x 3 meter; Tidak termasuk listrik; AC; Kasur; Meja; Lemari Baju; Kursi; Jendela; Cermin; Bantal; K. Mandi Dalam; Kloset Duduk; Shower; Air panas; WiFi; R. Cuci; Kulkas; R. Tamu; Penjaga Kos; R. Makan; R. Jemur; Dapur; CCTV; Parkir Mobil; Parkir Motor &amp; Sepeda</t>
  </si>
  <si>
    <t>Diskon 200rb</t>
  </si>
  <si>
    <t>Kost Singgahsini Ara H17 Tipe A Cinere Depok</t>
  </si>
  <si>
    <t>Rp1.775.000</t>
  </si>
  <si>
    <t>3.5 x 3 meter; Tidak termasuk listrik; AC; Kasur; Meja; Lemari Baju; Kursi; K. Mandi Dalam; Kloset Duduk; Shower; WiFi; Kulkas; R. Tamu; Penjaga Kos; R. Makan; R. Jemur; Parkir Motor &amp; Sepeda</t>
  </si>
  <si>
    <t>Diskon 175rb</t>
  </si>
  <si>
    <t>Kost Griya Shafir Kukusan UI Beji Depok</t>
  </si>
  <si>
    <t>3 x 4 meter; Tidak termasuk listrik; AC; Kasur; Meja; Lemari Baju; Kursi; K. Mandi Dalam; Kloset Duduk; Shower; Air panas; WiFi; R. Cuci; Kulkas; R. Tamu; Mesin Cuci; Penjaga Kos; Laundry; R. Makan; R. Jemur; Mushola; Parkir Motor</t>
  </si>
  <si>
    <t>Kost Apik Kencana 1 Tipe C Beji Depok</t>
  </si>
  <si>
    <t>4 x 3 meter; Tidak termasuk listrik; Kasur; Meja; Lemari Baju; Ventilasi; Kursi; Bantal; Jendela; K. Mandi Dalam; Kloset Jongkok; Ember mandi; Shower; WiFi; Kulkas; R. Tamu; Penjaga Kos; R. Jemur; Dapur; Jemuran; Parkir Motor &amp; Sepeda</t>
  </si>
  <si>
    <t>Rp966.000</t>
  </si>
  <si>
    <t>Diskon 84rb</t>
  </si>
  <si>
    <t>Kost Singgahsini DFlory Tipe B Cinere Depok</t>
  </si>
  <si>
    <t>Rp2.025.000</t>
  </si>
  <si>
    <t>3.7 x 2.7 meter; Tidak termasuk listrik; AC; Kasur; Meja; Lemari Baju; Kursi; Bantal; Jendela; Cermin; Guling; K. Mandi Dalam; Kloset Duduk; Shower; WiFi; R. Cuci; Kulkas; R. Tamu; Mesin Cuci; Penjaga Kos; R. Jemur; Dapur; Dispenser; Taman; Parkir Mobil; Parkir Motor &amp; Sepeda</t>
  </si>
  <si>
    <t>Kost Omah Grow Standar Cinere Depok</t>
  </si>
  <si>
    <t>3 x 4 meter; Tidak termasuk listrik; AC; Kasur; Meja; Meja Rias; Lemari Baju; Ventilasi; Bantal; Cermin; Jendela; Kursi; K. Mandi Dalam; Kloset Duduk; Shower; WiFi; Kulkas; Penjaga Kos; R. Tamu; R. Santai; Dapur; Dispenser; Balcon; CCTV; Jemuran; Parkir Motor; Parkir Sepeda; Parkir Motor &amp; Sepeda</t>
  </si>
  <si>
    <t>Kost Mamanesi Tipe D Executive Cinere Depok</t>
  </si>
  <si>
    <t>3 x 3 meter; Tidak termasuk listrik; AC; Kasur; Meja; Kulkas; Lemari Baju; Ventilasi; Bantal; Cermin; Cleaning service; Guling; K. Mandi Dalam; Kloset Duduk; Ember mandi; Shower; Air panas; WiFi; Laundry; Penjaga Kos; R. Makan; R. Santai; Dapur; Dispenser; CCTV; Jemuran; Parkir Mobil; Parkir Motor</t>
  </si>
  <si>
    <t>Rp2.700.000</t>
  </si>
  <si>
    <t>Kost Griya Akhilendra 2 VIP Cinere Depok</t>
  </si>
  <si>
    <t>4 x 4 meter; Tidak termasuk listrik; AC; Kasur; Meja; TV; Lemari Baju; Ventilasi; Bantal; Cermin; Guling; Jendela; K. Mandi Dalam; Kloset Duduk; Wastafel; Shower; WiFi; Penjaga Kos; Dapur; Dispenser; CCTV; Jual Makanan; Pengurus Kos; Parkir Mobil; Parkir Motor; Parkir Sepeda; Parkir Motor &amp; Sepeda</t>
  </si>
  <si>
    <t>Kost Residence Siliwangi Pancoran Mas Depok</t>
  </si>
  <si>
    <t>3 x 3 meter; Tidak termasuk listrik; AC; Kasur; Dispenser; Meja; Lemari Baju; Bantal; Jendela; K. Mandi Dalam; Kloset Duduk; Ember mandi; Shower; WiFi; R. Jemur; R. Santai; Dapur; CCTV; Jemuran; Parkir Motor</t>
  </si>
  <si>
    <t>Kost Singgahsini Omah Nena Tipe A Beji Depok</t>
  </si>
  <si>
    <t>3.7 x 2.8 meter; Tidak termasuk listrik; AC; Kasur; Meja; Lemari Baju; Kursi; Bantal; Cermin; Guling; Jendela; K. Mandi Dalam; Kloset Duduk; Shower; Air panas; WiFi; Kulkas; Penjaga Kos; R. Jemur; Dapur; Dispenser; Rooftop; Balcon; CCTV; Parkir Mobil; Parkir Motor &amp; Sepeda</t>
  </si>
  <si>
    <t>Diskon 190rb</t>
  </si>
  <si>
    <t>Kost Rawakopi Cinere Depok</t>
  </si>
  <si>
    <t>3 x 4 meter; Tidak termasuk listrik; AC; Kasur; TV; Lemari Baju; Ventilasi; Bantal; Cermin; Guling; Jendela; Kursi; K. Mandi Dalam; Kloset Duduk; Wastafel; Shower; Air panas; WiFi; R. Tamu; R. Makan; Dapur; Parkir Mobil; Parkir Motor; Parkir Sepeda</t>
  </si>
  <si>
    <t>Kost Singgahsini Griya Osfa Tipe B Beji Depok</t>
  </si>
  <si>
    <t>4 x 3 meter; Tidak termasuk listrik; Kasur; Meja; Lemari Baju; Kursi; Jendela; Bantal; Cermin; K. Mandi Dalam; Kloset Duduk; Shower; WiFi; Kulkas; Penjaga Kos; Dapur; Rooftop; Parkir Motor &amp; Sepeda</t>
  </si>
  <si>
    <t>Rp916.000</t>
  </si>
  <si>
    <t>Diskon 99rb</t>
  </si>
  <si>
    <t>Kost Oren Pancoran Mas Depok</t>
  </si>
  <si>
    <t>4 x 5 meter; Termasuk listrik; Kasur; Lemari Baju; Ventilasi; Bantal; Jendela; K. Mandi Dalam; Kloset Jongkok; Ember mandi; Bak mandi; WiFi; Balcon; Jemuran; Pengurus Kos; CCTV; Parkir Motor; Parkir Sepeda; Parkir Motor &amp; Sepeda</t>
  </si>
  <si>
    <t>Kost Apik Ayu Kencana Tipe D Beji Depok</t>
  </si>
  <si>
    <t>3.2 x 2.7 meter; Termasuk listrik; Kasur; Meja; Lemari Baju; Ventilasi; Kursi; Bantal; Cermin; Jendela; Kloset Jongkok; K. Mandi Luar; Ember mandi; Shower; WiFi; R. Tamu; Penjaga Kos; R. Jemur; Dapur; Jemuran; Parkir Motor &amp; Sepeda</t>
  </si>
  <si>
    <t>Kost Apik Kencana 1 Tipe B Beji Depok</t>
  </si>
  <si>
    <t>3.5 x 2.2 meter</t>
  </si>
  <si>
    <t>3.5 x 2.2 meter; Tidak termasuk listrik; Kasur; Meja; Lemari Baju; Ventilasi; Kursi; Bantal; Jendela; K. Mandi Dalam; Kloset Jongkok; Ember mandi; Shower; WiFi; Kulkas; R. Tamu; Penjaga Kos; R. Jemur; Dapur; Jemuran; Parkir Motor &amp; Sepeda</t>
  </si>
  <si>
    <t>Rp920.000</t>
  </si>
  <si>
    <t>Kost Apik Siti Fadila UI Tipe A Beji Depok</t>
  </si>
  <si>
    <t>3.2 x 3.2 meter; Tidak termasuk listrik; Kasur; Meja; Lemari Baju; Kursi; Bantal; Jendela; Kloset Jongkok; K. Mandi Luar; Ember mandi; Shower; WiFi; Parkir Motor &amp; Sepeda</t>
  </si>
  <si>
    <t>Kost Singgahsini Taman Bunga Tipe D Cimanggis Depok</t>
  </si>
  <si>
    <t>3 x 2.2 meter</t>
  </si>
  <si>
    <t>3 x 2.2 meter; Tidak termasuk listrik; AC; Kasur; Meja; Lemari Baju; Ventilasi; Kursi; Jendela; Bantal; Cermin; Guling; K. Mandi Dalam; Kloset Duduk; Shower; Air panas; WiFi; R. Cuci; Kulkas; R. Tamu; Penjaga Kos; R. Makan; R. Jemur; Dapur; CCTV; Parkir Mobil; Parkir Motor &amp; Sepeda</t>
  </si>
  <si>
    <t>Kost Apik Khadijah Limo Tipe A Cinere Depok</t>
  </si>
  <si>
    <t>4.5 x 3.5 meter</t>
  </si>
  <si>
    <t>4.5 x 3.5 meter; Termasuk listrik; Kasur; Meja; Lemari Baju; Ventilasi; Bantal; Kipas Angin; Cermin; Guling; Kloset Duduk; K. Mandi Luar; Shower; WiFi; R. Tamu; Penjaga Kos; R. Jemur; Dapur; CCTV; Parkir Motor &amp; Sepeda</t>
  </si>
  <si>
    <t>Kost Muslimah Sakinah Tipe B Beji Depok</t>
  </si>
  <si>
    <t>3 x 3 meter; Tidak termasuk listrik; Kasur; Meja; Lemari Baju; Ventilasi; Kursi; Kipas Angin; Bantal; Jendela; K. Mandi Dalam; Kloset Duduk; Ember mandi; Shower; WiFi; Kulkas; R. Tamu; R. Makan; R. Jemur; R. Santai; Dapur; Taman; CCTV; Pengurus Kos; Parkir Motor; Parkir Sepeda</t>
  </si>
  <si>
    <t>Kost Si Ganteng Beji Depok</t>
  </si>
  <si>
    <t>2.7 x 3.5 meter</t>
  </si>
  <si>
    <t>2.7 x 3.5 meter; Tidak termasuk listrik; AC; Kasur; Meja; Lemari Baju; Bantal; Jendela; Kursi; K. Mandi Dalam; Kloset Duduk; Shower; WiFi; Kulkas; R. Santai; Dapur; Parkir Motor; Parkir Motor &amp; Sepeda</t>
  </si>
  <si>
    <t>Kost Apik Pondok Rida Tipe A Beji Depok</t>
  </si>
  <si>
    <t>4 x 3 meter; Termasuk listrik; Kasur; Lemari Baju; Ventilasi; Jendela; Bantal; Kloset Jongkok; K. Mandi Luar; Ember mandi; Shower; WiFi; R. Jemur; Taman; Jemuran; Parkir Mobil; Parkir Motor &amp; Sepeda</t>
  </si>
  <si>
    <t>Kost Bersih Ibu Sri Tipe Standard Tapos Depok</t>
  </si>
  <si>
    <t>3 x 3 meter; Tidak termasuk listrik; Kasur; Dispenser; Meja Rias; Lemari Baju; Ventilasi; Cermin; Bantal; Guling; Jendela; Kipas Angin; Kloset Jongkok; K. Mandi Luar; Shower; R. Cuci; R. Jemur; Dapur; Balcon; Gazebo; Jemuran; Joglo; Parkir Motor; Parkir Sepeda</t>
  </si>
  <si>
    <t>Kost Rumah Jojo Beji Depok</t>
  </si>
  <si>
    <t>3 x 3 meter; Tidak termasuk listrik; AC; Kasur; Meja; Lemari Baju; Ventilasi; Bantal; Cermin; Guling; Jendela; Wastafel; K. Mandi Dalam; Kloset Duduk; Shower; WiFi; Kulkas; R. Cuci; Mesin Cuci; Penjaga Kos; R. Tamu; Mushola; R. Jemur; R. Makan; R. Santai; Parkir Motor; Parkir Sepeda</t>
  </si>
  <si>
    <t>Kost Oemahkoe Depok Tipe Vvip 2 Beji Depok</t>
  </si>
  <si>
    <t>4.5 x 3 meter; Tidak termasuk listrik; AC; Kasur; Meja; Lemari Baju; Kulkas; Bantal; Cermin; Guling; Jendela; Kursi; K. Mandi Dalam; Kloset Duduk; Shower; WiFi; Penjaga Kos; R. Tamu; R. Jemur; R. Makan; R. Santai; Dapur; Balcon; CCTV; Parkir Mobil; Parkir Motor; Parkir Sepeda</t>
  </si>
  <si>
    <t>Rp2.499.000</t>
  </si>
  <si>
    <t>Kost Pondok Sofura Beji Depok</t>
  </si>
  <si>
    <t>3 x 4 meter; Termasuk listrik; Kasur; Meja; Lemari Baju; Jendela; K. Mandi Dalam; Kloset Duduk; Ember mandi; Shower; WiFi; Penjaga Kos; R. Jemur; R. Santai; Jemuran; Pengurus Kos; Taman; Parkir Mobil; Parkir Motor; Parkir Sepeda</t>
  </si>
  <si>
    <t>Kost Nebi Home Stay Cimanggis Depok</t>
  </si>
  <si>
    <t>3.5 x 4 meter; Tidak termasuk listrik; AC; Kasur; Meja; Meja Rias; Lemari Baju; Kursi; Cleaning service; Kloset Duduk; Air panas; WiFi; Kulkas; R. Tamu; R. Jemur; Dapur; TV; Parkir Mobil; Parkir Motor</t>
  </si>
  <si>
    <t>Rp1.675.000</t>
  </si>
  <si>
    <t>Kost Singgahsini Puspita Tipe A Beji Depok</t>
  </si>
  <si>
    <t>3.2 x 3.2 meter; Tidak termasuk listrik; AC; Kasur; Meja; Lemari Baju; Bantal; Cermin; Jendela; K. Mandi Dalam; Kloset Duduk; Ember mandi; Shower; Air panas; WiFi; Kulkas; R. Tamu; Penjaga Kos; R. Jemur; Dapur; TV; Gazebo; Jemuran; Parkir Motor &amp; Sepeda</t>
  </si>
  <si>
    <t>Kost Singgahsini Sakura Tipe A Cimanggis Depok</t>
  </si>
  <si>
    <t>3 x 2.5 meter; Tidak termasuk listrik; AC; Kasur; Meja; TV; Lemari Baju; Kursi; Bantal; Guling; Jendela; K. Mandi Dalam; Kloset Duduk; Shower; Air panas; WiFi; Kulkas; R. Tamu; Penjaga Kos; R. Jemur; Dapur; CCTV; Parkir Mobil; Parkir Motor &amp; Sepeda</t>
  </si>
  <si>
    <t>Rp1.645.000</t>
  </si>
  <si>
    <t>Diskon 180rb</t>
  </si>
  <si>
    <t>Kost Singgahsini Arya Tipe A Beji Depok</t>
  </si>
  <si>
    <t>3.2 x 3.2 meter; Tidak termasuk listrik; AC; Kasur; Meja; Lemari Baju; Ventilasi; Kursi; Jendela; Bantal; Cermin; K. Mandi Dalam; Kloset Duduk; Ember mandi; Shower; WiFi; Kulkas; Penjaga Kos; Dapur; Parkir Motor &amp; Sepeda</t>
  </si>
  <si>
    <t>Kost D Tipe Executive Limo Depok</t>
  </si>
  <si>
    <t>3 x 4 meter; Tidak termasuk listrik; AC; Kasur; Meja; Lemari Baju; Ventilasi; Bantal; Cermin; Guling; Jendela; Kursi; K. Mandi Dalam; Kloset Duduk; Shower; WiFi; R. Cuci; R. Tamu; R. Jemur; R. Makan; R. Santai; Dapur; Dispenser; Balcon; CCTV; Parkir Mobil; Parkir Motor; Parkir Sepeda; Parkir Motor &amp; Sepeda</t>
  </si>
  <si>
    <t>Kost Apik Margonda 5 Tipe D Beji Depok</t>
  </si>
  <si>
    <t>3 x 3 meter; Tidak termasuk listrik; Kasur; Lemari Baju; Bantal; Jendela; K. Mandi Dalam; Kloset Jongkok; Ember mandi; WiFi; R. Tamu; Penjaga Kos; Dapur; Parkir Mobil; Parkir Motor &amp; Sepeda</t>
  </si>
  <si>
    <t>Kost Casa 36 Tipe B2 Beji Depok</t>
  </si>
  <si>
    <t>Kost Rumah Fitri BPM Non AC Pancoran Mas Depok</t>
  </si>
  <si>
    <t>3 x 3 meter; Termasuk listrik; Kasur; Meja; Lemari Baju; Bantal; Jendela; Kursi; K. Mandi Dalam; Kloset Duduk; Ember mandi; Shower; WiFi; Kulkas; R. Cuci; R. Jemur; Dapur; Jemuran; Pengurus Kos; R. Keluarga; TV; Parkir Mobil; Parkir Motor</t>
  </si>
  <si>
    <t>Kost Bersih Ibu Ning Standard Tapos Depok</t>
  </si>
  <si>
    <t>3 x 4 meter; Tidak termasuk listrik; AC; Kasur; Meja; Meja Rias; Lemari Baju; Bantal; Cermin; Guling; Jendela; Dapur Pribadi; K. Mandi Dalam; Kloset Duduk; Shower; Air panas; WiFi; Kulkas; Laundry; Penjaga Kos; R. Santai; Dapur; Dispenser; Balcon; CCTV; Taman; Parkir Mobil; Parkir Motor</t>
  </si>
  <si>
    <t>Rp1.430.000</t>
  </si>
  <si>
    <t>Kost Bubbles 2 Tipe A Beji Depok</t>
  </si>
  <si>
    <t>3 x 3 meter; Termasuk listrik; AC; Kasur; Meja; Lemari Baju; Ventilasi; Bantal; Cleaning service; Guling; Kloset Jongkok; K. Mandi Luar; Ember mandi; Wastafel; Shower; WiFi; Penjaga Kos; R. Santai; CCTV; Balcon; Jual Makanan; Pengurus Kos; TV; Parkir Motor; Parkir Sepeda</t>
  </si>
  <si>
    <t>Kost K Maya Cinere Depok</t>
  </si>
  <si>
    <t>3 x 3 meter; Termasuk listrik; Kasur; Meja; Lemari Baju; Ventilasi; Bantal; Guling; Jendela; Kursi; K. Mandi Dalam; Kloset Jongkok; Ember mandi; WiFi; Kulkas; R. Tamu; R. Jemur; R. Makan; Dapur; Dispenser; CCTV; Jemuran; Pengurus Kos; Parkir Motor</t>
  </si>
  <si>
    <t>Kost Apik Kencana 1 Tipe A Beji Depok</t>
  </si>
  <si>
    <t>Rp954.000</t>
  </si>
  <si>
    <t>Diskon 106rb</t>
  </si>
  <si>
    <t>Kost Singgahsini Griya Osfa Tipe A Beji Depok</t>
  </si>
  <si>
    <t>4 x 3 meter; Tidak termasuk listrik; AC; Kasur; Meja; Lemari Baju; Ventilasi; Kursi; Jendela; Bantal; K. Mandi Dalam; Kloset Duduk; Shower; WiFi; Kulkas; Penjaga Kos; Dapur; Rooftop; Parkir Motor &amp; Sepeda</t>
  </si>
  <si>
    <t>Kost Casa De Angel Tipe Deluxe Cimanggis Depok</t>
  </si>
  <si>
    <t>3 x 4 meter; Tidak termasuk listrik; AC; Kasur; Meja Rias; TV; Lemari Baju; Ventilasi; Bantal; Cermin; Cleaning service; Jendela; K. Mandi Dalam; Kloset Duduk; Shower; Air panas; WiFi; Kulkas; R. Cuci; Mesin Cuci; Penjaga Kos; R. Tamu; R. Jemur; R. Makan; R. Santai; Dapur; Parkir Mobil; Parkir Motor; Parkir Sepeda; Parkir Motor &amp; Sepeda</t>
  </si>
  <si>
    <t>Kost UI Tidar Tipe A Beji Depok</t>
  </si>
  <si>
    <t>3 x 2.5 meter; Termasuk listrik; Kasur; Meja; Lemari Baju; Ventilasi; Kursi; Bantal; Guling; Jendela; K. Mandi Dalam; Kloset Jongkok; Ember mandi; WiFi; R. Tamu; Parkir Sepeda</t>
  </si>
  <si>
    <t>Rp703.250</t>
  </si>
  <si>
    <t>Kost Belimbing Beji Depok</t>
  </si>
  <si>
    <t>3 x 3 meter; Tidak termasuk listrik; AC; Kasur; Meja; Lemari Baju; Ventilasi; Bantal; Guling; Jendela; K. Mandi Dalam; Kloset Duduk; K. Mandi Luar; Shower; WiFi; Kulkas; R. Cuci; Mesin Cuci; R. Jemur; R. Santai; Dapur; CCTV; Jemuran; Parkir Motor; Parkir Sepeda; Parkir Motor &amp; Sepeda</t>
  </si>
  <si>
    <t>Kost Singgahsini Puspita Tipe B Beji Depok</t>
  </si>
  <si>
    <t>Rp1.170.000</t>
  </si>
  <si>
    <t>Kost Muslimah Sakinah Tipe Ac Single Beji Depok</t>
  </si>
  <si>
    <t>3 x 3 meter; Tidak termasuk listrik; AC; Kasur; Meja; Lemari Baju; Kursi; Bantal; Jendela; Cermin; K. Mandi Dalam; Kloset Duduk; Ember mandi; Shower; WiFi; Kulkas; R. Tamu; R. Makan; R. Jemur; R. Santai; Dapur; Taman; CCTV; Jemuran; Parkir Motor; Parkir Sepeda</t>
  </si>
  <si>
    <t>Kost Pondok Alissa Sawangan Depok</t>
  </si>
  <si>
    <t>3 x 3 meter; Tidak termasuk listrik; AC; Kasur; Lemari Baju; Kloset Duduk; K. Mandi Luar; Shower; WiFi; Parkir Mobil</t>
  </si>
  <si>
    <t>Kost Kontrak Madani Tipe A Cipayung Depok</t>
  </si>
  <si>
    <t>4 x 5 meter; Tidak termasuk listrik; Kasur; Lemari Baju; Dapur Pribadi; Jendela; Bantal; Wastafel; K. Mandi Dalam; Kloset Jongkok; WiFi; R. Jemur; Jemuran; Parkir Motor</t>
  </si>
  <si>
    <t>Rp965.000</t>
  </si>
  <si>
    <t>Cipayung</t>
  </si>
  <si>
    <t>Kost Oemahkoe Univ Indonesia Tipe Super VVIP 2 Beji Depok</t>
  </si>
  <si>
    <t>4.5 x 4.5 meter; Tidak termasuk listrik; AC; Kasur; Meja; Kulkas; Lemari Baju; Ventilasi; Bantal; Cermin; Dapur Pribadi; Jendela; K. Mandi Dalam; Kloset Duduk; Wastafel; Shower; WiFi; R. Cuci; Penjaga Kos; R. Tamu; R. Jemur; R. Makan; R. Santai; Dapur; Balcon; Parkir Mobil; Parkir Motor; Parkir Sepeda</t>
  </si>
  <si>
    <t>Rp2.800.000</t>
  </si>
  <si>
    <t>Kost Apik Ayu Kencana Tipe C Beji Depok</t>
  </si>
  <si>
    <t>3 x 2.7 meter</t>
  </si>
  <si>
    <t>3 x 2.7 meter; Termasuk listrik; Kasur; Meja; Lemari Baju; Ventilasi; Kursi; Bantal; Cermin; Jendela; K. Mandi Dalam; Kloset Jongkok; Ember mandi; Shower; WiFi; R. Tamu; Penjaga Kos; R. Jemur; Dapur; Jemuran; Parkir Motor &amp; Sepeda</t>
  </si>
  <si>
    <t>Rp880.000</t>
  </si>
  <si>
    <t>Diskon 95rb</t>
  </si>
  <si>
    <t>Kost IDEA House Cimanggis Depok</t>
  </si>
  <si>
    <t>3 x 4 meter; Tidak termasuk listrik; AC; Kasur; Lemari Baju; Ventilasi; Cermin; Bantal; Guling; Jendela; K. Mandi Dalam; Kloset Duduk; Shower; Kulkas; R. Cuci; Penjaga Kos; R. Jemur; R. Santai; Dapur; Jemuran; Pengurus Kos; TV; Taman; Parkir Mobil; Parkir Motor; Parkir Sepeda</t>
  </si>
  <si>
    <t>Kost Wisma Azkara I Tipe AC Beji Depok</t>
  </si>
  <si>
    <t>3.5 x 3.5 meter; Tidak termasuk listrik; AC; Kasur; Meja; Lemari Baju; Ventilasi; Bantal; Guling; Jendela; Kursi; K. Mandi Dalam; Kloset Duduk; Shower; WiFi; Kulkas; Penjaga Kos; R. Santai; Dapur; Jemuran; Parkir Motor</t>
  </si>
  <si>
    <t>Kost Maura Margonda Beji Depok</t>
  </si>
  <si>
    <t>3 x 4 meter; Tidak termasuk listrik; AC; Kasur; Meja; Lemari Baju; Ventilasi; Bantal; Jendela; Kursi; Guling; K. Mandi Dalam; Kloset Duduk; Shower; WiFi; Kulkas; Laundry; Penjaga Kos; R. Jemur; Dapur; Jemuran; Jual Makanan; Pengurus Kos; Parkir Motor; Parkir Sepeda</t>
  </si>
  <si>
    <t>Kost Hani's House Cinere Depok</t>
  </si>
  <si>
    <t>3 x 4 meter; Tidak termasuk listrik; Kasur; Lemari Baju; Ventilasi; Bantal; Jendela; K. Mandi Dalam; Kloset Duduk; Shower; WiFi; R. Cuci; Penjaga Kos; R. Jemur; Pengurus Kos; Jemuran; Parkir Motor; Parkir Sepeda</t>
  </si>
  <si>
    <t>Kost Rumo Haya Tipe Balkon Cimanggis Depok</t>
  </si>
  <si>
    <t>3 x 3 meter; Termasuk listrik; AC; Kasur; Dispenser; Meja; Kulkas; Lemari Baju; Bantal; Cermin; Guling; Jendela; K. Mandi Dalam; Kloset Duduk; Shower; WiFi; R. Cuci; Mesin Cuci; R. Tamu; Mushola; R. Jemur; R. Santai; Dapur; Parkir Mobil; Parkir Motor; Parkir Motor &amp; Sepeda</t>
  </si>
  <si>
    <t>Kost YL 62 Sawangan Depok</t>
  </si>
  <si>
    <t>3 x 4 meter; Tidak termasuk listrik; Kasur; Lemari Baju; Ventilasi; Bantal; Jendela; Kipas Angin; K. Mandi Dalam; Kloset Duduk; Kloset Jongkok; Ember mandi; Shower; WiFi; Penjaga Kos; R. Jemur; R. Makan; Dapur; Balcon; Jemuran; Pengurus Kos; Parkir Motor; Parkir Sepeda</t>
  </si>
  <si>
    <t>Kost Umi 1 Tipe Non Ac Bojongsari Depok</t>
  </si>
  <si>
    <t>3 x 4 meter; Tidak termasuk listrik; Kasur; Lemari Baju; Bantal; Dapur Pribadi; Guling; Jendela; Kipas Angin; Wastafel; K. Mandi Dalam; Kloset Jongkok; Shower; WiFi; CCTV; Parkir Motor</t>
  </si>
  <si>
    <t>Rp715.000</t>
  </si>
  <si>
    <t>Kecamatan Bojongsari</t>
  </si>
  <si>
    <t>Kost Rumah Pepaya Sebelah Kampus UI Beji Depok</t>
  </si>
  <si>
    <t>3 x 2.5 meter; Tidak termasuk listrik; AC; Kasur; Meja; Lemari Baju; Kursi; K. Mandi Dalam; WiFi; R. Tamu; R. Santai; Dapur; Parkir Motor</t>
  </si>
  <si>
    <t>Kost Ibu Iqbal Tipe Standard Tapos Depok</t>
  </si>
  <si>
    <t>3 x 4 meter; Tidak termasuk listrik; AC; Kasur; Meja; Lemari Baju; Kipas Angin; Bantal; Cermin; Jendela; K. Mandi Dalam; Kloset Jongkok; K. Mandi Luar; Ember mandi; WiFi; Laundry; R. Jemur; R. Makan; R. Santai; Dapur; CCTV; Pengurus Kos; Parkir Motor; Parkir Sepeda; Parkir Motor &amp; Sepeda</t>
  </si>
  <si>
    <t>Kost Bu Budi Tipe Standar Non AC Beji Depok</t>
  </si>
  <si>
    <t>3 x 3 meter; Termasuk listrik; Kasur; Ventilasi; Bantal; Cermin; Guling; Jendela; Kipas Angin; Wastafel; Kloset Duduk; K. Mandi Luar; Ember mandi; Shower; R. Tamu; R. Santai; Dapur; Dispenser; Balcon; CCTV; Jemuran; Gazebo; Parkir Mobil; Parkir Motor; Parkir Sepeda</t>
  </si>
  <si>
    <t>Kost Bu Rizal Beji Depok</t>
  </si>
  <si>
    <t>3 x 4 meter; Tidak termasuk listrik; Kasur; Lemari Baju; Ventilasi; Bantal; Jendela; K. Mandi Dalam; Kloset Jongkok; Ember mandi; WiFi; R. Jemur; R. Santai; Balcon; CCTV; Jemuran; Parkir Motor</t>
  </si>
  <si>
    <t>Kost Pondok Rindang Tipe C Beji Depok</t>
  </si>
  <si>
    <t>3 x 3 meter; Termasuk listrik; AC; Kasur; Meja; Lemari Baju; Kursi; K. Mandi Dalam; Kloset Duduk; Ember mandi; Shower; Parkir Mobil; Parkir Motor; Parkir Sepeda</t>
  </si>
  <si>
    <t>Kost Bu Haji Anshor Beji Depok</t>
  </si>
  <si>
    <t>3 x 3 meter; Termasuk listrik; Kasur; Meja; Lemari Baju; Ventilasi; Kipas Angin; Bantal; Cermin; Guling; Jendela; K. Mandi Dalam; Kloset Jongkok; Ember mandi; Shower; Bak mandi; R. Cuci; R. Tamu; R. Jemur; R. Santai; Pengurus Kos; Jemuran; Parkir Motor; Parkir Sepeda</t>
  </si>
  <si>
    <t>Kost Mama Rika Cimanggis Depok</t>
  </si>
  <si>
    <t>3 x 3 meter; Tidak termasuk listrik; Kasur; Lemari Baju; Kipas Angin; Kloset Jongkok; K. Mandi Luar; Ember mandi; WiFi; TV; Parkir Motor</t>
  </si>
  <si>
    <t>Rumah Kontrakan Baladewa Depok Sukmajaya Depok</t>
  </si>
  <si>
    <t>3 x 3 meter; Tidak termasuk listrik; Jendela; Kloset Duduk; Shower; R. Tamu; R. Makan; R. Santai; Dapur; Jemuran; R. Keluarga; Parkir Mobil; Parkir Motor</t>
  </si>
  <si>
    <t>Kost Sukatani Type B Tapos Depok</t>
  </si>
  <si>
    <t>3 x 4 meter; Tidak termasuk listrik; Kasur; Guling; Jendela; Kloset Jongkok; R. Jemur; Parkir Mobil; Parkir Motor; Parkir Sepeda</t>
  </si>
  <si>
    <t>Kost Bintang Tipe A Sukmajaya Depok</t>
  </si>
  <si>
    <t>3 x 3 meter; Tidak termasuk listrik; Kasur; Meja; Lemari Baju; Bantal; Guling; Kipas Angin; Jendela; Kloset Duduk; K. Mandi Luar; Shower; WiFi; R. Jemur; R. Santai; Balcon; Parkir Mobil; Parkir Motor</t>
  </si>
  <si>
    <t>Kost Aamodini Tipe A Bojongsari Depok</t>
  </si>
  <si>
    <t>3 x 4 meter; Termasuk listrik; Kasur; Meja; Lemari Baju; Bantal; Cermin; Guling; Jendela; Kipas Angin; K. Mandi Dalam; Kloset Duduk; Kloset Jongkok; K. Mandi Luar; Bak mandi; WiFi; Kulkas; Mesin Cuci; R. Tamu; Mushola; R. Makan; R. Santai; Dapur; Balcon; CCTV; Parkir Mobil; Parkir Motor; Parkir Sepeda</t>
  </si>
  <si>
    <t>Bojongsari</t>
  </si>
  <si>
    <t>Kost Cemara Cinere Depok</t>
  </si>
  <si>
    <t>2.5 x 3 meter; Termasuk listrik; AC; Kasur; Meja; Lemari Baju; Ventilasi; Cermin; Jendela; Kursi; Kloset Jongkok; K. Mandi Luar; Ember mandi; Wastafel; Shower; WiFi; Balcon; Jemuran; Parkir Motor; Parkir Sepeda</t>
  </si>
  <si>
    <t>Kost Samitra Tipe AC Cimanggis Depok</t>
  </si>
  <si>
    <t>3 x 4 meter; Termasuk listrik; AC; Kasur; Meja; Lemari Baju; Ventilasi; Kursi; Kipas Angin; Cleaning service; Bantal; Cermin; K. Mandi Dalam; Kloset Duduk; K. Mandi Luar; Shower; WiFi; R. Cuci; Kulkas; R. Tamu; Mesin Cuci; Laundry; R. Jemur; R. Santai; Dapur; TV; Parkir Mobil; Parkir Motor; Parkir Sepeda</t>
  </si>
  <si>
    <t>Kost Cilobak Mansion Tipe Standart Cinere Depok</t>
  </si>
  <si>
    <t>3 x 4 meter; Tidak termasuk listrik; AC; Kasur; Meja; TV; Lemari Baju; Ventilasi; Kursi; Bantal; Cermin; Guling; K. Mandi Dalam; Kloset Duduk; Wastafel; Shower; Bathtub; WiFi; R. Tamu; Penjaga Kos; Laundry; R. Makan; R. Jemur; R. Santai; R. Keluarga; K. Mandi Luar; Parkir Mobil; Parkir Motor; Parkir Sepeda</t>
  </si>
  <si>
    <t>Kost Anisa Regency Beji Depok</t>
  </si>
  <si>
    <t>3 x 4 meter; Termasuk listrik; AC; Kasur; Meja; Lemari Baju; Ventilasi; Kursi; Bantal; Jendela; K. Mandi Dalam; Kloset Duduk; Shower; WiFi; R. Cuci; Kulkas; R. Tamu; Mesin Cuci; Penjaga Kos; R. Makan; R. Jemur; R. Santai; Dapur; Parkir Motor; Parkir Sepeda</t>
  </si>
  <si>
    <t>Kost Orange Beji Depok</t>
  </si>
  <si>
    <t>4.5 x 2.4 meter</t>
  </si>
  <si>
    <t>4.5 x 2.4 meter; Tidak termasuk listrik; AC; Kasur; Meja; Lemari Baju; Bantal; Jendela; Kursi; K. Mandi Dalam; Kloset Duduk; Shower; Air panas; WiFi; Kulkas; Laundry</t>
  </si>
  <si>
    <t>Kost Kenanga Tipe A Sukmajaya Depok</t>
  </si>
  <si>
    <t>3 x 4.5 meter; Tidak termasuk listrik; AC; Kasur; Lemari Baju; Bantal; Cleaning service; Guling; Jendela; Kursi; K. Mandi Dalam; Kloset Duduk; Ember mandi; Shower; WiFi; Penjaga Kos; R. Tamu; R. Jemur; R. Santai; Dapur; Balcon; CCTV; Jemuran; Parkir Motor; Parkir Sepeda</t>
  </si>
  <si>
    <t>Kost GDC Cilodong Depok</t>
  </si>
  <si>
    <t>3 x 6 meter; Tidak termasuk listrik; Dapur Pribadi; Jendela; K. Mandi Dalam; Kloset Jongkok; Penjaga Kos; R. Tamu; R. Jemur; Dapur; Jemuran; R. Keluarga; Parkir Motor; Parkir Sepeda</t>
  </si>
  <si>
    <t>Cilodong</t>
  </si>
  <si>
    <t>Kost Griya 15 Executive Beji Depok</t>
  </si>
  <si>
    <t>3 x 4 meter; Tidak termasuk listrik; AC; Kasur; Meja; Lemari Baju; Ventilasi; Bantal; Cermin; Guling; Jendela; Kipas Angin; K. Mandi Dalam; Kloset Duduk; Shower; WiFi; Kulkas; R. Cuci; Penjaga Kos; R. Jemur; R. Santai; Dapur; Dispenser; CCTV; Jemuran; Parkir Motor; Parkir Sepeda</t>
  </si>
  <si>
    <t>Kost Tasha Tipe A Beji Depok</t>
  </si>
  <si>
    <t>3 x 3 meter; Termasuk listrik; Kasur; Lemari Baju; Kulkas; Ventilasi; Kipas Angin; Bantal; Jendela; Cermin; Kursi; K. Mandi Dalam; Kloset Duduk; Kloset Jongkok; K. Mandi Luar; Ember mandi; Shower; Bak mandi; WiFi; R. Cuci; Penjaga Kos; R. Tamu; R. Jemur; R. Santai; Dapur; CCTV; Jemuran; Parkir Motor; Parkir Sepeda; Parkir Motor &amp; Sepeda</t>
  </si>
  <si>
    <t>Kost Ibu Yayat Tipe Standart Limo Depok</t>
  </si>
  <si>
    <t>3 x 3 meter; Tidak termasuk listrik; Kasur; Lemari Baju; Bantal; Jendela; Kipas Angin; K. Mandi Dalam; Kloset Jongkok; Ember mandi; Dapur; Jemuran; Pengurus Kos; Parkir Motor &amp; Sepeda</t>
  </si>
  <si>
    <t>Kost A21 Pondoklabu Cinere Depok</t>
  </si>
  <si>
    <t>4 x 4 meter; Tidak termasuk listrik; AC; Kasur; Meja; Lemari Baju; Bantal; Guling; Jendela; Cermin; K. Mandi Dalam; Kloset Duduk; Shower; WiFi; Kulkas; R. Jemur; Dapur; Pengurus Kos; Jemuran; CCTV; Parkir Mobil; Parkir Motor; Parkir Sepeda</t>
  </si>
  <si>
    <t>Kost Mawar Residence Kober Beji Depok</t>
  </si>
  <si>
    <t>3 x 4 meter; Termasuk listrik; Kasur; Meja; Lemari Baju; Kursi; Jendela; K. Mandi Dalam; Kloset Jongkok; Ember mandi; WiFi; Kulkas; R. Tamu; Penjaga Kos; R. Makan; R. Jemur; Mushola; R. Santai; Dapur; TV; Parkir Mobil; Parkir Motor; Parkir Sepeda</t>
  </si>
  <si>
    <t>Rp865.000</t>
  </si>
  <si>
    <t>Kost Rumah Anjani Beji Depok</t>
  </si>
  <si>
    <t>3 x 3 meter; Termasuk listrik; Kasur; Meja; Lemari Baju; Bantal; Cermin; Guling; Kursi; K. Mandi Dalam; Kloset Duduk; Ember mandi; WiFi; Kulkas; Laundry; Penjaga Kos; R. Jemur; R. Makan; Dapur; Jemuran; Pengurus Kos; Parkir Motor; Parkir Sepeda</t>
  </si>
  <si>
    <t>Kost Anisah Tipe B Beji Depok</t>
  </si>
  <si>
    <t>4 x 4 meter; Tidak termasuk listrik; AC; Meja; TV; Meja Rias; Lemari Baju; Wastafel; Ember mandi; Shower; Air panas; Parkir Mobil; Parkir Motor; Parkir Sepeda</t>
  </si>
  <si>
    <t>Kost 28 Pondoklabu Cinere Depok</t>
  </si>
  <si>
    <t>4 x 4 meter; Tidak termasuk listrik; AC; Kasur; Meja; Lemari Baju; Bantal; Cermin; Guling; Jendela; K. Mandi Dalam; Kloset Duduk; Shower; WiFi; Penjaga Kos; R. Jemur; Dapur; CCTV; Jemuran; Parkir Motor; Parkir Sepeda</t>
  </si>
  <si>
    <t>Kost Daily Margonda Beji Depok</t>
  </si>
  <si>
    <t>3 x 6 meter; Tidak termasuk listrik; AC; Kasur; Meja; Lemari Baju; Ventilasi; Bantal; Jendela; Kursi; K. Mandi Dalam; Kloset Duduk; Ember mandi; Shower; WiFi; Kulkas; R. Jemur; Dapur; Balcon; Jemuran; Pengurus Kos; CCTV; Parkir Mobil; Parkir Motor</t>
  </si>
  <si>
    <t>Kost Zahra Beji Depok</t>
  </si>
  <si>
    <t>Kost Griya Fikarda Pocin Sabana Room Beji Depok</t>
  </si>
  <si>
    <t>3 x 3 meter; Tidak termasuk listrik; AC; Kasur; Meja; Lemari Baju; Ventilasi; Bantal; Cermin; Guling; Jendela; Kursi; K. Mandi Dalam; Kloset Duduk; Wastafel; Shower; Air panas; WiFi; Kulkas; Laundry; R. Makan; R. Santai; Dapur; CCTV; Kartu Akses; Pengurus Kos; Rooftop; Parkir Motor; Parkir Sepeda; Parkir Motor &amp; Sepeda</t>
  </si>
  <si>
    <t>Kost Benteng Gading Tipe B Beji Depok</t>
  </si>
  <si>
    <t>2.5 x 5 meter</t>
  </si>
  <si>
    <t>2.5 x 5 meter; Termasuk listrik; Kasur; Meja; Lemari Baju; K. Mandi Dalam; Kloset Duduk; Kloset Jongkok; WiFi; Kulkas; R. Cuci; Penjaga Kos; R. Tamu; R. Jemur; R. Makan; R. Santai; Dapur; Jemuran; Parkir Motor</t>
  </si>
  <si>
    <t>Kost Arnanda Beji Depok</t>
  </si>
  <si>
    <t>4 x 5 meter; Termasuk listrik; Kasur; Lemari Baju; K. Mandi Dalam; Kloset Jongkok; WiFi; Jemuran; Parkir Motor</t>
  </si>
  <si>
    <t>Rp725.000</t>
  </si>
  <si>
    <t>Kost Salkia Tipe Ac Beji Depok</t>
  </si>
  <si>
    <t>3 x 4 meter; Termasuk listrik; AC; Kasur; Meja; Lemari Baju; Ventilasi; Bantal; Guling; Jendela; Kursi; Wastafel; K. Mandi Dalam; Kloset Duduk; Shower; WiFi; Kulkas; Penjaga Kos; R. Tamu; Mushola; R. Jemur; R. Santai; Dapur; Dispenser; Gazebo; Parkir Mobil; Parkir Motor; Parkir Sepeda</t>
  </si>
  <si>
    <t>Kost Pak Yanto 2 Tipe B Cinere Depok</t>
  </si>
  <si>
    <t>3 x 3 meter; Tidak termasuk listrik; AC; Wastafel; K. Mandi Dalam; Kloset Jongkok; R. Tamu; Parkir Motor</t>
  </si>
  <si>
    <t>Kost Griya Fikarda Summer Bronze Room Beji Depok</t>
  </si>
  <si>
    <t>3 x 4 meter; Tidak termasuk listrik; AC; Kasur; Meja; Lemari Baju; Ventilasi; Bantal; Cermin; Guling; Jendela; Kursi; K. Mandi Dalam; Kloset Duduk; Wastafel; Shower; Air panas; WiFi; Kulkas; Laundry; Penjaga Kos; R. Tamu; R. Makan; R. Jemur; Mushola; R. Santai; Dapur; Parkir Mobil; Parkir Motor; Parkir Sepeda; Parkir Motor &amp; Sepeda</t>
  </si>
  <si>
    <t>Kost Pinang 17a Tipe A Beji Depok</t>
  </si>
  <si>
    <t>3 x 3 meter; Termasuk listrik; Kasur; Meja; Lemari Baju; Kursi; Kipas Angin; Bantal; Cermin; K. Mandi Dalam; Kloset Jongkok; Ember mandi; WiFi; Penjaga Kos; Dispenser; CCTV; Pengurus Kos; Parkir Motor</t>
  </si>
  <si>
    <t>Kost Pondok Rizquna Beji Depok</t>
  </si>
  <si>
    <t>2.5 x 3 meter; Tidak termasuk listrik; AC; Kasur; Meja; Lemari Baju; Kursi; K. Mandi Dalam; Kloset Jongkok; Shower; WiFi; Dapur; Parkir Motor; Parkir Sepeda</t>
  </si>
  <si>
    <t>Kost Abun Tipe A Beji Depok</t>
  </si>
  <si>
    <t>3 x 4 meter; Termasuk listrik; Kasur; Lemari Baju; Ventilasi; Bantal; Jendela; K. Mandi Dalam; Kloset Jongkok; Ember mandi; WiFi; Kulkas; R. Jemur; Dapur; Balcon; Jemuran; Pengurus Kos; Parkir Motor; Parkir Sepeda</t>
  </si>
  <si>
    <t>Kost Bumina Azzahra 1 Tipe A Bojongsari Depok</t>
  </si>
  <si>
    <t>3 x 2.5 meter; Tidak termasuk listrik; AC; Kasur; TV; Lemari Baju; Ventilasi; Bantal; Cermin; Jendela; Kursi; Guling; K. Mandi Dalam; Kloset Duduk; Ember mandi; Shower; WiFi; Kulkas; R. Tamu; Mushola; R. Makan; R. Jemur; Dapur; Dispenser; CCTV; Jemuran; Parkir Mobil; Parkir Motor; Parkir Sepeda</t>
  </si>
  <si>
    <t>Kost Cascade House Tipe B Beji Depok</t>
  </si>
  <si>
    <t>3 x 4 meter; Tidak termasuk listrik; AC; Kasur; Meja; TV; Lemari Baju; Kursi; Cleaning service; K. Mandi Dalam; Kloset Duduk; Shower; WiFi; R. Cuci; Kulkas; R. Tamu; Mesin Cuci; Penjaga Kos; Laundry; R. Makan; R. Jemur; Mushola; Parkir Mobil; Parkir Motor; Parkir Sepeda</t>
  </si>
  <si>
    <t>Kost Growing House Jatijajar Tipe Standart A Tapos Depok</t>
  </si>
  <si>
    <t>2.5 x 2 meter; Tidak termasuk listrik; Kasur; Meja; Lemari Baju; Ventilasi; Bantal; Cermin; Jendela; Kursi; Kloset Duduk; K. Mandi Luar; Wastafel; Ember mandi; Shower; WiFi; Kulkas; R. Cuci; R. Tamu; R. Jemur; R. Makan; R. Santai; Dapur; Dispenser; Jemuran; Parkir Motor; Parkir Sepeda</t>
  </si>
  <si>
    <t>Kost Zeeka Kutek Ui Beji Depok</t>
  </si>
  <si>
    <t>3.5 x 4 meter; Tidak termasuk listrik; AC; Kasur; Meja; Lemari Baju; Ventilasi; Bantal; Cermin; Cleaning service; Guling; Jendela; K. Mandi Dalam; Kloset Duduk; Wastafel; Shower; Air panas; WiFi; Kulkas; Penjaga Kos; R. Tamu; Dapur; Dispenser; CCTV; Pengurus Kos; R. Keluarga; TV; Parkir Motor</t>
  </si>
  <si>
    <t>Kost D'Green Tipe C Beji Depok</t>
  </si>
  <si>
    <t>2.7 x 4 meter</t>
  </si>
  <si>
    <t>2.7 x 4 meter; Termasuk listrik; AC; Kasur; Meja; Dispenser; Lemari Baju; Kursi; Cleaning service; K. Mandi Dalam; Kloset Duduk; Ember mandi; Shower; WiFi; R. Cuci; Kulkas; R. Tamu; Mesin Cuci; Penjaga Kos; R. Makan; R. Jemur; R. Santai; Dapur; Parkir Motor; Parkir Sepeda</t>
  </si>
  <si>
    <t>Kost Fadilah 1 Beji Depok</t>
  </si>
  <si>
    <t>3 x 4 meter; Termasuk listrik; Kasur; Meja; Lemari Baju; Ventilasi; Kursi; K. Mandi Dalam; Kloset Jongkok; Ember mandi; WiFi; Kulkas; R. Tamu; R. Jemur; Dapur; Jemuran; Pengurus Kos</t>
  </si>
  <si>
    <t>Kost DGreen Tipe A Beji Depok</t>
  </si>
  <si>
    <t>3 x 4 meter; Termasuk listrik; AC; Kasur; Meja; Lemari Baju; Kursi; Cleaning service; K. Mandi Dalam; Kloset Duduk; Ember mandi; Shower; WiFi; R. Cuci; R. Tamu; Mesin Cuci; Penjaga Kos; R. Makan; R. Jemur; R. Santai; Dapur; Taman; Parkir Motor; Parkir Sepeda</t>
  </si>
  <si>
    <t>Kost Khairan I Beji Depok</t>
  </si>
  <si>
    <t>3 x 3 meter; Termasuk listrik; Kasur; Lemari Baju; Ventilasi; Bantal; Cermin; Guling; Jendela; K. Mandi Dalam; Kloset Jongkok; Ember mandi; Shower; WiFi; Kulkas; R. Cuci; R. Tamu; R. Jemur; R. Makan; R. Santai; Dapur; Balcon; CCTV; Parkir Motor</t>
  </si>
  <si>
    <t>Kost Madrasah Tipe C Pangkalan Jati Cinere Depok</t>
  </si>
  <si>
    <t>3 x 6 meter; Tidak termasuk listrik; Kasur; Wastafel; Kipas Angin; K. Mandi Dalam; Kloset Jongkok; Ember mandi; R. Jemur; R. Santai; Dapur; Parkir Motor; Parkir Sepeda</t>
  </si>
  <si>
    <t>Kost 121 Cinere Depok</t>
  </si>
  <si>
    <t>4 x 3 meter; Tidak termasuk listrik; AC; Kasur; Lemari Baju; Bantal; Cermin; K. Mandi Dalam; Kloset Duduk; Kloset Jongkok; Ember mandi; WiFi; R. Jemur; Balcon; CCTV; Jemuran; Pengurus Kos; Parkir Motor; Parkir Sepeda</t>
  </si>
  <si>
    <t>Kost Pavilion Cimanggis Depok</t>
  </si>
  <si>
    <t>4 x 4 meter; Termasuk listrik; Kasur; Lemari Baju; Guling; Jendela; Bantal; K. Mandi Dalam; Kloset Duduk; Ember mandi; WiFi; Jual Makanan; Jemuran; Parkir Motor &amp; Sepeda</t>
  </si>
  <si>
    <t>Kost Bintang Residence Beji Depok</t>
  </si>
  <si>
    <t>3 x 7 meter; Termasuk listrik; AC; Kasur; Meja; TV; Lemari Baju; Kursi; Cleaning service; Bantal; Dapur Pribadi; Guling; K. Mandi Dalam; Kloset Duduk; Wastafel; Shower; WiFi; Kulkas; R. Tamu; Penjaga Kos; R. Makan; R. Jemur; R. Santai; Dapur; Taman; Gazebo; Parkir Motor; Parkir Sepeda</t>
  </si>
  <si>
    <t>Kost Pondok Cattleya UPN Pondok Labu Fatmawati Tipe B Cinere Depok</t>
  </si>
  <si>
    <t>2.5 x 2.5 meter; Termasuk listrik; AC; Kasur; Meja; Lemari Baju; Kursi; Cleaning service; Jendela; Bantal; Kloset Duduk; K. Mandi Luar; Shower; WiFi; Kulkas; R. Tamu; Laundry; R. Jemur; Mushola; Dapur; CCTV; Pengurus Kos; Parkir Mobil; Parkir Motor; Parkir Sepeda</t>
  </si>
  <si>
    <t>Kost Agustin Tipe B Kado Limo Depok</t>
  </si>
  <si>
    <t>3 x 4 meter; Tidak termasuk listrik; AC; Kasur; Lemari Baju; Bantal; Cermin; Guling; Jendela; K. Mandi Dalam; Kloset Duduk; Ember mandi; WiFi; R. Jemur; Dapur; Taman; Balcon; Pengurus Kos; Jemuran; CCTV; Parkir Mobil; Parkir Motor; Parkir Sepeda</t>
  </si>
  <si>
    <t>Kost Nugie I Beji Depok</t>
  </si>
  <si>
    <t>3.5 x 4.5 meter; Tidak termasuk listrik; AC; Kasur; Meja; Meja Rias; Lemari Baju; Kursi; K. Mandi Dalam; Kloset Duduk; Shower; WiFi; Kulkas; R. Tamu; Penjaga Kos; Dapur; Dispenser; TV; Balcon; Parkir Motor; Parkir Sepeda</t>
  </si>
  <si>
    <t>3 x 4 meter; Termasuk listrik; Kasur; Lemari Baju; Ventilasi; Bantal; Jendela; K. Mandi Dalam; Kloset Jongkok; Ember mandi; Parkir Motor; Parkir Sepeda</t>
  </si>
  <si>
    <t>Kost Venice Tipe A Taman Sari Jakarta Barat</t>
  </si>
  <si>
    <t>4 x 2.2 meter</t>
  </si>
  <si>
    <t>4 x 2.2 meter; Tidak termasuk listrik; AC; Kasur; Meja; Bantal; Cermin; Cleaning service; Guling; Jendela; K. Mandi Dalam; Shower; Air panas; WiFi; Kulkas; Penjaga Kos; R. Santai; Dapur; Dispenser; CCTV; Pengurus Kos; Rooftop; Parkir Motor &amp; Sepeda</t>
  </si>
  <si>
    <t>Kecamatan Taman Sari</t>
  </si>
  <si>
    <t>Jakarta Barat</t>
  </si>
  <si>
    <t>Kost Wimala Suites Co Living Tipe Deluxe Taman Sari Jakarta Barat</t>
  </si>
  <si>
    <t>4 x 4 meter; Tidak termasuk listrik; AC; Kasur; Meja; TV; Kulkas; Lemari Baju; Ventilasi; Bantal; Cermin; Cleaning service; K. Mandi Dalam; Kloset Duduk; Wastafel; Shower; Air panas; WiFi; R. Cuci; Laundry; Penjaga Kos; R. Tamu; R. Jemur; R. Makan; R. Santai; Dapur; Parkir Motor; Parkir Sepeda</t>
  </si>
  <si>
    <t>Diskon 288rb</t>
  </si>
  <si>
    <t>Kost Gajahmada Icon Residence Royal Taman Sari Jakarta Barat</t>
  </si>
  <si>
    <t>3 x 3 meter; Tidak termasuk listrik; AC; Kasur; Meja; TV; Lemari Baju; Ventilasi; Bantal; Cermin; Guling; Jendela; K. Mandi Dalam; Kloset Duduk; Shower; Air panas; WiFi; Kulkas; R. Cuci; Laundry; Mesin Cuci; Penjaga Kos; R. Tamu; R. Jemur; R. Makan; R. Santai; Parkir Motor; Parkir Sepeda</t>
  </si>
  <si>
    <t>Diskon 118rb</t>
  </si>
  <si>
    <t>Kost Co Living Rustanto Residence Susilo Tipe A Grogol Petamburan Jakarta Barat</t>
  </si>
  <si>
    <t>3 x 4 meter; Tidak termasuk listrik; AC; Kasur; Meja; Lemari Baju; Ventilasi; Kursi; Wastafel; Cleaning service; Bantal; Cermin; K. Mandi Dalam; Kloset Duduk; Shower; Air panas; WiFi; R. Cuci; Kulkas; R. Tamu; Penjaga Kos; Laundry; R. Makan; R. Jemur; R. Santai; Dapur; Parkir Mobil; Parkir Motor; Parkir Sepeda</t>
  </si>
  <si>
    <t>Grogol Petamburan</t>
  </si>
  <si>
    <t>Kost Cozy Coliving Binus Kijang Kemanggisan Palmerah Jakarta Barat Palmerah Jakarta Barat</t>
  </si>
  <si>
    <t>3 x 4 meter; Tidak termasuk listrik; AC; Kasur; Dispenser; Meja; Meja Rias; TV; Kulkas; Lemari Baju; Bantal; Cermin; K. Mandi Dalam; Kloset Duduk; Wastafel; Shower; Air panas; WiFi; Laundry; Mesin Cuci; Penjaga Kos; R. Tamu; R. Jemur; R. Makan; R. Santai; Dapur; Parkir Mobil; Parkir Motor</t>
  </si>
  <si>
    <t>Rp3.250.000</t>
  </si>
  <si>
    <t>Kecamatan Palmerah</t>
  </si>
  <si>
    <t>Kost Premier Cengkareng Jakarta Barat</t>
  </si>
  <si>
    <t>4 x 4 meter; Tidak termasuk listrik; AC; Kasur; Meja; Dispenser; TV; Meja Rias; Lemari Baju; Kulkas; Ventilasi; Kursi; K. Mandi Dalam; Kloset Duduk; Wastafel; Ember mandi; Shower; Air panas; WiFi; R. Cuci; R. Tamu; Penjaga Kos; R. Makan; R. Jemur; R. Santai; Dapur; Parkir Mobil; Parkir Motor; Parkir Sepeda</t>
  </si>
  <si>
    <t>Cengkareng</t>
  </si>
  <si>
    <t>Kost Tanjung Duren Avela Residence Grogol Petamburan Jakarta Barat</t>
  </si>
  <si>
    <t>3 x 3 meter; Tidak termasuk listrik; AC; Kasur; Meja; TV; Kulkas; Lemari Baju; Bantal; Cermin; Guling; Jendela; K. Mandi Dalam; Kloset Duduk; Shower; Air panas; WiFi; R. Cuci; Laundry; Penjaga Kos; R. Tamu; R. Jemur; R. Makan; R. Santai; Dapur; Parkir Motor; Parkir Sepeda; Parkir Motor &amp; Sepeda</t>
  </si>
  <si>
    <t>Kecamatan Grogol petamburan</t>
  </si>
  <si>
    <t>Kost Hayam Wuruk Suites Co Living Tipe Premium C Taman Sari Jakarta Barat</t>
  </si>
  <si>
    <t>3 x 3 meter; Tidak termasuk listrik; AC; Kasur; Meja; TV; Kulkas; Lemari Baju; Bantal; Cermin; Cleaning service; Guling; K. Mandi Dalam; Kloset Duduk; Wastafel; Shower; Air panas; WiFi; R. Cuci; Laundry; Mesin Cuci; Penjaga Kos; R. Tamu; R. Jemur; R. Makan; R. Santai; Parkir Motor; Parkir Sepeda; Parkir Motor &amp; Sepeda</t>
  </si>
  <si>
    <t>Rp2.650.000</t>
  </si>
  <si>
    <t>Kost Elements Tipe Deluxe Grogol Petamburan Jakarta Barat</t>
  </si>
  <si>
    <t>3 x 3 meter; Tidak termasuk listrik; AC; Kasur; Meja; TV; Lemari Baju; Ventilasi; Bantal; Cermin; Guling; Jendela; K. Mandi Dalam; Kloset Duduk; Shower; Air panas; WiFi; Kulkas; Laundry; Penjaga Kos; R. Tamu; R. Jemur; R. Makan; R. Santai; Dapur; Dispenser; Parkir Motor; Parkir Sepeda; Parkir Motor &amp; Sepeda</t>
  </si>
  <si>
    <t>Diskon 184rb</t>
  </si>
  <si>
    <t>Kost Kangaroom Meruya Premium Kembangan Jakarta Barat</t>
  </si>
  <si>
    <t>2.2 x 4.5 meter</t>
  </si>
  <si>
    <t>2.2 x 4.5 meter; Tidak termasuk listrik; AC; Kasur; TV; Kulkas; Ventilasi; Bantal; Cermin; Cleaning service; Guling; Jendela; K. Mandi Dalam; Kloset Duduk; Shower; Air panas; WiFi; Penjaga Kos; Laundry; Dapur; Dispenser; CCTV; Jemuran; Kartu Akses; Pengurus Kos; Taman; Parkir Sepeda; Parkir Motor; Parkir Motor &amp; Sepeda</t>
  </si>
  <si>
    <t>Kecamatan Kembangan</t>
  </si>
  <si>
    <t>Kost Rizky VIP Lantai 1 Grogol Petamburan Jakarta Barat</t>
  </si>
  <si>
    <t>3.4 x 4.2 meter</t>
  </si>
  <si>
    <t>3.4 x 4.2 meter; Tidak termasuk listrik; AC; Kasur; Meja; TV; Lemari Baju; Kulkas; Bantal; Cermin; Kursi; Jendela; K. Mandi Dalam; Kloset Duduk; Wastafel; Ember mandi; Shower; Air panas; WiFi; Mesin Cuci; Penjaga Kos; R. Tamu; Dapur; Balcon; CCTV; Jemuran; Parkir Motor &amp; Sepeda</t>
  </si>
  <si>
    <t>Rp2.600.000</t>
  </si>
  <si>
    <t>Kost Singgahsini Muhajar 50 Tipe A Kebon Jeruk Jakarta Barat</t>
  </si>
  <si>
    <t>4 x 4.5 meter</t>
  </si>
  <si>
    <t>Rp2.225.000</t>
  </si>
  <si>
    <t>4 x 4.5 meter; Tidak termasuk listrik; AC; Kasur; Meja; Lemari Baju; Ventilasi; Kursi; Bantal; Guling; Jendela; K. Mandi Dalam; Kloset Duduk; Shower; Air panas; WiFi; Kulkas; R. Cuci; Penjaga Kos; R. Jemur; Dapur; Gazebo; CCTV; Jemuran; Parkir Motor &amp; Sepeda</t>
  </si>
  <si>
    <t>Rp2.115.000</t>
  </si>
  <si>
    <t>Kebon Jeruk</t>
  </si>
  <si>
    <t>Kost Singgahsini Tanjung Duren 46 Tipe A Grogol Petamburan Jakarta Barat</t>
  </si>
  <si>
    <t>3.6 x 2.4 meter</t>
  </si>
  <si>
    <t>3.6 x 2.4 meter; Tidak termasuk listrik; AC; Kasur; Meja; TV; Lemari Baju; Kursi; Bantal; Cermin; Guling; Jendela; K. Mandi Dalam; Kloset Duduk; Shower; Air panas; WiFi; Penjaga Kos; Dapur; K. Mandi Luar; CCTV; Parkir Motor; Parkir Sepeda</t>
  </si>
  <si>
    <t>Kost Singgahsini Griya Mitra Tipe A Tamansari Jakarta Barat</t>
  </si>
  <si>
    <t>6 x 2.8 meter</t>
  </si>
  <si>
    <t>6 x 2.8 meter; Tidak termasuk listrik; AC; Kasur; Meja; TV; Lemari Baju; K. Mandi Dalam; Kloset Duduk; Shower; Air panas; WiFi; R. Tamu; Penjaga Kos; Dapur; CCTV; Parkir Mobil; Parkir Motor &amp; Sepeda</t>
  </si>
  <si>
    <t>Rp1.865.000</t>
  </si>
  <si>
    <t>Taman Sari</t>
  </si>
  <si>
    <t>Kost Singgahsini Tanjung Duren 46 Tipe B Grogol Petamburan Jakarta Barat</t>
  </si>
  <si>
    <t>Rp2.325.000</t>
  </si>
  <si>
    <t>3.6 x 2.4 meter; Tidak termasuk listrik; AC; Kasur; Meja; TV; Lemari Baju; Kursi; Bantal; Cermin; Guling; Jendela; K. Mandi Dalam; Kloset Duduk; Shower; Air panas; WiFi; Penjaga Kos; Dapur; K. Mandi Luar; CCTV; Parkir Sepeda; Parkir Motor &amp; Sepeda</t>
  </si>
  <si>
    <t>Rp2.210.000</t>
  </si>
  <si>
    <t>Kost Singgahsini Gelong Residence 27 Tipe A Grogol Petamburan Jakarta Barat</t>
  </si>
  <si>
    <t>2.7 x 4.5 meter</t>
  </si>
  <si>
    <t>2.7 x 4.5 meter; Tidak termasuk listrik; AC; Kasur; Meja; TV; Meja Rias; Lemari Baju; Kursi; Cleaning service; K. Mandi Dalam; Kloset Duduk; Shower; Air panas; WiFi; R. Cuci; Kulkas; R. Tamu; Penjaga Kos; Laundry; R. Jemur; R. Santai; Dapur; R. Keluarga; Parkir Mobil; Parkir Motor; Parkir Sepeda</t>
  </si>
  <si>
    <t>Rp2.630.000</t>
  </si>
  <si>
    <t>Kost Singgahsini Bluhaus Meruya Tipe B Kembangan Jakarta Barat</t>
  </si>
  <si>
    <t>3.1 x 2.8 meter</t>
  </si>
  <si>
    <t>3.1 x 2.8 meter; Tidak termasuk listrik; AC; Kasur; Meja; Lemari Baju; Kursi; K. Mandi Dalam; Kloset Duduk; Shower; WiFi; Kulkas; R. Tamu; Penjaga Kos; R. Makan; Dapur; Parkir Mobil; Parkir Motor &amp; Sepeda</t>
  </si>
  <si>
    <t>Kembangan</t>
  </si>
  <si>
    <t>Kost Singgahsini Abel Tipe B Kalideres Jakarta Barat</t>
  </si>
  <si>
    <t>3.6 x 3.2 meter</t>
  </si>
  <si>
    <t>3.6 x 3.2 meter; Tidak termasuk listrik; AC; Kasur; Meja; Lemari Baju; Ventilasi; Kursi; Bantal; Cermin; Guling; Jendela; Kloset Duduk; K. Mandi Luar; Wastafel; Shower; WiFi; Kulkas; Penjaga Kos; R. Makan; Dapur; Dispenser; CCTV; Parkir Mobil; Parkir Motor; Parkir Sepeda</t>
  </si>
  <si>
    <t>Kali Deres</t>
  </si>
  <si>
    <t>Kost Singgahsini Meruya Selatan Tipe B Kembangan Jakarta Barat</t>
  </si>
  <si>
    <t>5.2 x 4 meter</t>
  </si>
  <si>
    <t>5.2 x 4 meter; Tidak termasuk listrik; AC; Kasur; Meja; Lemari Baju; Bantal; K. Mandi Dalam; Kloset Duduk; WiFi; R. Tamu; R. Jemur; Dapur; CCTV; Parkir Motor; Parkir Sepeda</t>
  </si>
  <si>
    <t>Kost Singgahsini Gelong Residence 27 Tipe B Grogol Petamburan Jakarta Barat</t>
  </si>
  <si>
    <t>4.5 x 3 meter; Tidak termasuk listrik; AC; Kasur; Meja; TV; Lemari Baju; Kursi; Cleaning service; K. Mandi Dalam; Kloset Duduk; Shower; Air panas; WiFi; R. Cuci; Kulkas; R. Tamu; Penjaga Kos; Laundry; R. Jemur; R. Santai; Dapur; R. Keluarga; Parkir Mobil; Parkir Motor; Parkir Sepeda</t>
  </si>
  <si>
    <t>Rp2.730.000</t>
  </si>
  <si>
    <t>Kost Singgahsini Meruya Selatan Tipe C Kembangan Jakarta Barat</t>
  </si>
  <si>
    <t>3.6 x 2.2 meter</t>
  </si>
  <si>
    <t>3.6 x 2.2 meter; Termasuk listrik; AC; Kasur; Lemari Baju; Kursi; Bantal; Guling; Jendela; K. Mandi Dalam; Kloset Duduk; K. Mandi Luar; Shower; WiFi; R. Tamu; R. Jemur; Dapur; CCTV; Parkir Motor; Parkir Sepeda</t>
  </si>
  <si>
    <t>Kost Singgahsini Muhajar 50 Tipe B Kebon Jeruk Jakarta Barat</t>
  </si>
  <si>
    <t>3.5 x 4 meter; Tidak termasuk listrik; AC; Kasur; Meja; Lemari Baju; Kursi; Bantal; Guling; Jendela; K. Mandi Dalam; Kloset Duduk; Wastafel; Shower; Air panas; WiFi; Kulkas; R. Cuci; Penjaga Kos; R. Jemur; Dapur; Gazebo; CCTV; Jemuran; Parkir Motor &amp; Sepeda</t>
  </si>
  <si>
    <t>Rp2.020.000</t>
  </si>
  <si>
    <t>Kost Singgahsini Meruya Selatan Tipe A Kembangan Jakarta Barat</t>
  </si>
  <si>
    <t>3.6 x 2.2 meter; Termasuk listrik; AC; Kasur; Lemari Baju; Bantal; Cermin; Jendela; K. Mandi Dalam; Kloset Jongkok; WiFi; R. Tamu; R. Jemur; Dapur; CCTV; Parkir Motor; Parkir Sepeda</t>
  </si>
  <si>
    <t>Kost Singgahsini Abel Tipe A Kalideres Jakarta Barat</t>
  </si>
  <si>
    <t>4 x 3.2 meter</t>
  </si>
  <si>
    <t>4 x 3.2 meter; Tidak termasuk listrik; AC; Kasur; Meja; Lemari Baju; Ventilasi; Kursi; Bantal; Cermin; Guling; Jendela; K. Mandi Dalam; Kloset Duduk; Shower; WiFi; Kulkas; Penjaga Kos; R. Makan; Dapur; Dispenser; K. Mandi Luar; CCTV; Parkir Mobil; Parkir Motor; Parkir Sepeda</t>
  </si>
  <si>
    <t>Kost Singgahsini Arvindo Tipe A Palmerah Jakarta Barat</t>
  </si>
  <si>
    <t>3 x 3 meter; Termasuk listrik; AC; Kasur; Meja; Lemari Baju; Kursi; Bantal; Jendela; K. Mandi Dalam; Kloset Duduk; Shower; WiFi; R. Tamu; R. Jemur; Dapur; CCTV; Parkir Motor; Parkir Sepeda</t>
  </si>
  <si>
    <t>Rp2.175.000</t>
  </si>
  <si>
    <t>Kost Singgahsini Griya Mitra Tipe B Tamansari Jakarta Barat</t>
  </si>
  <si>
    <t>Rp2.375.000</t>
  </si>
  <si>
    <t>Rp2.257.500</t>
  </si>
  <si>
    <t>Kost Singgahsini Shaka Plaza Slipi Tipe B Palmerah Jakarta Barat</t>
  </si>
  <si>
    <t>3.2 x 2.8 meter; Termasuk listrik; AC; Kasur; Meja; Lemari Baju; Ventilasi; Kursi; Bantal; Cermin; Guling; Jendela; K. Mandi Dalam; Kloset Duduk; Ember mandi; WiFi; R. Cuci; Kulkas; R. Tamu; Mesin Cuci; Dapur; Dispenser; TV; K. Mandi Luar; Parkir Motor; Parkir Sepeda</t>
  </si>
  <si>
    <t>Palmerah</t>
  </si>
  <si>
    <t>Kost Apik Ketapang Bunga Tipe A Gajah Mada Jakarta Barat</t>
  </si>
  <si>
    <t>2 x 2.5 meter; Termasuk listrik; Kasur; Lemari Baju; Kipas Angin; Bantal; Kloset Jongkok; K. Mandi Luar; Shower; WiFi; R. Jemur; Parkir Mobil; Parkir Sepeda</t>
  </si>
  <si>
    <t>Rp870.500</t>
  </si>
  <si>
    <t>Kecamatan Kebon Jeruk</t>
  </si>
  <si>
    <t>Diskon 45rb</t>
  </si>
  <si>
    <t>Kost Singgahsini Clean Room SPR Tipe C Taman Sari Jakarta Barat</t>
  </si>
  <si>
    <t>3.1 x 3.6 meter</t>
  </si>
  <si>
    <t>3.1 x 3.6 meter; Tidak termasuk listrik; AC; Kasur; Meja; Lemari Baju; Kursi; Bantal; Cermin; Jendela; K. Mandi Dalam; Kloset Duduk; Wastafel; Shower; Air panas; WiFi; Kulkas; Penjaga Kos; CCTV; Parkir Motor; Parkir Sepeda</t>
  </si>
  <si>
    <t>Rp1.681.000</t>
  </si>
  <si>
    <t>Diskon 144rb</t>
  </si>
  <si>
    <t>Kost Singgahsini Tanjung Duren 33 Tipe B Grogol Jakarta Barat</t>
  </si>
  <si>
    <t>2.5 x 3.5 meter</t>
  </si>
  <si>
    <t>2.5 x 3.5 meter; Tidak termasuk listrik; AC; Kasur; Meja; Lemari Baju; Kursi; Bantal; Jendela; Kloset Duduk; K. Mandi Luar; Shower; WiFi; R. Cuci; Kulkas; R. Tamu; Laundry; R. Jemur; Dapur; Parkir Mobil; Parkir Motor; Parkir Sepeda; Parkir Motor &amp; Sepeda</t>
  </si>
  <si>
    <t>Kost Apik Ketapang Bunga Tipe B Gajah Mada Jakarta Barat</t>
  </si>
  <si>
    <t>1.6 x 2 meter</t>
  </si>
  <si>
    <t>1.6 x 2 meter; Termasuk listrik; Kasur; Lemari Baju; Kipas Angin; Bantal; Kloset Jongkok; K. Mandi Luar; Shower; WiFi; R. Jemur; Parkir Mobil; Parkir Sepeda</t>
  </si>
  <si>
    <t>Rp805.000</t>
  </si>
  <si>
    <t>Kost Singgahsini Shaka Plaza Slipi Tipe C Palmerah Jakarta Barat</t>
  </si>
  <si>
    <t>2.4 x 1.8 meter</t>
  </si>
  <si>
    <t>2.4 x 1.8 meter; Termasuk listrik; Kasur; Meja; TV; Lemari Baju; Kursi; Bantal; Guling; Jendela; Kloset Duduk; K. Mandi Luar; Ember mandi; WiFi; R. Cuci; Kulkas; R. Tamu; Mesin Cuci; Dapur; Dispenser; Parkir Motor; Parkir Sepeda</t>
  </si>
  <si>
    <t>Kost Singgahsini Griya Mitra Tipe C Tamansari Jakarta Barat</t>
  </si>
  <si>
    <t>Rp2.875.000</t>
  </si>
  <si>
    <t>Rp2.647.000</t>
  </si>
  <si>
    <t>Diskon 228rb</t>
  </si>
  <si>
    <t>Kost Singgahsini Tanjung Duren 33 Tipe A Grogol Jakarta Barat</t>
  </si>
  <si>
    <t>Rp1.895.000</t>
  </si>
  <si>
    <t>2.5 x 3.5 meter; Tidak termasuk listrik; AC; Kasur; Meja; Lemari Baju; Kursi; Bantal; Jendela; K. Mandi Dalam; Kloset Duduk; Wastafel; Shower; WiFi; R. Cuci; Kulkas; R. Tamu; Laundry; R. Jemur; Dapur; K. Mandi Luar; Parkir Mobil; Parkir Motor; Parkir Sepeda; Parkir Motor &amp; Sepeda</t>
  </si>
  <si>
    <t>Rp1.745.400</t>
  </si>
  <si>
    <t>Kost Singgahsini Clean Room SPR Tipe B Taman Sari Jakarta Barat</t>
  </si>
  <si>
    <t>3.2 x 3.3 meter</t>
  </si>
  <si>
    <t>3.2 x 3.3 meter; Tidak termasuk listrik; AC; Kasur; Meja; Lemari Baju; Kursi; Bantal; Cermin; K. Mandi Dalam; Kloset Duduk; Wastafel; Shower; Air panas; WiFi; Kulkas; Penjaga Kos; CCTV; Parkir Motor; Parkir Sepeda</t>
  </si>
  <si>
    <t>Kost Singgahsini Bluhaus Meruya Tipe A Kembangan Jakarta Barat</t>
  </si>
  <si>
    <t>5.2 x 3.1 meter</t>
  </si>
  <si>
    <t>5.2 x 3.1 meter; Tidak termasuk listrik; AC; Kasur; Meja; Lemari Baju; Kursi; K. Mandi Dalam; Kloset Duduk; Shower; WiFi; Kulkas; R. Tamu; Penjaga Kos; R. Makan; Dapur; Parkir Mobil; Parkir Motor &amp; Sepeda</t>
  </si>
  <si>
    <t>Diskon 176rb</t>
  </si>
  <si>
    <t>Kost Singgahsini Tanjung Duren 33 Tipe C Grogol Jakarta Barat</t>
  </si>
  <si>
    <t>2.5 x 2.8 meter; Tidak termasuk listrik; AC; Kasur; Meja; Lemari Baju; Kursi; Bantal; Jendela; Kloset Duduk; K. Mandi Luar; Shower; WiFi; R. Cuci; Kulkas; R. Tamu; Laundry; R. Jemur; Dapur; Parkir Mobil; Parkir Motor; Parkir Sepeda; Parkir Motor &amp; Sepeda</t>
  </si>
  <si>
    <t>Rp1.345.000</t>
  </si>
  <si>
    <t>Kost Singgahsini Clean Room SPR Tipe A Taman Sari Jakarta Barat</t>
  </si>
  <si>
    <t>3.6 x 3.6 meter</t>
  </si>
  <si>
    <t>3.6 x 3.6 meter; Tidak termasuk listrik; AC; Kasur; Meja; Lemari Baju; Kursi; Bantal; K. Mandi Dalam; Kloset Duduk; Shower; Air panas; WiFi; Kulkas; Penjaga Kos; CCTV; Parkir Motor; Parkir Sepeda</t>
  </si>
  <si>
    <t>Kost Singgahsini Gardena Utama 5 Tipe C Kalideres Jakarta Barat</t>
  </si>
  <si>
    <t>3.5 x 2.6 meter</t>
  </si>
  <si>
    <t>3.5 x 2.6 meter; Tidak termasuk listrik; AC; Kasur; Meja; Lemari Baju; Kursi; Jendela; Bantal; Cermin; K. Mandi Dalam; Kloset Duduk; Shower; WiFi; R. Cuci; Kulkas; R. Tamu; Penjaga Kos; R. Jemur; Dapur; Dispenser; CCTV; K. Mandi Luar; Parkir Mobil; Parkir Motor &amp; Sepeda</t>
  </si>
  <si>
    <t>Kost Singgahsini Shaka Plaza Slipi Tipe A Palmerah Jakarta Barat</t>
  </si>
  <si>
    <t>3.2 x 3.2 meter; Termasuk listrik; AC; Kasur; Meja; Lemari Baju; Ventilasi; Kursi; Bantal; Guling; K. Mandi Dalam; Kloset Duduk; Ember mandi; WiFi; R. Cuci; Kulkas; R. Tamu; Mesin Cuci; Dapur; Dispenser; TV; K. Mandi Luar; Parkir Motor; Parkir Sepeda</t>
  </si>
  <si>
    <t>Kost Singgahsini Coteca BINUS Anggrek Tipe A Rawa Belong Jakarta Barat</t>
  </si>
  <si>
    <t>2.5 x 3.5 meter; Tidak termasuk listrik; AC; Kasur; Meja; Lemari Baju; Kursi; Bantal; Jendela; K. Mandi Dalam; Kloset Duduk; Wastafel; Shower; WiFi; R. Cuci; Kulkas; R. Tamu; R. Jemur; Dapur; K. Mandi Luar; Parkir Mobil; Parkir Motor; Parkir Motor &amp; Sepeda</t>
  </si>
  <si>
    <t>Rp1.877.500</t>
  </si>
  <si>
    <t>Diskon 98rb</t>
  </si>
  <si>
    <t>Kost Singgahsini Gardena Utama 5 Tipe B Kalideres Jakarta Barat</t>
  </si>
  <si>
    <t>3.7 x 2.6 meter</t>
  </si>
  <si>
    <t>3.7 x 2.6 meter; Tidak termasuk listrik; AC; Kasur; Meja; Lemari Baju; Kursi; Jendela; Bantal; K. Mandi Dalam; Kloset Duduk; Shower; WiFi; R. Cuci; Kulkas; R. Tamu; Penjaga Kos; R. Jemur; Dapur; Dispenser; CCTV; K. Mandi Luar; Parkir Mobil; Parkir Motor &amp; Sepeda</t>
  </si>
  <si>
    <t>Kost Singgahsini Coteca BINUS Anggrek Tipe B Rawa Belong Jakarta Barat</t>
  </si>
  <si>
    <t>2.5 x 3 meter; Termasuk listrik; AC; Kasur; Meja; Lemari Baju; Kursi; Bantal; Kloset Duduk; K. Mandi Luar; Wastafel; Shower; WiFi; R. Cuci; Kulkas; R. Tamu; R. Jemur; Dapur; Parkir Mobil; Parkir Motor; Parkir Motor &amp; Sepeda</t>
  </si>
  <si>
    <t>Rp1.592.500</t>
  </si>
  <si>
    <t>Diskon 83rb</t>
  </si>
  <si>
    <t>Kost Singgahsini Gardena Utama 5 Tipe A Kalideres Jakarta Barat</t>
  </si>
  <si>
    <t>4 x 3.5 meter; Tidak termasuk listrik; AC; Kasur; Meja; Lemari Baju; Ventilasi; Kursi; Jendela; Bantal; Cermin; K. Mandi Dalam; Kloset Duduk; Shower; WiFi; R. Cuci; Kulkas; R. Tamu; Penjaga Kos; R. Jemur; Dapur; Dispenser; CCTV; K. Mandi Luar; Parkir Mobil; Parkir Motor &amp; Sepeda</t>
  </si>
  <si>
    <t>Kost Singgahsini Griya Sehati Tipe C Tanjung Duren Jakarta Barat</t>
  </si>
  <si>
    <t>3 x 3 meter; Tidak termasuk listrik; AC; Kasur; Meja; Lemari Baju; Ventilasi; Kursi; Bantal; Cermin; K. Mandi Dalam; Kloset Duduk; K. Mandi Luar; Wastafel; Shower; Air panas; WiFi; R. Cuci; Kulkas; R. Tamu; R. Makan; R. Jemur; R. Santai; Dapur; TV; Parkir Mobil; Parkir Motor; Parkir Sepeda; Parkir Motor &amp; Sepeda</t>
  </si>
  <si>
    <t>Rp2.705.000</t>
  </si>
  <si>
    <t>Diskon 255rb</t>
  </si>
  <si>
    <t>Kost Indah M2 Type Deluxe Palmerah Jakarta Barat</t>
  </si>
  <si>
    <t>4 x 2.5 meter</t>
  </si>
  <si>
    <t>4 x 2.5 meter; Tidak termasuk listrik; AC; Kasur; Dispenser; Meja; Kulkas; Lemari Baju; Ventilasi; Bantal; Cermin; Dapur Pribadi; K. Mandi Dalam; Kloset Duduk; K. Mandi Luar; Wastafel; Shower; Air panas; WiFi; R. Cuci; R. Tamu; Mesin Cuci; R. Jemur; R. Makan; R. Santai; Dapur; Parkir Motor</t>
  </si>
  <si>
    <t>Kost Muwardi IIIA Residence Grogol Petamburan Jakarta Barat</t>
  </si>
  <si>
    <t>2.7 x 3 meter; Tidak termasuk listrik; AC; Kasur; Meja; TV; Lemari Baju; Ventilasi; Bantal; Cermin; Guling; Jendela; K. Mandi Dalam; Kloset Duduk; Wastafel; Shower; Air panas; WiFi; Kulkas; R. Cuci; Penjaga Kos; R. Tamu; R. Jemur; R. Makan; Dapur; Dispenser; CCTV; Parkir Motor; Parkir Sepeda</t>
  </si>
  <si>
    <t>Diskon 93rb</t>
  </si>
  <si>
    <t>Kost Cozy Coliving Averio Kebon Jeruk Jakarta Barat</t>
  </si>
  <si>
    <t>3 x 4 meter; Tidak termasuk listrik; AC; Kasur; Meja; TV; Lemari Baju; Kulkas; Kursi; Bantal; Cermin; K. Mandi Dalam; Kloset Duduk; Wastafel; Air panas; WiFi; R. Tamu; Mesin Cuci; Penjaga Kos; Dapur; Taman; Balcon; CCTV; Rice Cooker; Parkir Mobil; Parkir Motor; Parkir Sepeda</t>
  </si>
  <si>
    <t>Rp2.750.000</t>
  </si>
  <si>
    <t>Kost Yume Home Executive Kali Deres Jakarta Barat</t>
  </si>
  <si>
    <t>3 x 4 meter; Tidak termasuk listrik; AC; Kasur; TV; Lemari Baju; Ventilasi; Bantal; Guling; Jendela; Kursi; K. Mandi Dalam; Kloset Duduk; Shower; Air panas; WiFi; Kulkas; R. Cuci; Mesin Cuci; Penjaga Kos; R. Tamu; R. Jemur; R. Makan; R. Santai; Dapur; Parkir Motor; Parkir Sepeda; Parkir Motor &amp; Sepeda</t>
  </si>
  <si>
    <t>Kost Apik Seroja 1 Tipe B Cengkareng Jakarta Barat</t>
  </si>
  <si>
    <t>2 x 2 meter; Termasuk listrik; Kasur; Lemari Baju; Ventilasi; Bantal; Kloset Jongkok; K. Mandi Luar; Ember mandi; WiFi; Parkir Mobil; Parkir Motor; Parkir Sepeda; Parkir Motor &amp; Sepeda</t>
  </si>
  <si>
    <t>Rp738.000</t>
  </si>
  <si>
    <t>Diskon 62rb</t>
  </si>
  <si>
    <t>Kost Singgahsini Idola Tipe D Kebon Jeruk Jakarta Barat</t>
  </si>
  <si>
    <t>1.8 x 4.7 meter</t>
  </si>
  <si>
    <t>1.8 x 4.7 meter; Tidak termasuk listrik; AC; Kasur; Meja; TV; Lemari Baju; Kursi; Bantal; Jendela; Kloset Duduk; K. Mandi Luar; Shower; Air panas; WiFi; Kulkas; R. Tamu; Mesin Cuci; Penjaga Kos; R. Jemur; Dapur; Dispenser; CCTV; Parkir Mobil; Parkir Motor; Parkir Sepeda</t>
  </si>
  <si>
    <t>Rp1.432.600</t>
  </si>
  <si>
    <t>Diskon 122rb</t>
  </si>
  <si>
    <t>Kost Singgahsini Mangga Besar 8 Strawberry Tipe D Tamansari Jakarta Barat</t>
  </si>
  <si>
    <t>Kost Vimala VVIP Cengkareng Jakarta Barat</t>
  </si>
  <si>
    <t>3 x 4.5 meter; Tidak termasuk listrik; AC; Kasur; Meja; TV; Lemari Baju; Ventilasi; Bantal; Cermin; Jendela; Kursi; K. Mandi Dalam; Kloset Duduk; Wastafel; Shower; Air panas; WiFi; Kulkas; Penjaga Kos; Dapur; Dispenser; CCTV; Pengurus Kos; Rice Cooker; Rooftop; Parkir Motor; Parkir Sepeda; Parkir Motor &amp; Sepeda</t>
  </si>
  <si>
    <t>Kost Singgahsini Mandiri Tipe B Tanjung Duren Jakarta Barat</t>
  </si>
  <si>
    <t>Rp1.885.000</t>
  </si>
  <si>
    <t>3 x 2 meter; Tidak termasuk listrik; AC; Kasur; Meja; TV; Lemari Baju; Kursi; Bantal; Cermin; Jendela; K. Mandi Dalam; Kloset Duduk; Shower; Air panas; WiFi; R. Cuci; Kulkas; R. Tamu; Mesin Cuci; Penjaga Kos; Dapur; Dispenser; K. Mandi Luar; Rice Cooker; Parkir Mobil; Parkir Motor; Parkir Sepeda; Parkir Motor &amp; Sepeda</t>
  </si>
  <si>
    <t>Rp1.792.000</t>
  </si>
  <si>
    <t>Kost Singgahsini Permata 15 Tipe D Grogol Petamburan Jakarta Barat</t>
  </si>
  <si>
    <t>3 x 3 meter; Tidak termasuk listrik; Kasur; Meja; Lemari Baju; Ventilasi; Kursi; Jendela; Kipas Angin; Bantal; Guling; Kloset Duduk; Kloset Jongkok; K. Mandi Luar; Wastafel; Ember mandi; Shower; WiFi; R. Tamu; Penjaga Kos; R. Jemur; CCTV; Parkir Motor &amp; Sepeda</t>
  </si>
  <si>
    <t>Rp945.000</t>
  </si>
  <si>
    <t>Kost JJ Neo Solitaire VIP Grogol Petamburan Jakarta Barat</t>
  </si>
  <si>
    <t>3.5 x 4 meter; Tidak termasuk listrik; AC; Kasur; Meja; TV; Kulkas; Lemari Baju; Ventilasi; Bantal; Cermin; Cleaning service; K. Mandi Dalam; Kloset Duduk; Wastafel; Shower; Air panas; WiFi; Mesin Cuci; Penjaga Kos; R. Jemur; R. Makan; R. Santai; Dapur; CCTV; Jemuran; Balcon; Parkir Motor; Parkir Motor &amp; Sepeda</t>
  </si>
  <si>
    <t>Rp2.370.000</t>
  </si>
  <si>
    <t>Kost Ashera Citraland Tipe B Grogol Petamburan Jakarta Barat</t>
  </si>
  <si>
    <t>2.5 x 3 meter; Tidak termasuk listrik; AC; Kasur; Meja; Lemari Baju; Bantal; Guling; Wastafel; Cleaning service; Kursi; Kloset Duduk; Kloset Jongkok; K. Mandi Luar; Shower; WiFi; Kulkas; Penjaga Kos; Laundry; R. Tamu; R. Makan; R. Jemur; Dapur; Dispenser; CCTV; Parkir Mobil; Parkir Motor; Parkir Sepeda</t>
  </si>
  <si>
    <t>Kost Singgahsini Alexandria Keagungan Gajah Mada Tipe B Taman Sari Jakarta Barat</t>
  </si>
  <si>
    <t>7 x 6 meter</t>
  </si>
  <si>
    <t>Rp1.705.000</t>
  </si>
  <si>
    <t>7 x 6 meter; Tidak termasuk listrik; AC; Kasur; Meja; Lemari Baju; Bantal; Jendela; K. Mandi Dalam; Kloset Duduk; Shower; WiFi; R. Jemur; CCTV; Parkir Motor; Parkir Sepeda</t>
  </si>
  <si>
    <t>Rp1.621.000</t>
  </si>
  <si>
    <t>Kost Saphire House Tipe B Executive Kembangan Jakarta Barat</t>
  </si>
  <si>
    <t>4 x 4 meter; Tidak termasuk listrik; AC; Kasur; Meja; TV; Lemari Baju; Ventilasi; Kursi; Wastafel; Cleaning service; Bantal; K. Mandi Dalam; Kloset Duduk; Shower; Air panas; WiFi; R. Tamu; Penjaga Kos; R. Santai; Dispenser; R. Keluarga; Gazebo; Balcon; Kartu Akses; Parkir Mobil; Parkir Motor</t>
  </si>
  <si>
    <t>Kost Singgahsini Juju Daan Mogot Estate Tipe B Cengkareng Jakarta Barat</t>
  </si>
  <si>
    <t>2.8 x 2.8 meter</t>
  </si>
  <si>
    <t>2.8 x 2.8 meter; Tidak termasuk listrik; AC; Kasur; Meja; TV; Lemari Baju; Kursi; Bantal; Cermin; Guling; Jendela; K. Mandi Dalam; Kloset Duduk; Shower; Air panas; WiFi; Penjaga Kos; R. Jemur; Parkir Mobil; Parkir Motor &amp; Sepeda</t>
  </si>
  <si>
    <t>Kost Singgahsini Harmasi Tipe A Kembangan Jakarta Barat</t>
  </si>
  <si>
    <t>3 x 2 meter; Tidak termasuk listrik; AC; Kasur; Lemari Baju; Jendela; K. Mandi Dalam; Kloset Duduk; Shower; Bak mandi; WiFi; R. Jemur; Dapur; Parkir Motor &amp; Sepeda</t>
  </si>
  <si>
    <t>Rp1.545.000</t>
  </si>
  <si>
    <t>Kost Apik BINUS Anggrek 46 Tipe A Kebon Jeruk Jakarta Barat</t>
  </si>
  <si>
    <t>3 x 3 meter; Tidak termasuk listrik; Kasur; Meja; Lemari Baju; Ventilasi; Kursi; Kipas Angin; Bantal; Jendela; Kloset Jongkok; K. Mandi Luar; Ember mandi; WiFi; Penjaga Kos; R. Jemur; CCTV; Parkir Motor; Parkir Sepeda</t>
  </si>
  <si>
    <t>Rp927.500</t>
  </si>
  <si>
    <t>Diskon 48rb</t>
  </si>
  <si>
    <t>Kost Singgahsini Alfakoz Casagoya Tipe B Kebon Jeruk Jakarta Barat</t>
  </si>
  <si>
    <t>3.1 x 3.7 meter</t>
  </si>
  <si>
    <t>3.1 x 3.7 meter; Tidak termasuk listrik; AC; Kasur; Meja; Lemari Baju; Ventilasi; Kursi; Jendela; Bantal; Cermin; Guling; K. Mandi Dalam; Kloset Duduk; Wastafel; Shower; WiFi; Penjaga Kos; R. Jemur; Dapur; Rooftop; Parkir Motor &amp; Sepeda</t>
  </si>
  <si>
    <t>Kost Cozy Coliving Grogol Muwardi Deluxe Plus Grogol Petamburan Jakarta Barat</t>
  </si>
  <si>
    <t>3 x 4 meter; Tidak termasuk listrik; AC; Kasur; Dispenser; Meja; Meja Rias; TV; Lemari Baju; Kulkas; Bantal; Cermin; K. Mandi Dalam; Kloset Duduk; Wastafel; Shower; Air panas; WiFi; Laundry; Penjaga Kos; R. Tamu; R. Makan; R. Santai; Dapur; CCTV; Parkir Motor</t>
  </si>
  <si>
    <t>Rp3.000.000</t>
  </si>
  <si>
    <t>Kost Singgahsini 123 Tipe C Cengkareng Jakarta Barat</t>
  </si>
  <si>
    <t>3 x 2.8 meter; Tidak termasuk listrik; AC; Kasur; Lemari Baju; Bantal; Cermin; Guling; Jendela; K. Mandi Dalam; Kloset Duduk; Shower; Air panas; WiFi; Penjaga Kos; K. Mandi Luar; CCTV; Parkir Motor &amp; Sepeda</t>
  </si>
  <si>
    <t>Kost Golden Leaf Residence Tomang Palmerah Jakarta Barat</t>
  </si>
  <si>
    <t>3 x 5 meter; Tidak termasuk listrik; AC; Kasur; Meja; TV; Lemari Baju; Ventilasi; Cleaning service; Bantal; Cermin; Jendela; K. Mandi Dalam; Kloset Duduk; Wastafel; Shower; Air panas; WiFi; Kulkas; Penjaga Kos; Laundry; R. Makan; R. Jemur; R. Santai; Dapur; Dispenser; CCTV; Parkir Mobil; Parkir Motor; Parkir Sepeda</t>
  </si>
  <si>
    <t>Rp3.200.000</t>
  </si>
  <si>
    <t>Kost Myah Make Yourself At Home Tipe B Taman Sari Jakarta Barat</t>
  </si>
  <si>
    <t>3.5 x 4 meter; Tidak termasuk listrik; AC; Kasur; TV; Meja Rias; Lemari Baju; Wastafel; TV Kabel; K. Mandi Dalam; Kloset Duduk; Shower; Air panas; WiFi; Penjaga Kos; Laundry; Kartu Akses; Parkir Mobil; Parkir Motor; Parkir Sepeda</t>
  </si>
  <si>
    <t>Kost Singgahsini Gelong Residence 25 Tipe B Grogol Petamburan Jakarta Barat</t>
  </si>
  <si>
    <t>4.5 x 3 meter; Tidak termasuk listrik; AC; Kasur; Meja; TV; Lemari Baju; Kursi; Kloset Duduk; K. Mandi Luar; Wastafel; Shower; Air panas; WiFi; R. Cuci; Kulkas; R. Tamu; R. Jemur; R. Santai; R. Keluarga; Parkir Mobil; Parkir Motor</t>
  </si>
  <si>
    <t>Kost Cozy Coliving Mangga Besar Tipe Deluxe Taman Sari Jakarta Barat</t>
  </si>
  <si>
    <t>4 x 4 meter; Tidak termasuk listrik; AC; Kasur; Meja; Dispenser; TV; Meja Rias; Lemari Baju; Ventilasi; Kursi; Wastafel; K. Mandi Dalam; Kloset Duduk; Shower; Air panas; WiFi; R. Cuci; Kulkas; R. Tamu; Mesin Cuci; Penjaga Kos; Laundry; R. Makan; R. Jemur; R. Santai; Parkir Mobil; Parkir Motor; Parkir Sepeda</t>
  </si>
  <si>
    <t>Kost Grogol Abdi Tanjung Duren Residence Tipe B Grogol petamburan Jakarta Barat</t>
  </si>
  <si>
    <t>2 x 3 meter; Tidak termasuk listrik; AC; Kasur; Lemari Baju; Ventilasi; Bantal; Cermin; Guling; Jendela; Kloset Duduk; K. Mandi Luar; Shower; WiFi; Kulkas; R. Cuci; Laundry; Penjaga Kos; R. Jemur; R. Makan; Dapur; Dispenser; Balcon; Parkir Motor</t>
  </si>
  <si>
    <t>Rp1.490.000</t>
  </si>
  <si>
    <t>Diskon 74rb</t>
  </si>
  <si>
    <t>Kost Apik Nuansa 2 Tanjung Duren Tipe A Grogol Petamburan Jakarta Barat</t>
  </si>
  <si>
    <t>1.8 x 2.7 meter</t>
  </si>
  <si>
    <t>1.8 x 2.7 meter; Tidak termasuk listrik; Kasur; Meja; Lemari Baju; Kursi; Bantal; Guling; Jendela; Kloset Duduk; Kloset Jongkok; K. Mandi Luar; Ember mandi; WiFi; R. Cuci; R. Tamu; Parkir Motor; Parkir Sepeda; Parkir Motor &amp; Sepeda</t>
  </si>
  <si>
    <t>Rp991.000</t>
  </si>
  <si>
    <t>Kost Singgahsini Asia Baru 40A Tipe A Kebon Jeruk Jakarta Barat</t>
  </si>
  <si>
    <t>3 x 3.3 meter; Termasuk listrik; AC; Kasur; Meja; Lemari Baju; Ventilasi; Kursi; Bantal; K. Mandi Dalam; Kloset Duduk; Ember mandi; WiFi; R. Tamu; R. Jemur; Dapur; CCTV; Parkir Mobil; Parkir Motor; Parkir Sepeda; Parkir Motor &amp; Sepeda</t>
  </si>
  <si>
    <t>Rp1.622.500</t>
  </si>
  <si>
    <t>Diskon 178rb</t>
  </si>
  <si>
    <t>Kost Singgahsini Atelier Tipe C Grogol Petamburan Jakarta Barat</t>
  </si>
  <si>
    <t>3 x 2.2 meter; Tidak termasuk listrik; AC; Kasur; Meja; Lemari Baju; Bantal; Jendela; K. Mandi Dalam; Kloset Duduk; Shower; WiFi; Kulkas; Mesin Cuci; Penjaga Kos; Laundry; R. Jemur; Dapur; CCTV; Rooftop; Parkir Motor &amp; Sepeda</t>
  </si>
  <si>
    <t>Kost Living Plus Tawakal Tipe B Grogol petamburan Jakarta Barat</t>
  </si>
  <si>
    <t>4 x 3 meter; Tidak termasuk listrik; AC; Kasur; Meja; Lemari Baju; Bantal; Guling; Jendela; Kloset Duduk; Shower; Air panas; WiFi; Jemuran; Rooftop; Parkir Motor &amp; Sepeda</t>
  </si>
  <si>
    <t>Kost Singgahsini Atelier Tipe A Grogol Petamburan Jakarta Barat</t>
  </si>
  <si>
    <t>Kost Singgahsini 99 Residence Tipe B Palmerah Jakarta Barat</t>
  </si>
  <si>
    <t>4 x 2.8 meter</t>
  </si>
  <si>
    <t>Rp2.425.000</t>
  </si>
  <si>
    <t>4 x 2.8 meter; Tidak termasuk listrik; AC; Kasur; Meja; Lemari Baju; Kursi; Bantal; K. Mandi Dalam; Kloset Duduk; Shower; Air panas; WiFi; R. Cuci; Kulkas; R. Tamu; Penjaga Kos; R. Jemur; Dapur; CCTV; Rooftop; Balcon; Parkir Mobil; Parkir Motor &amp; Sepeda</t>
  </si>
  <si>
    <t>Rp2.233.000</t>
  </si>
  <si>
    <t>Diskon 192rb</t>
  </si>
  <si>
    <t>Kost Exclusive 96 Joglo Residence Kembangan Jakarta Barat</t>
  </si>
  <si>
    <t>3 x 6 meter; Tidak termasuk listrik; AC; Kasur; Meja; Lemari Baju; Bantal; Cermin; Dapur Pribadi; Wastafel; K. Mandi Dalam; Kloset Duduk; Shower; WiFi; Kulkas; Penjaga Kos; R. Tamu; Dapur; Dispenser; Balcon; CCTV; Kartu Akses; Pengurus Kos; Parkir Mobil; Parkir Motor; Parkir Sepeda</t>
  </si>
  <si>
    <t>Rp3.100.000</t>
  </si>
  <si>
    <t>Kost Singgahsini Asia Baru 40A Tipe C Kebon Jeruk Jakarta Barat</t>
  </si>
  <si>
    <t>3.5 x 3.8 meter</t>
  </si>
  <si>
    <t>3.5 x 3.8 meter; Termasuk listrik; AC; Kasur; Meja; Lemari Baju; Ventilasi; Kursi; Bantal; Guling; Jendela; K. Mandi Dalam; Kloset Duduk; Ember mandi; WiFi; R. Tamu; R. Jemur; Dapur; CCTV; Parkir Mobil; Parkir Motor; Parkir Sepeda; Parkir Motor &amp; Sepeda</t>
  </si>
  <si>
    <t>Rp1.510.000</t>
  </si>
  <si>
    <t>Diskon 165rb</t>
  </si>
  <si>
    <t>Kost Apik Aksata Residence Binus Anggrek Tipe D Kebon Jeruk Jakarta Barat</t>
  </si>
  <si>
    <t>3 x 3 meter; Tidak termasuk listrik; Kasur; Meja; Lemari Baju; Bantal; Jendela; K. Mandi Dalam; Ember mandi; Shower; WiFi; Penjaga Kos; R. Jemur; CCTV; Parkir Motor &amp; Sepeda</t>
  </si>
  <si>
    <t>Rp1.279.000</t>
  </si>
  <si>
    <t>Diskon 66rb</t>
  </si>
  <si>
    <t>Kost Singgahsini Keagungan 20A Tipe B Taman Sari Jakarta Barat</t>
  </si>
  <si>
    <t>2.8 x 2.4 meter</t>
  </si>
  <si>
    <t>2.8 x 2.4 meter; Tidak termasuk listrik; AC; Kasur; Meja; Lemari Baju; Kursi; Bantal; Cermin; K. Mandi Dalam; Kloset Jongkok; Shower; WiFi; Kulkas; Penjaga Kos; Laundry; R. Jemur; Dapur; K. Mandi Luar; CCTV; Jemuran; Parkir Motor; Parkir Sepeda; Parkir Motor &amp; Sepeda</t>
  </si>
  <si>
    <t>Rp1.773.000</t>
  </si>
  <si>
    <t>Diskon 152rb</t>
  </si>
  <si>
    <t>Kost Singgahsini Jelamm Tipe A Grogol Petamburan Jakarta Barat</t>
  </si>
  <si>
    <t>4.8 x 2.8 meter</t>
  </si>
  <si>
    <t>Rp2.075.000</t>
  </si>
  <si>
    <t>4.8 x 2.8 meter; Tidak termasuk listrik; AC; Kasur; Lemari Baju; Bantal; Cermin; Guling; K. Mandi Dalam; Kloset Duduk; Wastafel; Shower; Air panas; WiFi; Dispenser; CCTV; Parkir Motor &amp; Sepeda</t>
  </si>
  <si>
    <t>Rp1.972.500</t>
  </si>
  <si>
    <t>Kost Nyaman Kemanggisan President Suite Palmerah Jakarta Barat</t>
  </si>
  <si>
    <t>3 x 4 meter; Tidak termasuk listrik; AC; Kasur; Meja; Meja Rias; TV; Lemari Baju; Ventilasi; Bantal; Cermin; Cleaning service; K. Mandi Dalam; Kloset Duduk; Wastafel; Shower; Air panas; WiFi; Kulkas; R. Cuci; Laundry; Mesin Cuci; Penjaga Kos; R. Jemur; R. Santai; Dapur; Dispenser; Parkir Mobil; Parkir Motor; Parkir Sepeda; Parkir Motor &amp; Sepeda</t>
  </si>
  <si>
    <t>Kost Singgahsini Bahagia 7 Tipe D Grogol Petamburan Jakarta Barat</t>
  </si>
  <si>
    <t>3 x 3 meter; Tidak termasuk listrik; AC; Kasur; Meja; Lemari Baju; Kursi; Bantal; Cermin; Guling; Jendela; K. Mandi Dalam; Kloset Duduk; Shower; WiFi; Kulkas; R. Tamu; Penjaga Kos; R. Santai; Dapur; Dispenser; CCTV; Rooftop; Parkir Mobil; Parkir Motor; Parkir Sepeda; Parkir Motor &amp; Sepeda</t>
  </si>
  <si>
    <t>Kost G2 Grogol Petamburan Jakarta Barat</t>
  </si>
  <si>
    <t>3 x 3 meter; Tidak termasuk listrik; AC; Kasur; Meja; TV; Lemari Baju; Ventilasi; Bantal; Cermin; Cleaning service; Jendela; K. Mandi Dalam; Kloset Duduk; Shower; WiFi; Kulkas; Penjaga Kos; R. Tamu; R. Jemur; R. Makan; R. Santai; Dapur; Dispenser; Balcon; Parkir Mobil; Parkir Motor</t>
  </si>
  <si>
    <t>Kost Singgahsini Haji Sholeh 21 Tipe A Kebon Jeruk Jakarta Barat</t>
  </si>
  <si>
    <t>5 x 8 meter</t>
  </si>
  <si>
    <t>5 x 8 meter; Tidak termasuk listrik; AC; Kasur; Meja; Lemari Baju; Kursi; Bantal; Jendela; K. Mandi Dalam; Kloset Duduk; Wastafel; Shower; WiFi; R. Jemur; CCTV; Parkir Mobil; Parkir Motor; Parkir Sepeda; Parkir Motor &amp; Sepeda</t>
  </si>
  <si>
    <t>Kost Apik Duri Kosambi 78 Tipe B Cengkareng Jakarta Barat</t>
  </si>
  <si>
    <t>3.6 x 3 meter; Tidak termasuk listrik; AC; Kasur; Meja; Lemari Baju; Bantal; Guling; Jendela; Kloset Duduk; K. Mandi Luar; Wastafel; Shower; WiFi; R. Tamu; Penjaga Kos; Dapur; Dispenser; CCTV; Jemuran; Parkir Mobil; Parkir Motor; Parkir Sepeda</t>
  </si>
  <si>
    <t>Diskon 96rb</t>
  </si>
  <si>
    <t>Kost Binus Kebon Jeruk Jakarta Barat</t>
  </si>
  <si>
    <t>3 x 4 meter; Tidak termasuk listrik; AC; Kasur; Meja; Dispenser; TV; Meja Rias; Kulkas; Lemari Baju; Ventilasi; Bantal; K. Mandi Dalam; Kloset Duduk; Shower; Air panas; WiFi; R. Cuci; Penjaga Kos; Laundry; Mesin Cuci; R. Jemur; Mushola; Dapur; Parkir Mobil; Parkir Sepeda; Parkir Motor; Parkir Motor &amp; Sepeda</t>
  </si>
  <si>
    <t>Kost Cozy Coliving Wijaya Kusuma Jelambar Deluxe Grogol Petamburan Jakarta Barat</t>
  </si>
  <si>
    <t>3 x 4 meter; Tidak termasuk listrik; Kasur; Meja; TV; Lemari Baju; Kursi; Bantal; K. Mandi Dalam; Wastafel; Air panas; R. Jemur; CCTV</t>
  </si>
  <si>
    <t>Kost Apik Vender Barus Tipe A Kembangan Jakarta Barat</t>
  </si>
  <si>
    <t>3.5 x 3 meter; Tidak termasuk listrik; Kasur; Lemari Baju; Ventilasi; Bantal; Guling; Jendela; K. Mandi Dalam; Kloset Jongkok; WiFi; R. Tamu; Parkir Motor &amp; Sepeda</t>
  </si>
  <si>
    <t>Kost Singgahsini Apel 166 Tipe A Tanjung Duren Grogol Jakarta Barat</t>
  </si>
  <si>
    <t>3 x 3.3 meter; Termasuk listrik; AC; Kasur; Meja; Lemari Baju; Kursi; K. Mandi Dalam; Kloset Duduk; Wastafel; Shower; Air panas; WiFi; Kulkas; R. Tamu; Penjaga Kos; Laundry; R. Jemur; Taman; Parkir Mobil; Parkir Motor; Parkir Sepeda; Parkir Motor &amp; Sepeda</t>
  </si>
  <si>
    <t>Kost Singgahsini UNTAR S Parman Tipe B Tomang Jakarta Barat</t>
  </si>
  <si>
    <t>4 x 3 meter; Tidak termasuk listrik; AC; Kasur; Meja; Lemari Baju; Kursi; Bantal; Guling; Jendela; K. Mandi Dalam; Kloset Duduk; Wastafel; Shower; WiFi; Kulkas; R. Tamu; Dapur; Dispenser; TV; Locker; K. Mandi Luar; Parkir Mobil; Parkir Motor; Parkir Sepeda</t>
  </si>
  <si>
    <t>Diskon 240rb</t>
  </si>
  <si>
    <t>Kost Yasin Tipe A Kebon Jeruk Jakarta Barat</t>
  </si>
  <si>
    <t>3 x 4 meter; Termasuk listrik; Kasur; Lemari Baju; Bantal; Guling; Jendela; Kipas Angin; K. Mandi Dalam; Kloset Jongkok; K. Mandi Luar; Ember mandi; Bak mandi; WiFi; R. Cuci; R. Jemur; Balcon; Jemuran; Jual Makanan; Parkir Motor &amp; Sepeda</t>
  </si>
  <si>
    <t>Kost Trust Living Tipe A Grogol Petamburan Jakarta Barat</t>
  </si>
  <si>
    <t>3 x 3 meter; Tidak termasuk listrik; AC; Kasur; Meja; TV; Lemari Baju; Ventilasi; Cermin; Jendela; Wastafel; K. Mandi Dalam; Kloset Duduk; Shower; Air panas; WiFi; Kulkas; Laundry; Penjaga Kos; Dapur; Dispenser; CCTV; Jemuran; Kartu Akses; Pengurus Kos; Parkir Motor; Parkir Sepeda; Parkir Motor &amp; Sepeda</t>
  </si>
  <si>
    <t>Kost Singgahsini Maranzi House Tipe C Kebon Jeruk Jakarta Barat</t>
  </si>
  <si>
    <t>5 x 4 meter; Tidak termasuk listrik; AC; Kasur; Meja; TV; Lemari Baju; Kursi; Cleaning service; K. Mandi Dalam; Kloset Duduk; Wastafel; Shower; WiFi; Kulkas; R. Tamu; Penjaga Kos; Dapur; Dispenser; Parkir Mobil; Parkir Motor; Parkir Sepeda; Parkir Motor &amp; Sepeda</t>
  </si>
  <si>
    <t>Rp3.085.000</t>
  </si>
  <si>
    <t>Kost Singgahsini W Residence Tipe B Taman Sari Jakarta Barat</t>
  </si>
  <si>
    <t>4.5 x 2.3 meter</t>
  </si>
  <si>
    <t>4.5 x 2.3 meter; Termasuk listrik; AC; Kasur; Meja; TV; Lemari Baju; Kursi; Bantal; K. Mandi Dalam; Kloset Duduk; Wastafel; Shower; Air panas; WiFi; Kulkas; R. Tamu; Dapur; CCTV; Parkir Mobil; Parkir Motor; Parkir Sepeda</t>
  </si>
  <si>
    <t>Kost Singgahsini 99 Residence Tipe A Palmerah Jakarta Barat</t>
  </si>
  <si>
    <t>Rp2.825.000</t>
  </si>
  <si>
    <t>4 x 3.5 meter; Tidak termasuk listrik; AC; Kasur; Meja; Lemari Baju; Kursi; Jendela; Bantal; K. Mandi Dalam; Kloset Duduk; Wastafel; Shower; Air panas; WiFi; R. Cuci; Kulkas; R. Tamu; Penjaga Kos; R. Jemur; Dapur; CCTV; Rooftop; Balcon; Parkir Mobil; Parkir Motor &amp; Sepeda</t>
  </si>
  <si>
    <t>Rp2.685.000</t>
  </si>
  <si>
    <t>Diskon 140rb</t>
  </si>
  <si>
    <t>Kost Singgahsini Taman Apel IV Tipe A Grogol Petamburan Jakarta Barat</t>
  </si>
  <si>
    <t>2.1 x 3.9 meter</t>
  </si>
  <si>
    <t>2.1 x 3.9 meter; Tidak termasuk listrik; AC; Kasur; Meja; Lemari Baju; Kursi; Bantal; Jendela; K. Mandi Dalam; Kloset Duduk; Shower; Air panas; WiFi; Kulkas; Penjaga Kos; R. Jemur; Dapur; CCTV; Rooftop; Parkir Motor &amp; Sepeda</t>
  </si>
  <si>
    <t>Kost Singgahsini Harun Tipe C Kebon Jeruk Jakarta Barat</t>
  </si>
  <si>
    <t>Rp1.285.000</t>
  </si>
  <si>
    <t>3.5 x 2.5 meter; Tidak termasuk listrik; AC; Kasur; Meja; Lemari Baju; Ventilasi; Kursi; Bantal; Cermin; Guling; Jendela; Kloset Duduk; K. Mandi Luar; Ember mandi; Shower; WiFi; Kulkas; R. Jemur; Dapur; CCTV; Parkir Motor; Parkir Sepeda</t>
  </si>
  <si>
    <t>Rp1.184.200</t>
  </si>
  <si>
    <t>Diskon 101rb</t>
  </si>
  <si>
    <t>Kost Singgahsini Prestige Tipe E Tanjung Duren Jakarta Barat</t>
  </si>
  <si>
    <t>4 x 4 meter; Tidak termasuk listrik; AC; Kasur; Meja; TV; Lemari Baju; Kursi; Bantal; Guling; Jendela; K. Mandi Dalam; Kloset Duduk; Wastafel; Shower; Bak mandi; Air panas; WiFi; R. Cuci; Kulkas; R. Tamu; Penjaga Kos; Dapur; Dispenser; K. Mandi Luar; Parkir Mobil; Parkir Motor</t>
  </si>
  <si>
    <t>Diskon 216rb</t>
  </si>
  <si>
    <t>Kost Singgahsini 21 Tipe A Cengkareng Jakarta Barat</t>
  </si>
  <si>
    <t>4 x 4 meter; Tidak termasuk listrik; AC; Kasur; Meja; Lemari Baju; Ventilasi; Jendela; Kursi; Bantal; Cermin; K. Mandi Dalam; Kloset Duduk; Shower; Air panas; WiFi; Penjaga Kos; CCTV; Balcon; Parkir Mobil; Parkir Motor &amp; Sepeda</t>
  </si>
  <si>
    <t>Rp1.957.000</t>
  </si>
  <si>
    <t>Diskon 168rb</t>
  </si>
  <si>
    <t>Kost Ibu Pur Tipe A Kebon Jeruk Jakarta Barat</t>
  </si>
  <si>
    <t>3 x 2.5 meter; Termasuk listrik; Kasur; Dispenser; Meja; Lemari Baju; Ventilasi; Guling; Kipas Angin; Bantal; Jendela; K. Mandi Dalam; Kloset Jongkok; K. Mandi Luar; Ember mandi; Bak mandi; WiFi; R. Cuci; R. Tamu; Penjaga Kos; R. Jemur; R. Santai; Jemuran; Pengurus Kos; Parkir Motor</t>
  </si>
  <si>
    <t>Kost Cozy Coliving Tomang Palmerah Jakarta Barat</t>
  </si>
  <si>
    <t>3 x 4 meter; Tidak termasuk listrik; AC; Kasur; Meja; Dispenser; Lemari Baju; Kulkas; Kursi; Wastafel; Cleaning service; TV Kabel; K. Mandi Dalam; Kloset Duduk; Shower; Air panas; WiFi; R. Cuci; R. Tamu; Mesin Cuci; Penjaga Kos; Laundry; R. Makan; R. Jemur; Mushola; Parkir Sepeda; Parkir Motor</t>
  </si>
  <si>
    <t>Diskon 138rb</t>
  </si>
  <si>
    <t>Kost Paviliun Kemanggisan Tipe Executive Palmerah Jakarta Barat</t>
  </si>
  <si>
    <t>5 x 3 meter; Termasuk listrik; AC; Kasur; Meja; Meja Rias; TV; Lemari Baju; Ventilasi; Bantal; Cermin; Jendela; K. Mandi Dalam; Kloset Duduk; Wastafel; Shower; WiFi; Kulkas; R. Cuci; Laundry; Mesin Cuci; Penjaga Kos; R. Tamu; R. Jemur; R. Makan; R. Santai; Parkir Mobil; Parkir Motor; Parkir Sepeda</t>
  </si>
  <si>
    <t>Kost Singgahsini Kemanggisan Utama 8 Tipe B Palmerah Jakarta Barat</t>
  </si>
  <si>
    <t>3 x 7 meter; Tidak termasuk listrik; AC; Kasur; Meja; TV; Lemari Baju; Kulkas; Kursi; Dapur Pribadi; Jendela; K. Mandi Dalam; Kloset Duduk; Shower; Air panas; WiFi; Mesin Cuci; Penjaga Kos; Laundry; CCTV; Parkir Motor &amp; Sepeda</t>
  </si>
  <si>
    <t>Rp3.675.000</t>
  </si>
  <si>
    <t>Diskon 276rb</t>
  </si>
  <si>
    <t>Kost Dslipi Palmerah Jakarta Barat</t>
  </si>
  <si>
    <t>3 x 4 meter; Tidak termasuk listrik; AC; Kasur; Meja; TV; Lemari Baju; Cermin; Jendela; Kursi; K. Mandi Dalam; Kloset Duduk; Wastafel; Shower; Air panas; WiFi; Kulkas; R. Cuci; Laundry; Penjaga Kos; R. Tamu; R. Jemur; R. Makan; R. Santai; Dapur; Parkir Mobil; Parkir Motor; Parkir Sepeda</t>
  </si>
  <si>
    <t>Kost Singgahsini Maranzi House Tipe A Kebon Jeruk Jakarta Barat</t>
  </si>
  <si>
    <t>4 x 3 meter; Tidak termasuk listrik; AC; Kasur; Meja; Lemari Baju; Kursi; Cleaning service; K. Mandi Dalam; Kloset Duduk; Wastafel; Shower; WiFi; Kulkas; R. Tamu; Penjaga Kos; Dapur; Dispenser; Parkir Mobil; Parkir Motor; Parkir Sepeda; Parkir Motor &amp; Sepeda</t>
  </si>
  <si>
    <t>Rp2.475.000</t>
  </si>
  <si>
    <t>Kost Singgahsini 21 Tipe B Cengkareng Jakarta Barat</t>
  </si>
  <si>
    <t>3.2 x 2.4 meter</t>
  </si>
  <si>
    <t>3.2 x 2.4 meter; Tidak termasuk listrik; AC; Kasur; Meja; Lemari Baju; Jendela; Kursi; Bantal; Guling; K. Mandi Dalam; Kloset Duduk; Shower; Air panas; WiFi; Penjaga Kos; CCTV; Balcon; Parkir Mobil; Parkir Motor &amp; Sepeda</t>
  </si>
  <si>
    <t>Rp1.727.000</t>
  </si>
  <si>
    <t>Diskon 148rb</t>
  </si>
  <si>
    <t>Kost Griya AM Standart Kebon Jeruk Jakarta Barat</t>
  </si>
  <si>
    <t>3 x 4 meter; Tidak termasuk listrik; AC; Kasur; Meja; Lemari Baju; Ventilasi; Bantal; Guling; Jendela; Kursi; K. Mandi Dalam; Kloset Duduk; Shower; Air panas; WiFi; Kulkas; Penjaga Kos; R. Tamu; Mushola; R. Jemur; Dapur; Dispenser; CCTV; Jemuran; Parkir Mobil; Parkir Motor; Parkir Sepeda</t>
  </si>
  <si>
    <t>Kost Singgahsini Keagungan 20A Tipe C Taman Sari Jakarta Barat</t>
  </si>
  <si>
    <t>Rp1.359.000</t>
  </si>
  <si>
    <t>Diskon 116rb</t>
  </si>
  <si>
    <t>Kost Apik BINUS Anggrek Tipe B Palmerah Jakarta Barat</t>
  </si>
  <si>
    <t>3 x 2 meter; Termasuk listrik; Kasur; Meja; Lemari Baju; Ventilasi; Kursi; Bantal; Jendela; Kloset Jongkok; K. Mandi Luar; Ember mandi; Bak mandi; WiFi; R. Tamu; R. Jemur; Parkir Motor; Parkir Sepeda</t>
  </si>
  <si>
    <t>Rp1.070.000</t>
  </si>
  <si>
    <t>Diskon 55rb</t>
  </si>
  <si>
    <t>Kost Singgahsini My Pelopor Tipe B Kalideres Jakarta Barat</t>
  </si>
  <si>
    <t>4.3 x 2.3 meter</t>
  </si>
  <si>
    <t>4.3 x 2.3 meter; Tidak termasuk listrik; AC; Kasur; Lemari Baju; Bantal; Guling; Jendela; K. Mandi Dalam; Kloset Duduk; Shower; WiFi; R. Tamu; Penjaga Kos; R. Jemur; Dapur; Dispenser; Balcon; CCTV; Rooftop; Parkir Motor &amp; Sepeda</t>
  </si>
  <si>
    <t>Rp1.589.000</t>
  </si>
  <si>
    <t>Diskon 136rb</t>
  </si>
  <si>
    <t>Kost Singgahsini Kemanggisan Utama 8 Tipe A Palmerah Jakarta Barat</t>
  </si>
  <si>
    <t>6.4 x 5.1 meter</t>
  </si>
  <si>
    <t>6.4 x 5.1 meter; Tidak termasuk listrik; K. Mandi Dalam; Kloset Duduk; Shower; Air panas; WiFi; Mesin Cuci; Penjaga Kos; Laundry; CCTV</t>
  </si>
  <si>
    <t>Rp3.875.000</t>
  </si>
  <si>
    <t>Kost Citra Garden 2 Tipe A Kalideres Jakarta Barat</t>
  </si>
  <si>
    <t>2.8 x 3 meter; Tidak termasuk listrik; AC; Kasur; Meja; TV; Lemari Baju; K. Mandi Dalam; Kloset Duduk; Ember mandi; WiFi; Kulkas; Laundry; Dapur; Dispenser; K. Mandi Luar</t>
  </si>
  <si>
    <t>Kalideres</t>
  </si>
  <si>
    <t>Kost Singgahsini R &amp; R Tipe C Palmerah Jakarta Barat</t>
  </si>
  <si>
    <t>2.5 x 2.5 meter; Tidak termasuk listrik; AC; Kasur; Meja; Lemari Baju; Kulkas; Kursi; Bantal; Guling; Jendela; Kloset Jongkok; K. Mandi Luar; Shower; WiFi; R. Tamu; R. Jemur; Dapur; TV; CCTV; Jemuran; Parkir Motor; Parkir Sepeda</t>
  </si>
  <si>
    <t>Rp1.185.000</t>
  </si>
  <si>
    <t>Kost Singgahsini Oasis Kedoya Tipe B Kebon Jeruk Jakarta Barat</t>
  </si>
  <si>
    <t>3 x 3 meter; Tidak termasuk listrik; AC; Kasur; Meja; Lemari Baju; Kursi; Jendela; Bantal; Cermin; Kloset Duduk; K. Mandi Luar; Ember mandi; Shower; WiFi; Penjaga Kos; Dapur; Parkir Mobil; Parkir Motor &amp; Sepeda</t>
  </si>
  <si>
    <t>Kost Singgahsini Mandiri Tipe A Tanjung Duren Jakarta Barat</t>
  </si>
  <si>
    <t>Rp2.005.000</t>
  </si>
  <si>
    <t>3 x 2.5 meter; Tidak termasuk listrik; AC; Kasur; Meja; TV; Lemari Baju; Kursi; Bantal; Cermin; Jendela; K. Mandi Dalam; Kloset Duduk; Shower; Air panas; WiFi; R. Cuci; Kulkas; R. Tamu; Mesin Cuci; Penjaga Kos; Dapur; Dispenser; K. Mandi Luar; Rice Cooker; Parkir Mobil; Parkir Motor; Parkir Sepeda; Parkir Motor &amp; Sepeda</t>
  </si>
  <si>
    <t>Rp1.906.000</t>
  </si>
  <si>
    <t>Kost Singgahsini Muhajar Tipe B Kebon Jeruk Jakarta Barat</t>
  </si>
  <si>
    <t>3.5 x 2.5 meter; Tidak termasuk listrik; AC; Kasur; Meja; Lemari Baju; Kursi; Cleaning service; Bantal; K. Mandi Dalam; Kloset Duduk; Wastafel; Shower; Air panas; WiFi; Kulkas; Penjaga Kos; Dapur; Dispenser; Balcon; Parkir Mobil; Parkir Motor; Parkir Sepeda; Parkir Motor &amp; Sepeda</t>
  </si>
  <si>
    <t>Kost Pan Regist Jelambar Angke Tipe A Grogol Petamburan Jakarta Barat</t>
  </si>
  <si>
    <t>3 x 4 meter; Tidak termasuk listrik; AC; Kasur; Meja; Dispenser; TV; Meja Rias; Lemari Baju; Kulkas; Kursi; TV Kabel; K. Mandi Dalam; Kloset Duduk; Shower; Air panas; WiFi; Mesin Cuci; Laundry; Penjaga Kos; CCTV; Jemuran; Pengurus Kos; Parkir Mobil; Parkir Motor; Parkir Motor &amp; Sepeda</t>
  </si>
  <si>
    <t>Kost Apik Duri Kosambi 168 Tipe A Cengkareng Jakarta Barat</t>
  </si>
  <si>
    <t>3 x 2.7 meter; Tidak termasuk listrik; AC; Kasur; Meja; Lemari Baju; Kursi; Kloset Duduk; K. Mandi Luar; Ember mandi; WiFi; Penjaga Kos; R. Jemur; Dapur; Parkir Mobil; Parkir Motor &amp; Sepeda</t>
  </si>
  <si>
    <t>Rp1.129.000</t>
  </si>
  <si>
    <t>Kost Lavender Living Duri Kosambi Deluxe Room Cengkareng Jakarta Barat</t>
  </si>
  <si>
    <t>3 x 3 meter; Tidak termasuk listrik; AC; Kasur; Meja; Meja Rias; Lemari Baju; Bantal; Cermin; Guling; Jendela; Kursi; K. Mandi Dalam; Kloset Duduk; Ember mandi; Shower; WiFi; Kulkas; R. Cuci; Laundry; Mesin Cuci; Penjaga Kos; R. Tamu; R. Santai; Dapur; Dispenser; Parkir Motor; Parkir Sepeda; Parkir Motor &amp; Sepeda</t>
  </si>
  <si>
    <t>Kecamatan Cengkareng</t>
  </si>
  <si>
    <t>Kost Singgahsini 123 Tipe A Cengkareng Jakarta Barat</t>
  </si>
  <si>
    <t>2.7 x 4.5 meter; Tidak termasuk listrik; AC; Kasur; TV; Lemari Baju; Bantal; Cermin; Guling; Jendela; K. Mandi Dalam; Kloset Duduk; Shower; Air panas; WiFi; Penjaga Kos; K. Mandi Luar; CCTV; Parkir Motor &amp; Sepeda</t>
  </si>
  <si>
    <t>Kost Singgahsini Prestige Tipe H Tanjung Duren Jakarta Barat</t>
  </si>
  <si>
    <t>4 x 4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</t>
  </si>
  <si>
    <t>Kost Singgahsini Apel 166 Tipe B Tanjung Duren Grogol Jakarta Barat</t>
  </si>
  <si>
    <t>3 x 3.3 meter; Termasuk listrik; AC; Kasur; Meja; Lemari Baju; Kulkas; Kursi; K. Mandi Dalam; Kloset Duduk; Wastafel; Shower; Air panas; WiFi; R. Tamu; Penjaga Kos; Laundry; R. Jemur; Taman; Parkir Mobil; Parkir Motor; Parkir Sepeda; Parkir Motor &amp; Sepeda</t>
  </si>
  <si>
    <t>Kost Burgundy 2 VIP Palmerah Jakarta Barat</t>
  </si>
  <si>
    <t>3 x 3.5 meter; Tidak termasuk listrik; AC; Kasur; Meja; Dispenser; Meja Rias; TV; Lemari Baju; Kulkas; Ventilasi; Bantal; K. Mandi Dalam; Kloset Duduk; Wastafel; Ember mandi; Shower; Air panas; WiFi; R. Cuci; Laundry; Penjaga Kos; Mesin Cuci; R. Tamu; R. Jemur; R. Makan; R. Santai; Parkir Motor; Parkir Sepeda; Parkir Motor &amp; Sepeda</t>
  </si>
  <si>
    <t>Rp2.599.999</t>
  </si>
  <si>
    <t>Kost Tawakal Premier Home Tipe B Grogol Petamburan Jakarta Barat</t>
  </si>
  <si>
    <t>3 x 3 meter; Tidak termasuk listrik; AC; Kasur; Meja; TV; Lemari Baju; Bantal; Cermin; Jendela; Kursi; K. Mandi Dalam; Kloset Duduk; K. Mandi Luar; Shower; WiFi; Kulkas; Mesin Cuci; Penjaga Kos; Dapur; Balcon; CCTV; Jemuran; Pengurus Kos; Parkir Mobil; Parkir Motor; Parkir Sepeda</t>
  </si>
  <si>
    <t>Kost Singgahsini Discovery Home Tipe A Kebon Jeruk Jakarta Barat</t>
  </si>
  <si>
    <t>2.7 x 2.7 meter; Tidak termasuk listrik; AC; Kasur; Meja; Lemari Baju; Kursi; Bantal; Jendela; K. Mandi Dalam; Kloset Duduk; Shower; Air panas; WiFi; R. Cuci; Kulkas; R. Tamu; Mesin Cuci; Penjaga Kos; R. Makan; R. Jemur; Dapur; CCTV; Parkir Motor &amp; Sepeda</t>
  </si>
  <si>
    <t>Kost Valencia Jaya Tipe B Grogol Petamburan Jakarta Barat</t>
  </si>
  <si>
    <t>3 x 3 meter; Tidak termasuk listrik; AC; Kasur; Lemari Baju; Kloset Jongkok; K. Mandi Luar; Ember mandi; WiFi; R. Cuci; R. Jemur; Locker; Parkir Motor; Parkir Sepeda</t>
  </si>
  <si>
    <t>Kost Kavling DKI Residence Kembangan Jakarta Barat</t>
  </si>
  <si>
    <t>3 x 3 meter; Tidak termasuk listrik; AC; Kasur; Meja; TV; Lemari Baju; Ventilasi; Kursi; Wastafel; Bantal; Guling; K. Mandi Dalam; Kloset Duduk; Shower; Air panas; WiFi; Kulkas; Penjaga Kos; Dapur; Dispenser; Balcon; CCTV; Pengurus Kos; Kartu Akses; Parkir Motor</t>
  </si>
  <si>
    <t>Kost Unicorn Residence Suite Kembangan Jakarta Barat</t>
  </si>
  <si>
    <t>7 x 4 meter</t>
  </si>
  <si>
    <t>7 x 4 meter; Tidak termasuk listrik; AC; Kasur; Meja; Dispenser; TV; Lemari Baju; Kulkas; Ventilasi; Bantal; Cermin; K. Mandi Dalam; Kloset Duduk; Wastafel; Shower; Air panas; WiFi; R. Cuci; Penjaga Kos; Laundry; Mesin Cuci; R. Jemur; Dapur; Balcon; Parkir Mobil; Parkir Motor; Parkir Sepeda; Parkir Motor &amp; Sepeda</t>
  </si>
  <si>
    <t>Rp3.050.000</t>
  </si>
  <si>
    <t>Kost Tawakal Premier Home Tipe A Grogol Petamburan Jakarta Barat</t>
  </si>
  <si>
    <t>3 x 3 meter; Tidak termasuk listrik; AC; Kasur; Meja; TV; Lemari Baju; Bantal; Cermin; Jendela; Kursi; K. Mandi Dalam; Kloset Duduk; K. Mandi Luar; Shower; WiFi; Kulkas; Mesin Cuci; R. Tamu; Dapur; CCTV; Pengurus Kos; Parkir Motor; Parkir Sepeda</t>
  </si>
  <si>
    <t>Kost Singgahsini Trimur Tanjung Duren Tipe A Grogol Petamburan Jakarta Barat</t>
  </si>
  <si>
    <t>4 x 2 meter</t>
  </si>
  <si>
    <t>4 x 2 meter; Tidak termasuk listrik; AC; Kasur; Meja; Lemari Baju; Kursi; Bantal; Cermin; K. Mandi Dalam; Kloset Duduk; Shower; Air panas; WiFi; Kulkas; Penjaga Kos; Dapur; CCTV; Rooftop; Parkir Motor &amp; Sepeda</t>
  </si>
  <si>
    <t>Kost Singgahsini Manggis Raya 35 Tipe C Cengkareng Jakarta Barat</t>
  </si>
  <si>
    <t>3.9 x 2.9 meter</t>
  </si>
  <si>
    <t>3.9 x 2.9 meter; Tidak termasuk listrik; AC; Kasur; Lemari Baju; Bantal; K. Mandi Dalam; Kloset Duduk; Shower; WiFi; R. Tamu; Penjaga Kos; R. Makan; R. Jemur; Dapur; Jemuran; Parkir Motor &amp; Sepeda</t>
  </si>
  <si>
    <t>Rp1.402.500</t>
  </si>
  <si>
    <t>Diskon 73rb</t>
  </si>
  <si>
    <t>Kost Milenial Cengkareng Jakarta Barat</t>
  </si>
  <si>
    <t>Kost Singgahsini Haji Sholeh 21 Tipe B Kebon Jeruk Jakarta Barat</t>
  </si>
  <si>
    <t>6 x 6 meter</t>
  </si>
  <si>
    <t>6 x 6 meter; Tidak termasuk listrik; AC; Kasur; Meja; Lemari Baju; Kursi; Bantal; Jendela; K. Mandi Dalam; Kloset Duduk; Wastafel; Shower; WiFi; R. Jemur; CCTV; Parkir Mobil; Parkir Motor; Parkir Sepeda; Parkir Motor &amp; Sepeda</t>
  </si>
  <si>
    <t>Kost Valencia Jaya 9 Grogol Petamburan Jakarta Barat</t>
  </si>
  <si>
    <t>Kost Singgahsini Harmasi Tipe B Kembangan Jakarta Barat</t>
  </si>
  <si>
    <t>3 x 2 meter; Tidak termasuk listrik; AC; Kasur; Lemari Baju; Jendela; K. Mandi Dalam; Kloset Jongkok; Shower; Bak mandi; WiFi; R. Jemur; Dapur; Parkir Motor &amp; Sepeda</t>
  </si>
  <si>
    <t>Kost Wimala Suites Co Living Tipe Deluxe Plus Taman Sari Jakarta Barat</t>
  </si>
  <si>
    <t>Rp3.600.000</t>
  </si>
  <si>
    <t>Kost Binus Abdi Syahdan Residence Tipe C Palmerah Jakarta Barat</t>
  </si>
  <si>
    <t>3 x 2 meter; Tidak termasuk listrik; AC; Kasur; Meja; Lemari Baju; Bantal; Cermin; Guling; Kursi; Cleaning service; K. Mandi Dalam; Kloset Duduk; Wastafel; Shower; Air panas; WiFi; Kulkas; R. Cuci; Penjaga Kos; R. Tamu; Dapur; Dispenser; CCTV; Jemuran; Locker; Parkir Motor</t>
  </si>
  <si>
    <t>Kost Singgahsini Mangga Besar 8 Strawberry Tipe B Tamansari Jakarta Barat</t>
  </si>
  <si>
    <t>4 x 2 meter; Tidak termasuk listrik; AC; Kasur; Meja; Lemari Baju; Ventilasi; Kursi; Bantal; Cermin; Jendela; K. Mandi Dalam; Kloset Duduk; Shower; Air panas; WiFi; Penjaga Kos; R. Jemur; CCTV; Parkir Motor &amp; Sepeda</t>
  </si>
  <si>
    <t>Kost Singgahsini Puri Indah A618 Tipe B Kembangan Jakarta Barat</t>
  </si>
  <si>
    <t>4.2 x 3.7 meter</t>
  </si>
  <si>
    <t>Rp2.675.000</t>
  </si>
  <si>
    <t>4.2 x 3.7 meter; Tidak termasuk listrik; AC; Kasur; Meja; TV; Lemari Baju; Kursi; Bantal; Jendela; K. Mandi Dalam; Kloset Duduk; Wastafel; Shower; Air panas; WiFi; Kulkas; R. Tamu; Penjaga Kos; Dapur; Dispenser; Parkir Mobil; Parkir Motor &amp; Sepeda</t>
  </si>
  <si>
    <t>Rp2.542.500</t>
  </si>
  <si>
    <t>Diskon 133rb</t>
  </si>
  <si>
    <t>Kost Singgahsini Atelier Tipe B Grogol Petamburan Jakarta Barat</t>
  </si>
  <si>
    <t>Rp1.640.000</t>
  </si>
  <si>
    <t>Kost Singgahsini UNTAR S Parman Tipe A Tomang Jakarta Barat</t>
  </si>
  <si>
    <t>3 x 3 meter; Tidak termasuk listrik; AC; Kasur; Meja; Lemari Baju; Kursi; Bantal; Jendela; K. Mandi Dalam; Kloset Duduk; Wastafel; Shower; WiFi; R. Tamu; Dapur; Dispenser; TV; Locker; K. Mandi Luar; Parkir Mobil; Parkir Motor; Parkir Sepeda</t>
  </si>
  <si>
    <t>Rp2.900.000</t>
  </si>
  <si>
    <t>Kost Abdi Muwardi Residence Tipe A Grogol Petamburan Jakarta Barat</t>
  </si>
  <si>
    <t>2 x 4 meter</t>
  </si>
  <si>
    <t>2 x 4 meter; Tidak termasuk listrik; AC; Kasur; Meja; Lemari Baju; Kursi; Cermin; Bantal; Cleaning service; Guling; Wastafel; K. Mandi Dalam; Kloset Duduk; Ember mandi; Shower; Air panas; WiFi; Kulkas; R. Tamu; Penjaga Kos; Laundry; R. Jemur; R. Makan; Dapur; Dispenser; CCTV; Parkir Motor; Parkir Sepeda</t>
  </si>
  <si>
    <t>Rp2.180.000</t>
  </si>
  <si>
    <t>Kost Singgahsini Alfakoz Casagoya Tipe C Kebon Jeruk Jakarta Barat</t>
  </si>
  <si>
    <t>3.1 x 2.5 meter</t>
  </si>
  <si>
    <t>3.1 x 2.5 meter; Tidak termasuk listrik; AC; Kasur; Meja; Lemari Baju; Kursi; Jendela; Wastafel; Bantal; Cermin; Guling; K. Mandi Dalam; Kloset Duduk; Shower; WiFi; Penjaga Kos; R. Jemur; Dapur; Rooftop; Parkir Motor &amp; Sepeda</t>
  </si>
  <si>
    <t>Kost Singgahsini RR'S House Tipe A Kebon Jeruk Jakarta Barat</t>
  </si>
  <si>
    <t>Rp1.845.000</t>
  </si>
  <si>
    <t>5 x 4 meter; Tidak termasuk listrik; AC; Kasur; Meja; TV; Lemari Baju; Kursi; K. Mandi Dalam; Kloset Duduk; Shower; WiFi; Kulkas; R. Tamu; Penjaga Kos; R. Jemur; Dapur; Dispenser; CCTV; Parkir Mobil; Parkir Motor; Parkir Motor &amp; Sepeda</t>
  </si>
  <si>
    <t>Rp1.754.000</t>
  </si>
  <si>
    <t>Diskon 91rb</t>
  </si>
  <si>
    <t>Kost Garden Tipe B Taman Sari Jakarta Barat</t>
  </si>
  <si>
    <t>2.2 x 3.7 meter</t>
  </si>
  <si>
    <t>2.2 x 3.7 meter; Tidak termasuk listrik; AC; Kasur; Meja; Lemari Baju; Ventilasi; Cermin; Jendela; Bantal; Cleaning service; K. Mandi Dalam; Kloset Duduk; Ember mandi; Shower; WiFi; Kulkas; R. Cuci; Penjaga Kos; R. Jemur; Dapur; CCTV; Jemuran; Jual Makanan; Pengurus Kos; Parkir Motor; Parkir Sepeda</t>
  </si>
  <si>
    <t>Kost Singgahsini Juju Daan Mogot Estate Tipe A Cengkareng Jakarta Barat</t>
  </si>
  <si>
    <t>3.8 x 3.2 meter</t>
  </si>
  <si>
    <t>3.8 x 3.2 meter; Tidak termasuk listrik; AC; Kasur; Meja; TV; Lemari Baju; Kursi; Bantal; Cermin; Guling; Jendela; K. Mandi Dalam; Kloset Duduk; Shower; Air panas; WiFi; Penjaga Kos; R. Jemur; Parkir Mobil; Parkir Motor &amp; Sepeda</t>
  </si>
  <si>
    <t>Rp2.141.000</t>
  </si>
  <si>
    <t>Kost Singgahsini Keagungan 20A Tipe A Taman Sari Jakarta Barat</t>
  </si>
  <si>
    <t>2.8 x 2.7 meter</t>
  </si>
  <si>
    <t>2.8 x 2.7 meter; Tidak termasuk listrik; AC; Kasur; Meja; Meja Rias; Lemari Baju; Kursi; Bantal; Cermin; K. Mandi Dalam; Kloset Duduk; Shower; WiFi; Kulkas; Penjaga Kos; Laundry; R. Jemur; Dapur; K. Mandi Luar; CCTV; Jemuran; Parkir Motor; Parkir Sepeda; Parkir Motor &amp; Sepeda</t>
  </si>
  <si>
    <t>Kost Singgahsini Mandira Tipe B Kembangan Jakarta Barat</t>
  </si>
  <si>
    <t>2.8 x 2.8 meter; Tidak termasuk listrik; AC; Kasur; Meja; TV; Lemari Baju; Kursi; Bantal; Cermin; Guling; Jendela; Kloset Duduk; K. Mandi Luar; Shower; Air panas; WiFi; R. Tamu; Penjaga Kos; CCTV; Parkir Mobil; Parkir Sepeda; Parkir Motor &amp; Sepeda</t>
  </si>
  <si>
    <t>Rp1.809.800</t>
  </si>
  <si>
    <t>Kost Abigail VVIP Kebon Jeruk Jakarta Barat</t>
  </si>
  <si>
    <t>3 x 4 meter; Tidak termasuk listrik; Kasur; Lemari Baju; Kipas Angin; K. Mandi Dalam; Kloset Jongkok; Ember mandi; WiFi; R. Tamu; R. Jemur; R. Santai; Dapur; Jemuran; R. Keluarga; Parkir Motor</t>
  </si>
  <si>
    <t>Kost Wimala Suites Co Living Tipe Royal Plus Taman Sari Jakarta Barat</t>
  </si>
  <si>
    <t>3 x 4 meter; Tidak termasuk listrik; AC; Kasur; Meja; TV; Lemari Baju; Ventilasi; Bantal; Cermin; Cleaning service; Guling; K. Mandi Dalam; Kloset Duduk; Wastafel; Shower; Air panas; WiFi; Kulkas; R. Cuci; Laundry; Penjaga Kos; R. Tamu; R. Jemur; R. Makan; R. Santai; Dapur; Parkir Motor; Parkir Sepeda</t>
  </si>
  <si>
    <t>Kost Delima Tipe Diamond Grogol Petamburan Jakarta Barat</t>
  </si>
  <si>
    <t>3 x 3.5 meter; Tidak termasuk listrik; AC; Kasur; Dispenser; Meja; TV; Kulkas; Lemari Baju; Ventilasi; Bantal; Cermin; K. Mandi Dalam; Kloset Duduk; Wastafel; Shower; Air panas</t>
  </si>
  <si>
    <t>Kecamatan Grogol Petamburan</t>
  </si>
  <si>
    <t>Kost Singgahsini Alexandria Keagungan Gajah Mada Tipe C Taman Sari Jakarta Barat</t>
  </si>
  <si>
    <t>7 x 3 meter; Tidak termasuk listrik; AC; Kasur; Lemari Baju; Ventilasi; Bantal; K. Mandi Dalam; Kloset Jongkok; Ember mandi; WiFi; R. Jemur; CCTV; Parkir Motor; Parkir Sepeda</t>
  </si>
  <si>
    <t>Rp1.222.000</t>
  </si>
  <si>
    <t>Diskon 63rb</t>
  </si>
  <si>
    <t>Kost Apik Abputar Tipe B Palmerah Jakarta Barat</t>
  </si>
  <si>
    <t>3.7 x 2.5 meter</t>
  </si>
  <si>
    <t>3.7 x 2.5 meter; Termasuk listrik; Kasur; Lemari Baju; Kloset Duduk; K. Mandi Luar; Shower; WiFi; R. Tamu; Penjaga Kos; R. Jemur; Dapur; Rooftop; Parkir Motor &amp; Sepeda</t>
  </si>
  <si>
    <t>Kost Singgahsini Permata 15 Tipe C Grogol Petamburan Jakarta Barat</t>
  </si>
  <si>
    <t>3 x 3 meter; Tidak termasuk listrik; AC; Kasur; Meja; Lemari Baju; Ventilasi; Kursi; Jendela; Bantal; Guling; K. Mandi Dalam; Kloset Duduk; K. Mandi Luar; Ember mandi; Shower; WiFi; R. Tamu; Penjaga Kos; R. Jemur; CCTV; Parkir Motor &amp; Sepeda</t>
  </si>
  <si>
    <t>Kost Menara Residence 29 Standard Kembangan Jakarta Barat</t>
  </si>
  <si>
    <t>4 x 3.5 meter; Tidak termasuk listrik; AC; Kasur; Meja; Meja Rias; TV; Lemari Baju; Ventilasi; Bantal; Cleaning service; Guling; K. Mandi Dalam; Kloset Duduk; Wastafel; Shower; Air panas; WiFi; Kulkas; Penjaga Kos; R. Tamu; R. Makan; R. Jemur; R. Santai; Dapur; Dispenser; CCTV; Parkir Mobil; Parkir Motor; Parkir Sepeda</t>
  </si>
  <si>
    <t>Kost AP Tipe A Grogol Petamburan Jakarta Barat</t>
  </si>
  <si>
    <t>4 x 4 meter; Tidak termasuk listrik; AC; Kasur; Meja; TV; Lemari Baju; Kulkas; Kursi; Sofa; K. Mandi Dalam; Kloset Duduk; Shower; Air panas; WiFi; R. Tamu; Penjaga Kos; Laundry; R. Jemur; R. Santai; Dapur; Balcon; K. Mandi Luar; Parkir Mobil; Parkir Motor; Parkir Sepeda</t>
  </si>
  <si>
    <t>Kost Apple Tipe A Grogol Petamburan Jakarta Barat</t>
  </si>
  <si>
    <t>3 x 3 meter; Tidak termasuk listrik; AC; Kasur; Meja; Lemari Baju; Ventilasi; Jendela; Kursi; TV Kabel; Wastafel; Kloset Duduk; K. Mandi Luar; Shower; Air panas; WiFi; R. Cuci; Mesin Cuci; Penjaga Kos; R. Tamu; R. Jemur; Dapur; Balcon; CCTV; Gazebo; Parkir Motor</t>
  </si>
  <si>
    <t>Kost Singgahsini 88 Tipe C Cengkareng Jakarta Barat</t>
  </si>
  <si>
    <t>3.3 x 2.2 meter</t>
  </si>
  <si>
    <t>3.3 x 2.2 meter; Tidak termasuk listrik; AC; Kasur; TV; Lemari Baju; Jendela; Bantal; K. Mandi Dalam; Kloset Duduk; Shower; Air panas; WiFi; Penjaga Kos; R. Santai; Kartu Akses; CCTV; Balcon; Parkir Motor &amp; Sepeda</t>
  </si>
  <si>
    <t>Rp1.911.000</t>
  </si>
  <si>
    <t>Diskon 164rb</t>
  </si>
  <si>
    <t>Kost Singgahsini Bahagia 7 Tipe A Grogol Petamburan Jakarta Barat</t>
  </si>
  <si>
    <t>4.5 x 3 meter; Tidak termasuk listrik; AC; Kasur; Meja; Lemari Baju; Kursi; Bantal; Cermin; Guling; Jendela; K. Mandi Dalam; Kloset Duduk; Shower; WiFi; Kulkas; R. Tamu; Penjaga Kos; R. Santai; Dapur; Dispenser; CCTV; Rooftop; Parkir Mobil; Parkir Motor; Parkir Sepeda; Parkir Motor &amp; Sepeda</t>
  </si>
  <si>
    <t>Rp3.025.000</t>
  </si>
  <si>
    <t>Kost Singgahsini Mantai Tipe A Kebon Jeruk Jakarta Barat</t>
  </si>
  <si>
    <t>4.3 x 3 meter</t>
  </si>
  <si>
    <t>4.3 x 3 meter; Tidak termasuk listrik; AC; Kasur; Meja; Lemari Baju; Kursi; Dapur Pribadi; Jendela; Bantal; Guling; K. Mandi Dalam; Kloset Duduk; Shower; Air panas; WiFi; Penjaga Kos; R. Jemur; Rooftop; Parkir Mobil; Parkir Motor &amp; Sepeda</t>
  </si>
  <si>
    <t>Rp2.049.000</t>
  </si>
  <si>
    <t>Kost Singgahsini 88 Tipe A Cengkareng Jakarta Barat</t>
  </si>
  <si>
    <t>4 x 4.5 meter; Tidak termasuk listrik; AC; Kasur; Meja; TV; Lemari Baju; Kursi; Jendela; Bantal; K. Mandi Dalam; Kloset Duduk; Shower; Air panas; WiFi; Penjaga Kos; R. Santai; Kartu Akses; CCTV; Balcon; Parkir Motor &amp; Sepeda</t>
  </si>
  <si>
    <t>Kost Singgahsini Taman Apel IV Tipe B Grogol Petamburan Jakarta Barat</t>
  </si>
  <si>
    <t>2.1 x 3.9 meter; Tidak termasuk listrik; AC; Kasur; Meja; Lemari Baju; Kursi; Bantal; Cermin; Jendela; K. Mandi Dalam; Kloset Duduk; Shower; Air panas; WiFi; Kulkas; Penjaga Kos; R. Jemur; Dapur; CCTV; Rooftop; Parkir Motor &amp; Sepeda</t>
  </si>
  <si>
    <t>Kost Singgahsini Torrycoffe Homes Tipe A Grogol Petamburan Jakarta Barat</t>
  </si>
  <si>
    <t>3 x 2.2 meter; Tidak termasuk listrik; AC; Kasur; Meja; Lemari Baju; Kursi; Bantal; Cermin; Guling; Jendela; Kloset Duduk; K. Mandi Luar; Shower; WiFi; Penjaga Kos; Dapur; CCTV; Parkir Motor &amp; Sepeda</t>
  </si>
  <si>
    <t>Kost Singgahsini Warna Warni Mangga Besar Tipe D Taman Sari Jakarta Barat</t>
  </si>
  <si>
    <t>2.8 x 2.2 meter</t>
  </si>
  <si>
    <t>2.8 x 2.2 meter; Tidak termasuk listrik; AC; Kasur; Meja; Lemari Baju; Kursi; Bantal; Cermin; Guling; Jendela; K. Mandi Dalam; Kloset Duduk; Wastafel; Shower; Air panas; WiFi; Penjaga Kos; R. Jemur; Locker; CCTV; Parkir Mobil; Parkir Motor; Parkir Sepeda</t>
  </si>
  <si>
    <t>Kost Singgahsini Harun Tipe A Kebon Jeruk Jakarta Barat</t>
  </si>
  <si>
    <t>3 x 4 meter; Tidak termasuk listrik; AC; Kasur; Meja; Lemari Baju; Ventilasi; Kursi; Bantal; Dapur Pribadi; Guling; Jendela; Kloset Duduk; K. Mandi Luar; Ember mandi; Shower; WiFi; Kulkas; R. Jemur; Dapur; CCTV; Parkir Motor; Parkir Sepeda</t>
  </si>
  <si>
    <t>Rp1.451.000</t>
  </si>
  <si>
    <t>Diskon 124rb</t>
  </si>
  <si>
    <t>Kost Singgahsini Griya Sehati Tipe D Tanjung Duren Jakarta Barat</t>
  </si>
  <si>
    <t>3 x 3 meter; Tidak termasuk listrik; AC; Kasur; Meja; Lemari Baju; Ventilasi; Kursi; Bantal; Cermin; Kloset Duduk; K. Mandi Luar; Wastafel; Shower; Air panas; WiFi; R. Cuci; Kulkas; R. Tamu; R. Makan; R. Jemur; R. Santai; Dapur; TV; Parkir Mobil; Parkir Motor; Parkir Sepeda; Parkir Motor &amp; Sepeda</t>
  </si>
  <si>
    <t>Kost Singgahsini Bahagia 7 Tipe B Grogol Petamburan Jakarta Barat</t>
  </si>
  <si>
    <t>4 x 3 meter; Tidak termasuk listrik; AC; Kasur; Meja; Lemari Baju; Kursi; Bantal; Cermin; Guling; Jendela; K. Mandi Dalam; Kloset Duduk; Shower; WiFi; Kulkas; R. Tamu; Penjaga Kos; R. Santai; Dapur; Dispenser; CCTV; Rooftop; Parkir Mobil; Parkir Motor; Parkir Sepeda; Parkir Motor &amp; Sepeda</t>
  </si>
  <si>
    <t>Kost Apik BINUS Anggrek Tipe C Palmerah Jakarta Barat</t>
  </si>
  <si>
    <t>3 x 2 meter; Termasuk listrik; Kasur; Meja; Lemari Baju; Ventilasi; Kursi; Bantal; Jendela; K. Mandi Dalam; Ember mandi; WiFi; R. Tamu; R. Jemur; Parkir Motor; Parkir Sepeda</t>
  </si>
  <si>
    <t>Rp1.307.500</t>
  </si>
  <si>
    <t>Kost Apik Seroja 1 Tipe A Cengkareng Jakarta Barat</t>
  </si>
  <si>
    <t>3 x 2 meter; Termasuk listrik; Kasur; Lemari Baju; Ventilasi; Bantal; Kloset Jongkok; K. Mandi Luar; Ember mandi; WiFi; Parkir Mobil; Parkir Motor; Parkir Sepeda; Parkir Motor &amp; Sepeda</t>
  </si>
  <si>
    <t>Rp761.000</t>
  </si>
  <si>
    <t>Diskon 64rb</t>
  </si>
  <si>
    <t>Kost 2nd Home Tipe Executive Palmerah Jakarta Barat</t>
  </si>
  <si>
    <t>4 x 3 meter; Tidak termasuk listrik; AC; Kasur; Meja; Meja Rias; TV; Lemari Baju; Ventilasi; Bantal; Cermin; Cleaning service; K. Mandi Dalam; Kloset Duduk; Shower; Air panas; WiFi; Kulkas; Penjaga Kos; R. Jemur; R. Makan; R. Santai; Dapur; Dispenser; Balcon; CCTV; Parkir Motor; Parkir Motor &amp; Sepeda</t>
  </si>
  <si>
    <t>Diskon 256rb</t>
  </si>
  <si>
    <t>Kost Singgahsini Alfakoz Casagoya Tipe A Kebon Jeruk Jakarta Barat</t>
  </si>
  <si>
    <t>4.4 x 3.1 meter</t>
  </si>
  <si>
    <t>4.4 x 3.1 meter; Tidak termasuk listrik; AC; Kasur; Meja; Lemari Baju; Ventilasi; Kursi; Jendela; Bantal; Cermin; Guling; K. Mandi Dalam; Kloset Duduk; Wastafel; Shower; WiFi; Penjaga Kos; R. Jemur; Dapur; Rooftop; Parkir Motor &amp; Sepeda</t>
  </si>
  <si>
    <t>Rp1.830.000</t>
  </si>
  <si>
    <t>Kost Cozy Coliving Averio Binus Anggrek Exclusive Kebon Jeruk Jakarta Barat</t>
  </si>
  <si>
    <t>5 x 3 meter; Tidak termasuk listrik; AC; Kasur; Meja; TV; Lemari Baju; Bantal; Cermin; Cleaning service; Jendela; Kursi; K. Mandi Dalam; Kloset Duduk; Shower; Air panas; WiFi; Kulkas; Laundry; R. Tamu; R. Jemur; R. Makan; R. Santai; Dapur; Dispenser; CCTV; Parkir Mobil; Parkir Motor; Parkir Sepeda</t>
  </si>
  <si>
    <t>Rp4.500.000</t>
  </si>
  <si>
    <t>Kost Apik Thunder 2 Meruya Tipe A Kembangan Jakarta Barat</t>
  </si>
  <si>
    <t>2.3 x 3.1 meter</t>
  </si>
  <si>
    <t>2.3 x 3.1 meter; Tidak termasuk listrik; AC; Kasur; Meja; Lemari Baju; Ventilasi; Bantal; Guling; Jendela; Kursi; Kloset Duduk; K. Mandi Luar; Ember mandi; Shower; WiFi; Kulkas; R. Tamu; R. Jemur; Dapur; TV; CCTV; Jemuran; Parkir Motor &amp; Sepeda</t>
  </si>
  <si>
    <t>Diskon 38rb</t>
  </si>
  <si>
    <t>Kost Desty Tipe D Daisy Grogol Petamburan Jakarta Barat</t>
  </si>
  <si>
    <t>4 x 4 meter; Termasuk listrik; AC; Kasur; Lemari Baju; Bantal; Jendela; K. Mandi Dalam; Kloset Duduk; Ember mandi; Shower; WiFi; R. Jemur; Jemuran; CCTV; Parkir Sepeda; Parkir Motor; Parkir Motor &amp; Sepeda</t>
  </si>
  <si>
    <t>Kost Singgahsini Ratu Teratai 59 Tipe A Kebon Jeruk Jakarta Barat</t>
  </si>
  <si>
    <t>3.5 x 5 meter</t>
  </si>
  <si>
    <t>3.5 x 5 meter; Tidak termasuk listrik; AC; Kasur; Meja; Lemari Baju; Kursi; Bantal; Cermin; Jendela; K. Mandi Dalam; Kloset Duduk; Shower; Air panas; WiFi; Kulkas; Penjaga Kos; Dapur; CCTV; Parkir Motor; Parkir Sepeda</t>
  </si>
  <si>
    <t>Rp2.305.000</t>
  </si>
  <si>
    <t>Kost Cozy Binus Kemanggisan Averio Palmerah Jakarta Barat</t>
  </si>
  <si>
    <t>3 x 4 meter; Tidak termasuk listrik; AC; Kasur; Dispenser; Meja; Meja Rias; TV; Lemari Baju; Ventilasi; Bantal; Cermin; K. Mandi Dalam; Kloset Duduk; Shower; Air panas; WiFi; Kulkas; R. Cuci; Laundry; Penjaga Kos; R. Tamu; R. Jemur; R. Makan; R. Santai; Dapur; Parkir Mobil; Parkir Motor</t>
  </si>
  <si>
    <t>Kost Pilar Residence Kebon Jeruk Jakarta Barat</t>
  </si>
  <si>
    <t>2.4 x 3 meter</t>
  </si>
  <si>
    <t>2.4 x 3 meter; Tidak termasuk listrik; AC; Kasur; Meja; Lemari Baju; Ventilasi; Bantal; Cermin; Cleaning service; Jendela; Guling; K. Mandi Dalam; Kloset Duduk; Shower; Air panas; WiFi; R. Cuci; R. Tamu; R. Makan; R. Jemur; Dapur; CCTV; Jemuran; Taman; Pengurus Kos; Parkir Mobil; Parkir Motor; Parkir Sepeda</t>
  </si>
  <si>
    <t>Kost MG Resident Grogol Petamburan Jakarta Barat</t>
  </si>
  <si>
    <t>3 x 4 meter; Tidak termasuk listrik; AC; Kasur; Meja; Bantal; Guling; Jendela; Kursi; K. Mandi Dalam; Kloset Duduk; Wastafel; Shower; Air panas; WiFi; Kulkas; Penjaga Kos; R. Tamu; Dapur; Dispenser; CCTV; Kartu Akses; Pengurus Kos; Rooftop; Parkir Mobil; Parkir Motor &amp; Sepeda</t>
  </si>
  <si>
    <t>Kost AP Tipe B Tomang Grogol Petamburan Jakarta Barat</t>
  </si>
  <si>
    <t>3 x 4 meter; Tidak termasuk listrik; AC; Kasur; Meja; TV; Lemari Baju; Kursi; Sofa; K. Mandi Dalam; Kloset Duduk; Shower; Air panas; WiFi; Kulkas; R. Tamu; Penjaga Kos; Laundry; R. Jemur; R. Santai; Dapur; Balcon; K. Mandi Luar; Parkir Mobil; Parkir Motor; Parkir Sepeda</t>
  </si>
  <si>
    <t>Kost Grade Tulip Tipe A Kebon Jeruk Jakarta Barat</t>
  </si>
  <si>
    <t>4 x 5 meter; Tidak termasuk listrik; AC; Kasur; Meja; TV; Meja Rias; Lemari Baju; Kulkas; Ventilasi; Kursi; Wastafel; K. Mandi Dalam; Kloset Duduk; Shower; Air panas; WiFi; R. Tamu; Penjaga Kos; R. Jemur; Dapur; Balcon; Pengurus Kos; Parkir Mobil; Parkir Motor</t>
  </si>
  <si>
    <t>Kost Co Living Flamboyan Residences Kembangan Jakarta Barat</t>
  </si>
  <si>
    <t>3.5 x 4 meter; Tidak termasuk listrik; AC; Kasur; Meja; TV; Lemari Baju; Bantal; Cleaning service; Guling; Cermin; Jendela; K. Mandi Dalam; Kloset Duduk; Wastafel; Shower; Air panas; WiFi; R. Cuci; Kulkas; R. Tamu; Penjaga Kos; Laundry; R. Makan; R. Jemur; R. Santai; Dapur; Parkir Mobil; Parkir Motor; Parkir Sepeda</t>
  </si>
  <si>
    <t>Kost EHA Tipe B Palmerah Jakarta Barat</t>
  </si>
  <si>
    <t>3 x 3 meter; Termasuk listrik; Kasur; Meja; Lemari Baju; Ventilasi; Jendela; K. Mandi Dalam; Kloset Jongkok; Ember mandi; Shower; WiFi; R. Tamu; Jemuran; Parkir Motor; Parkir Motor &amp; Sepeda</t>
  </si>
  <si>
    <t>Kost JJ Soho Solitaire Soho VIP Grogol Petamburan Jakarta Barat</t>
  </si>
  <si>
    <t>2 x 6 meter</t>
  </si>
  <si>
    <t>2 x 6 meter; Tidak termasuk listrik; AC; Kasur; Meja; TV; Lemari Baju; Ventilasi; Bantal; Cermin; Cleaning service; Jendela; K. Mandi Dalam; Kloset Duduk; Wastafel; Shower; Air panas; WiFi; R. Cuci; Mesin Cuci; Penjaga Kos; R. Jemur; R. Makan; R. Santai; Dapur; Balcon; CCTV; Parkir Motor</t>
  </si>
  <si>
    <t>Rp2.380.000</t>
  </si>
  <si>
    <t>Kost Taman Surya Palem Lestari Cengkareng Kalideres Jakarta Barat</t>
  </si>
  <si>
    <t>3 x 3 meter; Tidak termasuk listrik; AC; Kasur; Meja; Lemari Baju; Bantal; Cermin; Guling; Kursi; Kloset Duduk; K. Mandi Luar; Shower; WiFi; Kulkas; R. Cuci; Penjaga Kos; R. Jemur; R. Santai; Dapur; Balcon; CCTV; Jemuran; Parkir Motor; Parkir Sepeda</t>
  </si>
  <si>
    <t>Kecamatan Kalideres</t>
  </si>
  <si>
    <t>Kost Singgahsini Prestige Tipe B Tanjung Duren Jakarta Barat</t>
  </si>
  <si>
    <t>3 x 4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</t>
  </si>
  <si>
    <t>Kost Apik Nuansa 2 Tanjung Duren Tipe B Grogol Petamburan Jakarta Barat</t>
  </si>
  <si>
    <t>2.5 x 4.4 meter</t>
  </si>
  <si>
    <t>2.5 x 4.4 meter; Tidak termasuk listrik; AC; Kasur; Meja; Lemari Baju; Kursi; Bantal; Cermin; Guling; Kloset Duduk; Kloset Jongkok; K. Mandi Luar; Ember mandi; WiFi; R. Cuci; R. Tamu; Parkir Motor; Parkir Sepeda; Parkir Motor &amp; Sepeda</t>
  </si>
  <si>
    <t>Kost Sambina Empang Bahagia Grogol Petamburan Jakarta Barat</t>
  </si>
  <si>
    <t>3 x 4 meter; Tidak termasuk listrik; AC; Kasur; Meja; TV; Kulkas; Lemari Baju; Ventilasi; Bantal; Cermin; Cleaning service; K. Mandi Dalam; Kloset Duduk; Wastafel; Shower; Air panas; WiFi; Laundry; Penjaga Kos; R. Makan; R. Santai; Dapur; Dispenser; Balcon; CCTV; Parkir Mobil; Parkir Motor; Parkir Sepeda; Parkir Motor &amp; Sepeda</t>
  </si>
  <si>
    <t>Rp3.800.000</t>
  </si>
  <si>
    <t>Kost Cozy Coliving Binus 2 Deluxe Plus Palmerah Jakarta Barat</t>
  </si>
  <si>
    <t>3.5 x 4.5 meter; Tidak termasuk listrik; AC; Kasur; Dispenser; Meja; TV; Lemari Baju; Ventilasi; Bantal; Cermin; Cleaning service; K. Mandi Dalam; Kloset Duduk; Wastafel; Shower; Air panas; WiFi; Kulkas; Laundry; Penjaga Kos; R. Tamu; R. Jemur; R. Makan; R. Santai; Dapur; Parkir Mobil; Parkir Motor; Parkir Sepeda</t>
  </si>
  <si>
    <t>Rp4.400.000</t>
  </si>
  <si>
    <t>Kost Singgahsini Prestige Tipe G Tanjung Duren Jakarta Barat</t>
  </si>
  <si>
    <t>5 x 5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</t>
  </si>
  <si>
    <t>Kost Singgahsini Maranzi House Tipe B Kebon Jeruk Jakarta Barat</t>
  </si>
  <si>
    <t>Kost Singgahsini Warna Warni Mangga Besar Tipe A Taman Sari Jakarta Barat</t>
  </si>
  <si>
    <t>5.9 x 3.7 meter</t>
  </si>
  <si>
    <t>5.9 x 3.7 meter; Tidak termasuk listrik; AC; Kasur; Meja; Lemari Baju; Kursi; Bantal; Cermin; Guling; Jendela; K. Mandi Dalam; Kloset Duduk; Wastafel; Shower; Air panas; WiFi; Penjaga Kos; R. Jemur; Locker; CCTV; Parkir Mobil; Parkir Motor; Parkir Sepeda</t>
  </si>
  <si>
    <t>Kost Singgahsini Griya Sehati Tipe B Tanjung Duren Jakarta Barat</t>
  </si>
  <si>
    <t>Rp3.215.000</t>
  </si>
  <si>
    <t>3.5 x 3 meter; Tidak termasuk listrik; AC; Kasur; Meja; Lemari Baju; Ventilasi; Kursi; Bantal; K. Mandi Dalam; Kloset Duduk; K. Mandi Luar; Wastafel; Shower; Air panas; WiFi; R. Cuci; Kulkas; R. Tamu; R. Makan; R. Jemur; R. Santai; Dapur; TV; Parkir Mobil; Parkir Motor; Parkir Sepeda; Parkir Motor &amp; Sepeda</t>
  </si>
  <si>
    <t>Rp2.959.800</t>
  </si>
  <si>
    <t>Kost Singgahsini Muhajar Tipe A Kebon Jeruk Jakarta Barat</t>
  </si>
  <si>
    <t>4 x 3 meter; Termasuk listrik; AC; Kasur; Meja; Lemari Baju; Kursi; Cleaning service; Bantal; Jendela; K. Mandi Dalam; Kloset Duduk; Wastafel; Shower; Air panas; WiFi; Kulkas; Penjaga Kos; Dapur; Dispenser; Balcon; Parkir Mobil; Parkir Motor; Parkir Sepeda; Parkir Motor &amp; Sepeda</t>
  </si>
  <si>
    <t>Kost Apik Abputar Tipe A Palmerah Jakarta Barat</t>
  </si>
  <si>
    <t>3.2 x 4.5 meter</t>
  </si>
  <si>
    <t>3.2 x 4.5 meter; Tidak termasuk listrik; AC; Kasur; Lemari Baju; K. Mandi Dalam; Kloset Duduk; Shower; WiFi; R. Tamu; Penjaga Kos; R. Jemur; Dapur; Rooftop; Parkir Motor &amp; Sepeda</t>
  </si>
  <si>
    <t>Kost Singgahsini BnB Tipe B Kembangan Jakarta Barat</t>
  </si>
  <si>
    <t>4.2 x 2.9 meter</t>
  </si>
  <si>
    <t>4.2 x 2.9 meter; Tidak termasuk listrik; Kasur; Meja; Lemari Baju; Jendela; K. Mandi Dalam; Kloset Jongkok; Shower; WiFi; Kulkas; R. Tamu; Penjaga Kos; R. Jemur; Dapur; Parkir Motor &amp; Sepeda</t>
  </si>
  <si>
    <t>Kost Singgahsini Oasis Kedoya Tipe C Kebon Jeruk Jakarta Barat</t>
  </si>
  <si>
    <t>3 x 3 meter; Tidak termasuk listrik; AC; Kasur; Meja; Lemari Baju; Kursi; Jendela; Bantal; Cermin; Guling; Kloset Duduk; K. Mandi Luar; Ember mandi; Shower; WiFi; Penjaga Kos; Dapur; Parkir Mobil; Parkir Motor &amp; Sepeda</t>
  </si>
  <si>
    <t>Kost Singgahsini Mangga Besar 8 Strawberry Tipe E Tamansari Jakarta Barat</t>
  </si>
  <si>
    <t>6 x 1.6 meter</t>
  </si>
  <si>
    <t>6 x 1.6 meter; Tidak termasuk listrik; AC; Kasur; Meja; Lemari Baju; Ventilasi; Kursi; Jendela; Bantal; Cermin; K. Mandi Dalam; Kloset Duduk; Shower; Air panas; WiFi; Penjaga Kos; R. Jemur; CCTV; Parkir Motor &amp; Sepeda</t>
  </si>
  <si>
    <t>Rp1.313.000</t>
  </si>
  <si>
    <t>Kost Singgahsini 123 Tipe D Cengkareng Jakarta Barat</t>
  </si>
  <si>
    <t>2.5 x 3 meter; Tidak termasuk listrik; AC; Kasur; Lemari Baju; Bantal; Cermin; Guling; Jendela; K. Mandi Dalam; Kloset Duduk; Shower; Air panas; WiFi; Penjaga Kos; K. Mandi Luar; CCTV; Parkir Motor &amp; Sepeda</t>
  </si>
  <si>
    <t>Kost Singgahsini Ninetree Mangga Besar Tipe B Tamansari Jakarta Barat</t>
  </si>
  <si>
    <t>3 x 3 meter; Tidak termasuk listrik; AC; Kasur; Meja Rias; Lemari Baju; Kursi; Bantal; Cermin; Jendela; K. Mandi Dalam; Kloset Duduk; Wastafel; Ember mandi; Shower; Air panas; WiFi; K. Mandi Luar; Parkir Mobil; Parkir Sepeda; Parkir Motor &amp; Sepeda</t>
  </si>
  <si>
    <t>Kost Singgahsini Gelong Baru Soejartosandi Tipe B Tomang Jakarta Barat</t>
  </si>
  <si>
    <t>3 x 3 meter; Termasuk listrik; AC; Kasur; Meja; TV; Lemari Baju; Kursi; Bantal; Cermin; Guling; Jendela; K. Mandi Dalam; Kloset Duduk; Wastafel; Shower; Air panas; WiFi; R. Cuci; Kulkas; R. Tamu; R. Jemur; Dapur; Dispenser; Jemuran; Parkir Mobil; Parkir Motor; Parkir Sepeda; Parkir Motor &amp; Sepeda</t>
  </si>
  <si>
    <t>Rp2.405.000</t>
  </si>
  <si>
    <t>Kost Singgahsini Prestige Tipe A Tanjung Duren Jakarta Barat</t>
  </si>
  <si>
    <t>3 x 3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</t>
  </si>
  <si>
    <t>Kost Harun MP Residence Tipe B Kebon Jeruk Jakarta Barat</t>
  </si>
  <si>
    <t>2.5 x 3 meter; Tidak termasuk listrik; AC; Kasur; Meja; Lemari Baju; Ventilasi; Bantal; Cermin; Guling; Kursi; Wastafel; K. Mandi Dalam; Kloset Duduk; Shower; Air panas; WiFi; Kulkas; R. Cuci; Laundry; Mesin Cuci; Penjaga Kos; R. Tamu; R. Jemur; Dapur; Balcon; Parkir Motor; Parkir Sepeda; Parkir Motor &amp; Sepeda</t>
  </si>
  <si>
    <t>Rp1.770.000</t>
  </si>
  <si>
    <t>Kost Arcahome Tipe A Grogol Petamburan Jakarta Barat</t>
  </si>
  <si>
    <t>3 x 3 meter; Tidak termasuk listrik; AC; Kasur; Meja; Lemari Baju; Ventilasi; Bantal; Cermin; Guling; Jendela; Kursi; K. Mandi Dalam; Kloset Duduk; Shower; Air panas; WiFi; Kulkas; Laundry; Penjaga Kos; R. Makan; Dapur; CCTV; Taman; Parkir Motor</t>
  </si>
  <si>
    <t>Kost Mandala Guest House Tipe VVIP Grogol Petamburan Jakarta Barat</t>
  </si>
  <si>
    <t>3 x 3 meter; Tidak termasuk listrik; AC; Kasur; Wastafel; K. Mandi Dalam; Kloset Duduk; Shower; WiFi; R. Tamu; Penjaga Kos; Dapur; Balcon; Kartu Akses; Jual Makanan; Parkir Motor</t>
  </si>
  <si>
    <t>Grogol petamburan</t>
  </si>
  <si>
    <t>Kost Singgahsini Gelong Residence 25 Tipe A Grogol Petamburan Jakarta Barat</t>
  </si>
  <si>
    <t>4.5 x 3 meter; Tidak termasuk listrik; AC; Kasur; Meja; TV; Lemari Baju; Kursi; K. Mandi Dalam; Kloset Duduk; Wastafel; Shower; Air panas; WiFi; R. Cuci; Kulkas; R. Tamu; R. Jemur; R. Santai; R. Keluarga; Parkir Mobil; Parkir Motor</t>
  </si>
  <si>
    <t>Rp2.450.000</t>
  </si>
  <si>
    <t>Kost Chintia Janson 5 Tipe A Grogol Petamburan Jakarta Barat</t>
  </si>
  <si>
    <t>3 x 3 meter; Tidak termasuk listrik; AC; Kasur; Meja; TV; Lemari Baju; Bantal; Guling; Kursi; K. Mandi Dalam; Kloset Duduk; Shower; WiFi; Kulkas; R. Cuci; Laundry; Mesin Cuci; Penjaga Kos; R. Tamu; R. Jemur; Dapur; CCTV; Parkir Motor; Parkir Sepeda</t>
  </si>
  <si>
    <t>Kost Singgahsini 77 Tipe D Cengkareng Jakarta Barat</t>
  </si>
  <si>
    <t>3.0 x 2.3 meter</t>
  </si>
  <si>
    <t>3.0 x 2.3 meter; Tidak termasuk listrik; AC; Kasur; Meja; Lemari Baju; Kursi; Bantal; Cermin; Guling; Jendela; K. Mandi Dalam; Kloset Duduk; Shower; WiFi; Kulkas; R. Jemur; Dispenser; CCTV; Parkir Mobil; Parkir Motor; Parkir Sepeda</t>
  </si>
  <si>
    <t>Kost Purnama Resort Palem Kalideres Jakarta Barat</t>
  </si>
  <si>
    <t>3 x 3 meter; Tidak termasuk listrik; AC; Kasur; Meja; Meja Rias; Lemari Baju; Ventilasi; Jendela; Bantal; Cermin; Guling; K. Mandi Dalam; Kloset Jongkok; WiFi; Penjaga Kos; Jemuran; CCTV; Pengurus Kos; Taman; Parkir Motor; Parkir Sepeda</t>
  </si>
  <si>
    <t>Kost Purnama Resort Nirmala Tipe B Cengkareng Jakarta Barat</t>
  </si>
  <si>
    <t>3 x 3 meter; Tidak termasuk listrik; AC; Kasur; Meja; Meja Rias; Lemari Baju; Ventilasi; Bantal; Cermin; Guling; Jendela; K. Mandi Dalam; Kloset Duduk; Shower; WiFi; R. Santai; Dapur; Dispenser; Gazebo; Joglo; Parkir Motor; Parkir Sepeda</t>
  </si>
  <si>
    <t>Kost Singgahsini Seruma Latumenten Tipe B Tambora Jakarta Barat</t>
  </si>
  <si>
    <t>3 x 3 meter; Tidak termasuk listrik; AC; Kasur; Lemari Baju; Bantal; Cermin; K. Mandi Dalam; Kloset Duduk; Shower; Air panas; WiFi; Kulkas; Penjaga Kos; R. Jemur; Dapur; Dispenser; Parkir Motor &amp; Sepeda</t>
  </si>
  <si>
    <t>Tambora</t>
  </si>
  <si>
    <t>Kost Singgahsini Seruma Latumenten Tipe A Tambora Jakarta Barat</t>
  </si>
  <si>
    <t>3 x 3 meter; Tidak termasuk listrik; AC; Kasur; Meja; Lemari Baju; Kursi; Bantal; Cermin; K. Mandi Dalam; Kloset Duduk; Shower; Air panas; WiFi; Kulkas; Penjaga Kos; R. Jemur; Dapur; Dispenser; Parkir Motor &amp; Sepeda</t>
  </si>
  <si>
    <t>Kost Singgahsini Kebayoran Lama 17 F Tipe A Kebon Jeruk Jakarta Barat</t>
  </si>
  <si>
    <t>2 x 3 meter; Tidak termasuk listrik; AC; Kasur; Meja; TV; Lemari Baju; Bantal; Cermin; Kloset Duduk; K. Mandi Luar; Shower; WiFi; Kulkas; Dapur; CCTV; Parkir Motor; Parkir Sepeda</t>
  </si>
  <si>
    <t>Rp1.212.500</t>
  </si>
  <si>
    <t>Kost Singgahsini Gelong Mansion 8 Tipe C Tomang Jakarta Barat</t>
  </si>
  <si>
    <t>3.7 x 2.3 meter</t>
  </si>
  <si>
    <t>3.7 x 2.3 meter; Tidak termasuk listrik; AC; Kasur; Meja; Lemari Baju; Kursi; Jendela; Bantal; K. Mandi Dalam; Kloset Duduk; Shower; Air panas; WiFi; Kulkas; Penjaga Kos; R. Tamu; R. Jemur; Dapur; Rooftop; Parkir Motor &amp; Sepeda</t>
  </si>
  <si>
    <t>Kost Singgahsini Trimur Tanjung Duren Tipe B Grogol Petamburan Jakarta Barat</t>
  </si>
  <si>
    <t>4 x 2 meter; Tidak termasuk listrik; AC; Kasur; Meja; Lemari Baju; Kursi; Cermin; Jendela; K. Mandi Dalam; Kloset Duduk; Shower; WiFi; Kulkas; Penjaga Kos; Dapur; CCTV; Rooftop; Parkir Motor &amp; Sepeda</t>
  </si>
  <si>
    <t>Kost Singgahsini Gelong Mansion 8 Tipe B Tomang Jakarta Barat</t>
  </si>
  <si>
    <t>Kost B Tipe A Kebon Jeruk Jakarta Barat</t>
  </si>
  <si>
    <t>3 x 4 meter; Tidak termasuk listrik; AC; Kasur; Meja; Lemari Baju; Kursi; Kloset Duduk; K. Mandi Luar; Wastafel; Shower; WiFi; Kulkas; R. Tamu; Penjaga Kos; Laundry; R. Santai; Dapur; Dispenser; TV; R. Keluarga; Parkir Mobil; Parkir Motor</t>
  </si>
  <si>
    <t>Kost Hon Suriadi Tipe VVIP Grogol Petamburan Jakarta Barat</t>
  </si>
  <si>
    <t>3 x 4 meter; Tidak termasuk listrik; AC; Kasur; Lemari Baju; Ventilasi; Wastafel; K. Mandi Dalam; Kloset Duduk; Shower; WiFi; Penjaga Kos; R. Jemur; R. Santai; Balcon; CCTV; Jual Makanan; Pengurus Kos; Jemuran; Parkir Motor; Parkir Sepeda</t>
  </si>
  <si>
    <t>Kost Singgahsini Nusa Indah 15 Tipe A Tomang Jakarta Barat</t>
  </si>
  <si>
    <t>4 x 3 meter; Tidak termasuk listrik; AC; Kasur; Meja; Lemari Baju; Ventilasi; Kursi; Bantal; Cermin; Jendela; K. Mandi Dalam; Kloset Duduk; Wastafel; Shower; Air panas; WiFi; R. Cuci; Kulkas; R. Tamu; Mesin Cuci; Penjaga Kos; R. Makan; R. Jemur; Dapur; Dispenser; Parkir Mobil; Parkir Motor &amp; Sepeda</t>
  </si>
  <si>
    <t>Kost Apik Sakura 9 Tipe A Cengkareng Jakarta Barat</t>
  </si>
  <si>
    <t>3 x 3 meter; Tidak termasuk listrik; Kasur; Jendela; Kipas Angin; Bantal; K. Mandi Dalam; Kloset Duduk; Ember mandi; WiFi; Kulkas; R. Tamu; Penjaga Kos; R. Jemur; Dapur; Taman; Rooftop; Jemuran; Parkir Motor &amp; Sepeda</t>
  </si>
  <si>
    <t>Rp1.155.000</t>
  </si>
  <si>
    <t>Kost Cozy coliving Deluxe Palmerah Jakarta Barat</t>
  </si>
  <si>
    <t>3 x 4.5 meter; Tidak termasuk listrik; AC; Kasur; Meja; TV; Lemari Baju; Bantal; Cermin; Cleaning service; Jendela; Kursi; K. Mandi Dalam; Kloset Duduk; Wastafel; Shower; Air panas; WiFi; Kulkas; Laundry; Penjaga Kos; R. Tamu; R. Jemur; R. Makan; R. Santai; Dapur; Dispenser; Parkir Mobil; Parkir Motor; Parkir Sepeda</t>
  </si>
  <si>
    <t>Rp4.100.000</t>
  </si>
  <si>
    <t>Kost Cozy Coliving Binus 3 Kemanggisan Deluxe Palmerah Jakarta Barat</t>
  </si>
  <si>
    <t>3 x 4 meter; Tidak termasuk listrik; AC; Kasur; Dispenser; Meja; Meja Rias; TV; Kulkas; Lemari Baju; Ventilasi; Bantal; K. Mandi Dalam; Kloset Jongkok; Wastafel; Shower; Air panas; WiFi; R. Cuci; Laundry; Mesin Cuci; Penjaga Kos; R. Tamu; R. Jemur; R. Makan; R. Santai; Parkir Mobil; Parkir Motor</t>
  </si>
  <si>
    <t>Kost Kayya Single Bed Cengkareng Jakarta Barat</t>
  </si>
  <si>
    <t>4 x 2 meter; Tidak termasuk listrik; AC; Kasur; Meja; TV; Lemari Baju; Ventilasi; Bantal; Cermin; Jendela; Kursi; K. Mandi Dalam; Kloset Duduk; Shower; Air panas; WiFi; Kulkas; Penjaga Kos; Dapur; Dispenser; Balcon; CCTV; Jemuran; Kartu Akses; Parkir Motor</t>
  </si>
  <si>
    <t>Kost Singgahsini Puri Indah A618 Tipe A Kembangan Jakarta Barat</t>
  </si>
  <si>
    <t>Rp2.352.500</t>
  </si>
  <si>
    <t>Diskon 123rb</t>
  </si>
  <si>
    <t>Kost Citra Garden 2 Tipe B Kalideres Jakarta Barat</t>
  </si>
  <si>
    <t>3 x 3.5 meter; Tidak termasuk listrik; AC; Kasur; Meja; TV; Lemari Baju; Kursi; Wastafel; K. Mandi Dalam; Kloset Duduk; Ember mandi; WiFi; Kulkas; R. Tamu; Laundry; R. Santai; Dapur; Dispenser; K. Mandi Luar</t>
  </si>
  <si>
    <t>Kost Cozy Coliving Grogol Muwardi Deluxe Grogol petamburan Jakarta Barat</t>
  </si>
  <si>
    <t>3 x 4 meter; Tidak termasuk listrik; AC; Kasur; Dispenser; Meja; Meja Rias; TV; Kulkas; Lemari Baju; Bantal; Cermin; K. Mandi Dalam; Kloset Duduk; Wastafel; Shower; Air panas; WiFi; Laundry; Penjaga Kos; R. Tamu; R. Makan; R. Santai; Dapur; CCTV; Parkir Motor</t>
  </si>
  <si>
    <t>Kost Singgahsini BINUS Melrose Laluna Residence Tipe A Palmerah Jakarta Barat</t>
  </si>
  <si>
    <t>2 x 2.5 meter; Tidak termasuk listrik; AC; Kasur; Meja; Lemari Baju; Kursi; Bantal; Jendela; K. Mandi Dalam; Kloset Duduk; Wastafel; Shower; WiFi; R. Cuci; R. Jemur; Parkir Mobil; Parkir Motor</t>
  </si>
  <si>
    <t>Kost Singgahsini Puri Indah A618 Tipe C Kembangan Jakarta Barat</t>
  </si>
  <si>
    <t>Rp2.925.000</t>
  </si>
  <si>
    <t>Rp2.780.000</t>
  </si>
  <si>
    <t>Diskon 145rb</t>
  </si>
  <si>
    <t>Kost Singgahsini Slipi 18 Tipe B Palmerah Jakarta Barat</t>
  </si>
  <si>
    <t>2 x 3 meter; Tidak termasuk listrik; Kasur; Lemari Baju; Ventilasi; Bantal; Kloset Duduk; K. Mandi Luar; Ember mandi; Shower; WiFi; R. Jemur; Dapur; CCTV; Parkir Motor</t>
  </si>
  <si>
    <t>Kost Kangaroom Juanda Premium Gambir Jakarta Pusat</t>
  </si>
  <si>
    <t>2.4 x 5 meter</t>
  </si>
  <si>
    <t>2.4 x 5 meter; Tidak termasuk listrik; AC; Kasur; Meja; TV; Kulkas; Lemari Baju; Ventilasi; Bantal; Cermin; Cleaning service; K. Mandi Dalam; Kloset Duduk; Shower; Air panas; WiFi; Laundry; Penjaga Kos; R. Tamu; R. Makan; R. Santai; Dapur; Dispenser; CCTV; Parkir Motor; Parkir Sepeda; Parkir Motor &amp; Sepeda</t>
  </si>
  <si>
    <t>Rp3.400.000</t>
  </si>
  <si>
    <t>Kecamatan Gambir</t>
  </si>
  <si>
    <t>Kost Apik Syarifa Tipe A Cempaka Putih Jakarta Pusat</t>
  </si>
  <si>
    <t>3.7 x 3.2 meter</t>
  </si>
  <si>
    <t>3.7 x 3.2 meter; Tidak termasuk listrik; AC; Kasur; Meja Rias; Lemari Baju; Ventilasi; Bantal; Cermin; Jendela; K. Mandi Dalam; Kloset Duduk; Wastafel; Shower; WiFi; Penjaga Kos; R. Jemur; Gazebo; Parkir Motor &amp; Sepeda</t>
  </si>
  <si>
    <t>Cempaka Putih</t>
  </si>
  <si>
    <t>Kost Apik Syarifa Tipe C Cempaka Putih Jakarta Pusat</t>
  </si>
  <si>
    <t>3.2 x 3.2 meter; Tidak termasuk listrik; AC; Kasur; Lemari Baju; Kloset Jongkok; K. Mandi Luar; WiFi; Penjaga Kos; R. Jemur; Gazebo; Parkir Motor &amp; Sepeda</t>
  </si>
  <si>
    <t>Kost Apik Syarifa Tipe B Cempaka Putih Jakarta Pusat</t>
  </si>
  <si>
    <t>3.2 x 3 meter; Tidak termasuk listrik; AC; Kasur; Meja Rias; Lemari Baju; Bantal; Cermin; Jendela; K. Mandi Dalam; Kloset Duduk; Wastafel; Shower; WiFi; Penjaga Kos; R. Jemur; Gazebo; Parkir Motor &amp; Sepeda</t>
  </si>
  <si>
    <t>Kost Singgahsini Cozy Rawasari Tipe B Cempaka Putih Jakarta Pusat</t>
  </si>
  <si>
    <t>3 x 2.4 meter</t>
  </si>
  <si>
    <t>3 x 2.4 meter; Tidak termasuk listrik; AC; Kasur; Meja; Lemari Baju; Kursi; Bantal; Cermin; Guling; Jendela; K. Mandi Dalam; Kloset Duduk; Ember mandi; Shower; WiFi; Kulkas; R. Tamu; R. Jemur; Dapur; Dispenser; CCTV; Parkir Mobil; Parkir Motor; Parkir Sepeda</t>
  </si>
  <si>
    <t>Kost Industri Tipe A Sawah Besar Jakarta Pusat</t>
  </si>
  <si>
    <t>3 x 4 meter; Tidak termasuk listrik; AC; Kasur; Lemari Baju; Bantal; Cermin; Guling; K. Mandi Dalam; Kloset Duduk; Wastafel; Shower; WiFi; Balcon; CCTV; Parkir Motor</t>
  </si>
  <si>
    <t>Kecamatan Sawah Besar</t>
  </si>
  <si>
    <t>Kost Singgahsini Bendungan Hilir 95 Tipe A Tanah Abang Jakarta Pusat</t>
  </si>
  <si>
    <t>3.5 x 3.5 meter; Tidak termasuk listrik; AC; Kasur; Meja; Lemari Baju; Bantal; Cermin; Guling; Jendela; Kloset Duduk; K. Mandi Luar; Shower; WiFi; Dapur; CCTV; Parkir Motor; Parkir Sepeda</t>
  </si>
  <si>
    <t>Kecamatan Tanah Abang</t>
  </si>
  <si>
    <t>Kost Apik Pondok Sagre Kepu Tipe C Senen Jakarta Pusat</t>
  </si>
  <si>
    <t>2.5 x 3.2 meter</t>
  </si>
  <si>
    <t>2.5 x 3.2 meter; Tidak termasuk listrik; AC; Kasur; Lemari Baju; Ventilasi; Bantal; Jendela; Kloset Jongkok; K. Mandi Luar; Shower; WiFi; R. Jemur; Dapur; CCTV; Parkir Mobil; Parkir Motor; Parkir Sepeda</t>
  </si>
  <si>
    <t>Rp1.535.500</t>
  </si>
  <si>
    <t>Kecamatan Senen</t>
  </si>
  <si>
    <t>Kost Singgahsini Kanaya Tipe B Cempaka Putih Jakarta Pusat</t>
  </si>
  <si>
    <t>Rp3.125.000</t>
  </si>
  <si>
    <t>3.7 x 3.2 meter; Tidak termasuk listrik; AC; Kasur; Meja; Lemari Baju; Kursi; Bantal; Guling; Jendela; K. Mandi Dalam; Kloset Duduk; Shower; WiFi; Kulkas; R. Tamu; R. Makan; Dapur; Dispenser; TV; CCTV; Parkir Mobil; Parkir Motor; Parkir Sepeda</t>
  </si>
  <si>
    <t>Rp2.877.000</t>
  </si>
  <si>
    <t>Diskon 248rb</t>
  </si>
  <si>
    <t>Kost Singgahsini Cozy Rawasari Tipe A Cempaka Putih Jakarta Pusat</t>
  </si>
  <si>
    <t>3 x 2.4 meter; Tidak termasuk listrik; AC; Kasur; Meja; Lemari Baju; Kursi; Bantal; Guling; Jendela; K. Mandi Dalam; Kloset Duduk; Ember mandi; Shower; Air panas; WiFi; Kulkas; R. Tamu; R. Jemur; Dapur; Dispenser; CCTV; Parkir Mobil; Parkir Motor; Parkir Sepeda</t>
  </si>
  <si>
    <t>Rp1.842.000</t>
  </si>
  <si>
    <t>Diskon 158rb</t>
  </si>
  <si>
    <t>Kost Cozy Coliving Cideng Deluxe Plus Gambir Jakarta Pusat</t>
  </si>
  <si>
    <t>3 x 4 meter; Tidak termasuk listrik; AC; Kasur; Dispenser; Meja; Meja Rias; TV; Kulkas; Lemari Baju; Bantal; Cermin; K. Mandi Dalam; Kloset Duduk; Wastafel; Shower; Air panas; WiFi; Penjaga Kos; R. Tamu; R. Jemur; R. Makan; R. Santai; Dapur; CCTV; Parkir Motor</t>
  </si>
  <si>
    <t>Kost Singgahsini Graha 12 Tipe A Sawah Besar Jakarta Pusat</t>
  </si>
  <si>
    <t>2.5 x 3.2 meter; Tidak termasuk listrik; AC; Kasur; TV; Meja Rias; Lemari Baju; Kursi; Bantal; Cermin; Jendela; K. Mandi Dalam; Kloset Duduk; Wastafel; Shower; Air panas; WiFi; Penjaga Kos; R. Jemur; Dapur; Balcon; CCTV; Jemuran; Rooftop; Parkir Mobil; Parkir Motor; Parkir Sepeda; Parkir Motor &amp; Sepeda</t>
  </si>
  <si>
    <t>Sawah Besar</t>
  </si>
  <si>
    <t>Kost Apik GBU Houseroom Tipe B Kemayoran Jakarta Pusat</t>
  </si>
  <si>
    <t>3 x 3 meter; Tidak termasuk listrik; AC; Kasur; Meja; Lemari Baju; Kursi; Bantal; Guling; Jendela; K. Mandi Dalam; Kloset Duduk; Kloset Jongkok; K. Mandi Luar; Wastafel; Ember mandi; Shower; Air panas; WiFi; R. Cuci; R. Tamu; Penjaga Kos; Laundry; Dapur; Parkir Mobil; Parkir Motor; Parkir Sepeda; Parkir Motor &amp; Sepeda</t>
  </si>
  <si>
    <t>Kecamatan Kemayoran</t>
  </si>
  <si>
    <t>Kost Cozy Coliving Roxy Jembatan Lima Tipe Deluxe Plus Window Gambir Jakarta Pusat</t>
  </si>
  <si>
    <t>3 x 4 meter; Tidak termasuk listrik; AC; Kasur; Dispenser; Meja; TV; Lemari Baju; Bantal; Cermin; Cleaning service; Jendela; K. Mandi Dalam; Kloset Duduk; Wastafel; Shower; Air panas; WiFi; Kulkas; R. Cuci; Laundry; Penjaga Kos; R. Tamu; R. Jemur; R. Makan; R. Santai; Dapur; Parkir Motor</t>
  </si>
  <si>
    <t>Kost Cozy Coliving Pangeran Jayakarta Tipe Deluxe Sawah Besar Jakarta Pusat</t>
  </si>
  <si>
    <t>3 x 4 meter; Tidak termasuk listrik; AC; Kasur; Meja; TV; Lemari Baju; Ventilasi; Kursi; Wastafel; Cleaning service; Bantal; K. Mandi Dalam; Kloset Duduk; Shower; Air panas; WiFi; Kulkas; R. Tamu; Penjaga Kos; Laundry; R. Santai; Dapur; Dispenser; CCTV; Parkir Motor; Parkir Sepeda</t>
  </si>
  <si>
    <t>Kost Apik 89G Kwitang Tipe C Senen Jakarta Pusat</t>
  </si>
  <si>
    <t>2.4 x 2.1 meter</t>
  </si>
  <si>
    <t>2.4 x 2.1 meter; Termasuk listrik; Kasur; Meja; Lemari Baju; Kursi; Kipas Angin; Bantal; Kloset Duduk; Kloset Jongkok; K. Mandi Luar; Ember mandi; Shower; Bak mandi; WiFi; Kulkas; R. Tamu; Penjaga Kos; R. Jemur; Dapur; TV; Parkir Motor; Parkir Sepeda</t>
  </si>
  <si>
    <t>Senen</t>
  </si>
  <si>
    <t>Diskon 50rb</t>
  </si>
  <si>
    <t>Kost Singgahsini Ono Tipe C Cempaka Putih Jakarta Pusat</t>
  </si>
  <si>
    <t>3.6 x 2.6 meter</t>
  </si>
  <si>
    <t>3.6 x 2.6 meter; Tidak termasuk listrik; Kasur; Lemari Baju; Ventilasi; Kipas Angin; Bantal; Cermin; Guling; Jendela; Kloset Jongkok; K. Mandi Luar; Ember mandi; WiFi; R. Tamu; R. Jemur; Dapur; Parkir Motor &amp; Sepeda</t>
  </si>
  <si>
    <t>Kost Apik Lia Tipe B Sawah Besar Jakarta Pusat</t>
  </si>
  <si>
    <t>3 x 4 meter; Termasuk listrik; Kasur; Lemari Baju; Wastafel; Kipas Angin; Bantal; Guling; Jendela; Kloset Jongkok; K. Mandi Luar; Ember mandi; Shower; Bak mandi; WiFi; R. Cuci; R. Tamu; Penjaga Kos; Dapur; Parkir Mobil; Parkir Motor; Parkir Sepeda; Parkir Motor &amp; Sepeda</t>
  </si>
  <si>
    <t>Rp1.140.000</t>
  </si>
  <si>
    <t>Jakarta</t>
  </si>
  <si>
    <t>Kost Singgahsini Sofia Thamrin Tipe B Tanah Abang Jakarta Pusat</t>
  </si>
  <si>
    <t>3.5 x 2.7 meter</t>
  </si>
  <si>
    <t>3.5 x 2.7 meter; Tidak termasuk listrik; AC; Kasur; Meja; Lemari Baju; Kursi; Jendela; Cermin; Bantal; K. Mandi Dalam; Kloset Duduk; Wastafel; Shower; WiFi; R. Tamu; Penjaga Kos; Dapur; CCTV; Rooftop; Parkir Mobil; Parkir Motor &amp; Sepeda</t>
  </si>
  <si>
    <t>Tanah Abang</t>
  </si>
  <si>
    <t>Kost Apik Tiga Nur Tipe C Senen Jakarta Pusat</t>
  </si>
  <si>
    <t>3 x 3 meter; Termasuk listrik; Kasur; Meja; Lemari Baju; Kursi; Bantal; Jendela; K. Mandi Dalam; Kloset Jongkok; WiFi; R. Tamu; Penjaga Kos; Parkir Motor &amp; Sepeda</t>
  </si>
  <si>
    <t>Rp1.405.000</t>
  </si>
  <si>
    <t>Kost Graha Bintang Tipe VVIP Menteng Jakarta Pusat</t>
  </si>
  <si>
    <t>3 x 4 meter; Tidak termasuk listrik; AC; Kasur; Meja; TV; Kulkas; Lemari Baju; Bantal; Cermin; Guling; Jendela; K. Mandi Dalam; Kloset Duduk; Shower; Air panas; WiFi; Penjaga Kos; Mushola; CCTV; Parkir Mobil; Parkir Motor; Parkir Sepeda; Parkir Motor &amp; Sepeda</t>
  </si>
  <si>
    <t>Kecamatan Menteng</t>
  </si>
  <si>
    <t>Kost Apik E 18 Tipe B Cempaka Putih Jakarta Pusat</t>
  </si>
  <si>
    <t>3 x 3 meter; Termasuk listrik; Kasur; Lemari Baju; Ventilasi; Kipas Angin; Bantal; Cermin; Guling; Jendela; Kloset Jongkok; K. Mandi Luar; Wastafel; WiFi; R. Tamu; Penjaga Kos; R. Jemur; Parkir Motor &amp; Sepeda</t>
  </si>
  <si>
    <t>Kost Singgahsini Maknyak Maria Tipe A Gambir Jakarta Pusat</t>
  </si>
  <si>
    <t>3.4 x 1.6 meter</t>
  </si>
  <si>
    <t>3.4 x 1.6 meter; Tidak termasuk listrik; AC; Kasur; Meja; Lemari Baju; Jendela; Bantal; Cermin; Kloset Duduk; K. Mandi Luar; Ember mandi; Shower; WiFi; R. Cuci; Kulkas; Penjaga Kos; R. Jemur; Dapur; CCTV; Parkir Motor &amp; Sepeda</t>
  </si>
  <si>
    <t>Rp1.331.400</t>
  </si>
  <si>
    <t>Gambir</t>
  </si>
  <si>
    <t>Diskon 114rb</t>
  </si>
  <si>
    <t>Kost Cemara21A Menteng Near Gondangdia Station Jakarta Pusat</t>
  </si>
  <si>
    <t>3 x 4 meter; Termasuk listrik; AC; Kasur; Meja; Lemari Baju; Kursi; Cleaning service; K. Mandi Dalam; Kloset Duduk; Shower; Bak mandi; WiFi; Kulkas; R. Tamu; Mesin Cuci; R. Jemur; R. Santai; Dapur; TV; Taman; Balcon; Parkir Mobil; Parkir Motor; Parkir Sepeda</t>
  </si>
  <si>
    <t>Menteng</t>
  </si>
  <si>
    <t>Kost Singgahsini Petojo 5 Roxy Tipe A Jakarta Pusat</t>
  </si>
  <si>
    <t>3.2 x 2.4 meter; Tidak termasuk listrik; AC; Kasur; Meja; Lemari Baju; Kursi; Bantal; Cermin; Guling; Kloset Duduk; K. Mandi Luar; Wastafel; Shower; WiFi; Kulkas; Penjaga Kos; Laundry; Dapur; Dispenser; Parkir Mobil; Parkir Motor; Parkir Sepeda; Parkir Motor &amp; Sepeda</t>
  </si>
  <si>
    <t>Kost Apik R Sari Tipe B Cempaka Putih Jakarta Pusat</t>
  </si>
  <si>
    <t>2.5 x 1.7 meter</t>
  </si>
  <si>
    <t>2.5 x 1.7 meter; Termasuk listrik; Kasur; Ventilasi; Bantal; Kloset Jongkok; K. Mandi Luar; Ember mandi; WiFi; Penjaga Kos; R. Jemur; CCTV; Jemuran; Parkir Motor &amp; Sepeda</t>
  </si>
  <si>
    <t>Rp712.500</t>
  </si>
  <si>
    <t>Kost Apik Fidzh Tipe A Johar Baru Jakarta Pusat</t>
  </si>
  <si>
    <t>2 x 3.5 meter</t>
  </si>
  <si>
    <t>2 x 3.5 meter; Tidak termasuk listrik; AC; Kasur; Meja; Lemari Baju; Ventilasi; Bantal; Jendela; Kloset Jongkok; K. Mandi Luar; Ember mandi; Shower; WiFi; Penjaga Kos; R. Jemur; Jemuran; Parkir Motor &amp; Sepeda</t>
  </si>
  <si>
    <t>Rp1.355.000</t>
  </si>
  <si>
    <t>Johar Baru</t>
  </si>
  <si>
    <t>Diskon 70rb</t>
  </si>
  <si>
    <t>Kost Singgahsini Rumah Ceria Cideng Tipe A Gambir Jakarta Pusat</t>
  </si>
  <si>
    <t>4 x 4 meter; Tidak termasuk listrik; AC; Kasur; Meja; TV; Lemari Baju; Kursi; K. Mandi Dalam; Kloset Duduk; Shower; Air panas; WiFi; R. Cuci; Kulkas; R. Tamu; Mesin Cuci; Penjaga Kos; R. Makan; R. Jemur; Dapur; CCTV; Parkir Mobil; Parkir Motor &amp; Sepeda</t>
  </si>
  <si>
    <t>Rp2.850.000</t>
  </si>
  <si>
    <t>Kost Apik Shafira Tipe B Kemayoran Jakarta Pusat</t>
  </si>
  <si>
    <t>4.5 x 3.5 meter; Tidak termasuk listrik; Kasur; Lemari Baju; K. Mandi Dalam; Kloset Jongkok; Shower; WiFi; R. Cuci; Penjaga Kos; R. Jemur; Rooftop; Parkir Motor &amp; Sepeda</t>
  </si>
  <si>
    <t>Kemayoran</t>
  </si>
  <si>
    <t>Kost Singgahsini Dwi Warna 18A Tipe A Sawah Besar Jakarta Pusat</t>
  </si>
  <si>
    <t>4.3 x 2.8 meter</t>
  </si>
  <si>
    <t>4.3 x 2.8 meter; Tidak termasuk listrik; AC; Kasur; Meja; Lemari Baju; Kursi; Bantal; Cermin; Guling; Jendela; K. Mandi Dalam; Kloset Duduk; Shower; WiFi; R. Cuci; Kulkas; Penjaga Kos; R. Makan; R. Jemur; Dapur; TV; K. Mandi Luar; CCTV; Parkir Motor &amp; Sepeda</t>
  </si>
  <si>
    <t>Kost Singgahsini Petojo Selatan 3 Tipe A Cideng Jakarta Pusat</t>
  </si>
  <si>
    <t>2.5 x 2.2 meter</t>
  </si>
  <si>
    <t>2.5 x 2.2 meter; Tidak termasuk listrik; AC; Kasur; Lemari Baju; Bantal; Jendela; Kloset Duduk; K. Mandi Luar; Shower; WiFi; Kulkas; R. Tamu; R. Jemur; Dapur; CCTV; Parkir Sepeda</t>
  </si>
  <si>
    <t>Rp1.564.000</t>
  </si>
  <si>
    <t>Diskon 81rb</t>
  </si>
  <si>
    <t>Kost Singgahsini Miracle Petamburan II Tipe A Tanah Abang Jakarta Pusat</t>
  </si>
  <si>
    <t>3 x 2 meter; Tidak termasuk listrik; AC; Kasur; Lemari Baju; Bantal; Cermin; Jendela; K. Mandi Dalam; Kloset Duduk; Kloset Jongkok; Ember mandi; Shower; WiFi; Kulkas; R. Jemur; Dapur; Dispenser; Parkir Mobil; Parkir Motor; Parkir Sepeda; Parkir Motor &amp; Sepeda</t>
  </si>
  <si>
    <t>Kost Apik Kebon Kacang Tipe A Tanah Abang Jakarta Pusat</t>
  </si>
  <si>
    <t>3.2 x 2.8 meter; Termasuk listrik; Kasur; Meja; Lemari Baju; Kipas Angin; Bantal; Cermin; Guling; Jendela; Kloset Jongkok; K. Mandi Luar; Ember mandi; WiFi; R. Cuci; Kulkas; R. Tamu; R. Jemur; Dapur; Dispenser; TV; Parkir Motor; Parkir Sepeda</t>
  </si>
  <si>
    <t>Kost Apik Gunung Sahari XI Tipe A Sawah Besar Jakarta Pusat</t>
  </si>
  <si>
    <t>3.5 x 4 meter; Termasuk listrik; Kasur; Lemari Baju; Ventilasi; Wastafel; Bantal; Cermin; K. Mandi Dalam; Kloset Jongkok; WiFi; Kulkas; Penjaga Kos; R. Jemur; Dapur; K. Mandi Luar; Jemuran; Parkir Motor &amp; Sepeda</t>
  </si>
  <si>
    <t>Kost Apik Bugenvil Tipe G Kemayoran Jakarta Pusat</t>
  </si>
  <si>
    <t>3 x 3.5 meter; Tidak termasuk listrik; AC; Kasur; Meja; Lemari Baju; Jendela; Bantal; K. Mandi Dalam; Kloset Jongkok; Ember mandi; WiFi; Penjaga Kos; R. Jemur; Dapur; Rooftop; CCTV; Jemuran; Parkir Motor &amp; Sepeda</t>
  </si>
  <si>
    <t>Kost Singgahsini Palang Merah 7 Tipe A Cideng Jakarta Pusat</t>
  </si>
  <si>
    <t>6.2 x 3.2 meter</t>
  </si>
  <si>
    <t>6.2 x 3.2 meter; Tidak termasuk listrik; AC; Kasur; Meja; Lemari Baju; Bantal; Jendela; K. Mandi Dalam; Kloset Duduk; Wastafel; Shower; Air panas; WiFi; R. Tamu; Penjaga Kos; R. Makan; R. Jemur; Dapur; Balcon; Parkir Mobil; Parkir Motor &amp; Sepeda</t>
  </si>
  <si>
    <t>Kost Singgahsini Tanah Abang Tipe A Jakarta Pusat</t>
  </si>
  <si>
    <t>4 x 3.5 meter; Tidak termasuk listrik; AC; Kasur; Meja; Lemari Baju; Kursi; K. Mandi Dalam; Kloset Jongkok; Shower; WiFi; Kulkas; R. Tamu; Penjaga Kos; R. Jemur; Parkir Mobil; Parkir Motor; Parkir Sepeda; Parkir Motor &amp; Sepeda</t>
  </si>
  <si>
    <t>Kost Apik Aipda Petamburan Tipe C Tanah Abang Jakarta Pusat</t>
  </si>
  <si>
    <t>3 x 3 meter; Termasuk listrik; Kasur; Lemari Baju; Bantal; K. Mandi Dalam; Kloset Duduk; WiFi; Dapur; Parkir Motor; Parkir Sepeda</t>
  </si>
  <si>
    <t>Diskon 104rb</t>
  </si>
  <si>
    <t>Kost Singgahsini Dwi Warna 18A Tipe B Sawah Besar Jakarta Pusat</t>
  </si>
  <si>
    <t>2.9 x 2.1 meter</t>
  </si>
  <si>
    <t>2.9 x 2.1 meter; Tidak termasuk listrik; AC; Kasur; Meja; Lemari Baju; Kursi; Bantal; Cermin; Jendela; Kloset Jongkok; K. Mandi Luar; Ember mandi; WiFi; R. Cuci; Kulkas; Penjaga Kos; R. Makan; R. Jemur; Dapur; TV; CCTV; Parkir Motor &amp; Sepeda</t>
  </si>
  <si>
    <t>Kost Singgahsini Yulimar Petamburan 5 Tipe A Tanah Abang Jakarta Pusat</t>
  </si>
  <si>
    <t>2.5 x 3 meter; Tidak termasuk listrik; AC; Kasur; Lemari Baju; Ventilasi; Jendela; Bantal; Cermin; Guling; Kloset Duduk; Kloset Jongkok; K. Mandi Luar; Ember mandi; WiFi; R. Cuci; Kulkas; R. Tamu; Penjaga Kos; R. Jemur; Dapur; TV; Rice Cooker; Parkir Motor &amp; Sepeda</t>
  </si>
  <si>
    <t>Kost Singgahsini Vanela 15 Tipe C Menteng Jakarta Pusat</t>
  </si>
  <si>
    <t>3 x 3.5 meter; Tidak termasuk listrik; AC; Kasur; Meja; Dispenser; TV; Lemari Baju; Kulkas; Ventilasi; Kursi; Bantal; K. Mandi Dalam; Kloset Duduk; Wastafel; Shower; Air panas; WiFi; R. Cuci; Laundry; R. Jemur; Dapur; CCTV; Parkir Mobil; Parkir Motor; Parkir Sepeda; Parkir Motor &amp; Sepeda</t>
  </si>
  <si>
    <t>Kost Apik Prospera Living Tipe B Senen Jakarta Pusat</t>
  </si>
  <si>
    <t>3.2 x 2.7 meter; Tidak termasuk listrik; AC; Kasur; Meja; Lemari Baju; Kursi; Kloset Duduk; K. Mandi Luar; Ember mandi; WiFi; R. Cuci; Penjaga Kos; R. Jemur; Parkir Motor &amp; Sepeda</t>
  </si>
  <si>
    <t>Rp1.323.000</t>
  </si>
  <si>
    <t>Kost Apik Pondok Madani Tipe A Johar Baru Jakarta Pusat</t>
  </si>
  <si>
    <t>2.7 x 2.1 meter</t>
  </si>
  <si>
    <t>2.7 x 2.1 meter; Tidak termasuk listrik; AC; Kasur; Lemari Baju; Bantal; Cermin; Jendela; Kloset Jongkok; K. Mandi Luar; Ember mandi; WiFi; Penjaga Kos; Parkir Motor &amp; Sepeda</t>
  </si>
  <si>
    <t>Kost Singgahsini Batik Tipe B Bendungan Hilir Jakarta Pusat</t>
  </si>
  <si>
    <t>3 x 3 meter; Termasuk listrik; AC; Kasur; Meja; Lemari Baju; Kursi; Bantal; Cermin; Jendela; Kloset Duduk; K. Mandi Luar; Shower; Bak mandi; WiFi; R. Cuci; Kulkas; Laundry; R. Makan; Dapur; Parkir Mobil; Parkir Motor; Parkir Sepeda; Parkir Motor &amp; Sepeda</t>
  </si>
  <si>
    <t>Kost Singgahsini Greenhome Tipe A Bendungan Hilir Jakarta Pusat</t>
  </si>
  <si>
    <t>4.5 x 3.5 meter; Tidak termasuk listrik; AC; Kasur; Meja; TV; Lemari Baju; Kursi; K. Mandi Dalam; Kloset Duduk; Shower; Air panas; WiFi; Kulkas; R. Tamu; Penjaga Kos; Dapur; Dispenser; K. Mandi Luar; Parkir Mobil</t>
  </si>
  <si>
    <t>Rp3.375.000</t>
  </si>
  <si>
    <t>Kost Kelowna House Tipe A Sawah Besar Jakarta Pusat</t>
  </si>
  <si>
    <t>3 x 3 meter; Tidak termasuk listrik; AC; Kasur; Meja; TV; Lemari Baju; Bantal; Cermin; Guling; Jendela; Wastafel; K. Mandi Dalam; Kloset Duduk; Shower; Air panas; WiFi; Kulkas; Penjaga Kos; Dapur; CCTV; Kartu Akses; Pengurus Kos; Rooftop; Parkir Mobil; Parkir Motor</t>
  </si>
  <si>
    <t>Rp3.300.000</t>
  </si>
  <si>
    <t>Kost DENLI Residence Thamrin Tanah Abang Jakarta Pusat Tipe A Tanah Abang Jakarta Pusat</t>
  </si>
  <si>
    <t>3 x 3 meter; Termasuk listrik; AC; Kasur; Meja; TV; Meja Rias; Lemari Baju; Kulkas; Ventilasi; Kursi; Cleaning service; K. Mandi Dalam; Kloset Duduk; Wastafel; Shower; Air panas; WiFi; R. Cuci; R. Tamu; Mesin Cuci; Penjaga Kos; R. Makan; R. Jemur; R. Santai; Dapur; Parkir Mobil; Parkir Motor</t>
  </si>
  <si>
    <t>Kost Singgahsini Miracle Petamburan II Tipe B Tanah Abang Jakarta Pusat</t>
  </si>
  <si>
    <t>Kost Khaira Tipe Standar Kemayoran Jakarta Pusat</t>
  </si>
  <si>
    <t>3 x 3 meter; Tidak termasuk listrik; Kasur; Lemari Baju; Ventilasi; Bantal; Jendela; Kipas Angin; K. Mandi Dalam; Kloset Jongkok; Ember mandi; WiFi; R. Jemur; CCTV; Jemuran; Pengurus Kos; Parkir Motor; Parkir Sepeda</t>
  </si>
  <si>
    <t>Kost Singgahsini Alaya Pejompongan Tipe B Tanah Abang Jakarta Pusat</t>
  </si>
  <si>
    <t>2.1 x 2.5 meter</t>
  </si>
  <si>
    <t>2.1 x 2.5 meter; Termasuk listrik; AC; Kasur; Meja; Lemari Baju; Ventilasi; Kursi; Bantal; Cermin; Jendela; Kloset Duduk; K. Mandi Luar; Shower; WiFi; Kulkas; R. Tamu; Penjaga Kos; R. Makan; R. Jemur; Dapur; Dispenser; Jemuran; Parkir Mobil; Parkir Motor; Parkir Sepeda</t>
  </si>
  <si>
    <t>Rp1.393.000</t>
  </si>
  <si>
    <t>Diskon 72rb</t>
  </si>
  <si>
    <t>Kost Singgahsini Petojo Selatan 3 Tipe B Cideng Jakarta Pusat</t>
  </si>
  <si>
    <t>1.8 x 1.5 meter</t>
  </si>
  <si>
    <t>Rp1.505.000</t>
  </si>
  <si>
    <t>1.8 x 1.5 meter; Tidak termasuk listrik; AC; Kasur; Lemari Baju; Bantal; Kloset Duduk; K. Mandi Luar; Shower; WiFi; Kulkas; R. Tamu; R. Jemur; Dapur; CCTV; Parkir Sepeda</t>
  </si>
  <si>
    <t>Rp1.386.600</t>
  </si>
  <si>
    <t>Kost Singgahsini Dempo 9 Tipe A Menteng Jakarta Pusat</t>
  </si>
  <si>
    <t>Rp3.325.000</t>
  </si>
  <si>
    <t>5 x 5 meter; Termasuk listrik; AC; Kasur; Meja; Dispenser; Lemari Baju; Kulkas; Ventilasi; Kursi; Bantal; Cermin; K. Mandi Dalam; Kloset Duduk; Shower; WiFi; R. Tamu; R. Jemur; R. Santai; Dapur; CCTV; Parkir Mobil; Parkir Motor; Parkir Sepeda</t>
  </si>
  <si>
    <t>Rp3.160.000</t>
  </si>
  <si>
    <t>Kost Singgahsini D Parama Kelinci Raya Tipe A Sawah Besar Jakarta Pusat</t>
  </si>
  <si>
    <t>3.1 x 3.1 meter</t>
  </si>
  <si>
    <t>3.1 x 3.1 meter; Tidak termasuk listrik; AC; Kasur; Meja; TV; Lemari Baju; Kursi; Bantal; Cermin; Guling; Jendela; K. Mandi Dalam; Kloset Duduk; Wastafel; Shower; Air panas; WiFi; Kulkas; Penjaga Kos; R. Jemur; Dapur; Dispenser; CCTV; Parkir Mobil; Parkir Motor &amp; Sepeda</t>
  </si>
  <si>
    <t>Rp2.691.000</t>
  </si>
  <si>
    <t>Diskon 234rb</t>
  </si>
  <si>
    <t>Kost Apik Rawasari 29 Tipe A Cempaka Putih Jakarta Pusat</t>
  </si>
  <si>
    <t>3.1 x 2.8 meter; Tidak termasuk listrik; Kasur; Lemari Baju; Guling; Bantal; K. Mandi Dalam; Kloset Jongkok; Ember mandi; WiFi; Parkir Motor &amp; Sepeda</t>
  </si>
  <si>
    <t>Diskon 108rb</t>
  </si>
  <si>
    <t>Kost Singgahsini Beranda Kanaya Tipe A Senen Jakarta Pusat</t>
  </si>
  <si>
    <t>4.1 x 3.4 meter</t>
  </si>
  <si>
    <t>4.1 x 3.4 meter; Tidak termasuk listrik; AC; Kasur; Meja; Lemari Baju; Kursi; Bantal; Cermin; Guling; Jendela; K. Mandi Dalam; Kloset Duduk; Shower; WiFi; Kulkas; R. Tamu; Penjaga Kos; R. Makan; Dapur; Taman; CCTV; Parkir Motor &amp; Sepeda</t>
  </si>
  <si>
    <t>Kost Apik Kebon Kacang Tipe B Tanah Abang Jakarta Pusat</t>
  </si>
  <si>
    <t>Kost Singgahsini Dempo 9 Tipe D Menteng Jakarta Pusat</t>
  </si>
  <si>
    <t>3.6 x 2.8 meter</t>
  </si>
  <si>
    <t>3.6 x 2.8 meter; Termasuk listrik; Kasur; Meja; Lemari Baju; Ventilasi; Kursi; Kipas Angin; Bantal; Jendela; K. Mandi Dalam; Kloset Duduk; WiFi; Kulkas; R. Tamu; R. Jemur; R. Santai; Dapur; Dispenser; CCTV; Parkir Mobil; Parkir Motor; Parkir Sepeda</t>
  </si>
  <si>
    <t>Rp1.782.500</t>
  </si>
  <si>
    <t>Kost Singgahsini Anisa Kebon Kacang 6 Tipe C Tanah Abang Jakarta Pusat</t>
  </si>
  <si>
    <t>3 x 3.5 meter; Tidak termasuk listrik; AC; Kasur; Meja; Lemari Baju; Ventilasi; Kursi; Bantal; Guling; Jendela; K. Mandi Dalam; Kloset Duduk; Wastafel; Shower; WiFi; R. Tamu; Penjaga Kos; R. Makan; R. Jemur; Dapur; CCTV; Parkir Mobil; Parkir Motor</t>
  </si>
  <si>
    <t>Rp2.575.000</t>
  </si>
  <si>
    <t>Kost Apik Bangau V Tipe A Kemayoran Jakarta Pusat</t>
  </si>
  <si>
    <t>4.0 x 2.5 meter</t>
  </si>
  <si>
    <t>4.0 x 2.5 meter; Tidak termasuk listrik; AC; Kasur; Meja; Lemari Baju; Kursi; Bantal; Cermin; Jendela; Kloset Duduk; K. Mandi Luar; Shower; WiFi; R. Cuci; Kulkas; Mesin Cuci; R. Jemur; Dapur; CCTV; Jemuran; Parkir Motor; Parkir Sepeda</t>
  </si>
  <si>
    <t>Kost Singgahsini Laura Tipe C Kemayoran Jakarta Pusat</t>
  </si>
  <si>
    <t>2.5 x 2.5 meter; Tidak termasuk listrik; AC; Kasur; Meja; Lemari Baju; Ventilasi; Kursi; Bantal; Guling; Kloset Duduk; K. Mandi Luar; Shower; WiFi; R. Tamu; Penjaga Kos; R. Jemur; CCTV; Parkir Motor &amp; Sepeda</t>
  </si>
  <si>
    <t>Kost Singgahsini Kepu 66 Tipe B Kemayoran Jakarta Pusat</t>
  </si>
  <si>
    <t>2.7 x 2.5 meter</t>
  </si>
  <si>
    <t>2.7 x 2.5 meter; Termasuk listrik; AC; Kasur; Lemari Baju; Ventilasi; Bantal; Cermin; Kloset Duduk; K. Mandi Luar; Wastafel; Ember mandi; Shower; Air panas; Bak mandi; WiFi; Penjaga Kos; R. Jemur; Jemuran; Parkir Motor &amp; Sepeda</t>
  </si>
  <si>
    <t>Kost Singgahsini Kepu 66 Tipe D Kemayoran Jakarta Pusat</t>
  </si>
  <si>
    <t>3 x 2.5 meter; Tidak termasuk listrik; AC; Kasur; Lemari Baju; Ventilasi; Bantal; Cermin; Kloset Duduk; K. Mandi Luar; Shower; WiFi; Penjaga Kos; R. Jemur; Jemuran; Parkir Motor &amp; Sepeda</t>
  </si>
  <si>
    <t>Rp1.260.000</t>
  </si>
  <si>
    <t>Diskon 65rb</t>
  </si>
  <si>
    <t>Kost Cozy Coliving Roxy Jembatan Lima Tipe Exclusive Hook Gambir Jakarta Pusat</t>
  </si>
  <si>
    <t>3 x 3.5 meter; Tidak termasuk listrik; AC; Kasur; Dispenser; Meja; TV; Lemari Baju; Bantal; Cermin; Cleaning service; Jendela; K. Mandi Dalam; Kloset Duduk; Wastafel; Shower; Air panas; WiFi; Kulkas; R. Cuci; Laundry; Penjaga Kos; R. Tamu; R. Jemur; R. Makan; R. Santai; Dapur; Parkir Motor</t>
  </si>
  <si>
    <t>Kost Apik 89G Kwitang Tipe D Senen Jakarta Pusat</t>
  </si>
  <si>
    <t>3 x 1.5 meter</t>
  </si>
  <si>
    <t>3 x 1.5 meter; Termasuk listrik; Kasur; Meja; Lemari Baju; Kursi; Kipas Angin; Bantal; Kloset Duduk; Kloset Jongkok; K. Mandi Luar; Ember mandi; Shower; Bak mandi; WiFi; Kulkas; R. Tamu; Penjaga Kos; R. Jemur; Dapur; TV; Parkir Motor; Parkir Sepeda</t>
  </si>
  <si>
    <t>Kost Singgahsini Blueberry 1 Tipe C Sawah Besar Jakarta Pusat</t>
  </si>
  <si>
    <t>4.2 x 3 meter</t>
  </si>
  <si>
    <t>4.2 x 3 meter; Tidak termasuk listrik; AC; Kasur; Meja; TV; Lemari Baju; Kursi; Bantal; Cermin; K. Mandi Dalam; Kloset Duduk; Wastafel; Shower; Air panas; WiFi; R. Tamu; Dapur; CCTV; Parkir Mobil; Parkir Motor</t>
  </si>
  <si>
    <t>Kost Apik GBU Houseroom Tipe A Kemayoran Jakarta Pusat</t>
  </si>
  <si>
    <t>3.5 x 3.5 meter; Tidak termasuk listrik; AC; Kasur; Meja; Lemari Baju; Kursi; Bantal; Cermin; Guling; Jendela; K. Mandi Dalam; Kloset Duduk; Wastafel; Shower; Air panas; WiFi; R. Cuci; R. Tamu; Penjaga Kos; Laundry; Dapur; Parkir Mobil; Parkir Motor; Parkir Sepeda; Parkir Motor &amp; Sepeda</t>
  </si>
  <si>
    <t>Kost Cozy Coliving Raden Saleh Deluxe Window Menteng Jakarta Pusat</t>
  </si>
  <si>
    <t>3 x 4 meter; Tidak termasuk listrik; AC; Kasur; Meja; TV; Kursi; K. Mandi Dalam; Kloset Duduk; Air panas; Kulkas; R. Santai; Dapur</t>
  </si>
  <si>
    <t>Rp4.000.000</t>
  </si>
  <si>
    <t>Kost Singgahsini Suryopranoto Petojo Tipe B Gambir Jakarta Pusat</t>
  </si>
  <si>
    <t>3 x 3 meter; Tidak termasuk listrik; AC; Kasur; Meja; Lemari Baju; Kursi; Bantal; Cermin; Jendela; K. Mandi Dalam; Kloset Duduk; Shower; Air panas; WiFi; R. Cuci; Penjaga Kos; R. Jemur; Dapur; K. Mandi Luar; Rooftop; Parkir Mobil; Parkir Motor &amp; Sepeda</t>
  </si>
  <si>
    <t>Kost Apik Kramat Tipe B Johar Baru Jakarta Pusat</t>
  </si>
  <si>
    <t>3 x 3 meter; Tidak termasuk listrik; AC; Kasur; Lemari Baju; Ventilasi; Bantal; Guling; Jendela; K. Mandi Dalam; K. Mandi Luar; Ember mandi; WiFi; R. Tamu; R. Makan; R. Jemur; Dapur; Parkir Mobil; Parkir Motor; Parkir Motor &amp; Sepeda</t>
  </si>
  <si>
    <t>Kost Singgahsini Widuri Bendungan Hilir Tipe B Tanah Abang Jakarta Pusat</t>
  </si>
  <si>
    <t>4 x 3 meter; Tidak termasuk listrik; AC; Kasur; Meja; Lemari Baju; Kursi; Bantal; Guling; Jendela; Kloset Duduk; K. Mandi Luar; Shower; WiFi; Kulkas; R. Tamu; Laundry; R. Jemur; Dapur; Dispenser; CCTV; Parkir Mobil; Parkir Sepeda; Parkir Motor &amp; Sepeda</t>
  </si>
  <si>
    <t>Kost Singgahsini Mutiara 16B Tipe B Sumur Batu Jakarta Pusat</t>
  </si>
  <si>
    <t>2.5 x 2.0 meter</t>
  </si>
  <si>
    <t>2.5 x 2.0 meter; Tidak termasuk listrik; AC; Kasur; Meja; Lemari Baju; Ventilasi; Kursi; Bantal; Cermin; Jendela; Kloset Duduk; Kloset Jongkok; K. Mandi Luar; Ember mandi; Shower; WiFi; Dapur; Jemuran; Parkir Mobil; Parkir Sepeda; Parkir Motor &amp; Sepeda</t>
  </si>
  <si>
    <t>Kost Joyo Cempaka Putih Jakarta Pusat</t>
  </si>
  <si>
    <t>3 x 3 meter; Tidak termasuk listrik; AC; Kasur; Meja; TV; Lemari Baju; Ventilasi; Kursi; Cleaning service; TV Kabel; Sofa; K. Mandi Dalam; Kloset Duduk; Shower; Air panas; WiFi; Kulkas; R. Tamu; Penjaga Kos; Mesin Cuci; R. Makan; R. Santai; Dapur; Taman; Parkir Mobil; Parkir Motor; Parkir Sepeda</t>
  </si>
  <si>
    <t>Kost Apik Nabila Tipe B Cempaka Putih Jakarta Pusat</t>
  </si>
  <si>
    <t>3.2 x 3.2 meter; Tidak termasuk listrik; Kasur; Lemari Baju; Ventilasi; Bantal; Jendela; K. Mandi Dalam; Kloset Jongkok; WiFi; R. Tamu; Penjaga Kos; R. Jemur; Jemuran; Parkir Motor &amp; Sepeda</t>
  </si>
  <si>
    <t>Kecamatan Cempaka Putih</t>
  </si>
  <si>
    <t>Kost Singgahsini Sofia Thamrin Tipe C Tanah Abang Jakarta Pusat</t>
  </si>
  <si>
    <t>3.5 x 2.7 meter; Tidak termasuk listrik; AC; Kasur; Meja; Lemari Baju; Kursi; Jendela; Bantal; K. Mandi Dalam; Kloset Duduk; Shower; WiFi; R. Tamu; Penjaga Kos; Dapur; CCTV; Rooftop; Parkir Mobil; Parkir Motor &amp; Sepeda</t>
  </si>
  <si>
    <t>Kost Apik R Sari Tipe A Cempaka Putih Jakarta Pusat</t>
  </si>
  <si>
    <t>Rp807.500</t>
  </si>
  <si>
    <t>Diskon 43rb</t>
  </si>
  <si>
    <t>Kost Singgahsini Kramat Kwitang 30 Tipe B Senen Jakarta Pusat</t>
  </si>
  <si>
    <t>2.2 x 2.1 meter</t>
  </si>
  <si>
    <t>2.2 x 2.1 meter; Termasuk listrik; AC; Kasur; Meja; Lemari Baju; Bantal; Kloset Duduk; K. Mandi Luar; Ember mandi; Shower; WiFi; Kulkas; R. Jemur; CCTV; Parkir Motor; Parkir Sepeda; Parkir Motor &amp; Sepeda</t>
  </si>
  <si>
    <t>Rp1.495.000</t>
  </si>
  <si>
    <t>Kost Singgahsini Bella Vita Tipe B Salemba Jakarta Pusat</t>
  </si>
  <si>
    <t>4 x 3 meter; Tidak termasuk listrik; AC; Kasur; Lemari Baju; Kursi; Wastafel; Bantal; Cermin; Guling; Jendela; K. Mandi Dalam; Kloset Duduk; Shower; WiFi; R. Tamu; Penjaga Kos; R. Jemur; Dispenser; CCTV; Rooftop; Parkir Motor &amp; Sepeda</t>
  </si>
  <si>
    <t>Kost Cikini Cozy Coliving Deluxe Window Menteng Jakarta Pusat</t>
  </si>
  <si>
    <t>3 x 4 meter; Tidak termasuk listrik; AC; Kasur; Meja; TV; Kulkas; Lemari Baju; Bantal; Cermin; Cleaning service; Jendela; K. Mandi Dalam; Kloset Duduk; Wastafel; Shower; Air panas; WiFi; R. Cuci; Laundry; Penjaga Kos; R. Tamu; R. Jemur; R. Makan; R. Santai; Dapur; Parkir Mobil; Parkir Motor</t>
  </si>
  <si>
    <t>Kost Singgahsini Palang Merah 7 Tipe B Cideng Jakarta Pusat</t>
  </si>
  <si>
    <t>3 x 5 meter; Tidak termasuk listrik; AC; Kasur; Meja; Lemari Baju; Bantal; Jendela; K. Mandi Dalam; Kloset Duduk; Wastafel; Shower; Air panas; WiFi; R. Tamu; Penjaga Kos; R. Makan; R. Jemur; Dapur; Balcon; Parkir Mobil; Parkir Motor &amp; Sepeda</t>
  </si>
  <si>
    <t>Kost Apik Lia Tipe A Sawah Besar Jakarta Pusat</t>
  </si>
  <si>
    <t>3 x 3 meter; Termasuk listrik; Kasur; Lemari Baju; Wastafel; Kipas Angin; Bantal; Guling; Jendela; Kloset Jongkok; K. Mandi Luar; Ember mandi; Shower; Bak mandi; WiFi; R. Cuci; R. Tamu; Penjaga Kos; Dapur; Parkir Mobil; Parkir Motor; Parkir Sepeda; Parkir Motor &amp; Sepeda</t>
  </si>
  <si>
    <t>Rp1.045.000</t>
  </si>
  <si>
    <t>Kost Karang Anyar Cherry Residence Tipe B Sawah Besar Jakarta Pusat</t>
  </si>
  <si>
    <t>2.5 x 3 meter; Tidak termasuk listrik; AC; Kasur; Meja; Dispenser; Lemari Baju; Kulkas; Kursi; Wastafel; K. Mandi Dalam; Kloset Jongkok; K. Mandi Luar; Ember mandi; Shower; WiFi; R. Cuci; R. Tamu; Penjaga Kos; Laundry; R. Makan; R. Jemur; R. Santai; Dapur; Parkir Motor; Parkir Sepeda</t>
  </si>
  <si>
    <t>Kost Apik Bugenvil Tipe F Kemayoran Jakarta Pusat</t>
  </si>
  <si>
    <t>3 x 3.4 meter</t>
  </si>
  <si>
    <t>3 x 3.4 meter; Tidak termasuk listrik; AC; Kasur; Meja; Lemari Baju; Jendela; Bantal; Kloset Duduk; K. Mandi Luar; Ember mandi; Shower; WiFi; Penjaga Kos; R. Jemur; Dapur; Rooftop; TV; CCTV; Jemuran; Parkir Motor &amp; Sepeda</t>
  </si>
  <si>
    <t>Kost Apik Tiga Nur Tipe B Senen Jakarta Pusat</t>
  </si>
  <si>
    <t>3 x 4 meter; Termasuk listrik; AC; Kasur; Meja; Lemari Baju; Kursi; Bantal; Jendela; K. Mandi Dalam; Kloset Duduk; Bak mandi; WiFi; R. Tamu; Penjaga Kos; Parkir Motor &amp; Sepeda</t>
  </si>
  <si>
    <t>Kost Qinoy Johar Baru Jakarta Pusat</t>
  </si>
  <si>
    <t>3 x 4 meter; Termasuk listrik; Kasur; Lemari Baju; Bantal; Guling; Jendela; Kipas Angin; K. Mandi Dalam; Kloset Jongkok; K. Mandi Luar; Ember mandi; Wastafel; WiFi; Kulkas; Mesin Cuci; Penjaga Kos; Dapur; Balcon; CCTV; Jemuran; Rice Cooker; Parkir Motor</t>
  </si>
  <si>
    <t>Kecamatan Johar Baru</t>
  </si>
  <si>
    <t>Kost Apik Kramat Tipe D Johar Baru Jakarta Pusat</t>
  </si>
  <si>
    <t>3 x 3 meter; Tidak termasuk listrik; Kasur; Lemari Baju; Ventilasi; Bantal; Guling; Jendela; Kloset Jongkok; K. Mandi Luar; Ember mandi; WiFi; R. Tamu; R. Makan; R. Jemur; Dapur; Parkir Mobil; Parkir Motor; Parkir Motor &amp; Sepeda</t>
  </si>
  <si>
    <t>Kost Singgahsini Ono Tipe A Cempaka Putih Jakarta Pusat</t>
  </si>
  <si>
    <t>3.6 x 2.8 meter; Tidak termasuk listrik; Kasur; Meja; Lemari Baju; Ventilasi; Kursi; Kipas Angin; Bantal; Cermin; Guling; Jendela; K. Mandi Dalam; Kloset Duduk; Shower; WiFi; R. Tamu; R. Jemur; Dapur; Parkir Motor &amp; Sepeda</t>
  </si>
  <si>
    <t>Kost Apik 33 Cempaka Baru Tipe B Kemayoran Jakarta Pusat</t>
  </si>
  <si>
    <t>3 x 4 meter; Tidak termasuk listrik; AC; Kasur; Meja; Lemari Baju; Kursi; Kipas Angin; Jendela; Kloset Duduk; K. Mandi Luar; WiFi; R. Tamu; R. Jemur; Dapur; CCTV; Parkir Motor; Parkir Sepeda</t>
  </si>
  <si>
    <t>Kost Apik 28 Tipe A Kemayoran Jakarta Pusat</t>
  </si>
  <si>
    <t>2.4 x 3.3 meter</t>
  </si>
  <si>
    <t>2.4 x 3.3 meter; Tidak termasuk listrik; AC; Kasur; Lemari Baju; Jendela; Bantal; Kloset Duduk; K. Mandi Luar; Shower; WiFi; R. Cuci; Penjaga Kos; R. Jemur; Dapur; CCTV; Parkir Motor &amp; Sepeda</t>
  </si>
  <si>
    <t>Kost Singgahsini Greenhome Tipe B Bendungan Hilir Jakarta Pusat</t>
  </si>
  <si>
    <t>4 x 3 meter; Tidak termasuk listrik; AC; Kasur; Meja; TV; Lemari Baju; Kursi; K. Mandi Dalam; Kloset Duduk; Shower; Air panas; WiFi; Kulkas; R. Tamu; Penjaga Kos; Dapur; Dispenser; K. Mandi Luar; Parkir Mobil</t>
  </si>
  <si>
    <t>Rp3.175.000</t>
  </si>
  <si>
    <t>Kost Apik Nabila Tipe C Cempaka Putih Jakarta Pusat</t>
  </si>
  <si>
    <t>3 x 2 meter; Tidak termasuk listrik; Kasur; Lemari Baju; Ventilasi; Bantal; Jendela; K. Mandi Dalam; Kloset Jongkok; WiFi; R. Tamu; Penjaga Kos; R. Jemur; Jemuran; Parkir Motor &amp; Sepeda</t>
  </si>
  <si>
    <t>Kost Apik Pondok Sagre Kepu Tipe D Senen Jakarta Pusat</t>
  </si>
  <si>
    <t>Rp1.665.000</t>
  </si>
  <si>
    <t>2.5 x 3.2 meter; Tidak termasuk listrik; AC; Kasur; Lemari Baju; Ventilasi; Bantal; Jendela; Kloset Jongkok; K. Mandi Luar; Shower; WiFi; R. Jemur; Dapur; CCTV; Parkir Motor; Parkir Sepeda</t>
  </si>
  <si>
    <t>Rp1.583.000</t>
  </si>
  <si>
    <t>Diskon 82rb</t>
  </si>
  <si>
    <t>Kost Joyo Signature Tipe Standard Cempaka Putih Jakarta Pusat</t>
  </si>
  <si>
    <t>3 x 3 meter; Tidak termasuk listrik; AC; Kasur; Meja; TV; Lemari Baju; Bantal; Cermin; Jendela; Kursi; TV Kabel; K. Mandi Dalam; Kloset Duduk; Wastafel; Shower; Air panas; WiFi; Kulkas; Mesin Cuci; Penjaga Kos; R. Makan; R. Santai; Dapur; Dispenser; Balcon; CCTV; Parkir Mobil; Parkir Motor; Parkir Sepeda; Parkir Motor &amp; Sepeda</t>
  </si>
  <si>
    <t>Kost Apik Kramat Tipe C Johar Baru Jakarta Pusat</t>
  </si>
  <si>
    <t>3 x 3 meter; Tidak termasuk listrik; Kasur; Lemari Baju; Ventilasi; Bantal; Guling; Jendela; K. Mandi Dalam; Kloset Jongkok; Ember mandi; WiFi; R. Tamu; R. Makan; R. Jemur; Dapur; K. Mandi Luar; Parkir Mobil; Parkir Motor; Parkir Motor &amp; Sepeda</t>
  </si>
  <si>
    <t>Rp1.357.500</t>
  </si>
  <si>
    <t>Kost Apik Bugenvil Tipe B Kemayoran Jakarta Pusat</t>
  </si>
  <si>
    <t>3 x 4 meter; Tidak termasuk listrik; AC; Kasur; Meja; Lemari Baju; Jendela; Bantal; Cermin; K. Mandi Dalam; Kloset Duduk; Ember mandi; Shower; WiFi; Penjaga Kos; R. Jemur; Dapur; Rooftop; CCTV; Jemuran; Parkir Motor &amp; Sepeda</t>
  </si>
  <si>
    <t>Kost Cikini Cozy Coliving Deluxe Menteng Jakarta Pusat</t>
  </si>
  <si>
    <t>3 x 4 meter; Tidak termasuk listrik; AC; Kasur; Meja; TV; Lemari Baju; Kulkas; Ventilasi; Bantal; Cermin; Cleaning service; K. Mandi Dalam; Kloset Duduk; Wastafel; Shower; Air panas; WiFi; R. Cuci; Laundry; Penjaga Kos; R. Tamu; R. Jemur; R. Makan; R. Santai; Dapur; Parkir Mobil; Parkir Motor</t>
  </si>
  <si>
    <t>Rp3.750.000</t>
  </si>
  <si>
    <t>Kost Apik Gunung Sahari XI Tipe B Sawah Besar Jakarta Pusat</t>
  </si>
  <si>
    <t>2.5 x 2.5 meter; Termasuk listrik; Kasur; Lemari Baju; Ventilasi; Bantal; Cermin; Kloset Jongkok; K. Mandi Luar; Ember mandi; Bak mandi; WiFi; Kulkas; Penjaga Kos; R. Jemur; Dapur; Jemuran; Parkir Motor &amp; Sepeda</t>
  </si>
  <si>
    <t>Kost Singgahsini Blueberry 1 Tipe B Sawah Besar Jakarta Pusat</t>
  </si>
  <si>
    <t>4.2 x 3.5 meter</t>
  </si>
  <si>
    <t>4.2 x 3.5 meter; Tidak termasuk listrik; AC; Kasur; Meja; TV; Lemari Baju; Ventilasi; Kursi; Bantal; Cermin; K. Mandi Dalam; Kloset Duduk; Wastafel; Shower; Air panas; WiFi; R. Tamu; Dapur; CCTV; Parkir Mobil; Parkir Motor</t>
  </si>
  <si>
    <t>Kost Singgahsini Kanaya Tipe D Cempaka Putih Jakarta Pusat</t>
  </si>
  <si>
    <t>Rp2.625.000</t>
  </si>
  <si>
    <t>3.7 x 2.8 meter; Tidak termasuk listrik; AC; Kasur; Meja; Lemari Baju; Ventilasi; Kursi; Bantal; Cermin; Guling; Jendela; K. Mandi Dalam; Kloset Duduk; Shower; WiFi; Kulkas; R. Tamu; R. Makan; Dapur; Dispenser; TV; CCTV; Parkir Mobil; Parkir Motor; Parkir Sepeda</t>
  </si>
  <si>
    <t>Rp2.495.000</t>
  </si>
  <si>
    <t>Kost Apik Pondok Sagre Kepu Tipe A Senen Jakarta Pusat</t>
  </si>
  <si>
    <t>Rp1.265.000</t>
  </si>
  <si>
    <t>Rp1.203.000</t>
  </si>
  <si>
    <t>Kost Cikini Cozy Coliving Exclusive Menteng Jakarta Pusat</t>
  </si>
  <si>
    <t>3 x 4 meter; Tidak termasuk listrik; AC; Kasur; Dispenser; Meja; Meja Rias; TV; Kulkas; Lemari Baju; Ventilasi; Bantal; K. Mandi Dalam; Kloset Duduk; Wastafel; Shower; Air panas; WiFi; R. Cuci; Laundry; Penjaga Kos; R. Tamu; R. Jemur; R. Makan; R. Santai; Dapur; Parkir Mobil; Parkir Motor</t>
  </si>
  <si>
    <t>Rp4.250.000</t>
  </si>
  <si>
    <t>Kost Singgahsini Kramat Kwitang 30 Tipe A Senen Jakarta Pusat</t>
  </si>
  <si>
    <t>2.7 x 4.3 meter</t>
  </si>
  <si>
    <t>2.7 x 4.3 meter; Termasuk listrik; AC; Kasur; Meja; Lemari Baju; Bantal; Guling; K. Mandi Dalam; Kloset Duduk; Ember mandi; Shower; WiFi; Kulkas; R. Jemur; CCTV; Parkir Motor; Parkir Sepeda; Parkir Motor &amp; Sepeda</t>
  </si>
  <si>
    <t>Rp1.805.000</t>
  </si>
  <si>
    <t>Kost Apik GBU Houseroom Tipe C Kemayoran Jakarta Pusat</t>
  </si>
  <si>
    <t>3.5 x 3.5 meter; Tidak termasuk listrik; AC; Kasur; Meja; Lemari Baju; Kursi; Bantal; Dapur Pribadi; Guling; Jendela; K. Mandi Dalam; Kloset Duduk; Kloset Jongkok; K. Mandi Luar; Wastafel; Shower; Air panas; WiFi; R. Cuci; R. Tamu; Penjaga Kos; Laundry; Dapur; Parkir Mobil; Parkir Motor; Parkir Sepeda; Parkir Motor &amp; Sepeda</t>
  </si>
  <si>
    <t>Rp1.187.500</t>
  </si>
  <si>
    <t>Kost Singgahsini Baitussalam Tipe A Kemayoran Jakarta Pusat</t>
  </si>
  <si>
    <t>3.9 x 3 meter</t>
  </si>
  <si>
    <t>3.9 x 3 meter; Tidak termasuk listrik; AC; Kasur; Lemari Baju; Jendela; Bantal; Guling; K. Mandi Dalam; Kloset Duduk; Shower; WiFi; Kulkas; R. Tamu; Penjaga Kos; R. Jemur; Dapur; Dispenser; Rooftop; Parkir Motor &amp; Sepeda</t>
  </si>
  <si>
    <t>Kost Apik Aura Kwitang Tipe A Senen Jakarta Pusat</t>
  </si>
  <si>
    <t>2 x 2.5 meter; Termasuk listrik; AC; Kasur; Meja; Lemari Baju; Kursi; Bantal; Guling; Kloset Duduk; K. Mandi Luar; Ember mandi; Shower; WiFi; R. Jemur; Parkir Motor &amp; Sepeda</t>
  </si>
  <si>
    <t>Kost Singgahsini Elani Residence Tipe B Senen Jakarta Pusat</t>
  </si>
  <si>
    <t>3.5 x 3 meter; Termasuk listrik; AC; Kasur; Meja; TV; Lemari Baju; Kursi; Bantal; Cermin; Jendela; K. Mandi Dalam; Kloset Duduk; Wastafel; Shower; Air panas; WiFi; Kulkas; R. Tamu; R. Santai; Dapur; Dispenser; Locker; K. Mandi Luar; Parkir Mobil; Parkir Motor; Parkir Sepeda; Parkir Motor &amp; Sepeda</t>
  </si>
  <si>
    <t>Rp2.113.750</t>
  </si>
  <si>
    <t>Diskon 111rb</t>
  </si>
  <si>
    <t>Kost Singgahsini Rumah Sagre Tipe C Cempaka Putih Jakarta Pusat</t>
  </si>
  <si>
    <t>3.5 x 6 meter</t>
  </si>
  <si>
    <t>3.5 x 6 meter; Termasuk listrik; AC; Kasur; Meja; Lemari Baju; Kulkas; Ventilasi; Kursi; Bantal; Jendela; K. Mandi Dalam; Kloset Duduk; Wastafel; Shower; Air panas; WiFi; R. Tamu; R. Makan; Dapur; Dispenser; K. Mandi Luar; CCTV; Parkir Mobil; Parkir Motor; Parkir Sepeda</t>
  </si>
  <si>
    <t>Rp3.815.000</t>
  </si>
  <si>
    <t>Kost Singgahsini Hygge Hus Kampung Bali Tipe B Tanah Abang Jakarta Pusat</t>
  </si>
  <si>
    <t>4 x 2 meter; Tidak termasuk listrik; AC; Kasur; Meja; TV; Lemari Baju; Kursi; Bantal; Cermin; Guling; Jendela; K. Mandi Dalam; Kloset Duduk; Shower; WiFi; R. Cuci; Kulkas; R. Tamu; Penjaga Kos; R. Jemur; Dapur; Dispenser; Rice Cooker; Parkir Mobil; Parkir Motor &amp; Sepeda</t>
  </si>
  <si>
    <t>Kost Singgahsini Elani Residence Tipe C Senen Jakarta Pusat</t>
  </si>
  <si>
    <t>3.5 x 3 meter; Termasuk listrik; AC; Kasur; Meja; TV; Kursi; Bantal; Cermin; Guling; Jendela; K. Mandi Dalam; Kloset Duduk; Wastafel; Shower; Air panas; WiFi; Kulkas; R. Tamu; R. Santai; Dapur; Dispenser; Locker; K. Mandi Luar; Parkir Mobil; Parkir Motor; Parkir Sepeda; Parkir Motor &amp; Sepeda</t>
  </si>
  <si>
    <t>Rp2.921.250</t>
  </si>
  <si>
    <t>Diskon 154rb</t>
  </si>
  <si>
    <t>Kost Kemakmuran Residence Gambir Jakarta Pusat</t>
  </si>
  <si>
    <t>3 x 3 meter; Tidak termasuk listrik; AC; Kasur; Meja; TV; Lemari Baju; Kursi; Cleaning service; Bantal; K. Mandi Dalam; Kloset Duduk; Wastafel; Shower; Air panas; WiFi; Dapur; CCTV; Jemuran; Parkir Motor</t>
  </si>
  <si>
    <t>Kost Singgahsini Bella Vita Tipe A Salemba Jakarta Pusat</t>
  </si>
  <si>
    <t>Rp2.725.000</t>
  </si>
  <si>
    <t>4 x 3 meter; Tidak termasuk listrik; AC; Kasur; Meja; TV; Lemari Baju; Ventilasi; Kursi; Wastafel; Bantal; Cermin; K. Mandi Dalam; Kloset Duduk; Shower; WiFi; R. Tamu; Penjaga Kos; R. Jemur; Dispenser; CCTV; Rooftop; Parkir Motor &amp; Sepeda</t>
  </si>
  <si>
    <t>Rp2.509.000</t>
  </si>
  <si>
    <t>Kost Singgahsini Vanela 15 Tipe B Menteng Jakarta Pusat</t>
  </si>
  <si>
    <t>Rp3.095.000</t>
  </si>
  <si>
    <t>Kost Singgahsini Anisa Kebon Kacang 6 Tipe E Tanah Abang Jakarta Pusat</t>
  </si>
  <si>
    <t>3 x 2.5 meter; Tidak termasuk listrik; AC; Kasur; Meja; Lemari Baju; Kursi; Bantal; Guling; Jendela; K. Mandi Dalam; Kloset Duduk; Wastafel; Shower; WiFi; R. Tamu; Penjaga Kos; R. Makan; R. Jemur; Dapur; CCTV; Parkir Mobil; Parkir Motor</t>
  </si>
  <si>
    <t>Diskon 107rb</t>
  </si>
  <si>
    <t>Kost Singgahsini Sofia Thamrin Tipe D Tanah Abang Jakarta Pusat</t>
  </si>
  <si>
    <t>3 x 3 meter; Tidak termasuk listrik; AC; Kasur; Meja; Lemari Baju; Kursi; Jendela; Bantal; Cermin; K. Mandi Dalam; Kloset Duduk; Shower</t>
  </si>
  <si>
    <t>Kost Singgahsini Vanela 8 Benhil Tipe C Tanah Abang Jakarta Pusat</t>
  </si>
  <si>
    <t>Rp2.545.000</t>
  </si>
  <si>
    <t>2.5 x 2.5 meter; Tidak termasuk listrik; AC; Kasur; Meja; Lemari Baju; Ventilasi; Kursi; Bantal; Cermin; Guling; Jendela; K. Mandi Dalam; Kloset Duduk; Shower; Air panas; WiFi; Kulkas; R. Tamu; Penjaga Kos; Dapur; Dispenser; CCTV; Parkir Motor &amp; Sepeda</t>
  </si>
  <si>
    <t>Rp2.295.000</t>
  </si>
  <si>
    <t>Kost Singgahsini Vanela 15 Tipe A Menteng Jakarta Pusat</t>
  </si>
  <si>
    <t>Rp3.205.000</t>
  </si>
  <si>
    <t>Kost Le Paseban Superior Senen Jakarta Pusat</t>
  </si>
  <si>
    <t>3 x 3 meter; Tidak termasuk listrik; AC; Kasur; Meja; TV; Kulkas; Lemari Baju; Ventilasi; Bantal; Cermin; Cleaning service; K. Mandi Dalam; Kloset Duduk; Wastafel; Shower; Air panas; WiFi; R. Cuci; Mesin Cuci; Penjaga Kos; R. Tamu; R. Jemur; R. Santai; Dapur; Dispenser; Parkir Motor</t>
  </si>
  <si>
    <t>Rp2.999.000</t>
  </si>
  <si>
    <t>Kost Singgahsini Rumah Sagre Tipe A Cempaka Putih Jakarta Pusat</t>
  </si>
  <si>
    <t>3.5 x 4.5 meter; Termasuk listrik; AC; Kasur; Meja; Lemari Baju; Kulkas; Ventilasi; Kursi; Bantal; Jendela; K. Mandi Dalam; Kloset Duduk; Wastafel; Shower; Air panas; WiFi; R. Tamu; R. Makan; Dapur; Dispenser; K. Mandi Luar; CCTV; Parkir Mobil; Parkir Motor; Parkir Sepeda</t>
  </si>
  <si>
    <t>Rp2.985.000</t>
  </si>
  <si>
    <t>Kost Singgahsini Nest Cikini Tipe B Menteng Jakarta Pusat</t>
  </si>
  <si>
    <t>3 x 2.5 meter; Tidak termasuk listrik; AC; Kasur; Meja; TV; Lemari Baju; Ventilasi; Bantal; Cermin; Guling; Kloset Duduk; K. Mandi Luar; Ember mandi; Shower; WiFi; Kulkas; Penjaga Kos; R. Jemur; Dapur; CCTV; Parkir Motor &amp; Sepeda</t>
  </si>
  <si>
    <t>Kost Apik Kramat Tipe A Johar Baru Jakarta Pusat</t>
  </si>
  <si>
    <t>4 x 5 meter; Tidak termasuk listrik; AC; Kasur; Lemari Baju; Ventilasi; Bantal; Dapur Pribadi; Guling; Jendela; K. Mandi Dalam; Kloset Jongkok; Ember mandi; WiFi; R. Tamu; R. Makan; R. Jemur; Dapur; K. Mandi Luar; Parkir Mobil; Parkir Motor; Parkir Motor &amp; Sepeda</t>
  </si>
  <si>
    <t>Kost Apik Pondok Sagre Kepu Tipe B Senen Jakarta Pusat</t>
  </si>
  <si>
    <t>Rp1.365.000</t>
  </si>
  <si>
    <t>Rp1.298.000</t>
  </si>
  <si>
    <t>Diskon 67rb</t>
  </si>
  <si>
    <t>Kost Singgahsini Mutiara 16B Tipe A Sumur Batu Jakarta Pusat</t>
  </si>
  <si>
    <t>3 x 3 meter; Tidak termasuk listrik; AC; Kasur; Meja; Lemari Baju; Ventilasi; Kursi; Bantal; Cermin; Jendela; Kloset Duduk; Kloset Jongkok; K. Mandi Luar; Ember mandi; Shower; WiFi; Dapur; Jemuran; Parkir Mobil; Parkir Sepeda; Parkir Motor &amp; Sepeda</t>
  </si>
  <si>
    <t>Kost Apik Aipda Petamburan Tipe D Tanah Abang Jakarta Pusat</t>
  </si>
  <si>
    <t>3 x 3 meter; Termasuk listrik; Kasur; Lemari Baju; Bantal; Jendela; Kloset Jongkok; K. Mandi Luar; WiFi; Dapur; Parkir Motor; Parkir Sepeda</t>
  </si>
  <si>
    <t>Kost Singgahsini D Parama Kelinci Raya Tipe B Sawah Besar Jakarta Pusat</t>
  </si>
  <si>
    <t>4.2 x 4.2 meter</t>
  </si>
  <si>
    <t>4.2 x 4.2 meter; Tidak termasuk listrik; AC; Kasur; Meja; TV; Lemari Baju; Kursi; Bantal; Cermin; Guling; Jendela; K. Mandi Dalam; Kloset Duduk; Wastafel; Shower; Air panas; WiFi; Kulkas; Penjaga Kos; R. Jemur; Dapur; Dispenser; CCTV; Parkir Mobil; Parkir Motor &amp; Sepeda</t>
  </si>
  <si>
    <t>Rp3.312.000</t>
  </si>
  <si>
    <t>Kost Apik Bright Tipe B Johar Baru Jakarta Pusat</t>
  </si>
  <si>
    <t>3 x 3 meter; Termasuk listrik; Kasur; Lemari Baju; Ventilasi; Kipas Angin; Bantal; Guling; Jendela; Kloset Duduk; Kloset Jongkok; K. Mandi Luar; Ember mandi; Shower; WiFi; Penjaga Kos; R. Jemur; Parkir Sepeda; Parkir Motor &amp; Sepeda</t>
  </si>
  <si>
    <t>Kost Singgahsini Greenhome Tipe C Bendungan Hilir Jakarta Pusat</t>
  </si>
  <si>
    <t>3 x 3 meter; Tidak termasuk listrik; AC; Kasur; Meja; TV; Lemari Baju; Kursi; K. Mandi Dalam; Kloset Duduk; Shower; Air panas; WiFi; Kulkas; R. Tamu; Penjaga Kos; Dapur; Dispenser; K. Mandi Luar; Parkir Mobil</t>
  </si>
  <si>
    <t>Kost Singgahsini Suryopranoto Petojo Tipe A Gambir Jakarta Pusat</t>
  </si>
  <si>
    <t>Rp2.775.000</t>
  </si>
  <si>
    <t>3.2 x 3.2 meter; Tidak termasuk listrik; AC; Kasur; Meja; Lemari Baju; Kursi; Bantal; Cermin; Jendela; K. Mandi Dalam; Kloset Duduk; Shower; Air panas; WiFi; R. Cuci; Penjaga Kos; R. Jemur; Dapur; K. Mandi Luar; Rooftop; Parkir Mobil; Parkir Motor &amp; Sepeda</t>
  </si>
  <si>
    <t>Rp2.637.500</t>
  </si>
  <si>
    <t>Kost Singgahsini Cempaka Putih 15 Tipe A Jakarta Pusat</t>
  </si>
  <si>
    <t>4 x 3 meter; Tidak termasuk listrik; AC; Kasur; Meja; Lemari Baju; Kursi; Bantal; Cermin; Guling; Jendela; K. Mandi Dalam; Kloset Duduk; Shower; WiFi; R. Cuci; Kulkas; R. Tamu; Penjaga Kos; R. Makan; Dapur; Parkir Mobil</t>
  </si>
  <si>
    <t>Kost Singgahsini Miracle Petamburan II Tipe C Tanah Abang Jakarta Pusat</t>
  </si>
  <si>
    <t>4 x 3 meter; Tidak termasuk listrik; AC; Kasur; Lemari Baju; Bantal; Cermin; Jendela; K. Mandi Dalam; Kloset Jongkok; Ember mandi; Shower; WiFi; Kulkas; R. Jemur; Dapur; Dispenser; Parkir Mobil; Parkir Motor; Parkir Sepeda; Parkir Motor &amp; Sepeda</t>
  </si>
  <si>
    <t>Kost Apik Lia Tipe E Sawah Besar Jakarta Pusat</t>
  </si>
  <si>
    <t>3 x 4 meter; Termasuk listrik; AC; Kasur; Lemari Baju; Wastafel; Bantal; Guling; Jendela; K. Mandi Dalam; Kloset Jongkok; K. Mandi Luar; Ember mandi; Shower; Bak mandi; WiFi; R. Cuci; R. Tamu; Penjaga Kos; Dapur; Parkir Mobil; Parkir Motor; Parkir Sepeda; Parkir Motor &amp; Sepeda</t>
  </si>
  <si>
    <t>Rp1.757.500</t>
  </si>
  <si>
    <t>Kost Singgahsini Hasyim Ashari Tipe A Cideng Jakarta Pusat</t>
  </si>
  <si>
    <t>3 x 3 meter; Tidak termasuk listrik; AC; Kasur; Meja; TV; Lemari Baju; Kursi; Bantal; Cermin; Guling; Jendela; K. Mandi Dalam; Kloset Duduk; Shower; WiFi; R. Cuci; Kulkas; R. Tamu; Dapur; K. Mandi Luar; Parkir Mobil; Parkir Motor</t>
  </si>
  <si>
    <t>Kost Singgahsini The Hartonos Rawasari Tipe A Cempaka Putih Jakarta Pusat</t>
  </si>
  <si>
    <t>4 x 3.2 meter; Tidak termasuk listrik; AC; Kasur; Meja; Lemari Baju; Kursi; Jendela; Wastafel; Bantal; Cermin; Guling; K. Mandi Dalam; Kloset Duduk; Shower; Air panas; WiFi; Kulkas; Penjaga Kos; Dapur; Parkir Mobil; Parkir Motor &amp; Sepeda</t>
  </si>
  <si>
    <t>Kost Singgahsini Anisa Kebon Kacang 6 Tipe B Tanah Abang Jakarta Pusat</t>
  </si>
  <si>
    <t>5.5 x 3.5 meter</t>
  </si>
  <si>
    <t>5.5 x 3.5 meter; Tidak termasuk listrik; AC; Kasur; Meja; Lemari Baju; Kursi; Bantal; Guling; K. Mandi Dalam; Kloset Duduk; Shower; WiFi; R. Tamu; Penjaga Kos; R. Makan; R. Jemur; Dapur; CCTV; Parkir Mobil; Parkir Motor</t>
  </si>
  <si>
    <t>Kost R 15 Tipe A Cempaka Putih Jakarta Pusat</t>
  </si>
  <si>
    <t>3 x 3 meter; Termasuk listrik; Kasur; Lemari Baju; Bantal; Guling; Jendela; Kipas Angin; K. Mandi Dalam; Kloset Duduk; Ember mandi; Shower; WiFi; R. Jemur; Balcon; Jemuran; Pengurus Kos; Parkir Motor</t>
  </si>
  <si>
    <t>Kost Singgahsini Elani Residence Tipe A Senen Jakarta Pusat</t>
  </si>
  <si>
    <t>3.5 x 2 meter</t>
  </si>
  <si>
    <t>3.5 x 2 meter; Termasuk listrik; AC; Meja; TV; Kursi; Bantal; Cermin; Jendela; Kloset Duduk; K. Mandi Luar; Wastafel; Shower; Air panas; WiFi; Kulkas; R. Tamu; R. Santai; Dapur; Dispenser; Locker; Parkir Mobil; Parkir Motor; Parkir Sepeda; Parkir Motor &amp; Sepeda</t>
  </si>
  <si>
    <t>Rp1.591.250</t>
  </si>
  <si>
    <t>Kost Cozy Coliving Cideng Exclusive Gambir Jakarta Pusat</t>
  </si>
  <si>
    <t>Kost Singgahsini Ritha Tipe A Cempaka Putih Jakarta Pusat</t>
  </si>
  <si>
    <t>5 x 3 meter; Tidak termasuk listrik; AC; Kasur; Lemari Baju; Cleaning service; K. Mandi Dalam; Kloset Duduk; Shower; WiFi; R. Cuci; R. Tamu; R. Jemur; Dapur; Parkir Mobil; Parkir Motor</t>
  </si>
  <si>
    <t>Kost Singgahsini Rumah Sagre Tipe B Cempaka Putih Jakarta Pusat</t>
  </si>
  <si>
    <t>3.5 x 5 meter; Termasuk listrik; AC; Kasur; Meja; Lemari Baju; Kulkas; Ventilasi; Kursi; Bantal; Jendela; K. Mandi Dalam; Kloset Duduk; Wastafel; Shower; Air panas; WiFi; R. Tamu; R. Makan; Dapur; Dispenser; K. Mandi Luar; CCTV; Parkir Mobil; Parkir Motor; Parkir Sepeda</t>
  </si>
  <si>
    <t>Rp3.505.000</t>
  </si>
  <si>
    <t>Kost Apik 89G Kwitang Tipe A Senen Jakarta Pusat</t>
  </si>
  <si>
    <t>2.7 x 2.1 meter; Termasuk listrik; Kasur; Meja; Lemari Baju; Kursi; Kipas Angin; Bantal; Jendela; Kloset Duduk; Kloset Jongkok; K. Mandi Luar; Ember mandi; Shower; Bak mandi; WiFi; Kulkas; R. Tamu; Penjaga Kos; R. Jemur; Dapur; TV; Parkir Motor; Parkir Sepeda</t>
  </si>
  <si>
    <t>Rp1.083.000</t>
  </si>
  <si>
    <t>Diskon 92rb</t>
  </si>
  <si>
    <t>Kost Singgahsini Dempo 9 Tipe B Menteng Jakarta Pusat</t>
  </si>
  <si>
    <t>4 x 4 meter; Termasuk listrik; AC; Kasur; Meja; Lemari Baju; Ventilasi; Kursi; Bantal; Cermin; Guling; Jendela; K. Mandi Dalam; Kloset Duduk; Shower; WiFi; Kulkas; R. Tamu; R. Jemur; R. Santai; Dapur; Dispenser; CCTV; Parkir Mobil; Parkir Motor; Parkir Sepeda</t>
  </si>
  <si>
    <t>Kost Singgahsini Laura Tipe B Kemayoran Jakarta Pusat</t>
  </si>
  <si>
    <t>2.5 x 2.5 meter; Tidak termasuk listrik; AC; Kasur; Meja; Lemari Baju; Ventilasi; Kursi; Bantal; Guling; Jendela; Kloset Duduk; K. Mandi Luar; Shower; WiFi; R. Tamu; Penjaga Kos; R. Jemur; CCTV; Parkir Motor &amp; Sepeda</t>
  </si>
  <si>
    <t>Kost Apik 89G Kwitang Tipe B Senen Jakarta Pusat</t>
  </si>
  <si>
    <t>2.1 x 2.1 meter</t>
  </si>
  <si>
    <t>2.1 x 2.1 meter; Termasuk listrik; Kasur; Meja; Lemari Baju; Kursi; Kipas Angin; Bantal; Kloset Duduk; Kloset Jongkok; K. Mandi Luar; Ember mandi; Shower; Bak mandi; WiFi; Kulkas; R. Tamu; Penjaga Kos; R. Jemur; Dapur; TV; Parkir Motor; Parkir Sepeda</t>
  </si>
  <si>
    <t>Rp1.037.000</t>
  </si>
  <si>
    <t>Diskon 88rb</t>
  </si>
  <si>
    <t>Kost Singgahsini Juanda Omaika Tipe A Gambir Jakarta Pusat</t>
  </si>
  <si>
    <t>2.5 x 3.5 meter; Tidak termasuk listrik; AC; Kasur; Meja; Lemari Baju; Kursi; Bantal; Cermin; Jendela; K. Mandi Dalam; Kloset Duduk; Wastafel; Shower</t>
  </si>
  <si>
    <t>Kost Singgahsini Alaya Pejompongan Tipe A Tanah Abang Jakarta Pusat</t>
  </si>
  <si>
    <t>3.6 x 3.6 meter; Termasuk listrik; AC; Kasur; Meja; Lemari Baju; Ventilasi; Kursi; Bantal; Jendela; K. Mandi Dalam; Kloset Duduk; Kloset Jongkok; Shower; WiFi; Kulkas; R. Tamu; Penjaga Kos; R. Makan; R. Jemur; Dapur; Dispenser; K. Mandi Luar; Jemuran; Parkir Mobil; Parkir Motor; Parkir Sepeda</t>
  </si>
  <si>
    <t>Rp1.995.000</t>
  </si>
  <si>
    <t>Kost Singgahsini Tanah Abang Tipe C Jakarta Pusat</t>
  </si>
  <si>
    <t>4 x 3 meter; Tidak termasuk listrik; AC; Kasur; Meja; Lemari Baju; Kursi; K. Mandi Dalam; Kloset Jongkok; Shower; WiFi; Kulkas; R. Tamu; Penjaga Kos; R. Jemur; Parkir Mobil; Parkir Motor; Parkir Sepeda; Parkir Motor &amp; Sepeda</t>
  </si>
  <si>
    <t>Kost Apik Lia Tipe D Sawah Besar Jakarta Pusat</t>
  </si>
  <si>
    <t>3 x 3 meter; Termasuk listrik; Kasur; Lemari Baju; Wastafel; Kipas Angin; Bantal; Guling; Kloset Jongkok; K. Mandi Luar; Ember mandi; Shower; Bak mandi; WiFi; R. Cuci; R. Tamu; Penjaga Kos; Dapur; Parkir Mobil; Parkir Motor; Parkir Sepeda; Parkir Motor &amp; Sepeda</t>
  </si>
  <si>
    <t>Rp902.500</t>
  </si>
  <si>
    <t>Kost Nyaman Tipe VIP Tanah Abang Jakarta Pusat</t>
  </si>
  <si>
    <t>3 x 3 meter; Tidak termasuk listrik; AC; Kasur; Meja; Meja Rias; TV; Kulkas; Lemari Baju; Ventilasi; Bantal; Cermin; K. Mandi Dalam; Wastafel; Shower; Air panas; WiFi; R. Cuci; Laundry; Mesin Cuci; Penjaga Kos; R. Jemur; Dapur; Dispenser; Balcon; Parkir Mobil; Parkir Motor; Parkir Sepeda</t>
  </si>
  <si>
    <t>Kost Singgahsini Vanela 8 Benhil Tipe A Tanah Abang Jakarta Pusat</t>
  </si>
  <si>
    <t>Rp3.020.000</t>
  </si>
  <si>
    <t>3 x 3 meter; Tidak termasuk listrik; AC; Kasur; Meja; Lemari Baju; Ventilasi; Kursi; Bantal; Cermin; Guling; Jendela; K. Mandi Dalam; Kloset Duduk; Shower; Air panas; WiFi; Kulkas; R. Tamu; Penjaga Kos; Dapur; Dispenser; CCTV; Parkir Motor &amp; Sepeda</t>
  </si>
  <si>
    <t>Rp2.722.500</t>
  </si>
  <si>
    <t>Diskon 298rb</t>
  </si>
  <si>
    <t>Kost Singgahsini Rumah Ceria Cideng Tipe C Gambir Jakarta Pusat</t>
  </si>
  <si>
    <t>3 x 3.2 meter</t>
  </si>
  <si>
    <t>3 x 3.2 meter; Tidak termasuk listrik; AC; Kasur; Meja; Lemari Baju; Kursi; Bantal; Cermin; Jendela; Kloset Duduk; K. Mandi Luar; Wastafel; Shower; Air panas; WiFi; R. Cuci; Kulkas; R. Tamu; Mesin Cuci; Penjaga Kos; R. Makan; R. Jemur; Dapur; CCTV; Parkir Mobil; Parkir Motor &amp; Sepeda</t>
  </si>
  <si>
    <t>Kost Singgahsini Batik Tipe A Bendungan Hilir Jakarta Pusat</t>
  </si>
  <si>
    <t>3 x 3 meter; Termasuk listrik; AC; Kasur; Meja; Lemari Baju; Kursi; Wastafel; Bantal; Cermin; Jendela; K. Mandi Dalam; Kloset Duduk; Shower; Bak mandi; WiFi; R. Cuci; Kulkas; Laundry; R. Makan; Dapur; Parkir Mobil; Parkir Motor; Parkir Sepeda; Parkir Motor &amp; Sepeda</t>
  </si>
  <si>
    <t>Kost Apik Lia Tipe C Sawah Besar Jakarta Pusat</t>
  </si>
  <si>
    <t>3 x 3 meter; Termasuk listrik; AC; Kasur; Lemari Baju; Wastafel; Bantal; Guling; Jendela; K. Mandi Dalam; Kloset Jongkok; K. Mandi Luar; Ember mandi; Shower; Bak mandi; WiFi; R. Cuci; R. Tamu; Penjaga Kos; Dapur; Parkir Mobil; Parkir Motor; Parkir Sepeda; Parkir Motor &amp; Sepeda</t>
  </si>
  <si>
    <t>Rp1.710.000</t>
  </si>
  <si>
    <t>Kost Cozy Coliving Roxy Jembatan Lima Tipe Exclusive Gambir Jakarta Pusat</t>
  </si>
  <si>
    <t>3 x 4.5 meter; Tidak termasuk listrik; AC; Kasur; Dispenser; Meja; TV; Lemari Baju; Bantal; Cermin; Cleaning service; Jendela; K. Mandi Dalam; Kloset Duduk; Wastafel; Shower; Air panas; WiFi; Kulkas; R. Cuci; Laundry; Penjaga Kos; R. Tamu; R. Jemur; R. Makan; R. Santai; Dapur; Parkir Motor</t>
  </si>
  <si>
    <t>Kost Singgahsini Vanela 8 Benhil Tipe B Tanah Abang Jakarta Pusat</t>
  </si>
  <si>
    <t>Rp2.895.000</t>
  </si>
  <si>
    <t>2.5 x 3 meter; Tidak termasuk listrik; AC; Kasur; Meja; Lemari Baju; Ventilasi; Kursi; Bantal; Cermin; Guling; Jendela; K. Mandi Dalam; Kloset Duduk; Shower; Air panas; WiFi; Kulkas; R. Tamu; Penjaga Kos; Dapur; Dispenser; CCTV; Parkir Motor &amp; Sepeda</t>
  </si>
  <si>
    <t>Rp2.610.000</t>
  </si>
  <si>
    <t>Diskon 285rb</t>
  </si>
  <si>
    <t>Kost Apik Bangau V Tipe B Kemayoran Jakarta Pusat</t>
  </si>
  <si>
    <t>4.0 x 2.5 meter; Tidak termasuk listrik; Kasur; Lemari Baju; Bantal; Cermin; Jendela; Kloset Duduk; K. Mandi Luar; Shower; WiFi; R. Cuci; Kulkas; Mesin Cuci; R. Jemur; Dapur; CCTV; Jemuran; Parkir Motor; Parkir Sepeda</t>
  </si>
  <si>
    <t>Kost Apik 33 Cempaka Baru Tipe D Kemayoran Jakarta Pusat</t>
  </si>
  <si>
    <t>3 x 3 meter; Tidak termasuk listrik; Kasur; Lemari Baju; Ventilasi; Bantal; Jendela; Kloset Duduk; Kloset Jongkok; K. Mandi Luar; Bak mandi; WiFi; R. Tamu; R. Jemur; Dapur; CCTV; Parkir Motor; Parkir Sepeda</t>
  </si>
  <si>
    <t>Rp760.000</t>
  </si>
  <si>
    <t>Diskon 40rb</t>
  </si>
  <si>
    <t>Kost Singgahsini Elani Residence Tipe E Senen Jakarta Pusat</t>
  </si>
  <si>
    <t>Rp3.550.000</t>
  </si>
  <si>
    <t>Rp3.266.000</t>
  </si>
  <si>
    <t>Diskon 284rb</t>
  </si>
  <si>
    <t>Kost Singgahsini Widuri Bendungan Hilir Tipe A Tanah Abang Jakarta Pusat</t>
  </si>
  <si>
    <t>5 x 2.5 meter</t>
  </si>
  <si>
    <t>5 x 2.5 meter; Tidak termasuk listrik; AC; Kasur; Meja; Lemari Baju; Kursi; Bantal; Guling; Jendela; K. Mandi Dalam; Kloset Duduk; Ember mandi; Shower; WiFi; Kulkas; R. Tamu; Mesin Cuci; Laundry; R. Jemur; Dapur; Dispenser; K. Mandi Luar; CCTV; Parkir Mobil; Parkir Sepeda; Parkir Motor &amp; Sepeda</t>
  </si>
  <si>
    <t>Kost Apik Kebon Kacang Tipe C Tanah Abang Jakarta Pusat</t>
  </si>
  <si>
    <t>3 x 4.5 meter; Tidak termasuk listrik; AC; Kasur; Meja; Lemari Baju; Bantal; Cermin; Guling; K. Mandi Dalam; Kloset Jongkok; Ember mandi; WiFi; R. Cuci; Kulkas; R. Tamu; R. Jemur; Dapur; Dispenser; TV; K. Mandi Luar; Parkir Motor; Parkir Sepeda</t>
  </si>
  <si>
    <t>Kost Singgahsini Joy Kramat Sentiong 85 Tipe A Senen Jakarta Pusat</t>
  </si>
  <si>
    <t>4.5 x 3 meter; Tidak termasuk listrik; AC; Kasur; Meja; Lemari Baju; Kursi; Bantal; Cermin; Guling; Jendela; K. Mandi Dalam; Kloset Duduk; Wastafel; Shower; WiFi; Kulkas; R. Tamu; R. Makan; R. Jemur; Dapur; K. Mandi Luar; CCTV; Parkir Mobil; Parkir Motor; Parkir Sepeda; Parkir Motor &amp; Sepeda</t>
  </si>
  <si>
    <t>Kost Singgahsini Rap 18A Tipe B Kemayoran Jakarta Pusat</t>
  </si>
  <si>
    <t>3.5 x 2.5 meter; Tidak termasuk listrik; AC; Kasur; Meja; Lemari Baju; Ventilasi; Kursi; Jendela; Bantal; Cermin; Guling; Kloset Duduk; K. Mandi Luar; Ember mandi; WiFi; R. Tamu; R. Jemur; CCTV; Parkir Motor &amp; Sepeda</t>
  </si>
  <si>
    <t>Kost Singgahsini Petojo Selatan 12 Tipe B Gambir Jakarta Pusat</t>
  </si>
  <si>
    <t>3 x 2.5 meter; Tidak termasuk listrik; AC; Kasur; Meja; Lemari Baju; Jendela; Kloset Duduk; K. Mandi Luar; Shower; Air panas; WiFi; Parkir Motor &amp; Sepeda</t>
  </si>
  <si>
    <t>Kost Singgahsini Little Nest Tipe A Johar Baru Jakarta Pusat</t>
  </si>
  <si>
    <t>2.4 x 3.1 meter</t>
  </si>
  <si>
    <t>2.4 x 3.1 meter; Tidak termasuk listrik; AC; Kasur; Meja; Lemari Baju; Kursi; Bantal; Cermin; Guling; Jendela; K. Mandi Dalam; Kloset Duduk; Shower; Air panas; WiFi; Kulkas; Penjaga Kos; R. Jemur; R. Santai; CCTV; Parkir Mobil; Parkir Motor; Parkir Sepeda; Parkir Motor &amp; Sepeda</t>
  </si>
  <si>
    <t>Kost Singgahsini De 9 House Tipe A Menteng Jakarta Pusat</t>
  </si>
  <si>
    <t>3.5 x 3 meter; Tidak termasuk listrik; AC; Kasur; Meja; TV; Lemari Baju; Ventilasi; Kursi; Bantal; Guling; Jendela; K. Mandi Dalam; Kloset Duduk; Shower; Air panas; WiFi; Kulkas; Penjaga Kos; R. Makan; R. Jemur; Dapur; CCTV; Parkir Mobil; Parkir Motor &amp; Sepeda</t>
  </si>
  <si>
    <t>Rp2.293.000</t>
  </si>
  <si>
    <t>Diskon 252rb</t>
  </si>
  <si>
    <t>Kost Apik Shafira Tipe A Kemayoran Jakarta Pusat</t>
  </si>
  <si>
    <t>4.5 x 3.5 meter; Tidak termasuk listrik; AC; Kasur; Lemari Baju; K. Mandi Dalam; Kloset Jongkok; Shower; WiFi; R. Cuci; Penjaga Kos; R. Jemur; Rooftop; Parkir Motor &amp; Sepeda</t>
  </si>
  <si>
    <t>Kost Apik Bugenvil Tipe H Kemayoran Jakarta Pusat</t>
  </si>
  <si>
    <t>3 x 2.5 meter; Tidak termasuk listrik; Kasur; Lemari Baju; Jendela; Bantal; Kloset Jongkok; K. Mandi Luar; Ember mandi; WiFi; Penjaga Kos; R. Jemur; Dapur; Rooftop; CCTV; Jemuran; Parkir Motor &amp; Sepeda</t>
  </si>
  <si>
    <t>Kost Singgahsini Elani Residence Tipe D Senen Jakarta Pusat</t>
  </si>
  <si>
    <t>Rp2.369.000</t>
  </si>
  <si>
    <t>Diskon 206rb</t>
  </si>
  <si>
    <t>Kost Singgahsini Anisa Kebon Kacang 6 Tipe A Tanah Abang Jakarta Pusat</t>
  </si>
  <si>
    <t>7.2 x 6 meter</t>
  </si>
  <si>
    <t>7.2 x 6 meter; Tidak termasuk listrik; AC; Kasur; Meja; Lemari Baju; Kursi; Bantal; Guling; K. Mandi Dalam; Kloset Duduk; Shower; WiFi; R. Tamu; Penjaga Kos; R. Makan; R. Jemur; Dapur; CCTV; Parkir Mobil; Parkir Motor</t>
  </si>
  <si>
    <t>Kost Sahabat Tipe A Cempaka Putih Jakarta Pusat</t>
  </si>
  <si>
    <t>3 x 3 meter; Tidak termasuk listrik; AC; Kasur; Lemari Baju; Ventilasi; Bantal; Jendela; K. Mandi Dalam; Ember mandi; WiFi; R. Cuci; Penjaga Kos; Laundry; R. Jemur; Mushola; R. Santai; Dapur; K. Mandi Luar; CCTV; Parkir Motor; Parkir Sepeda</t>
  </si>
  <si>
    <t>Kost Singgahsini W One Pasar Baru Tipe B Sawah Besar Jakarta Pusat</t>
  </si>
  <si>
    <t>4 x 3 meter; Tidak termasuk listrik; AC; Kasur; TV; Lemari Baju; Bantal; Jendela; K. Mandi Dalam; Kloset Duduk; Shower; Air panas; WiFi; Kulkas; Penjaga Kos; R. Jemur; R. Makan; Dapur; CCTV; Rooftop; Parkir Motor &amp; Sepeda</t>
  </si>
  <si>
    <t>Rp2.693.000</t>
  </si>
  <si>
    <t>Diskon 232rb</t>
  </si>
  <si>
    <t>Kost Singgahsini Juanda One Tipe A Sawah Besar Jakarta Pusat</t>
  </si>
  <si>
    <t>Rp3.825.000</t>
  </si>
  <si>
    <t>5 x 4 meter; Tidak termasuk listrik; AC; Kasur; Meja; Lemari Baju; Kursi; Bantal; Cermin; Jendela; K. Mandi Dalam; Kloset Duduk; Wastafel; Shower; Air panas; WiFi; R. Tamu; Penjaga Kos; Kartu Akses; CCTV; Parkir Mobil; Parkir Motor &amp; Sepeda</t>
  </si>
  <si>
    <t>Rp3.445.000</t>
  </si>
  <si>
    <t>Diskon 380rb</t>
  </si>
  <si>
    <t>Kost Singgahsini Cempaka Putih 15 Tipe C Jakarta Pusat</t>
  </si>
  <si>
    <t>4 x 3.5 meter; Tidak termasuk listrik; AC; Kasur; Meja; Lemari Baju; Kursi; Bantal; Cermin; Guling; Jendela; K. Mandi Dalam; Kloset Duduk; Shower; WiFi; R. Cuci; Kulkas; R. Tamu; Penjaga Kos; R. Makan; Dapur; Parkir Mobil</t>
  </si>
  <si>
    <t>Kost Jayakarta Tipe A Senen Jakarta Pusat</t>
  </si>
  <si>
    <t>3 x 4 meter; Tidak termasuk listrik; AC; Kasur; Dispenser; Meja; Kulkas; Lemari Baju; Ventilasi; Guling; Jendela; Kursi; K. Mandi Dalam; Kloset Duduk; Wastafel; Shower; Air panas; WiFi; R. Cuci; Mesin Cuci; Penjaga Kos; R. Jemur; R. Makan; Dapur; CCTV; Parkir Mobil; Parkir Motor</t>
  </si>
  <si>
    <t>Kost Apik Prospera Living Tipe A Senen Jakarta Pusat</t>
  </si>
  <si>
    <t>6 x 2.7 meter</t>
  </si>
  <si>
    <t>Rp1.823.000</t>
  </si>
  <si>
    <t>6 x 2.7 meter; Tidak termasuk listrik; AC; Kasur; Meja; Lemari Baju; Kursi; Bantal; Kloset Duduk; K. Mandi Luar; Ember mandi; WiFi; R. Cuci; Penjaga Kos; R. Jemur; Parkir Motor &amp; Sepeda</t>
  </si>
  <si>
    <t>Rp1.733.100</t>
  </si>
  <si>
    <t>Kost Singgahsini Cempaka Putih 15 Tipe B Jakarta Pusat</t>
  </si>
  <si>
    <t>4 x 3.2 meter; Tidak termasuk listrik; AC; Kasur; Meja; Lemari Baju; Kursi; K. Mandi Dalam; Kloset Duduk; Shower; WiFi; R. Cuci; Kulkas; R. Tamu; Penjaga Kos; R. Makan; Dapur; Parkir Mobil</t>
  </si>
  <si>
    <t>Kost Joyo Signature Premier Suite Cempaka Putih Jakarta Pusat</t>
  </si>
  <si>
    <t>5 x 6 meter; Tidak termasuk listrik; AC; Kasur; Meja; TV; Lemari Baju; Ventilasi; Bantal; Cermin; Jendela; Kursi; K. Mandi Dalam; Kloset Duduk; Wastafel; Shower; Air panas; WiFi; Kulkas; Mesin Cuci; Penjaga Kos; R. Makan; R. Santai; Dapur; Dispenser; Balcon; CCTV; Parkir Mobil; Parkir Motor; Parkir Sepeda; Parkir Motor &amp; Sepeda</t>
  </si>
  <si>
    <t>Kost Eksklusif Wisma Rosa II VVIP Cempaka Putih Jakarta Pusat</t>
  </si>
  <si>
    <t>4 x 5 meter; Tidak termasuk listrik; AC; Kasur; Meja; Dispenser; Lemari Baju; Ventilasi; Bantal; Cermin; Guling; Jendela; K. Mandi Dalam; Kloset Duduk; Ember mandi; Shower; WiFi; Kulkas; Penjaga Kos; R. Tamu; R. Jemur; R. Makan; Dapur; CCTV; Jemuran; Parkir Mobil; Parkir Motor; Parkir Sepeda; Parkir Motor &amp; Sepeda</t>
  </si>
  <si>
    <t>Kost Singgahsini SB Living Tipe A Menteng Jakarta Pusat</t>
  </si>
  <si>
    <t>2.7 x 2.7 meter; Tidak termasuk listrik; AC; Kasur; Meja; Lemari Baju; Kursi; Bantal; Cermin; Guling; Jendela; K. Mandi Dalam; Kloset Duduk; Shower; WiFi; Penjaga Kos; CCTV; Parkir Motor &amp; Sepeda</t>
  </si>
  <si>
    <t>Kost Singgahsini Kanaya Tipe C Cempaka Putih Jakarta Pusat</t>
  </si>
  <si>
    <t>4 x 4 meter; Tidak termasuk listrik; AC; Kasur; Meja; Lemari Baju; Ventilasi; Kursi; Bantal; Cermin; Guling; Jendela; K. Mandi Dalam; Kloset Duduk; Shower; WiFi; Kulkas; R. Tamu; R. Makan; Dapur; Dispenser; TV; CCTV; Parkir Mobil; Parkir Motor; Parkir Sepeda</t>
  </si>
  <si>
    <t>Rp2.732.500</t>
  </si>
  <si>
    <t>Diskon 143rb</t>
  </si>
  <si>
    <t>Kost Apik Bright Tipe A Johar Baru Jakarta Pusat</t>
  </si>
  <si>
    <t>3 x 3 meter; Tidak termasuk listrik; AC; Kasur; Lemari Baju; Ventilasi; Bantal; Guling; Kloset Duduk; Kloset Jongkok; K. Mandi Luar; Ember mandi; Shower</t>
  </si>
  <si>
    <t>Kost Singgahsini Ono Tipe D Cempaka Putih Jakarta Pusat</t>
  </si>
  <si>
    <t>4.2 x 2.8 meter</t>
  </si>
  <si>
    <t>4.2 x 2.8 meter; Tidak termasuk listrik; AC; Kasur; Meja; Lemari Baju; Ventilasi; Kursi; K. Mandi Dalam; Kloset Duduk; Shower; WiFi; R. Tamu; R. Jemur; Dapur; Parkir Motor &amp; Sepeda</t>
  </si>
  <si>
    <t>Kost Cozy Coliving Raden Saleh Exclusive Hook Menteng Jakarta Pusat</t>
  </si>
  <si>
    <t>Kost Singgahsini Batik Tipe C Bendungan Hilir Jakarta Pusat</t>
  </si>
  <si>
    <t>3 x 2.5 meter; Tidak termasuk listrik; Kasur; Meja; Lemari Baju; Kursi; Kipas Angin; Bantal; Cermin; Guling; Jendela; Kloset Duduk; K. Mandi Luar; Wastafel; Shower; WiFi; Kulkas; Laundry; R. Makan; Dapur; Parkir Mobil; Parkir Motor; Parkir Sepeda; Parkir Motor &amp; Sepeda</t>
  </si>
  <si>
    <t>Kost Paseban 45 Tipe C Senen Jakarta Pusat</t>
  </si>
  <si>
    <t>2.4 x 2.4 meter</t>
  </si>
  <si>
    <t>2.4 x 2.4 meter; Tidak termasuk listrik; Kasur; Meja; Lemari Baju; K. Mandi Dalam; Kloset Duduk; K. Mandi Luar; WiFi</t>
  </si>
  <si>
    <t>Kost Apik Aipda Petamburan Tipe A Tanah Abang Jakarta Pusat</t>
  </si>
  <si>
    <t>3 x 3 meter; Termasuk listrik; AC; Kasur; Lemari Baju; Bantal; Kloset Jongkok; K. Mandi Luar; WiFi; Dapur; Parkir Motor; Parkir Sepeda</t>
  </si>
  <si>
    <t>Rp1.380.000</t>
  </si>
  <si>
    <t>Kost Singgahsini Laura Tipe D Kemayoran Jakarta Pusat</t>
  </si>
  <si>
    <t>3 x 2 meter; Tidak termasuk listrik; AC; Kasur; Meja; Lemari Baju; Kursi; Bantal; Guling; Kloset Duduk; K. Mandi Luar; Shower; WiFi; R. Tamu; Penjaga Kos; R. Jemur; CCTV; Parkir Motor &amp; Sepeda</t>
  </si>
  <si>
    <t>Kost Singgahsini One Residence Tipe A Kemayoran Jakarta Pusat</t>
  </si>
  <si>
    <t>3 x 3.6 meter</t>
  </si>
  <si>
    <t>3 x 3.6 meter; Tidak termasuk listrik; AC; Kasur; TV; Lemari Baju; Bantal; Cermin; K. Mandi Dalam; Kloset Duduk; Wastafel; Shower; Air panas; WiFi; Penjaga Kos; CCTV; Parkir Mobil; Parkir Motor &amp; Sepeda</t>
  </si>
  <si>
    <t>Kost N Tipe B Cempaka Putih Jakarta Pusat</t>
  </si>
  <si>
    <t>4 x 4 meter; Tidak termasuk listrik; AC; Kasur; Meja; TV; Meja Rias; Lemari Baju; Kursi; Wastafel; Cleaning service; K. Mandi Dalam; Kloset Duduk; Shower; Air panas; WiFi; R. Cuci; R. Tamu; Laundry; R. Jemur; R. Santai; Taman; Balcon; Parkir Mobil; Parkir Motor; Parkir Sepeda</t>
  </si>
  <si>
    <t>Kost Apik Cempaka 15 Tipe A Cempaka Putih Jakarta Pusat</t>
  </si>
  <si>
    <t>4.2 x 2 meter</t>
  </si>
  <si>
    <t>4.2 x 2 meter; Termasuk listrik; Kasur; Lemari Baju; Ventilasi; Bantal; Guling; Jendela; Kloset Duduk; K. Mandi Luar; Ember mandi; WiFi; R. Jemur; Jemuran; Parkir Motor &amp; Sepeda</t>
  </si>
  <si>
    <t>Kost Singgahsini W One Kebon Kacang Tipe B Tanah Abang Jakarta Pusat</t>
  </si>
  <si>
    <t>Rp3.225.000</t>
  </si>
  <si>
    <t>4.2 x 3 meter; Tidak termasuk listrik; AC; Kasur; Meja; TV; Lemari Baju; Kursi; Jendela; Bantal; Cermin; K. Mandi Dalam; Kloset Duduk; Wastafel; Shower; Air panas; WiFi; Kulkas; Penjaga Kos; R. Tamu; Dispenser; CCTV; Parkir Motor &amp; Sepeda</t>
  </si>
  <si>
    <t>Rp2.969.000</t>
  </si>
  <si>
    <t>Kost Cozy Coliving Pangeran Jayakarta Tipe Deluxe Plus Sawah Besar Jakarta Pusat</t>
  </si>
  <si>
    <t>4 x 4 meter; Tidak termasuk listrik; AC; Kasur; Meja; TV; Lemari Baju; Kursi; Wastafel; Cleaning service; Bantal; Cermin; K. Mandi Dalam; Kloset Duduk; Shower; Air panas; WiFi; Kulkas; R. Tamu; Penjaga Kos; Laundry; R. Santai; Dapur; CCTV; Jual Makanan; Parkir Motor; Parkir Sepeda</t>
  </si>
  <si>
    <t>Kost Apik E 18 Tipe A Cempaka Putih Jakarta Pusat</t>
  </si>
  <si>
    <t>4 x 3 meter; Termasuk listrik; Kasur; Lemari Baju; Kipas Angin; Bantal; Cermin; Guling; Jendela; K. Mandi Dalam; Kloset Duduk; Shower; WiFi; R. Tamu; Penjaga Kos; R. Jemur; Parkir Motor &amp; Sepeda</t>
  </si>
  <si>
    <t>Kost Maesa Sumur Batu Jakarta Pusat</t>
  </si>
  <si>
    <t>3 x 3.5 meter; Termasuk listrik; Kasur; Meja; Lemari Baju; Kursi; Kipas Angin; Bantal; Guling; Cermin; Wastafel; Kloset Duduk; Kloset Jongkok; K. Mandi Luar; Ember mandi; Shower; WiFi; R. Cuci; R. Tamu; R. Jemur; R. Santai; Taman; Balcon; Jemuran; CCTV; Gazebo; Parkir Motor</t>
  </si>
  <si>
    <t>Kost Singgahsini Dempo 9 Tipe C Menteng Jakarta Pusat</t>
  </si>
  <si>
    <t>3.6 x 3.2 meter; Termasuk listrik; AC; Kasur; Meja; Lemari Baju; Ventilasi; Kursi; Bantal; Cermin; Guling; Jendela; Kloset Duduk; K. Mandi Luar; Shower; WiFi; Kulkas; R. Tamu; R. Jemur; R. Santai; Dapur; Dispenser; CCTV; Parkir Mobil; Parkir Motor; Parkir Sepeda</t>
  </si>
  <si>
    <t>Kost Singgahsini Kepu 66 Tipe A Kemayoran Jakarta Pusat</t>
  </si>
  <si>
    <t>3.7 x 2.5 meter; Tidak termasuk listrik; AC; Kasur; Lemari Baju; Ventilasi; Bantal; Cermin; Jendela; K. Mandi Dalam; Kloset Duduk; Shower; WiFi; Penjaga Kos; R. Jemur; K. Mandi Luar; Jemuran; Parkir Motor &amp; Sepeda</t>
  </si>
  <si>
    <t>Kost Cozy Coliving Raden Saleh Exclusive Menteng Jakarta Pusat</t>
  </si>
  <si>
    <t>Kost Singgahsini Nest Cikini Tipe A Menteng Jakarta Pusat</t>
  </si>
  <si>
    <t>3.2 x 2.7 meter; Tidak termasuk listrik; AC; Kasur; Meja; TV; Lemari Baju; Ventilasi; Bantal; Cermin; Kloset Duduk; K. Mandi Luar; Ember mandi; Shower; WiFi; Kulkas; Penjaga Kos; R. Jemur; Dapur; CCTV; Parkir Motor &amp; Sepeda</t>
  </si>
  <si>
    <t>Kost Singgahsini D Parama Kelinci Raya Tipe C Sawah Besar Jakarta Pusat</t>
  </si>
  <si>
    <t>Rp3.150.000</t>
  </si>
  <si>
    <t>3.5 x 3 meter; Tidak termasuk listrik; AC; Kasur; Meja; TV; Lemari Baju; Kursi; Jendela; Bantal; Guling; K. Mandi Dalam; Kloset Duduk; Wastafel; Shower; Air panas; WiFi; Kulkas; Penjaga Kos; R. Jemur; Dapur; Dispenser; CCTV; Parkir Mobil; Parkir Motor &amp; Sepeda</t>
  </si>
  <si>
    <t>Rp2.992.500</t>
  </si>
  <si>
    <t>Kost Singgahsini Ono Tipe B Cempaka Putih Jakarta Pusat</t>
  </si>
  <si>
    <t>2.8 x 2.8 meter; Tidak termasuk listrik; Kasur; Lemari Baju; Ventilasi; Kursi; Bantal; Cermin; Guling; Jendela; K. Mandi Dalam; Kloset Jongkok; Ember mandi; WiFi; R. Tamu; R. Jemur; Dapur; Parkir Motor &amp; Sepeda</t>
  </si>
  <si>
    <t>Kost Tembok 8 Tipe AC 1 Menteng Jakarta Pusat</t>
  </si>
  <si>
    <t>3 x 3 meter; Termasuk listrik; AC; Kasur; Meja; Lemari Baju; Ventilasi; Kursi; Cermin; Jendela; Bantal; Kloset Jongkok; Ember mandi; Shower; WiFi; R. Cuci; R. Jemur; Dapur; Jemuran; Pengurus Kos</t>
  </si>
  <si>
    <t>Kost Apik Kingkit IV Tipe A Gambir Jakarta Pusat</t>
  </si>
  <si>
    <t>3.2 x 2.7 meter; Termasuk listrik; AC; Kasur; Meja; Lemari Baju; Bantal; Jendela; Guling; Cermin; Kloset Duduk; K. Mandi Luar; Ember mandi; WiFi; R. Cuci; Kulkas; R. Tamu; Penjaga Kos; R. Makan; R. Jemur; Dispenser; Parkir Motor &amp; Sepeda</t>
  </si>
  <si>
    <t>Kost Hj Iyum Kemayoran Jakarta Pusat</t>
  </si>
  <si>
    <t>3 x 4 meter; Tidak termasuk listrik; Kasur; Lemari Baju; K. Mandi Dalam; Kloset Jongkok; Ember mandi; R. Jemur; Parkir Motor; Parkir Sepeda</t>
  </si>
  <si>
    <t>Rp1.110.000</t>
  </si>
  <si>
    <t>Kost Cajuputi Kamar C101 Sawah Besar Jakarta Pusat</t>
  </si>
  <si>
    <t>2.4 x 2.3 meter</t>
  </si>
  <si>
    <t>2.4 x 2.3 meter; Termasuk listrik; Kasur; Meja; Lemari Baju; Bantal; Cermin; K. Mandi Dalam; Kloset Duduk; Wastafel; Shower; WiFi; Kulkas; Dapur; Parkir Motor</t>
  </si>
  <si>
    <t>Kost Apik 33 Cempaka Baru Tipe A Kemayoran Jakarta Pusat</t>
  </si>
  <si>
    <t>4.4 x 4 meter</t>
  </si>
  <si>
    <t>4.4 x 4 meter; Tidak termasuk listrik; AC; Kasur; Meja; Lemari Baju; Kursi; Kloset Duduk; K. Mandi Luar; WiFi; R. Tamu; Dapur; CCTV; Parkir Motor; Parkir Sepeda</t>
  </si>
  <si>
    <t>Rp1.235.000</t>
  </si>
  <si>
    <t>Kost Menteng Guest House Single Bed Menteng Jakarta Pusat</t>
  </si>
  <si>
    <t>4.5 x 3 meter; Termasuk listrik; AC; Kasur; Meja; TV; Lemari Baju; Ventilasi; Jendela; Wastafel; Bantal; Cermin; K. Mandi Dalam; Kloset Duduk; Shower; Air panas; WiFi; Kulkas; Mesin Cuci; Penjaga Kos; R. Tamu; R. Jemur; R. Santai; Dapur; Dispenser; Jemuran; Parkir Mobil; Parkir Motor; Parkir Sepeda; Parkir Motor &amp; Sepeda</t>
  </si>
  <si>
    <t>Kost Gunung Sahari Sawah Besar Jakarta Pusat</t>
  </si>
  <si>
    <t>3 x 3 meter; Termasuk listrik; Kasur; Lemari Baju; Kipas Angin; Kloset Jongkok; K. Mandi Luar; Shower; Kulkas; R. Tamu; Dapur; TV; Pengurus Kos; Jemuran; Parkir Motor</t>
  </si>
  <si>
    <t>Kost Apik Kingkit IV Tipe C Gambir Jakarta Pusat</t>
  </si>
  <si>
    <t>2.5 x 2.2 meter; Termasuk listrik; Kasur; Meja; Lemari Baju; Ventilasi; Bantal; Jendela; Kipas Angin; Cermin; Guling; Kloset Duduk; Kloset Jongkok; K. Mandi Luar; Ember mandi; WiFi; R. Cuci; Kulkas; R. Tamu; Penjaga Kos; R. Makan; R. Jemur; Dispenser; Parkir Motor &amp; Sepeda</t>
  </si>
  <si>
    <t>Kost Rresidence Tipe D Kemayoran Jakarta Pusat</t>
  </si>
  <si>
    <t>3 x 4 meter; Tidak termasuk listrik; AC; Kasur; Meja; Meja Rias; Lemari Baju; Ventilasi; Bantal; Cermin; Jendela; Guling; K. Mandi Dalam; Kloset Duduk; K. Mandi Luar; Shower; Air panas; WiFi; Kulkas; R. Cuci; Mesin Cuci; Penjaga Kos; R. Jemur; R. Santai; Dapur; Balcon; CCTV; Parkir Motor; Parkir Sepeda; Parkir Motor &amp; Sepeda</t>
  </si>
  <si>
    <t>Kost Apik Nabila Tipe A Cempaka Putih Jakarta Pusat</t>
  </si>
  <si>
    <t>3.2 x 3.2 meter; Tidak termasuk listrik; AC; Kasur; Lemari Baju; Ventilasi; Bantal; Jendela; K. Mandi Dalam; Kloset Jongkok; WiFi; R. Tamu; Penjaga Kos; R. Jemur; Jemuran; Parkir Motor &amp; Sepeda</t>
  </si>
  <si>
    <t>Kost Menteng Guest House King Size Bed Menteng Jakarta Pusat</t>
  </si>
  <si>
    <t>5 x 3.3 meter</t>
  </si>
  <si>
    <t>5 x 3.3 meter; Termasuk listrik; AC; Kasur; Meja; TV; Lemari Baju; Ventilasi; Jendela; Kursi; Wastafel; Bantal; K. Mandi Dalam; Kloset Duduk; Shower; Air panas; WiFi; Kulkas; Mesin Cuci; Penjaga Kos; R. Tamu; R. Jemur; R. Santai; Dapur; Dispenser; Jemuran; Parkir Mobil; Parkir Motor; Parkir Sepeda; Parkir Motor &amp; Sepeda</t>
  </si>
  <si>
    <t>Rp4.700.000</t>
  </si>
  <si>
    <t>Kost N Tipe D Cempaka Putih Jakarta Pusat</t>
  </si>
  <si>
    <t>4 x 6 meter; Tidak termasuk listrik; AC; Kasur; Meja; TV; Meja Rias; Lemari Baju; Kursi; Wastafel; Cleaning service; K. Mandi Dalam; Kloset Duduk; Shower; Air panas; WiFi; R. Cuci; R. Tamu; Laundry; R. Jemur; R. Santai; Taman; Balcon; Parkir Mobil; Parkir Motor; Parkir Sepeda</t>
  </si>
  <si>
    <t>Kost Cajuputi Tipe B202 Sawah Besar Jakarta Pusat</t>
  </si>
  <si>
    <t>3 x 3 meter; Termasuk listrik; AC; Kasur; Meja; Lemari Baju; Bantal; Cermin; Guling; Kursi; Kloset Duduk; K. Mandi Luar; Wastafel; Shower; WiFi; Kulkas; Dapur; Parkir Motor</t>
  </si>
  <si>
    <t>Kost Apik Prospera Living Tipe C Senen Jakarta Pusat</t>
  </si>
  <si>
    <t>3.2 x 2.7 meter; Tidak termasuk listrik; Kasur; Meja; Lemari Baju; Bantal; Kursi; Kloset Duduk; K. Mandi Luar; Ember mandi; WiFi; R. Cuci; Penjaga Kos; R. Jemur; Parkir Motor &amp; Sepeda</t>
  </si>
  <si>
    <t>Rp923.000</t>
  </si>
  <si>
    <t>Kost Cajuputi Kamar C102 Sawah Besar Jakarta Pusat</t>
  </si>
  <si>
    <t>2.3 x 2.4 meter</t>
  </si>
  <si>
    <t>2.3 x 2.4 meter; Termasuk listrik; Kasur; Meja; Lemari Baju; Bantal; Cermin; Guling; K. Mandi Dalam; Kloset Duduk; Wastafel; Shower; WiFi; Kulkas; Dapur; Parkir Motor</t>
  </si>
  <si>
    <t>Kost PBS Pramuka Tipe A Cempaka Putih Jakarta Pusat</t>
  </si>
  <si>
    <t>5 x 3.5 meter</t>
  </si>
  <si>
    <t>5 x 3.5 meter; Tidak termasuk listrik; AC; Kasur; Meja; Kulkas; Lemari Baju; Ventilasi; Bantal; Cermin; Dapur Pribadi; Guling; K. Mandi Dalam; Kloset Duduk; Ember mandi; Wastafel; Shower; Air panas; WiFi; R. Tamu; Dapur; CCTV; Jemuran; Pengurus Kos; Parkir Motor &amp; Sepeda</t>
  </si>
  <si>
    <t>Kost Cozy Coliving Raden Saleh Deluxe Menteng Jakarta Pusat</t>
  </si>
  <si>
    <t>Kost De Ruci 1 Senen Jakarta Pusat</t>
  </si>
  <si>
    <t>3 x 3 meter; Tidak termasuk listrik; Ventilasi; K. Mandi Dalam; Kloset Duduk; Shower</t>
  </si>
  <si>
    <t>Kost ROW 39 Kenari Kernolong Tipe B Senen Jakarta Pusat</t>
  </si>
  <si>
    <t>4 x 4 meter; Tidak termasuk listrik; AC; Kasur; Meja; Meja Rias; TV; Lemari Baju; Ventilasi; Bantal; Cermin; Guling; K. Mandi Dalam; Kloset Duduk; Wastafel; Shower; Air panas; WiFi; Kulkas; R. Cuci; Mesin Cuci; Penjaga Kos; R. Tamu; R. Jemur; R. Makan; R. Santai; Dapur; Parkir Motor; Parkir Motor &amp; Sepeda</t>
  </si>
  <si>
    <t>Kost N Tipe C Cempaka Putih Jakarta Pusat</t>
  </si>
  <si>
    <t>3 x 4 meter; Tidak termasuk listrik; AC; Kasur; Meja; TV; Meja Rias; Lemari Baju; Kursi; Wastafel; Cleaning service; K. Mandi Dalam; Kloset Duduk; Shower; Air panas; WiFi; R. Cuci; Laundry; R. Jemur; R. Santai; Taman; Parkir Mobil; Parkir Motor; Parkir Sepeda</t>
  </si>
  <si>
    <t>Kost Apik Bugenvil Tipe C Kemayoran Jakarta Pusat</t>
  </si>
  <si>
    <t>3 x 3 meter; Tidak termasuk listrik; AC; Kasur; Meja; Lemari Baju; Jendela; Bantal; K. Mandi Dalam; Kloset Duduk; Ember mandi; Shower; WiFi; Penjaga Kos; R. Jemur; Dapur; Rooftop; CCTV; Jemuran; Parkir Motor &amp; Sepeda</t>
  </si>
  <si>
    <t>Kost Cozy Coliving Roxy Jembatan Lima Tipe Exclusive Window Gambir Jakarta Pusat</t>
  </si>
  <si>
    <t>Rp3.700.000</t>
  </si>
  <si>
    <t>Kost Joyo Signature Deluxe Twin Suite Cempaka Putih Jakarta Pusat</t>
  </si>
  <si>
    <t>5 x 5 meter; Tidak termasuk listrik; AC; Kasur; Meja; TV; Lemari Baju; Ventilasi; Bantal; Cermin; Jendela; Kursi; K. Mandi Dalam; Kloset Duduk; Wastafel; Shower; Air panas; WiFi; Kulkas; Mesin Cuci; Penjaga Kos; R. Makan; R. Santai; Dapur; Dispenser; Balcon; CCTV; Parkir Mobil; Parkir Motor; Parkir Sepeda; Parkir Motor &amp; Sepeda</t>
  </si>
  <si>
    <t>Kost Kita Tipe D Kemayoran Jakarta Pusat</t>
  </si>
  <si>
    <t>3 x 3 meter; Tidak termasuk listrik; AC; Kasur; Meja; Lemari Baju; Ventilasi; Bantal; Cermin; Jendela; K. Mandi Dalam; Kloset Jongkok; Shower; WiFi; Kulkas; R. Tamu; Penjaga Kos; R. Jemur; R. Makan; R. Santai; Dapur; Balcon; CCTV; Parkir Motor &amp; Sepeda</t>
  </si>
  <si>
    <t>Kost Singgahsini Kepu 66 Tipe C Kemayoran Jakarta Pusat</t>
  </si>
  <si>
    <t>3.7 x 2.5 meter; Tidak termasuk listrik; AC; Kasur; Lemari Baju; Ventilasi; Bantal; Cermin; K. Mandi Dalam; Kloset Duduk; Shower; WiFi; Penjaga Kos; R. Jemur; K. Mandi Luar; Jemuran; Parkir Motor &amp; Sepeda</t>
  </si>
  <si>
    <t>Kost Singgahsini Juanda Omaika Tipe B Gambir Jakarta Pusat</t>
  </si>
  <si>
    <t>3.5 x 2.5 meter; Tidak termasuk listrik; AC; Kasur; Meja; Lemari Baju; Kursi; Cermin; Guling; Jendela; Kloset Duduk; K. Mandi Luar; Shower; WiFi; R. Tamu; CCTV; Parkir Sepeda; Parkir Motor &amp; Sepeda</t>
  </si>
  <si>
    <t>Kost Menteng Latuharhary Menteng Jakarta Pusat</t>
  </si>
  <si>
    <t>5 x 6 meter; Termasuk listrik; AC; Kasur; Meja; Meja Rias; TV; Lemari Baju; Bantal; Cermin; Jendela; Kursi; K. Mandi Dalam; Kloset Duduk; Ember mandi; Wastafel; Shower; Bak mandi; R. Cuci; Laundry; Mesin Cuci; R. Jemur; R. Makan; Dapur; Dispenser; Jemuran; Pengurus Kos; Parkir Mobil; Parkir Motor; Parkir Sepeda</t>
  </si>
  <si>
    <t>Kost Apik Aipda Petamburan Tipe B Tanah Abang Jakarta Pusat</t>
  </si>
  <si>
    <t>3.6 x 3 meter; Termasuk listrik; Kasur; Lemari Baju; Bantal; K. Mandi Dalam; Kloset Duduk; WiFi; Dapur; Parkir Motor; Parkir Sepeda</t>
  </si>
  <si>
    <t>Rp1.196.000</t>
  </si>
  <si>
    <t>3 x 3 meter; Tidak termasuk listrik; Kasur; Kloset Jongkok; K. Mandi Luar; Ember mandi</t>
  </si>
  <si>
    <t>5 x 5 meter; Tidak termasuk listrik; AC; Kasur; Meja; TV; Lemari Baju; Ventilasi; Bantal; Cermin; Jendela; Kursi; K. Mandi Dalam; Kloset Duduk; Wastafel; Shower; Air panas; WiFi; Kulkas; Mesin Cuci; Penjaga Kos; R. Makan; R. Santai; Dapur; Dispenser; Balcon; CCTV</t>
  </si>
  <si>
    <t>Jakarta Pusat</t>
  </si>
  <si>
    <t>Kost IX Taman Sari Jakarta Pusat</t>
  </si>
  <si>
    <t>Kost 3tranches Home SCBD Tipe A Kebayoran Baru Jakarta Selatan</t>
  </si>
  <si>
    <t>3 x 5 meter; Tidak termasuk listrik; AC; Kasur; Meja; TV; Lemari Baju; Kursi; TV Kabel; Bantal; Cermin; Guling; K. Mandi Dalam; Kloset Duduk; Wastafel; Shower; Air panas; WiFi; Kulkas; R. Tamu; Laundry; R. Jemur; Dapur; Dispenser; CCTV; Pengurus Kos; Parkir Motor; Parkir Sepeda</t>
  </si>
  <si>
    <t>Kebayoran Baru</t>
  </si>
  <si>
    <t>Kost 3tranches Home Tipe D Cilandak Jakarta Selatan</t>
  </si>
  <si>
    <t>4.6 x 6 meter</t>
  </si>
  <si>
    <t>4.6 x 6 meter; Tidak termasuk listrik; AC; Kasur; Meja; TV; Lemari Baju; Bantal; Cermin; Dapur Pribadi; Guling; Jendela; K. Mandi Dalam; Kloset Duduk; Wastafel; Shower; Air panas; WiFi; Kulkas; R. Tamu; Penjaga Kos; Laundry; R. Jemur; R. Santai; Dapur; Dispenser; CCTV; Parkir Mobil; Parkir Motor; Parkir Sepeda</t>
  </si>
  <si>
    <t>Cilandak</t>
  </si>
  <si>
    <t>Diskon 193rb</t>
  </si>
  <si>
    <t>Kost 3tranches Home Senopati Kebayoran Baru Jakarta Selatan</t>
  </si>
  <si>
    <t>4 x 4 meter; Tidak termasuk listrik; AC; Kasur; TV; Kulkas; Lemari Baju; Bantal; Cermin; Guling; Jendela; Wastafel; K. Mandi Dalam; Shower; Air panas; WiFi; Dapur; Dispenser; CCTV; Pengurus Kos; Parkir Motor</t>
  </si>
  <si>
    <t>Diskon 304rb</t>
  </si>
  <si>
    <t>Kost Home Exclusive Jagakarsa Jakarta Selatan</t>
  </si>
  <si>
    <t>3 x 2.5 meter; Tidak termasuk listrik; AC; Kasur; Meja; Meja Rias; Lemari Baju; Ventilasi; Bantal; Cermin; Cleaning service; Jendela; K. Mandi Dalam; Kloset Duduk; Wastafel; Shower; Air panas; WiFi; Kulkas; Laundry; Penjaga Kos; R. Tamu; R. Makan; R. Jemur; R. Santai; Dapur; CCTV; Parkir Motor &amp; Sepeda</t>
  </si>
  <si>
    <t>Kecamatan Jagakarsa</t>
  </si>
  <si>
    <t>Kost Sadinda Linda Safitri Tipe Executive A Kebayoran Baru Jakarta Selatan</t>
  </si>
  <si>
    <t>Kecamatan Kebayoran Baru</t>
  </si>
  <si>
    <t>Kost Singgahsini Teduh Tebet Timur Tipe B Jakarta Selatan</t>
  </si>
  <si>
    <t>Rp2.550.000</t>
  </si>
  <si>
    <t>5 x 4 meter; Tidak termasuk listrik; AC; Kasur; Meja; Lemari Baju; Kursi; Bantal; Jendela; K. Mandi Dalam; Kloset Duduk; Shower; Air panas; WiFi; R. Tamu; R. Jemur; Dapur; Parkir Mobil; Parkir Motor; Parkir Sepeda</t>
  </si>
  <si>
    <t>Rp2.422.500</t>
  </si>
  <si>
    <t>Tebet</t>
  </si>
  <si>
    <t>Diskon 128rb</t>
  </si>
  <si>
    <t>Kost Singgahsini Sedoso Tipe A Kalibata Jakarta Selatan</t>
  </si>
  <si>
    <t>4 x 3.7 meter</t>
  </si>
  <si>
    <t>4 x 3.7 meter; Tidak termasuk listrik; AC; Kasur; Meja; Lemari Baju; Kursi; Bantal; Guling; Jendela; K. Mandi Dalam; Kloset Duduk; Shower; Air panas; WiFi; R. Cuci; R. Tamu; Penjaga Kos; Dapur; Dispenser; K. Mandi Luar; Parkir Mobil; Parkir Motor; Parkir Sepeda; Parkir Motor &amp; Sepeda</t>
  </si>
  <si>
    <t>Rp2.590.000</t>
  </si>
  <si>
    <t>Kecamatan Pancoran</t>
  </si>
  <si>
    <t>Kost Singgahsini Kenanga II Tipe A Bintaro Jakarta Selatan</t>
  </si>
  <si>
    <t>6 x 5 meter</t>
  </si>
  <si>
    <t>6 x 5 meter; Tidak termasuk listrik; AC; Kasur; Meja; Lemari Baju; Kursi; Bantal; Jendela; K. Mandi Dalam; Kloset Duduk; Shower; Air panas; WiFi; Kulkas; R. Tamu; Dapur; K. Mandi Luar; CCTV; Parkir Mobil; Parkir Motor; Parkir Sepeda</t>
  </si>
  <si>
    <t>Pesanggrahan</t>
  </si>
  <si>
    <t>Kost Singgahsini Praja Dalam 88 Tipe C Kebayoran Lama Jakarta Selatan</t>
  </si>
  <si>
    <t>2 x 3 meter; Termasuk listrik; AC; Kasur; Lemari Baju; Bantal; Guling; Cermin; Kloset Duduk; K. Mandi Luar; Ember mandi; Wastafel; Shower; Air panas; WiFi; R. Cuci; Kulkas; R. Tamu; Penjaga Kos; R. Jemur; Dapur; TV; Jemuran; Parkir Motor &amp; Sepeda</t>
  </si>
  <si>
    <t>Kecamatan Kebayoran Lama</t>
  </si>
  <si>
    <t>Kost Singgahsini Kerinci VIII Tipe A Kebayoran Baru Jakarta Selatan</t>
  </si>
  <si>
    <t>3.6 x 4.6 meter</t>
  </si>
  <si>
    <t>Rp3.425.000</t>
  </si>
  <si>
    <t>3.6 x 4.6 meter; Termasuk listrik; AC; Kasur; Meja; Lemari Baju; Ventilasi; Kursi; Bantal; Cermin; Guling; Jendela; K. Mandi Dalam; Kloset Duduk; Shower; Bak mandi; Air panas; WiFi; Kulkas; R. Tamu; Penjaga Kos; R. Makan; Dapur; Dispenser; TV; K. Mandi Luar; CCTV; Parkir Mobil; Parkir Motor; Parkir Sepeda</t>
  </si>
  <si>
    <t>Rp3.255.000</t>
  </si>
  <si>
    <t>Kost Singgahsini Purple Ungu Tipe A Pasar Minggu Jakarta Selatan</t>
  </si>
  <si>
    <t>4.5 x 3 meter; Tidak termasuk listrik; AC; Kasur; Meja; TV; Ventilasi; Kursi; Wastafel; Bantal; Jendela; K. Mandi Dalam; Kloset Duduk; Shower; WiFi; Parkir Mobil; Parkir Motor</t>
  </si>
  <si>
    <t>Rp1.820.500</t>
  </si>
  <si>
    <t>Pasar Minggu</t>
  </si>
  <si>
    <t>Kost Singgahsini Tegal Parang Tipe B Mampang Prapatan Jakarta Selatan</t>
  </si>
  <si>
    <t>2.8 x 3.2 meter</t>
  </si>
  <si>
    <t>2.8 x 3.2 meter; Termasuk listrik; AC; Kasur; Meja; TV; Lemari Baju; Kursi; Bantal; Cermin; Guling; K. Mandi Dalam; Kloset Duduk; Shower; Air panas; Parkir Mobil; Parkir Motor; Parkir Sepeda; Parkir Motor &amp; Sepeda</t>
  </si>
  <si>
    <t>Kecamatan Mampang Prapatan</t>
  </si>
  <si>
    <t>Kost Singgahsini Lauser 62B Tipe B Kebayoran Baru Jakarta Selatan</t>
  </si>
  <si>
    <t>3.4 x 3.5 meter</t>
  </si>
  <si>
    <t>3.4 x 3.5 meter; Termasuk listrik; AC; Kasur; Meja; Lemari Baju; Kursi; Jendela; K. Mandi Dalam; Kloset Duduk; Shower; Air panas; WiFi; Kulkas; R. Tamu; Penjaga Kos; R. Makan; R. Jemur; Dapur; TV; Parkir Mobil; Parkir Motor &amp; Sepeda</t>
  </si>
  <si>
    <t>Kost Singgahsini Kerinci VIII Tipe C Kebayoran Baru Jakarta Selatan</t>
  </si>
  <si>
    <t>3 x 4.5 meter; Termasuk listrik; AC; Kasur; Meja; Lemari Baju; Kursi; Bantal; Cermin; Guling; Jendela; Kloset Duduk; K. Mandi Luar; Shower; Air panas; WiFi; Kulkas; R. Tamu; Penjaga Kos; R. Makan; Dapur; Dispenser; TV; CCTV; Parkir Mobil; Parkir Motor; Parkir Sepeda</t>
  </si>
  <si>
    <t>Rp2.417.000</t>
  </si>
  <si>
    <t>Diskon 208rb</t>
  </si>
  <si>
    <t>Kost Singgahsini Berkah Bintaro Tipe B Pesanggrahan Jakarta Selatan</t>
  </si>
  <si>
    <t>2.3 x 2.5 meter</t>
  </si>
  <si>
    <t>2.3 x 2.5 meter; Termasuk listrik; AC; Kasur; Meja; Lemari Baju; Ventilasi; Kursi; Bantal; Cermin; Guling; Jendela; Kloset Duduk; K. Mandi Luar; Shower; WiFi; R. Tamu; R. Makan; Dapur; Dispenser; Parkir Mobil; Parkir Motor; Parkir Sepeda</t>
  </si>
  <si>
    <t>Kost Apik Sulthan Tipe C Cilandak Jakarta Selatan</t>
  </si>
  <si>
    <t>3 x 3 meter; Termasuk listrik; Kasur; Meja; Lemari Baju; Jendela; Bantal; Guling; K. Mandi Dalam; Kloset Jongkok; Ember mandi; WiFi; R. Cuci; R. Tamu; Penjaga Kos; R. Jemur; Rooftop; Jemuran; Parkir Motor &amp; Sepeda</t>
  </si>
  <si>
    <t>Kost Singgahsini Kerinci VIII Tipe B Kebayoran Baru Jakarta Selatan</t>
  </si>
  <si>
    <t>3 x 4.7 meter</t>
  </si>
  <si>
    <t>3 x 4.7 meter; Termasuk listrik; AC; Kasur; Meja; Lemari Baju; Kursi; Bantal; Cermin; Guling; Jendela; K. Mandi Dalam; Kloset Duduk; Shower; Air panas; WiFi; Kulkas; R. Tamu; Penjaga Kos; R. Makan; Dapur; Dispenser; TV; K. Mandi Luar; CCTV; Parkir Mobil; Parkir Motor; Parkir Sepeda</t>
  </si>
  <si>
    <t>Kost Singgahsini Bukit Duri 42 Tipe B Tebet Jakarta Selatan</t>
  </si>
  <si>
    <t>3 x 3 meter; Tidak termasuk listrik; AC; Kasur; Meja; Lemari Baju; Ventilasi; Kursi; Bantal; Cermin; Jendela; Kloset Duduk; K. Mandi Luar; Ember mandi; Shower; WiFi; Kulkas; R. Tamu; Penjaga Kos; Dapur; Parkir Mobil; Parkir Motor &amp; Sepeda</t>
  </si>
  <si>
    <t>Kost Singgahsini Tegal Parang Tipe C Mampang Prapatan Jakarta Selatan</t>
  </si>
  <si>
    <t>3 x 4 meter; Termasuk listrik; AC; Kasur; Meja; TV; Lemari Baju; Kursi; Bantal; Cermin; Guling; Jendela; Kloset Duduk; K. Mandi Luar; Wastafel; Shower; Air panas; WiFi; R. Cuci; Kulkas; R. Tamu; R. Jemur; Dapur; Parkir Mobil; Parkir Motor; Parkir Sepeda; Parkir Motor &amp; Sepeda</t>
  </si>
  <si>
    <t>Kost Singgahsini Kenanga II Tipe B Bintaro Jakarta Selatan</t>
  </si>
  <si>
    <t>3.2 x 3 meter; Tidak termasuk listrik; AC; Kasur; Meja; Lemari Baju; Kursi; Bantal; Jendela; K. Mandi Dalam; Kloset Duduk; Shower; Air panas; WiFi; Kulkas; R. Tamu; Dapur; K. Mandi Luar; CCTV; Parkir Mobil; Parkir Motor; Parkir Sepeda</t>
  </si>
  <si>
    <t>Kost Singgahsini Praja Dalam 88 Tipe B Kebayoran Lama Jakarta Selatan</t>
  </si>
  <si>
    <t>4 x 4 meter; Termasuk listrik; AC; Kasur; Lemari Baju; Bantal; Guling; Jendela; Cermin; Kloset Duduk; K. Mandi Luar; Wastafel; Ember mandi; Shower; Air panas; WiFi; R. Cuci; Kulkas; R. Tamu; Penjaga Kos; R. Jemur; Dapur; TV; Jemuran; Parkir Motor &amp; Sepeda</t>
  </si>
  <si>
    <t>Kost Singgahsini Lili Johar Tipe B Jagakarsa Jakarta Selatan</t>
  </si>
  <si>
    <t>2.8 x 4 meter</t>
  </si>
  <si>
    <t>2.8 x 4 meter; Tidak termasuk listrik; AC; Kasur; Meja; Lemari Baju; Ventilasi; Kursi; Bantal; Jendela; K. Mandi Dalam; Kloset Duduk; Shower; WiFi; Penjaga Kos; R. Jemur; Dapur; CCTV; Parkir Motor; Parkir Sepeda</t>
  </si>
  <si>
    <t>Jagakarsa</t>
  </si>
  <si>
    <t>Kost Singgahsini Kerinci VIII Tipe D Kebayoran Baru Jakarta Selatan</t>
  </si>
  <si>
    <t>AC; Kasur; Lemari Baju; Kursi; Bantal; Cermin; Guling; Jendela; Kloset Duduk; K. Mandi Luar; Shower; Air panas; WiFi; Kulkas; R. Tamu; Penjaga Kos; R. Makan; Dapur; Dispenser; TV; CCTV; Parkir Mobil; Parkir Motor; Parkir Sepeda</t>
  </si>
  <si>
    <t>Kost Singgahsini Praja VI Tipe A Kebayoran Lama Jakarta Selatan</t>
  </si>
  <si>
    <t>4.3 x 3.3 meter</t>
  </si>
  <si>
    <t>4.3 x 3.3 meter; Tidak termasuk listrik; AC; Kasur; Meja; TV; Lemari Baju; Kulkas; Kursi; Bantal; Cermin; Jendela; K. Mandi Dalam; Kloset Duduk; K. Mandi Luar; Wastafel; Shower; Air panas; WiFi; R. Makan; R. Jemur; Dapur; Dispenser; CCTV; Parkir Mobil; Parkir Motor; Parkir Sepeda</t>
  </si>
  <si>
    <t>Kost Apik Sulthan Tipe A Cilandak Jakarta Selatan</t>
  </si>
  <si>
    <t>4 x 4.5 meter; Termasuk listrik; Kasur; Meja; Lemari Baju; Jendela; Wastafel; Bantal; Cermin; Guling; K. Mandi Dalam; Kloset Jongkok; Ember mandi; WiFi; R. Cuci; R. Tamu; Penjaga Kos; R. Jemur; Rooftop; Jemuran; Parkir Motor &amp; Sepeda</t>
  </si>
  <si>
    <t>Kost Singgahsini Bunggur Wanita Tipe A Kebayoran Lama Jakarta Selatan</t>
  </si>
  <si>
    <t>4 x 3 meter; Tidak termasuk listrik; AC; Kasur; Meja; Lemari Baju; Kursi; Cleaning service; K. Mandi Luar; Shower; WiFi; R. Cuci; R. Tamu; R. Makan; R. Jemur; R. Santai; R. Keluarga; Balcon; Parkir Motor; Parkir Sepeda</t>
  </si>
  <si>
    <t>Rp1.395.000</t>
  </si>
  <si>
    <t>Kebayoran Lama</t>
  </si>
  <si>
    <t>Kost Singgahsini Khazanah Tipe A Tebet Jakarta Selatan</t>
  </si>
  <si>
    <t>3 x 2.5 meter; Tidak termasuk listrik; AC; Kasur; TV; Lemari Baju; Kulkas; Ventilasi; Bantal; Cermin; Guling; Jendela; K. Mandi Dalam; Kloset Duduk; Shower; Air panas; WiFi; R. Tamu; Penjaga Kos; Parkir Motor &amp; Sepeda</t>
  </si>
  <si>
    <t>Kost Singgahsini Teduh Tebet Timur Tipe C Jakarta Selatan</t>
  </si>
  <si>
    <t>3.5 x 3.5 meter; Tidak termasuk listrik; AC; Kasur; Meja; Lemari Baju; Kursi; Bantal; Jendela; Kloset Duduk; K. Mandi Luar; Shower; Air panas; WiFi; R. Tamu; R. Jemur; Dapur; Parkir Mobil; Parkir Motor; Parkir Sepeda</t>
  </si>
  <si>
    <t>Rp2.130.000</t>
  </si>
  <si>
    <t>Kost Singgahsini Praja Dalam 88 Tipe A Kebayoran Lama Jakarta Selatan</t>
  </si>
  <si>
    <t>5 x 5 meter; Termasuk listrik; AC; Kasur; Lemari Baju; Bantal; Guling; Jendela; Cermin; Kloset Duduk; K. Mandi Luar; Wastafel; Ember mandi; Shower; Air panas; WiFi; R. Cuci; Kulkas; R. Tamu; Penjaga Kos; R. Jemur; Dapur; TV; Jemuran; Parkir Motor &amp; Sepeda</t>
  </si>
  <si>
    <t>Kost Singgahsini Lili Johar Tipe A Jagakarsa Jakarta Selatan</t>
  </si>
  <si>
    <t>2.8 x 4 meter; Tidak termasuk listrik; Kasur; Meja; Lemari Baju; Ventilasi; Bantal; Jendela; K. Mandi Dalam; Kloset Duduk; Shower; WiFi; Penjaga Kos; R. Jemur; Dapur; CCTV; Parkir Motor; Parkir Sepeda</t>
  </si>
  <si>
    <t>Kost Singgahsini Avina Cilandak KKO Tipe A Ragunan Jakarta Selatan</t>
  </si>
  <si>
    <t>3 x 2 meter; Tidak termasuk listrik; AC; Kasur; Meja; Lemari Baju; Kursi; Bantal; Jendela; Kloset Duduk; K. Mandi Luar; Wastafel; Shower; WiFi; Kulkas; R. Tamu; Penjaga Kos; R. Makan; R. Jemur; R. Santai; Dapur; CCTV; Parkir Motor; Parkir Sepeda</t>
  </si>
  <si>
    <t>Kost Singgahsini Sedoso Tipe B Kalibata Jakarta Selatan</t>
  </si>
  <si>
    <t>4 x 2.5 meter; Tidak termasuk listrik; AC; Kasur; Meja; Lemari Baju; Kursi; Bantal; Guling; Jendela; K. Mandi Dalam; Kloset Duduk; Shower; Air panas; WiFi; R. Cuci; R. Tamu; Penjaga Kos; Dapur; Dispenser; K. Mandi Luar; Parkir Mobil; Parkir Motor; Parkir Sepeda; Parkir Motor &amp; Sepeda</t>
  </si>
  <si>
    <t>Kost Singgahsini Bukit Duri 42 Tipe A Tebet Jakarta Selatan</t>
  </si>
  <si>
    <t>Rp2.365.000</t>
  </si>
  <si>
    <t>4 x 3 meter; Tidak termasuk listrik; AC; Kasur; Meja; Lemari Baju; Ventilasi; Kursi; Cermin; Jendela; Bantal; K. Mandi Dalam; Kloset Duduk; Ember mandi; Shower; WiFi; Kulkas; R. Tamu; Penjaga Kos; Dapur; Parkir Mobil; Parkir Motor &amp; Sepeda</t>
  </si>
  <si>
    <t>Rp2.248.000</t>
  </si>
  <si>
    <t>Kost Apik Amalia Tipe D Pasar Minggu Jakarta Selatan</t>
  </si>
  <si>
    <t>2.3 x 3 meter</t>
  </si>
  <si>
    <t>2.3 x 3 meter; Tidak termasuk listrik; AC; Kasur; Meja; Lemari Baju; Kursi; Jendela; Kloset Duduk; K. Mandi Luar; Shower; WiFi; R. Cuci; Kulkas; R. Tamu; Penjaga Kos; R. Makan; R. Jemur; Mushola; Dapur; TV; Parkir Motor &amp; Sepeda</t>
  </si>
  <si>
    <t>Kost Apik Ibu Yati Tipe A Cilandak Jakarta Selatan</t>
  </si>
  <si>
    <t>3 x 2.5 meter; Tidak termasuk listrik; Kasur; Lemari Baju; Kipas Angin; K. Mandi Dalam; Kloset Jongkok; WiFi; Penjaga Kos; Parkir Motor &amp; Sepeda</t>
  </si>
  <si>
    <t>Rp1.022.500</t>
  </si>
  <si>
    <t>Diskon 53rb</t>
  </si>
  <si>
    <t>Kost Singgahsini Bunggur Wanita Tipe C Kebayoran Lama Jakarta Selatan</t>
  </si>
  <si>
    <t>Kost Apik Amalia Tipe C Pasar Minggu Jakarta Selatan</t>
  </si>
  <si>
    <t>2 x 4 meter; Tidak termasuk listrik; AC; Kasur; Meja; Lemari Baju; Kursi; Jendela; K. Mandi Dalam; Kloset Duduk; Shower; WiFi; R. Cuci; Kulkas; R. Tamu; Penjaga Kos; R. Makan; R. Jemur; Mushola; Dapur; TV; Parkir Motor &amp; Sepeda</t>
  </si>
  <si>
    <t>Kost Singgahsini Bendi XIV Tipe B Kebayoran Lama Jakarta Selatan</t>
  </si>
  <si>
    <t>2 x 3 meter; Tidak termasuk listrik; AC; Kasur; Meja; Lemari Baju; Kursi; Bantal; Guling; Jendela; K. Mandi Dalam; Kloset Duduk; Wastafel; Shower; Air panas; WiFi; Kulkas; R. Makan; Dapur; Dispenser; CCTV; Parkir Mobil; Parkir Motor; Parkir Sepeda; Parkir Motor &amp; Sepeda</t>
  </si>
  <si>
    <t>Rp2.455.000</t>
  </si>
  <si>
    <t>Kost Singgahsini Bella Swadarma VI Tipe A Pesanggrahan Jakarta Selatan</t>
  </si>
  <si>
    <t>6.2 x 3.4 meter</t>
  </si>
  <si>
    <t>6.2 x 3.4 meter; Tidak termasuk listrik; AC; Kasur; TV; Lemari Baju; Cermin; Jendela; Bantal; Guling; K. Mandi Dalam; Kloset Duduk; Shower; Air panas; WiFi; Kulkas; R. Tamu; R. Makan; Dapur; Dispenser; CCTV; Rooftop; Parkir Mobil; Parkir Motor &amp; Sepeda</t>
  </si>
  <si>
    <t>Kost Singgahsini Casa Tebet Mas Indah Tipe B Tebet Jakarta Selatan</t>
  </si>
  <si>
    <t>3.3 x 3 meter</t>
  </si>
  <si>
    <t>3.3 x 3 meter; Tidak termasuk listrik; AC; Kasur; Meja; TV; Lemari Baju; Ventilasi; Kursi; Bantal; Cermin; Jendela; K. Mandi Dalam; Kloset Duduk; Wastafel; Shower; Air panas; WiFi; Kulkas; R. Tamu; Laundry; R. Santai; Dapur; Balcon; Parkir Mobil; Parkir Motor</t>
  </si>
  <si>
    <t>Rp3.525.000</t>
  </si>
  <si>
    <t>Kecamatan Tebet</t>
  </si>
  <si>
    <t>Kost Apik Puri Rinda Tipe A Jagakarsa Jakarta Selatan</t>
  </si>
  <si>
    <t>3.5 x 3 meter; Termasuk listrik; AC; Kasur; Meja; TV; Lemari Baju; Kursi; Bantal; Cermin; Guling; K. Mandi Dalam; Kloset Duduk; Wastafel; Shower; Air panas; WiFi; Penjaga Kos; Dapur; Dispenser; K. Mandi Luar; Parkir Mobil; Parkir Motor; Parkir Sepeda</t>
  </si>
  <si>
    <t>Kost Singgahsini Lauser 62B Tipe A Kebayoran Baru Jakarta Selatan</t>
  </si>
  <si>
    <t>6.1 x 2.4 meter</t>
  </si>
  <si>
    <t>6.1 x 2.4 meter; Termasuk listrik; AC; Kasur; Meja; Lemari Baju; Jendela; K. Mandi Dalam; Kloset Duduk; Shower; Air panas; WiFi; Kulkas; R. Tamu; Penjaga Kos; R. Makan; R. Jemur; Dapur; TV; Parkir Mobil; Parkir Motor &amp; Sepeda</t>
  </si>
  <si>
    <t>Rp2.785.000</t>
  </si>
  <si>
    <t>Kost Singgahsini Rumah Vanessa Tipe B Jagakarsa Jakarta Selatan</t>
  </si>
  <si>
    <t>3.2 x 2.8 meter; Tidak termasuk listrik; AC; Kasur; Lemari Baju; K. Mandi Dalam; Kloset Duduk; Shower; WiFi; R. Cuci; Kulkas; R. Tamu; Mesin Cuci; R. Makan; R. Jemur; Dapur; Dispenser; CCTV; Parkir Motor &amp; Sepeda</t>
  </si>
  <si>
    <t>Kost Apik Amalia Tipe A Pasar Minggu Jakarta Selatan</t>
  </si>
  <si>
    <t>3.5 x 4 meter; Tidak termasuk listrik; AC; Kasur; Meja; Lemari Baju; Kursi; Jendela; Kloset Duduk; K. Mandi Luar; Shower; WiFi; R. Cuci; Kulkas; R. Tamu; Penjaga Kos; R. Makan; R. Jemur; Mushola; Dapur; TV; Parkir Motor &amp; Sepeda</t>
  </si>
  <si>
    <t>Kost Singgahsini Aglonema Lebak Bulus Tipe A Cilandak Jakarta Selatan</t>
  </si>
  <si>
    <t>3.1 x 2.4 meter</t>
  </si>
  <si>
    <t>3.1 x 2.4 meter; Termasuk listrik; AC; Kasur; Meja; Lemari Baju; Kursi; Bantal; Cermin; Guling; Jendela; K. Mandi Dalam; Kloset Duduk; Ember mandi; Shower; WiFi; Kulkas; R. Tamu; Penjaga Kos; R. Makan; R. Jemur; Dapur; Parkir Mobil; Parkir Motor; Parkir Sepeda</t>
  </si>
  <si>
    <t>Kecamatan Cilandak</t>
  </si>
  <si>
    <t>Kost Singgahsini Teduh Tebet Timur Tipe A Jakarta Selatan</t>
  </si>
  <si>
    <t>8 x 4 meter; Tidak termasuk listrik; AC; Kasur; Meja; TV; Lemari Baju; Kulkas; Kursi; Sofa; Bantal; Cermin; K. Mandi Dalam; Kloset Duduk; Shower; Air panas; WiFi; R. Tamu; R. Jemur; Dapur; Parkir Mobil; Parkir Motor; Parkir Sepeda</t>
  </si>
  <si>
    <t>Rp3.135.000</t>
  </si>
  <si>
    <t>Kost Singgahsini Bendi XIV Tipe A Kebayoran Lama Jakarta Selatan</t>
  </si>
  <si>
    <t>2 x 3 meter; Tidak termasuk listrik; AC; Kasur; Meja; Lemari Baju; Kursi; Bantal; Guling; Jendela; Kloset Duduk; K. Mandi Luar; Wastafel; Shower; Air panas; WiFi; Kulkas; R. Makan; Dapur; Dispenser; CCTV; Parkir Mobil; Parkir Motor; Parkir Sepeda; Parkir Motor &amp; Sepeda</t>
  </si>
  <si>
    <t>Rp2.055.000</t>
  </si>
  <si>
    <t>Kost Singgahsini Casa Tebet Mas Indah Tipe C Tebet Jakarta Selatan</t>
  </si>
  <si>
    <t>3 x 4 meter; Tidak termasuk listrik; AC; Kasur; Meja; Lemari Baju; Ventilasi; Kursi; Bantal; Cermin; Jendela; Kloset Duduk; K. Mandi Luar; Wastafel; Shower; Air panas; WiFi; Kulkas; R. Tamu; Laundry; R. Santai; Dapur; Balcon; CCTV; Parkir Mobil; Parkir Motor; Parkir Sepeda</t>
  </si>
  <si>
    <t>Kost Singgahsini Casa Tebet Mas Indah Tipe A Tebet Jakarta Selatan</t>
  </si>
  <si>
    <t>3.6 x 3.6 meter; Tidak termasuk listrik; AC; Kasur; Meja; TV; Lemari Baju; Ventilasi; Kursi; Bantal; Jendela; K. Mandi Dalam; Kloset Duduk; Wastafel; Shower; Air panas; WiFi; Kulkas; R. Tamu; Laundry; R. Santai; Dapur; Balcon; Parkir Mobil; Parkir Motor</t>
  </si>
  <si>
    <t>Kost Apik Rayan Tipe A Cilandak Jakarta Selatan</t>
  </si>
  <si>
    <t>3.5 x 3.5 meter; Termasuk listrik; Kasur; Meja; Lemari Baju; Bantal; Cermin; Jendela; K. Mandi Dalam; Kloset Jongkok; Ember mandi; WiFi; Penjaga Kos; R. Santai; Balcon; Parkir Motor &amp; Sepeda</t>
  </si>
  <si>
    <t>Kost Singgahsini Tegal Parang Tipe A Mampang Prapatan Jakarta Selatan</t>
  </si>
  <si>
    <t>3 x 7 meter; Termasuk listrik; AC; Kasur; Meja; TV; Lemari Baju; Kursi; Bantal; Cermin; Guling; Jendela; K. Mandi Dalam; Kloset Duduk; Wastafel; Shower; Air panas; WiFi; R. Cuci; Kulkas; R. Tamu; R. Jemur; Dapur; K. Mandi Luar; Parkir Mobil; Parkir Motor; Parkir Sepeda; Parkir Motor &amp; Sepeda</t>
  </si>
  <si>
    <t>Kost Singgahsini Haji Nawi 74 Tipe A Cilandak Jakarta Selatan</t>
  </si>
  <si>
    <t>3.5 x 3 meter; Tidak termasuk listrik; AC; Kasur; Meja; TV; Lemari Baju; Kursi; Bantal; K. Mandi Dalam; Kloset Duduk; Wastafel; Shower; Air panas; WiFi; Kulkas; R. Tamu; Mesin Cuci; Penjaga Kos; Dapur; Dispenser; Taman; Parkir Mobil; Parkir Motor; Parkir Sepeda; Parkir Motor &amp; Sepeda</t>
  </si>
  <si>
    <t>Kost Singgahsini Berkah Bintaro Tipe A Pesanggrahan Jakarta Selatan</t>
  </si>
  <si>
    <t>2.8 x 2.5 meter</t>
  </si>
  <si>
    <t>2.8 x 2.5 meter; Termasuk listrik; AC; Kasur; Meja; Lemari Baju; Ventilasi; Kursi; Bantal; Cermin; Guling; Jendela; K. Mandi Dalam; Kloset Duduk; Shower; WiFi; R. Tamu; R. Makan; Dapur; Dispenser; K. Mandi Luar; Parkir Mobil; Parkir Motor; Parkir Sepeda</t>
  </si>
  <si>
    <t>Kost Apik Sulthan Tipe B Cilandak Jakarta Selatan</t>
  </si>
  <si>
    <t>3 x 3.5 meter; Termasuk listrik; Kasur; Meja; Lemari Baju; Jendela; Bantal; Cermin; Guling; K. Mandi Dalam; Kloset Jongkok; Ember mandi; WiFi; R. Cuci; R. Tamu; Penjaga Kos; R. Jemur; Rooftop; Jemuran; Parkir Motor &amp; Sepeda</t>
  </si>
  <si>
    <t>Rp1.315.000</t>
  </si>
  <si>
    <t>Kost Singgahsini Haji Nawi 74 Tipe B Cilandak Jakarta Selatan</t>
  </si>
  <si>
    <t>5.5 x 3.5 meter; Tidak termasuk listrik; AC; Kasur; Meja; TV; Lemari Baju; Kursi; Bantal; Cermin; Jendela; K. Mandi Dalam; Kloset Duduk; Wastafel; Shower; Air panas; WiFi; Kulkas; R. Tamu; Mesin Cuci; Penjaga Kos; R. Makan; R. Jemur; Dapur; Dispenser; Parkir Mobil; Parkir Motor; Parkir Sepeda; Parkir Motor &amp; Sepeda</t>
  </si>
  <si>
    <t>Rp3.625.000</t>
  </si>
  <si>
    <t>Kost Apik Puri Rinda Tipe B Jagakarsa Jakarta Selatan</t>
  </si>
  <si>
    <t>3 x 3 meter; Termasuk listrik; AC; Kasur; Meja; TV; Lemari Baju; Kursi; Bantal; Cermin; Guling; Jendela; Kloset Duduk; K. Mandi Luar; Wastafel; Shower; Air panas; WiFi; Penjaga Kos; Dapur; Dispenser; Parkir Mobil; Parkir Motor; Parkir Sepeda</t>
  </si>
  <si>
    <t>Kost Singgahsini Bella Swadarma VI Tipe B Pesanggrahan Jakarta Selatan</t>
  </si>
  <si>
    <t>4.2 x 3 meter; Tidak termasuk listrik; AC; Kasur; TV; Lemari Baju; Jendela; Bantal; Guling; K. Mandi Dalam; Kloset Duduk; Shower; Air panas; WiFi; Kulkas; R. Tamu; R. Makan; Dapur; Dispenser; CCTV; Rooftop; Parkir Mobil; Parkir Motor &amp; Sepeda</t>
  </si>
  <si>
    <t>Kost Singgahsini Rumah Vanessa Tipe A Jagakarsa Jakarta Selatan</t>
  </si>
  <si>
    <t>2.8 x 3.5 meter</t>
  </si>
  <si>
    <t>2.8 x 3.5 meter; Tidak termasuk listrik; AC; Kasur; Lemari Baju; K. Mandi Dalam; Kloset Duduk; Shower; Air panas; WiFi; R. Cuci; Kulkas; R. Tamu; Mesin Cuci; R. Makan; R. Jemur; Dapur; Dispenser; CCTV; Parkir Motor &amp; Sepeda</t>
  </si>
  <si>
    <t>Kost Apik Jasmine Tipe A Pancoran Jakarta Selatan</t>
  </si>
  <si>
    <t>2.5 x 3.5 meter; Termasuk listrik; Kasur; Lemari Baju; Bantal; Cermin; Jendela; Kloset Duduk; K. Mandi Luar; Shower; WiFi; R. Cuci; R. Tamu; R. Jemur; Dapur; Jemuran; Parkir Motor &amp; Sepeda</t>
  </si>
  <si>
    <t>Pancoran</t>
  </si>
  <si>
    <t>Kost Hj Dahlia 34 Mampang Prapatan Jakarta Selatan</t>
  </si>
  <si>
    <t>3 x 3 meter; Tidak termasuk listrik; Kasur; Lemari Baju; Bantal; Guling; Jendela; K. Mandi Dalam; Kloset Jongkok; Ember mandi; WiFi; Parkir Motor</t>
  </si>
  <si>
    <t>Mampang Prapatan</t>
  </si>
  <si>
    <t>Kost Ciganjur Jagakarsa Jakarta Selatan</t>
  </si>
  <si>
    <t>3 x 4 meter; Termasuk listrik; AC; Kasur; Meja; TV; Lemari Baju; Ventilasi; Bantal; Cermin; Dapur Pribadi; Guling; K. Mandi Dalam; Kloset Duduk; Kloset Jongkok; K. Mandi Luar; Ember mandi; Wastafel; Shower; Bak mandi; WiFi; Penjaga Kos; R. Jemur; Mushola; R. Santai; Dapur; Balcon; CCTV; Gazebo; Jemuran; Parkir Mobil; Parkir Motor; Parkir Sepeda; Parkir Motor &amp; Sepeda</t>
  </si>
  <si>
    <t>Kost Logo Residence Tipe Standar Kebayoran Baru Jakarta Selatan</t>
  </si>
  <si>
    <t>5 x 3 meter; Tidak termasuk listrik; AC; Kasur; Meja; TV; Lemari Baju; Kulkas; Cleaning service; Guling; TV Kabel; Wastafel; K. Mandi Dalam; Kloset Duduk; Shower; Air panas; WiFi; R. Tamu; Laundry; Penjaga Kos; Mesin Cuci; R. Makan; R. Santai; Dispenser; Dapur; Parkir Mobil; Parkir Motor</t>
  </si>
  <si>
    <t>Kost Apik Anggrek IV Perbanas Tipe A Setiabudi Jakarta Selatan</t>
  </si>
  <si>
    <t>4 x 3 meter; Tidak termasuk listrik; AC; Kasur; Meja; Lemari Baju; Kursi; Bantal; Cermin; Guling; Jendela; Kloset Jongkok; K. Mandi Luar; Bak mandi; WiFi; R. Tamu; R. Makan; R. Jemur; Dapur; Parkir Mobil; Parkir Sepeda; Parkir Motor &amp; Sepeda</t>
  </si>
  <si>
    <t>Setia Budi</t>
  </si>
  <si>
    <t>Kost Singgahsini Paso 1 Tipe A Jagakarsa Jakarta Selatan</t>
  </si>
  <si>
    <t>3.5 x 3 meter; Tidak termasuk listrik; AC; Kasur; Meja; TV; Lemari Baju; Kursi; Jendela; Bantal; Cermin; K. Mandi Dalam; Kloset Duduk; Wastafel; Shower; Air panas; WiFi; R. Cuci; Kulkas; R. Tamu; Penjaga Kos; Mesin Cuci; R. Jemur; Dapur; K. Mandi Luar; Parkir Mobil; Parkir Motor &amp; Sepeda</t>
  </si>
  <si>
    <t>Kost Singgahsini Ananda 123 Tipe C Kebayoran Lama Jakarta Selatan</t>
  </si>
  <si>
    <t>2.6 x 2.2 meter</t>
  </si>
  <si>
    <t>2.6 x 2.2 meter; Termasuk listrik; AC; Kasur; Lemari Baju; Bantal; Guling; Kloset Duduk; K. Mandi Luar; Ember mandi; Shower; WiFi; R. Tamu; Penjaga Kos; R. Jemur; Dapur; CCTV; Jemuran; Parkir Mobil; Parkir Motor &amp; Sepeda</t>
  </si>
  <si>
    <t>Kost Singgahsini Graha Kusumo Menteng Dalam Tipe A Tebet Jakarta Selatan</t>
  </si>
  <si>
    <t>3 x 3 meter; Tidak termasuk listrik; AC; Kasur; Lemari Baju; Ventilasi; Bantal; Jendela; K. Mandi Dalam; Kloset Duduk; Ember mandi; Shower; WiFi; Dapur; Parkir Motor &amp; Sepeda</t>
  </si>
  <si>
    <t>Kost Singgahsini Sunrise Living Tipe B Pasar Minggu Jakarta Selatan</t>
  </si>
  <si>
    <t>4.5 x 3.5 meter; Tidak termasuk listrik; AC; Kasur; Meja; Lemari Baju; Kursi; Bantal; Jendela; K. Mandi Dalam; Kloset Duduk; Shower; Air panas; WiFi; Kulkas; Penjaga Kos; R. Jemur; Dapur; CCTV; Rooftop; Parkir Mobil; Parkir Motor &amp; Sepeda</t>
  </si>
  <si>
    <t>Kost Muslimah Rumah Nadine Tipe B Pasar Minggu Jakarta Selatan</t>
  </si>
  <si>
    <t>4 x 4 meter; Tidak termasuk listrik; AC; Kasur; Meja; Lemari Baju; Ventilasi; Bantal; Guling; Jendela; Cermin; Kursi; K. Mandi Dalam; Kloset Duduk; Shower; WiFi; Kulkas; R. Cuci; Mesin Cuci; R. Jemur; R. Santai; Dapur; Dispenser; Kartu Akses; Balcon; Parkir Mobil; Parkir Motor; Parkir Sepeda</t>
  </si>
  <si>
    <t>Kost Singgahsini Junaedi 3 Cipete Tipe A Cilandak Jakarta Selatan</t>
  </si>
  <si>
    <t>5.1 x 3.4 meter</t>
  </si>
  <si>
    <t>5.1 x 3.4 meter; Tidak termasuk listrik; AC; Kasur; Meja; Lemari Baju; Kursi; K. Mandi Dalam; Kloset Duduk; Shower; WiFi; Penjaga Kos; R. Makan; R. Jemur; Dapur; Dispenser; CCTV; Parkir Motor &amp; Sepeda</t>
  </si>
  <si>
    <t>Kost Singgahsini Buana Gandaria Tipe A Kebayoran Lama Jakarta Selatan</t>
  </si>
  <si>
    <t>2.8 x 3.5 meter; Tidak termasuk listrik; AC; Kasur; Meja; Lemari Baju; Kursi; Bantal; Cermin; Guling; Jendela; K. Mandi Dalam; Kloset Duduk; Shower; WiFi; R. Cuci; Mesin Cuci; Penjaga Kos; R. Jemur; Dapur; Dispenser; Parkir Motor &amp; Sepeda</t>
  </si>
  <si>
    <t>Kost Singgahsini Buana Seven Tipe A Kebayoran Lama Jakarta Selatan</t>
  </si>
  <si>
    <t>3 x 3 meter; Termasuk listrik; AC; Kasur; Meja; Lemari Baju; Kursi; Bantal; Cermin; Guling; Jendela; Kloset Duduk; K. Mandi Luar; Wastafel; Shower; WiFi; R. Cuci; R. Tamu; Penjaga Kos; R. Jemur; Dapur; Dispenser; TV; Parkir Mobil; Parkir Motor</t>
  </si>
  <si>
    <t>Kost Eksklusif AC Pasar Minggu Jakarta Selatan</t>
  </si>
  <si>
    <t>3 x 4 meter; Termasuk listrik; AC; Kasur; Lemari Baju; Ventilasi; Bantal; Kipas Angin; K. Mandi Dalam; Ember mandi; WiFi; Kulkas; Penjaga Kos; R. Jemur; Dapur; Jemuran; Parkir Motor; Parkir Sepeda</t>
  </si>
  <si>
    <t>Kost Singgahsini Ohana Tipe B Cilandak Jakarta Selatan</t>
  </si>
  <si>
    <t>5.3 x 3.9 meter</t>
  </si>
  <si>
    <t>5.3 x 3.9 meter; Tidak termasuk listrik; AC; Kasur; Meja; Lemari Baju; Kursi; Bantal; Jendela; K. Mandi Dalam; Kloset Duduk; Wastafel; Shower; Air panas; WiFi; R. Tamu; R. Makan; Dapur; CCTV; Parkir Mobil; Parkir Motor &amp; Sepeda</t>
  </si>
  <si>
    <t>Kost Singgahsini Guntur 40 Tipe B Setiabudi Jakarta Selatan</t>
  </si>
  <si>
    <t>Rp2.975.000</t>
  </si>
  <si>
    <t>3 x 2.7 meter; Tidak termasuk listrik; AC; Kasur; TV; Lemari Baju; Bantal; Cermin; Jendela; K. Mandi Dalam; Kloset Duduk; Wastafel; Shower; Air panas; WiFi; CCTV; Jemuran; Parkir Mobil; Parkir Motor; Parkir Sepeda</t>
  </si>
  <si>
    <t>Rp2.827.500</t>
  </si>
  <si>
    <t>Kost Singgahsini L Tipe A Tebet Jakarta Selatan</t>
  </si>
  <si>
    <t>3 x 3 meter; Tidak termasuk listrik; AC; Kasur; Meja; TV; Lemari Baju; Kursi; Bantal; K. Mandi Dalam; Kloset Duduk; Wastafel; Shower; WiFi; Kulkas; R. Tamu; Penjaga Kos; R. Makan; R. Jemur; Dapur; Dispenser; CCTV; Parkir Motor &amp; Sepeda</t>
  </si>
  <si>
    <t>Kost Singgahsini Citron Tipe C Cipete Raya Jakarta Selatan</t>
  </si>
  <si>
    <t>5 x 4 meter; Tidak termasuk listrik; AC; Kasur; Meja; TV; Lemari Baju; Kursi; Bantal; Cermin; Guling; K. Mandi Dalam; Kloset Duduk; Wastafel; Shower; Air panas; WiFi; Kulkas; R. Tamu; R. Makan; R. Jemur; Dapur; Dispenser; Rooftop; Parkir Mobil; Parkir Motor; Parkir Sepeda; Parkir Motor &amp; Sepeda</t>
  </si>
  <si>
    <t>Rp3.682.500</t>
  </si>
  <si>
    <t>Kost Singgahsini Rumah 5111 Tipe A Setiabudi Jakarta Selatan</t>
  </si>
  <si>
    <t>3.7 x 3.3 meter</t>
  </si>
  <si>
    <t>3.7 x 3.3 meter; Tidak termasuk listrik; AC; Kasur; Meja; TV; Lemari Baju; Kursi; Bantal; Cermin; Guling; Jendela; K. Mandi Dalam; Kloset Duduk; Wastafel; Shower; Air panas; WiFi; R. Cuci; Kulkas; Mesin Cuci; Penjaga Kos; Laundry; R. Makan; R. Jemur; Dapur; Dispenser; Parkir Mobil; Parkir Motor; Parkir Sepeda</t>
  </si>
  <si>
    <t>Rp3.105.000</t>
  </si>
  <si>
    <t>SETIA BUDI</t>
  </si>
  <si>
    <t>Diskon 260rb</t>
  </si>
  <si>
    <t>Kost Singgahsini Petogogan 35A Tipe A Kebayoran Baru Jakarta Selatan</t>
  </si>
  <si>
    <t>3 x 3 meter; Tidak termasuk listrik; AC; Kasur; Meja; Lemari Baju; Kursi; Jendela; Bantal; Cermin; Guling; Kloset Duduk; K. Mandi Luar; Shower; Air panas; WiFi; Penjaga Kos; R. Makan; R. Jemur; CCTV; Rooftop; Jemuran; Parkir Mobil; Parkir Motor &amp; Sepeda</t>
  </si>
  <si>
    <t>Kost Singgahsini Shafara Tipe C Pesanggrahan Jakarta Selatan</t>
  </si>
  <si>
    <t>5 x 3 meter; Tidak termasuk listrik; AC; Kasur; Meja; Lemari Baju; Ventilasi; Kursi; Jendela; Wastafel; Bantal; Guling; K. Mandi Dalam; Kloset Duduk; Shower; WiFi; R. Tamu; Penjaga Kos; R. Jemur; CCTV; Parkir Motor &amp; Sepeda</t>
  </si>
  <si>
    <t>Kost Singgahsini Tebet Barat II Tipe B Tebet Jakarta Selatan</t>
  </si>
  <si>
    <t>3 x 2 meter; Tidak termasuk listrik; AC; Kasur; Meja; Meja Rias; Lemari Baju; Kursi; Bantal; Cermin; Guling; Jendela; Kloset Duduk; K. Mandi Luar; Shower; WiFi; Kulkas; Penjaga Kos; R. Makan; R. Jemur; Dapur; CCTV; Parkir Mobil; Parkir Motor; Parkir Sepeda</t>
  </si>
  <si>
    <t>Kost Singgahsini Sahar Tipe D Pasar Minggu Jakarta Selatan</t>
  </si>
  <si>
    <t>4 x 3.2 meter; Tidak termasuk listrik; AC; Kasur; Meja; Lemari Baju; Kursi; Jendela; Bantal; Cermin; Guling; Kloset Duduk; K. Mandi Luar; Shower; WiFi; Kulkas; R. Tamu; Penjaga Kos; R. Makan; R. Jemur; Dapur; Dispenser; CCTV; Parkir Mobil; Parkir Motor &amp; Sepeda</t>
  </si>
  <si>
    <t>Diskon 272rb</t>
  </si>
  <si>
    <t>Kost Singgahsini My Home Tipe A Setiabudi Jakarta Selatan</t>
  </si>
  <si>
    <t>4 x 3 meter; Tidak termasuk listrik; AC; Kasur; Meja; Lemari Baju; Kursi; Bantal; Guling; Jendela; K. Mandi Dalam; Kloset Duduk; Wastafel; Shower; Air panas; WiFi; R. Cuci; R. Tamu; Penjaga Kos; Dapur; K. Mandi Luar; Parkir Mobil; Parkir Motor; Parkir Sepeda; Parkir Motor &amp; Sepeda</t>
  </si>
  <si>
    <t>Kost Singgahsini Kemang Timur Syariah Tipe B Mampang Prapatan Jakarta Selatan</t>
  </si>
  <si>
    <t>3 x 4 meter; Tidak termasuk listrik; AC; Kasur; Meja; Lemari Baju; Ventilasi; Kursi; Bantal; Cermin; Guling; Jendela; K. Mandi Dalam; Kloset Duduk; Shower; WiFi; Kulkas; R. Tamu; R. Jemur; Dispenser; TV; Parkir Mobil; Parkir Motor; Parkir Sepeda</t>
  </si>
  <si>
    <t>Kost Singgahsini Dali Teges Tipe B Menteng Dalam Jakarta Selatan</t>
  </si>
  <si>
    <t>4 x 3 meter; Termasuk listrik; AC; Kasur; Meja; Kursi; Bantal; Guling; K. Mandi Dalam; Kloset Duduk; Shower; WiFi; R. Tamu; Penjaga Kos; R. Jemur; Dapur; Dispenser; K. Mandi Luar; Jemuran; Parkir Mobil; Parkir Motor; Parkir Motor &amp; Sepeda</t>
  </si>
  <si>
    <t>Diskon 224rb</t>
  </si>
  <si>
    <t>Kost Singgahsini Nona Lebak Bulus Tipe A Cilandak Jakarta Selatan</t>
  </si>
  <si>
    <t>3.2 x 3 meter; Tidak termasuk listrik; AC; Kasur; Meja; Lemari Baju; Ventilasi; Kursi; Bantal; Jendela; K. Mandi Dalam; Kloset Duduk; Shower; WiFi; Kulkas; R. Jemur; Dapur; CCTV; Parkir Mobil; Parkir Motor; Parkir Sepeda; Parkir Motor &amp; Sepeda</t>
  </si>
  <si>
    <t>Kost Singgahsini Tebet Barat 11 Tipe B Jakarta Selatan</t>
  </si>
  <si>
    <t>3 x 2.2 meter; Termasuk listrik; Kasur; Meja; TV; Kursi; Cermin; Jendela; Bantal; Guling; Kloset Duduk; K. Mandi Luar; Ember mandi; Shower; WiFi; Kulkas; R. Tamu; Penjaga Kos; R. Makan; R. Jemur; Dapur; Jemuran; Parkir Motor &amp; Sepeda</t>
  </si>
  <si>
    <t>Kost Damarsari 27 Pasar Minggu Jakarta Selatan</t>
  </si>
  <si>
    <t>3 x 3 meter; Tidak termasuk listrik; AC; Kasur; Meja; Meja Rias; Lemari Baju; Kursi; K. Mandi Dalam; Kloset Duduk; Wastafel; Shower; Air panas; WiFi; R. Cuci; Kulkas; R. Tamu; Penjaga Kos; R. Makan; R. Jemur; R. Santai; Dapur; TV; Parkir Mobil; Parkir Motor; Parkir Sepeda</t>
  </si>
  <si>
    <t>Kost Singgahsini East 37 Tipe A Tebet Timur Jakarta Selatan</t>
  </si>
  <si>
    <t>2.7 x 2.3 meter</t>
  </si>
  <si>
    <t>2.7 x 2.3 meter; Tidak termasuk listrik; AC; Kasur; Meja; Lemari Baju; Kursi; Bantal; K. Mandi Dalam; Kloset Duduk; K. Mandi Luar; Air panas; WiFi; Kulkas; R. Tamu; Laundry; R. Makan; R. Jemur; R. Santai; Dapur; Dispenser; R. Keluarga; Parkir Mobil; Parkir Motor; Parkir Sepeda</t>
  </si>
  <si>
    <t>Kost Singgahsini Petogogan 35A Tipe B Kebayoran Baru Jakarta Selatan</t>
  </si>
  <si>
    <t>4 x 3 meter; Tidak termasuk listrik; AC; Kasur; Meja; Lemari Baju; Kursi; Bantal; Cermin; Guling; Kloset Duduk; K. Mandi Luar; Shower; Air panas; WiFi; Penjaga Kos; R. Makan; R. Jemur; CCTV; Rooftop; Jemuran; Parkir Mobil; Parkir Motor &amp; Sepeda</t>
  </si>
  <si>
    <t>Kost Joyo 1 Tipe Standard Pesanggrahan Jakarta Selatan</t>
  </si>
  <si>
    <t>3 x 3 meter; Tidak termasuk listrik; AC; Kasur; Meja; TV; Lemari Baju; Ventilasi; Bantal; Cermin; Kursi; TV Kabel; K. Mandi Dalam; Kloset Duduk; Wastafel; Shower; Air panas; WiFi; Kulkas; Penjaga Kos; R. Makan; R. Santai; Dapur; Dispenser; CCTV; Jemuran; Pengurus Kos; Parkir Mobil; Parkir Motor</t>
  </si>
  <si>
    <t>Kecamatan Pesanggrahan</t>
  </si>
  <si>
    <t>Kost Apik Pondok Jaya VIII Tipe C Mampang Prapatan Jakarta Selatan</t>
  </si>
  <si>
    <t>3 x 1.7 meter</t>
  </si>
  <si>
    <t>3 x 1.7 meter; Termasuk listrik; Kasur; Meja; Lemari Baju; Ventilasi; Kursi; Kipas Angin; Bantal; Cermin; Jendela; Kloset Duduk; K. Mandi Luar; Wastafel; Ember mandi; Shower; WiFi; Kulkas; R. Tamu; Penjaga Kos; R. Makan; R. Jemur; Dapur; Dispenser; TV; Taman; Parkir Mobil; Parkir Sepeda</t>
  </si>
  <si>
    <t>Kost Singgahsini Lebak Bulus 04 Tipe A Cilandak Jakarta Selatan</t>
  </si>
  <si>
    <t>3.8 x 4.2 meter</t>
  </si>
  <si>
    <t>3.8 x 4.2 meter; Tidak termasuk listrik; AC; Kasur; Meja; TV; Lemari Baju; Bantal; Cermin; Jendela; K. Mandi Dalam; Kloset Duduk; Shower; Air panas; WiFi; Kulkas; R. Tamu; Penjaga Kos; R. Jemur; Dapur; Dispenser; CCTV; Rooftop; Parkir Mobil; Parkir Motor &amp; Sepeda</t>
  </si>
  <si>
    <t>Kost Singgahsini G Kavling Tipe A Tebet Jakarta Selatan</t>
  </si>
  <si>
    <t>4 x 3 meter; Tidak termasuk listrik; AC; Kasur; Meja; Lemari Baju; Ventilasi; Kursi; Bantal; Cermin; Guling; Jendela; K. Mandi Dalam; Kloset Duduk; Ember mandi; WiFi; Kulkas; Penjaga Kos; R. Jemur; Dapur; Dispenser; CCTV; Parkir Mobil; Parkir Motor &amp; Sepeda</t>
  </si>
  <si>
    <t>Rp2.072.500</t>
  </si>
  <si>
    <t>Kost Singgahsini Mampang Ecostay Tipe B Jakarta Selatan</t>
  </si>
  <si>
    <t>3 x 2.7 meter; Tidak termasuk listrik; AC; Kasur; Meja; TV; Lemari Baju; Ventilasi; Kursi; Bantal; Cermin; Guling; K. Mandi Dalam; Kloset Duduk; Shower; Air panas; WiFi; R. Tamu; Penjaga Kos; Taman; CCTV; Parkir Motor &amp; Sepeda</t>
  </si>
  <si>
    <t>Kost Singgahsini Shabila Tipe B Pasar Minggu Jakarta Selatan</t>
  </si>
  <si>
    <t>3 x 4 meter; Tidak termasuk listrik; AC; Kasur; Meja; Lemari Baju; Ventilasi; Kursi; Bantal; Cermin; Guling; Jendela; K. Mandi Dalam; Kloset Duduk; Wastafel; Shower; Air panas; WiFi; Kulkas; R. Tamu; Penjaga Kos; R. Jemur; R. Santai; Dapur; TV; CCTV; Parkir Mobil; Parkir Sepeda; Parkir Motor; Parkir Motor &amp; Sepeda</t>
  </si>
  <si>
    <t>Rp2.360.000</t>
  </si>
  <si>
    <t>Kost Singgahsini MRT Haji Nawi 28 Tipe B Fatmawati Jakarta Selatan</t>
  </si>
  <si>
    <t>Kost Apik Harapan 18E Tipe B Jagakarsa Jakarta Selatan</t>
  </si>
  <si>
    <t>2 x 2.2 meter</t>
  </si>
  <si>
    <t>2 x 2.2 meter; Termasuk listrik; Kasur; Meja; Lemari Baju; Ventilasi; Kipas Angin; Bantal; Cermin; Guling; Jendela; Kloset Jongkok; K. Mandi Luar; Ember mandi; WiFi; Penjaga Kos; R. Jemur; Dapur; Jemuran; Parkir Motor; Parkir Sepeda</t>
  </si>
  <si>
    <t>Kost Singgahsini Rasafa IKPN Tipe A Pesanggrahan Jakarta Selatan</t>
  </si>
  <si>
    <t>4 x 4 meter; Termasuk listrik; AC; Kasur; Lemari Baju; Bantal; Guling; Jendela; Kloset Duduk; K. Mandi Luar; Shower; WiFi; Kulkas; R. Tamu; R. Jemur; Dapur; TV; CCTV; Parkir Motor; Parkir Sepeda; Parkir Motor &amp; Sepeda</t>
  </si>
  <si>
    <t>Kost Apik Evy Kalibata Utara Tipe A Pancoran Jakarta Selatan</t>
  </si>
  <si>
    <t>3.3 x 2.7 meter</t>
  </si>
  <si>
    <t>3.3 x 2.7 meter; Termasuk listrik; Kasur; Lemari Baju; Ventilasi; Bantal; Jendela; K. Mandi Dalam; Kloset Jongkok; WiFi; Penjaga Kos; R. Jemur; Dapur; Parkir Motor; Parkir Sepeda</t>
  </si>
  <si>
    <t>Kost Singgahsini Seventeen Tipe D Setia Budi Jakarta Selatan</t>
  </si>
  <si>
    <t>4.4 x 3.8 meter</t>
  </si>
  <si>
    <t>4.4 x 3.8 meter; Tidak termasuk listrik; AC; Kasur; Meja; Lemari Baju; Ventilasi; Kursi; Jendela; Bantal; K. Mandi Dalam; Kloset Duduk; Wastafel; Shower; Air panas; WiFi; R. Cuci; Kulkas; R. Tamu; Mesin Cuci; Penjaga Kos; R. Jemur; Dapur; TV; Rooftop; Parkir Mobil; Parkir Motor &amp; Sepeda</t>
  </si>
  <si>
    <t>Setiabudi</t>
  </si>
  <si>
    <t>Kost Singgahsini Puri Adhyaksa Tipe B Cilandak Jakarta Selatan</t>
  </si>
  <si>
    <t>3.4 x 4.2 meter; Tidak termasuk listrik; AC; Kasur; Meja; TV; Lemari Baju; Kursi; K. Mandi Dalam; Kloset Duduk; Shower; Air panas; WiFi; Kulkas; R. Tamu; Penjaga Kos; R. Makan; Dapur; Dispenser; Gazebo; CCTV; Parkir Mobil; Parkir Motor &amp; Sepeda</t>
  </si>
  <si>
    <t>Kost Singgahsini Permata Hijau Tipe B Kebayoran Lama Jakarta Selatan</t>
  </si>
  <si>
    <t>Rp2.345.000</t>
  </si>
  <si>
    <t>4 x 4 meter; Tidak termasuk listrik; AC; Kasur; Meja; Lemari Baju; Kursi; K. Mandi Dalam; Kloset Duduk; Shower; WiFi; R. Cuci; Laundry; R. Jemur; Parkir Mobil; Parkir Motor; Parkir Sepeda; Parkir Motor &amp; Sepeda</t>
  </si>
  <si>
    <t>Rp2.159.400</t>
  </si>
  <si>
    <t>Diskon 186rb</t>
  </si>
  <si>
    <t>Kost Apik Restu Ibu Lenteng Agung Tipe E Jagakarsa Jakarta Selatan</t>
  </si>
  <si>
    <t>2.8 x 2.8 meter; Termasuk listrik; Kasur; Meja; Lemari Baju; Kursi; Bantal; Jendela; Kloset Jongkok; K. Mandi Luar; Ember mandi; Shower; WiFi; R. Cuci; R. Tamu; Penjaga Kos; Dapur; TV; CCTV; Parkir Mobil; Parkir Motor &amp; Sepeda</t>
  </si>
  <si>
    <t>Kost Singgahsini Pondok Indah Tipe A Kebayoran Lama Jakarta Selatan</t>
  </si>
  <si>
    <t>5 x 3 meter; Termasuk listrik; AC; Kasur; Meja; Lemari Baju; Kursi; Bantal; Guling; Jendela; K. Mandi Dalam; Kloset Duduk; Wastafel; Shower; Air panas; WiFi; R. Tamu; R. Jemur; Mushola; Dapur; Parkir Mobil; Parkir Motor</t>
  </si>
  <si>
    <t>Kost Rumah Kamang Residence Tipe Studio Pasar Minggu Jakarta Selatan</t>
  </si>
  <si>
    <t>3.5 x 5.5 meter; Termasuk listrik; AC; Kasur; Meja; Dispenser; TV; Lemari Baju; Kulkas; Ventilasi; Kursi; Wastafel; K. Mandi Dalam; Kloset Duduk; Shower; Air panas; WiFi; R. Cuci; R. Tamu; Mesin Cuci; Penjaga Kos; Laundry; R. Makan; Mushola; R. Santai; Parkir Mobil; Parkir Motor; Parkir Sepeda</t>
  </si>
  <si>
    <t>Rp4.200.000</t>
  </si>
  <si>
    <t>Kost Singgahsini Royal Spring Tipe C Pasar Minggu Jakarta Selatan</t>
  </si>
  <si>
    <t>4 x 2.2 meter; Termasuk listrik; AC; Kasur; Meja; Lemari Baju; Ventilasi; Kursi; Bantal; Cermin; Jendela; Kloset Duduk; K. Mandi Luar; Wastafel; Shower; WiFi; R. Tamu; Penjaga Kos; Dispenser; TV; Taman; Parkir Mobil; Parkir Motor &amp; Sepeda</t>
  </si>
  <si>
    <t>Kost Singgahsini Jhon Marcel Tipe B Mampang Prapatan Jakarta Selatan</t>
  </si>
  <si>
    <t>5 x 3.5 meter; Tidak termasuk listrik; AC; Kasur; Meja; Lemari Baju; Kursi; Cermin; Bantal; Jendela; K. Mandi Dalam; Kloset Duduk; Ember mandi; Shower; Air panas; WiFi; R. Tamu; Dapur; Dispenser; TV; Balcon; Parkir Motor &amp; Sepeda</t>
  </si>
  <si>
    <t>Kost Singgahsini Wisma KS23 Tipe B Setiabudi Jakarta Selatan</t>
  </si>
  <si>
    <t>4 x 4 meter; Tidak termasuk listrik; AC; Kasur; Meja; Lemari Baju; Kursi; K. Mandi Dalam; Kloset Duduk; Wastafel; Shower; Air panas; WiFi; R. Tamu; Mesin Cuci; Penjaga Kos; Laundry; R. Jemur; Dapur; Parkir Mobil; Parkir Motor</t>
  </si>
  <si>
    <t>Kost Singgahsini Rumah Nia Tipe A Tebet Jakarta Selatan</t>
  </si>
  <si>
    <t>3 x 3 meter; Tidak termasuk listrik; AC; Kasur; Meja; Lemari Baju; Ventilasi; Kursi; Bantal; Cermin; Guling; K. Mandi Dalam; Kloset Duduk; Shower; WiFi; Kulkas; R. Tamu; R. Jemur; Dapur; Dispenser; CCTV; Jemuran; Parkir Motor &amp; Sepeda</t>
  </si>
  <si>
    <t>Kost Cozy Coliving Fatmawati Deluxe Plus Cilandak Jakarta Selatan</t>
  </si>
  <si>
    <t>4.8 x 3 meter; Tidak termasuk listrik; AC; Kasur; Dispenser; Meja; Meja Rias; TV; Kulkas; Lemari Baju; Ventilasi; Bantal; K. Mandi Dalam; Kloset Duduk; Wastafel; Shower; Air panas; WiFi; R. Cuci; Laundry; Penjaga Kos; R. Tamu; R. Jemur; R. Makan; R. Santai; Dapur; Parkir Mobil; Parkir Motor; Parkir Sepeda</t>
  </si>
  <si>
    <t>Kost Singgahsini Griya Batang Agam Tipe A Pancoran Jakarta Selatan</t>
  </si>
  <si>
    <t>7 x 3 meter; Tidak termasuk listrik; AC; Kasur; Meja; TV; Lemari Baju; Kursi; Cermin; Bantal; Guling; Jendela; K. Mandi Dalam; Kloset Duduk; Shower; Air panas; WiFi; Kulkas; R. Tamu; Mesin Cuci; Penjaga Kos; R. Jemur; R. Makan; Dapur; Parkir Mobil</t>
  </si>
  <si>
    <t>Kost Apik Anggrek 13 Tipe A Setiabudi Jakarta Selatan</t>
  </si>
  <si>
    <t>3 x 2 meter; Termasuk listrik; AC; Kasur; Meja; Lemari Baju; Kursi; Bantal; Cermin; Guling; Jendela; K. Mandi Dalam; Kloset Duduk; Shower; WiFi; Kulkas; Laundry; R. Jemur; Dapur; K. Mandi Luar; Parkir Motor; Parkir Motor &amp; Sepeda</t>
  </si>
  <si>
    <t>Kost Singgahsini J House Tipe B Tebet Jakarta Selatan</t>
  </si>
  <si>
    <t>3 x 4 meter; Tidak termasuk listrik; AC; Kasur; Meja; Lemari Baju; Kulkas; Ventilasi; Kursi; Bantal; Jendela; K. Mandi Dalam; Kloset Duduk; Shower; Air panas; WiFi; Penjaga Kos; Laundry; R. Makan; Dapur; Rice Cooker; Parkir Mobil; Parkir Motor</t>
  </si>
  <si>
    <t>Kost Singgahsini Puri Amarta Tipe A Kebayoran Lama Jakarta Selatan</t>
  </si>
  <si>
    <t>Rp3.350.000</t>
  </si>
  <si>
    <t>Kost Singgahsini Danysa Tipe A Tebet Jakarta Selatan</t>
  </si>
  <si>
    <t>3 x 3 meter; Termasuk listrik; AC; Kasur; Meja; Lemari Baju; Ventilasi; Bantal; Cermin; Jendela; K. Mandi Dalam; Kloset Duduk; Shower; WiFi; R. Tamu; Penjaga Kos; R. Jemur; Mushola; Parkir Mobil; Parkir Motor &amp; Sepeda</t>
  </si>
  <si>
    <t>Rp2.187.000</t>
  </si>
  <si>
    <t>Diskon 188rb</t>
  </si>
  <si>
    <t>Kost Singgahsini Sunrise Living Tipe D Pasar Minggu Jakarta Selatan</t>
  </si>
  <si>
    <t>4.5 x 2.5 meter</t>
  </si>
  <si>
    <t>4.5 x 2.5 meter; Tidak termasuk listrik; AC; Kasur; Meja; Lemari Baju; Kursi; Bantal; Jendela; K. Mandi Dalam; Kloset Duduk; Shower; Air panas; WiFi; Kulkas; Penjaga Kos; R. Jemur; Dapur; CCTV; Rooftop; Parkir Mobil; Parkir Motor &amp; Sepeda</t>
  </si>
  <si>
    <t>Kost Singgahsini White House Tipe A Mampang Prapatan Jakarta Selatan</t>
  </si>
  <si>
    <t>3 x 3 meter; Tidak termasuk listrik; AC; Kasur; Meja; Lemari Baju; Kursi; Bantal; Guling; K. Mandi Dalam; Kloset Duduk; Wastafel; Shower; WiFi; R. Cuci; Kulkas; R. Tamu; Dapur; Dispenser; K. Mandi Luar; Parkir Mobil; Parkir Motor</t>
  </si>
  <si>
    <t>Rp2.605.000</t>
  </si>
  <si>
    <t>Diskon 222rb</t>
  </si>
  <si>
    <t>Kost Singgahsini Damai Sapphire Tipe A Kebayoran Baru Jakarta Selatan</t>
  </si>
  <si>
    <t>4.5 x 3 meter; Tidak termasuk listrik; AC; Kasur; Meja; TV; Lemari Baju; Ventilasi; Kursi; Bantal; Jendela; K. Mandi Dalam; Kloset Duduk; Wastafel; Shower; Air panas; WiFi; Kulkas; Dapur; CCTV; Parkir Mobil; Parkir Motor; Parkir Sepeda</t>
  </si>
  <si>
    <t>Rp4.075.000</t>
  </si>
  <si>
    <t>Kost Singgahsini Samana SCBD Tipe C Kebayoran Baru Jakarta Selatan</t>
  </si>
  <si>
    <t>Rp4.425.000</t>
  </si>
  <si>
    <t>3 x 5 meter; Termasuk listrik; AC; Kasur; Meja; TV; Lemari Baju; Ventilasi; Kursi; Bantal; Cermin; Jendela; K. Mandi Dalam; Kloset Duduk; Wastafel; Air panas; WiFi; Kulkas; R. Tamu; R. Makan; R. Jemur; Dapur; Dispenser; K. Mandi Luar; CCTV; Parkir Mobil; Parkir Sepeda; Parkir Motor &amp; Sepeda</t>
  </si>
  <si>
    <t>Rp4.205.000</t>
  </si>
  <si>
    <t>Kost Singgahsini Sampit Satoe Lima Tipe D Kebayoran Baru Jakarta Selatan</t>
  </si>
  <si>
    <t>Rp3.715.000</t>
  </si>
  <si>
    <t>3 x 2 meter; Tidak termasuk listrik; AC; Kasur; Meja; Lemari Baju; Kursi; Bantal; Cermin; Guling; Jendela; K. Mandi Dalam; Kloset Duduk; Wastafel; Shower; Air panas; WiFi; Kulkas; R. Tamu; Penjaga Kos; R. Makan; Dapur; TV; Gazebo; CCTV; Rooftop; Parkir Motor &amp; Sepeda</t>
  </si>
  <si>
    <t>Rp3.530.500</t>
  </si>
  <si>
    <t>Kost Singgahsini J House Tipe C Tebet Jakarta Selatan</t>
  </si>
  <si>
    <t>3 x 3.2 meter; Tidak termasuk listrik; AC; Kasur; Meja; Lemari Baju; Ventilasi; Kursi; Bantal; K. Mandi Dalam; Kloset Duduk; Shower; Air panas; WiFi; Kulkas; Penjaga Kos; Laundry; R. Makan; Dapur; Rice Cooker; Parkir Mobil; Parkir Motor</t>
  </si>
  <si>
    <t>Kost Singgahsini Audio 20 Tipe B Kebayoran Lama Jakarta Selatan</t>
  </si>
  <si>
    <t>3 x 2.8 meter; Tidak termasuk listrik; AC; Kasur; Meja; Lemari Baju; Kursi; Jendela; Bantal; Kloset Duduk; K. Mandi Luar; Shower; Air panas; WiFi; Kulkas; R. Tamu; Penjaga Kos; R. Makan; Dapur; Taman; CCTV; Rooftop; Parkir Mobil; Parkir Motor &amp; Sepeda</t>
  </si>
  <si>
    <t>Kost Singgahsini Simprug Corner 51 Tipe D Kebayoran Lama Jakarta Selatan</t>
  </si>
  <si>
    <t>2.5 x 2 meter; Tidak termasuk listrik; AC; Kasur; Meja; TV; Lemari Baju; Kursi; Bantal; Cermin; Guling; Jendela; Kloset Duduk; K. Mandi Luar; Shower; Air panas; WiFi; Kulkas; Mesin Cuci; Penjaga Kos; Dapur; CCTV; Parkir Motor; Parkir Sepeda</t>
  </si>
  <si>
    <t>Kost Singgahsini Omah Opung Tipe A Kebayoran Lama Jakarta Selatan</t>
  </si>
  <si>
    <t>3.8 x 3.1 meter</t>
  </si>
  <si>
    <t>Rp3.635.000</t>
  </si>
  <si>
    <t>3.8 x 3.1 meter; Termasuk listrik; AC; Kasur; Meja; TV; Lemari Baju; Kulkas; Kursi; Bantal; Cermin; Guling; K. Mandi Dalam; Kloset Duduk; Wastafel; Shower; Air panas; WiFi; R. Tamu; R. Makan; Dapur; Dispenser; CCTV; Parkir Mobil; Parkir Motor; Parkir Sepeda</t>
  </si>
  <si>
    <t>Rp3.274.000</t>
  </si>
  <si>
    <t>Diskon 361rb</t>
  </si>
  <si>
    <t>Kost The Legacy Residence Pondok Indah Syariah Kebayoran Lama Jakarta Selatan</t>
  </si>
  <si>
    <t>5 x 3.5 meter; Tidak termasuk listrik; AC; Kasur; Meja; TV; Lemari Baju; Ventilasi; Bantal; Cermin; Cleaning service; Guling; K. Mandi Dalam; Kloset Duduk; Wastafel; Shower; Air panas; WiFi; Penjaga Kos; Mushola; Dapur; Dispenser; Balcon; CCTV; Jemuran; Kartu Akses; Pengurus Kos; Parkir Mobil; Parkir Motor</t>
  </si>
  <si>
    <t>Rp3.850.000</t>
  </si>
  <si>
    <t>Kost Singgahsini Ananda 123 Tipe B Kebayoran Lama Jakarta Selatan</t>
  </si>
  <si>
    <t>2.5 x 3 meter; Termasuk listrik; AC; Kasur; Meja; Lemari Baju; Ventilasi; Kursi; Bantal; Guling; Jendela; K. Mandi Dalam; Kloset Duduk; Ember mandi; Shower; WiFi; R. Tamu; Penjaga Kos; R. Jemur; Dapur; CCTV; Jemuran; Parkir Mobil; Parkir Motor &amp; Sepeda</t>
  </si>
  <si>
    <t>Kost Apik Griya Bona Tipe B Pancoran Jakarta Selatan</t>
  </si>
  <si>
    <t>2.9 x 3.3 meter</t>
  </si>
  <si>
    <t>2.9 x 3.3 meter; Tidak termasuk listrik; Kasur; Meja; Lemari Baju; Ventilasi; Kursi; Bantal; Jendela; Kloset Duduk; K. Mandi Luar; Ember mandi; Shower; WiFi; R. Cuci; Penjaga Kos; R. Jemur; Dapur; CCTV; Jemuran; Parkir Motor &amp; Sepeda</t>
  </si>
  <si>
    <t>Rp1.165.000</t>
  </si>
  <si>
    <t>Kost Singgahsini Damai Sapphire Tipe E Kebayoran Baru Jakarta Selatan</t>
  </si>
  <si>
    <t>4.5 x 3 meter; Tidak termasuk listrik; AC; Kasur; Meja; TV; Lemari Baju; Kursi; Bantal; Jendela; K. Mandi Dalam; Kloset Duduk; Wastafel; Shower; Air panas; WiFi; Kulkas; Dapur; CCTV; Parkir Mobil; Parkir Motor; Parkir Sepeda</t>
  </si>
  <si>
    <t>Kost H Ayyub Tipe A Mampang Prapatan Jakarta Selatan</t>
  </si>
  <si>
    <t>3 x 4 meter; Tidak termasuk listrik; Lemari Baju; Ventilasi; Dapur Pribadi; Jendela; K. Mandi Dalam; Kloset Jongkok; Ember mandi; Shower; WiFi; Laundry; Dapur; CCTV; Jemuran; Gazebo; Parkir Motor</t>
  </si>
  <si>
    <t>Kost Singgahsini Poltangan 28 Tipe A Jagakarsa Jakarta Selatan</t>
  </si>
  <si>
    <t>5.3 x 3 meter</t>
  </si>
  <si>
    <t>5.3 x 3 meter; Tidak termasuk listrik; AC; Kasur; Meja; Lemari Baju; Kursi; Bantal; Jendela; K. Mandi Dalam; Kloset Duduk; Wastafel; Shower; Air panas; WiFi; Kulkas; R. Tamu; R. Santai; Dapur; CCTV; Parkir Mobil; Parkir Motor; Parkir Sepeda</t>
  </si>
  <si>
    <t>Kost Singgahsini White House Tipe B Mampang Prapatan Jakarta Selatan</t>
  </si>
  <si>
    <t>Rp2.805.000</t>
  </si>
  <si>
    <t>3.5 x 3 meter; Termasuk listrik; AC; Kasur; Meja; Lemari Baju; Kursi; Bantal; Guling; Jendela; K. Mandi Dalam; Kloset Duduk; Wastafel; Shower; WiFi; R. Cuci; Kulkas; R. Tamu; Dapur; Dispenser; K. Mandi Luar; Parkir Mobil; Parkir Motor</t>
  </si>
  <si>
    <t>Rp2.582.600</t>
  </si>
  <si>
    <t>Kost Singgahsini Gasyafa Tanjung Barat 45 Tipe A Jagakarsa Jakarta Selatan</t>
  </si>
  <si>
    <t>3 x 4 meter; Tidak termasuk listrik; AC; Kasur; Meja; Lemari Baju; Kursi; Bantal; Guling; Jendela; K. Mandi Dalam; Kloset Duduk; Bak mandi; WiFi; R. Jemur; Dapur; Dispenser; CCTV; Parkir Mobil; Parkir Motor; Parkir Sepeda</t>
  </si>
  <si>
    <t>Rp1.687.500</t>
  </si>
  <si>
    <t>Kost Fatmawati Executive 2 Cilandak Jakarta Selatan</t>
  </si>
  <si>
    <t>3 x 5.5 meter</t>
  </si>
  <si>
    <t>3 x 5.5 meter; Tidak termasuk listrik; AC; Kasur; Dispenser; Meja; Meja Rias; TV; Kulkas; Lemari Baju; Ventilasi; Bantal; K. Mandi Dalam; Kloset Duduk; Kloset Jongkok; K. Mandi Luar; Ember mandi; Wastafel; Shower; Air panas; Bathtub; WiFi; R. Cuci; Laundry; Mesin Cuci; Penjaga Kos; R. Tamu; Mushola; R. Jemur; R. Makan; Parkir Mobil; Parkir Motor; Parkir Sepeda</t>
  </si>
  <si>
    <t>Kost Singgahsini Poltangan 28 Tipe C Jagakarsa Jakarta Selatan</t>
  </si>
  <si>
    <t>Rp2.095.000</t>
  </si>
  <si>
    <t>2.8 x 2.4 meter; Tidak termasuk listrik; AC; Kasur; Meja; Lemari Baju; Kursi; Bantal; Jendela; K. Mandi Dalam; Kloset Duduk; Wastafel; Shower; Air panas; WiFi; Kulkas; R. Tamu; R. Santai; Dapur; CCTV; Parkir Mobil; Parkir Motor; Parkir Sepeda</t>
  </si>
  <si>
    <t>Rp1.991.500</t>
  </si>
  <si>
    <t>Kost Wijaya Kusuma Non AC Tebet Jakarta Selatan</t>
  </si>
  <si>
    <t>3 x 4 meter; Tidak termasuk listrik; AC; Kasur; Bantal; Guling; Jendela; Kipas Angin; K. Mandi Dalam; Kloset Duduk; WiFi; Penjaga Kos; Dapur; CCTV; Gazebo; Jemuran; Pengurus Kos; R. Keluarga; Parkir Motor</t>
  </si>
  <si>
    <t>Kost Wisma Pertenunan Senayan Kebayoran Lama Jakarta Selatan</t>
  </si>
  <si>
    <t>5 x 5 meter; Termasuk listrik; AC; Kasur; Meja; Dispenser; TV; Meja Rias; Lemari Baju; Kulkas; Ventilasi; Kursi; K. Mandi Dalam; Kloset Duduk; Wastafel; Shower; Air panas; WiFi; R. Tamu; Penjaga Kos; Laundry; R. Makan; R. Santai; Dapur; Balcon; Parkir Mobil; Parkir Motor</t>
  </si>
  <si>
    <t>Rp6.800.000</t>
  </si>
  <si>
    <t>Kost Singgahsini Ino Kebagusan Tipe C Pasar Minggu Jakarta Selatan</t>
  </si>
  <si>
    <t>3.5 x 4 meter; Tidak termasuk listrik; AC; Kasur; Meja; Lemari Baju; Ventilasi; Kursi; Bantal; Guling; Jendela; K. Mandi Dalam; Kloset Duduk; Wastafel; Shower; WiFi; Kulkas; R. Tamu; R. Jemur; Dapur; TV; K. Mandi Luar; CCTV; Parkir Mobil; Parkir Motor; Parkir Sepeda</t>
  </si>
  <si>
    <t>Kost Singgahsini Cherry Suites Tipe B Kebayoran Baru Jakarta Selatan</t>
  </si>
  <si>
    <t>3 x 4.5 meter; Tidak termasuk listrik; AC; Kasur; Meja; TV; Lemari Baju; Kulkas; Kursi; Bantal; Cermin; Guling; K. Mandi Dalam; Kloset Duduk; Wastafel; Shower; Air panas; WiFi; R. Tamu; Penjaga Kos; R. Makan; R. Jemur; Dapur; Dispenser; CCTV; Jemuran; Rooftop; Parkir Motor &amp; Sepeda</t>
  </si>
  <si>
    <t>Kost Singgahsini Haji Toto Tipe A Jagakarsa Jakarta Selatan</t>
  </si>
  <si>
    <t>3.2 x 3.2 meter; Tidak termasuk listrik; AC; Kasur; Lemari Baju; Bantal; Cermin; Guling; Jendela; K. Mandi Dalam; Kloset Duduk; Shower; WiFi; Penjaga Kos; Dapur; Parkir Motor &amp; Sepeda</t>
  </si>
  <si>
    <t>Kost Singgahsini Ummi Residence Tipe D Pasar Minggu Jakarta Selatan</t>
  </si>
  <si>
    <t>4 x 3.8 meter</t>
  </si>
  <si>
    <t>4 x 3.8 meter; Tidak termasuk listrik; AC; Kasur; Meja; TV; Lemari Baju; Kursi; Bantal; Cermin; Guling; K. Mandi Dalam; Kloset Duduk; Wastafel; Shower; Air panas; WiFi; Kulkas; R. Tamu; Mesin Cuci; R. Makan; R. Jemur; Dapur; Dispenser; K. Mandi Luar; Parkir Mobil; Parkir Sepeda</t>
  </si>
  <si>
    <t>Rp2.755.000</t>
  </si>
  <si>
    <t>Kost Mango Premium Cilandak Jakarta Selatan</t>
  </si>
  <si>
    <t>5 x 5 meter; Tidak termasuk listrik; AC; Kasur; Meja Rias; TV; Kulkas; Lemari Baju; Bantal; Cermin; Cleaning service; Jendela; K. Mandi Dalam; Kloset Duduk; Wastafel; Shower; Air panas; WiFi; Penjaga Kos; R. Santai; Dapur; Dispenser; CCTV; Jual Makanan; K. Mandi Luar; Kartu Akses; Parkir Mobil; Parkir Motor</t>
  </si>
  <si>
    <t>Rp6.499.000</t>
  </si>
  <si>
    <t>Kost Singgahsini Dito Jati Padang Tipe C Pasar Minggu Jakarta Selatan</t>
  </si>
  <si>
    <t>2.9 x 2.4 meter</t>
  </si>
  <si>
    <t>2.9 x 2.4 meter; Tidak termasuk listrik; AC; Kasur; Meja; TV; Lemari Baju; Ventilasi; Kursi; Bantal; Cermin; Guling; K. Mandi Dalam; Kloset Duduk; Shower; Air panas; WiFi; R. Cuci; Kulkas; R. Tamu; Mesin Cuci; Penjaga Kos; R. Makan; Dapur; K. Mandi Luar; CCTV; Parkir Mobil; Parkir Motor; Parkir Sepeda</t>
  </si>
  <si>
    <t>Kost Singgahsini East 37 Tipe E Tebet Timur Jakarta Selatan</t>
  </si>
  <si>
    <t>3 x 2 meter; Tidak termasuk listrik; AC; Kasur; Meja; Lemari Baju; Kursi; Bantal; K. Mandi Dalam; Kloset Duduk; K. Mandi Luar; Air panas; WiFi; Kulkas; R. Tamu; Laundry; R. Makan; R. Jemur; R. Santai; Dapur; Dispenser; R. Keluarga; Parkir Mobil; Parkir Motor; Parkir Sepeda</t>
  </si>
  <si>
    <t>Kost Singgahsini Gracia Tipe A Tebet Jakarta Selatan</t>
  </si>
  <si>
    <t>3.4 x 2.4 meter</t>
  </si>
  <si>
    <t>3.4 x 2.4 meter; Tidak termasuk listrik; AC; Kasur; Meja; Lemari Baju; Kursi; Bantal; Cermin; Jendela; K. Mandi Dalam; Kloset Duduk; Shower; WiFi; Kulkas; Penjaga Kos; Dapur; Parkir Motor &amp; Sepeda</t>
  </si>
  <si>
    <t>Rp1.855.000</t>
  </si>
  <si>
    <t>Kost Fatmawati Deluxe + Cilandak Jakarta Selatan</t>
  </si>
  <si>
    <t>3 x 5 meter; Tidak termasuk listrik; AC; Kasur; Dispenser; Meja; Meja Rias; TV; Kulkas; Lemari Baju; Ventilasi; Bantal; K. Mandi Dalam; Kloset Duduk; Kloset Jongkok; K. Mandi Luar; Ember mandi; Wastafel; Shower; Air panas; Bathtub; WiFi; R. Cuci; Laundry; Mesin Cuci; Penjaga Kos; R. Tamu; Mushola; R. Jemur; R. Makan; Parkir Mobil; Parkir Motor; Parkir Sepeda</t>
  </si>
  <si>
    <t>Kost Singgahsini Jhon Marcel Tipe C Mampang Prapatan Jakarta Selatan</t>
  </si>
  <si>
    <t>5 x 4.5 meter; Tidak termasuk listrik; AC; Kasur; Meja; Lemari Baju; Kursi; Cermin; Bantal; Jendela; K. Mandi Dalam; Kloset Duduk; Ember mandi; Shower; Air panas; WiFi; R. Tamu; Dapur; Dispenser; TV; Balcon; Parkir Motor &amp; Sepeda</t>
  </si>
  <si>
    <t>Rp3.065.000</t>
  </si>
  <si>
    <t>Kost Singgahsini Dito Jati Padang Tipe B Pasar Minggu Jakarta Selatan</t>
  </si>
  <si>
    <t>3.5 x 3 meter; Tidak termasuk listrik; AC; Kasur; Meja; TV; Lemari Baju; Ventilasi; Kursi; Bantal; Guling; Jendela; K. Mandi Dalam; Kloset Duduk; Shower; Air panas; WiFi; R. Cuci; Kulkas; R. Tamu; Mesin Cuci; Penjaga Kos; R. Makan; Dapur; K. Mandi Luar; CCTV; Parkir Mobil; Parkir Motor; Parkir Sepeda</t>
  </si>
  <si>
    <t>Kost Singgahsini Poltangan 28 Tipe B Jagakarsa Jakarta Selatan</t>
  </si>
  <si>
    <t>Kost Singgahsini Dito Jati Padang Tipe A Pasar Minggu Jakarta Selatan</t>
  </si>
  <si>
    <t>4.9 x 3.9 meter</t>
  </si>
  <si>
    <t>4.9 x 3.9 meter; Tidak termasuk listrik; AC; Kasur; Meja; TV; Lemari Baju; Ventilasi; Kursi; Bantal; Cermin; Guling; K. Mandi Dalam; Kloset Duduk; Shower; Air panas; WiFi; R. Cuci; Kulkas; R. Tamu; Mesin Cuci; Penjaga Kos; R. Makan; Dapur; K. Mandi Luar; CCTV; Parkir Mobil; Parkir Motor; Parkir Sepeda</t>
  </si>
  <si>
    <t>Kost Singgahsini Arte Cipete Utara Tipe D Kebayoran Baru Jakarta Selatan</t>
  </si>
  <si>
    <t>3 x 4.8 meter; Tidak termasuk listrik; AC; Kasur; Meja; TV; Lemari Baju; Kursi; Jendela; Bantal; K. Mandi Dalam; Kloset Duduk; Shower; Air panas; WiFi; Penjaga Kos; CCTV; Parkir Motor &amp; Sepeda</t>
  </si>
  <si>
    <t>Kost Singgahsini Seventeen Tipe C Setia Budi Jakarta Selatan</t>
  </si>
  <si>
    <t>4.6 x 3.2 meter</t>
  </si>
  <si>
    <t>4.6 x 3.2 meter; Tidak termasuk listrik; AC; Kasur; Meja; Lemari Baju; Ventilasi; Kursi; Jendela; Bantal; K. Mandi Dalam; Kloset Duduk; Wastafel; Shower; Air panas; WiFi; R. Cuci; Kulkas; R. Tamu; Mesin Cuci; Penjaga Kos; R. Jemur; Dapur; TV; Rooftop; Parkir Mobil; Parkir Motor &amp; Sepeda</t>
  </si>
  <si>
    <t>Kost Singgahsini Ikhlas Tipe C Pesanggrahan Jakarta Selatan</t>
  </si>
  <si>
    <t>3 x 3 meter; Tidak termasuk listrik; Kasur; Meja; Lemari Baju; Ventilasi; Kursi; Kipas Angin; Bantal; Jendela; K. Mandi Dalam; Kloset Jongkok; Ember mandi; Shower; WiFi; Penjaga Kos; R. Jemur; Dapur; Parkir Motor &amp; Sepeda</t>
  </si>
  <si>
    <t>Kost Singgahsini Kemang 6 Tipe A Mampang Prapatan Jakarta Selatan</t>
  </si>
  <si>
    <t>3 x 4 meter; Tidak termasuk listrik; AC; Kasur; Meja; TV; Lemari Baju; Kursi; Cermin; Wastafel; Bantal; Guling; K. Mandi Dalam; Kloset Duduk; Shower; Air panas; WiFi; R. Cuci; Kulkas; R. Tamu; R. Jemur; Dapur; Dispenser; K. Mandi Luar; Parkir Mobil</t>
  </si>
  <si>
    <t>Kost Singgahsini Kemang Timur Syariah Tipe A Mampang Prapatan Jakarta Selatan</t>
  </si>
  <si>
    <t>3.5 x 4 meter; Tidak termasuk listrik; AC; Kasur; Meja; Lemari Baju; Ventilasi; Kursi; Bantal; Cermin; Guling; Jendela; K. Mandi Dalam; Kloset Duduk; Shower; WiFi; Kulkas; R. Tamu; R. Jemur; Dispenser; TV; Parkir Mobil; Parkir Motor; Parkir Sepeda</t>
  </si>
  <si>
    <t>MAMPANG PRAPATAN</t>
  </si>
  <si>
    <t>Kost Apik 49 Tipe D Jagakarsa Jakarta Selatan</t>
  </si>
  <si>
    <t>2.3 x 2.8 meter</t>
  </si>
  <si>
    <t>2.3 x 2.8 meter; Tidak termasuk listrik; Kasur; Lemari Baju; Kloset Duduk; WiFi; R. Tamu; Penjaga Kos; R. Jemur; Dapur; CCTV; Parkir Mobil; Parkir Motor &amp; Sepeda</t>
  </si>
  <si>
    <t>Kost Singgahsini Casa Kalasa Tipe B Mampang Prapatan Jakarta Selatan</t>
  </si>
  <si>
    <t>3.1 x 2.8 meter; Tidak termasuk listrik; AC; Kasur; Meja; Lemari Baju; Kursi; Bantal; Cermin; Guling; Jendela; K. Mandi Dalam; Kloset Duduk; Wastafel; Shower; WiFi; Penjaga Kos; Dapur; CCTV; Parkir Mobil; Parkir Motor; Parkir Sepeda</t>
  </si>
  <si>
    <t>Kost Singgahsini Banco 6 Tipe B Mampang Prapatan Jakarta Selatan</t>
  </si>
  <si>
    <t>4 x 3.8 meter; Tidak termasuk listrik; AC; Kasur; Meja; Lemari Baju; Ventilasi; Kursi; Jendela; Bantal; Guling; K. Mandi Dalam; Kloset Duduk; Wastafel; Shower; Air panas; WiFi; R. Cuci; Kulkas; R. Tamu; Mesin Cuci; Penjaga Kos; R. Makan; R. Jemur; Dapur; Dispenser; Parkir Mobil; Parkir Motor &amp; Sepeda</t>
  </si>
  <si>
    <t>Rp3.365.000</t>
  </si>
  <si>
    <t>Kost Singgahsini Kemandoran VIII Tipe A Kebayoran Lama Jakarta Selatan</t>
  </si>
  <si>
    <t>Rp3.775.000</t>
  </si>
  <si>
    <t>3 x 3.2 meter; Tidak termasuk listrik; AC; Kasur; Meja; Lemari Baju; Kursi; Bantal; Cermin; K. Mandi Dalam; Kloset Duduk; Shower; Air panas; WiFi; Kulkas; R. Tamu; R. Makan; R. Jemur; Dapur; Dispenser; Parkir Mobil; Parkir Motor; Parkir Sepeda</t>
  </si>
  <si>
    <t>Rp3.587.500</t>
  </si>
  <si>
    <t>Kost Singgahsini Nina Kebagusan Raya Tipe C Pasar Minggu Jakarta Selatan</t>
  </si>
  <si>
    <t>3 x 2.1 meter; Termasuk listrik; Kasur; Meja; Lemari Baju; Ventilasi; Kursi; Bantal; Guling; Jendela; Kloset Duduk; K. Mandi Luar; WiFi; Penjaga Kos; R. Jemur; Dapur; Dispenser; Jemuran; Parkir Mobil; Parkir Motor; Parkir Sepeda</t>
  </si>
  <si>
    <t>Kost Singgahsini Seventeen Tipe B Setia Budi Jakarta Selatan</t>
  </si>
  <si>
    <t>4.6 x 3.8 meter</t>
  </si>
  <si>
    <t>4.6 x 3.8 meter; Tidak termasuk listrik; AC; Kasur; Meja; Lemari Baju; Kursi; Jendela; Bantal; K. Mandi Dalam; Kloset Duduk; Wastafel; Shower; Air panas; WiFi; R. Cuci; Kulkas; R. Tamu; Mesin Cuci; Penjaga Kos; R. Jemur; Dapur; TV; Rooftop; Parkir Mobil; Parkir Motor &amp; Sepeda</t>
  </si>
  <si>
    <t>Kost Singgahsini Zebra Kemang Tipe A Mampang Prapatan Jakarta Selatan</t>
  </si>
  <si>
    <t>5 x 4 meter; Tidak termasuk listrik; AC; Kasur; Lemari Baju; Bantal; Cermin; Guling; Jendela; K. Mandi Dalam; Kloset Duduk; Shower; WiFi; R. Jemur; Dapur; CCTV; Jemuran; Parkir Mobil; Parkir Motor; Parkir Sepeda; Parkir Motor &amp; Sepeda</t>
  </si>
  <si>
    <t>Kost Singgahsini Attahiriyah Pejaten Tipe A Pasar Minggu Jakarta Selatan</t>
  </si>
  <si>
    <t>4 x 5 meter; Tidak termasuk listrik; AC; Kasur; Meja; Lemari Baju; Ventilasi; Kursi; Bantal; Jendela; K. Mandi Dalam; Kloset Duduk; Wastafel; Shower; WiFi; R. Tamu; R. Jemur; Dapur; Parkir Mobil; Parkir Motor</t>
  </si>
  <si>
    <t>Rp1.953.500</t>
  </si>
  <si>
    <t>Diskon 102rb</t>
  </si>
  <si>
    <t>Kost Singgahsini Abdul Majid Dalam Tipe B Cilandak Jakarta Selatan</t>
  </si>
  <si>
    <t>2.6 x 3.2 meter</t>
  </si>
  <si>
    <t>2.6 x 3.2 meter; Tidak termasuk listrik; AC; Kasur; Lemari Baju; Ventilasi; Bantal; Jendela; K. Mandi Dalam; Kloset Duduk; Shower; WiFi; Penjaga Kos; R. Santai; Dapur; Parkir Motor; Parkir Sepeda</t>
  </si>
  <si>
    <t>Rp1.652.500</t>
  </si>
  <si>
    <t>Kost Singgahsini Rumoh Ã¨h Lebak Bulus Tipe A Cilandak Jakarta Selatan</t>
  </si>
  <si>
    <t>4 x 3.6 meter</t>
  </si>
  <si>
    <t>4 x 3.6 meter; Tidak termasuk listrik; AC; Kasur; Meja; TV; Lemari Baju; Kursi; Bantal; Cermin; Guling; Jendela; K. Mandi Dalam; Kloset Duduk; Shower; Air panas; WiFi; R. Santai; CCTV; Parkir Mobil; Parkir Motor; Parkir Sepeda</t>
  </si>
  <si>
    <t>Kost Fatmawati Excecutive Cilandak Jakarta Selatan</t>
  </si>
  <si>
    <t>3 x 4.5 meter; Tidak termasuk listrik; AC; Kasur; Dispenser; Meja; Meja Rias; TV; Kulkas; Lemari Baju; Ventilasi; Bantal; K. Mandi Dalam; Kloset Duduk; Kloset Jongkok; K. Mandi Luar; Ember mandi; Wastafel; Shower; Air panas; Bathtub; WiFi; R. Cuci; Laundry; Mesin Cuci; Penjaga Kos; R. Tamu; Mushola; R. Jemur; R. Makan; Parkir Mobil; Parkir Motor; Parkir Sepeda</t>
  </si>
  <si>
    <t>Kost Singgahsini Sunrise Living Tipe A Pasar Minggu Jakarta Selatan</t>
  </si>
  <si>
    <t>6 x 3 meter</t>
  </si>
  <si>
    <t>6 x 3 meter; Tidak termasuk listrik; AC; Kasur; Meja; Lemari Baju; Kursi; Bantal; Jendela; K. Mandi Dalam; Kloset Duduk; Shower; Air panas; WiFi; Kulkas; Penjaga Kos; R. Jemur; Dapur; CCTV; Rooftop; Parkir Mobil; Parkir Motor &amp; Sepeda</t>
  </si>
  <si>
    <t>Rp2.635.000</t>
  </si>
  <si>
    <t>Diskon 290rb</t>
  </si>
  <si>
    <t>Kost Singgahsini Ndalem Lakshmi Tipe A Pasar Minggu Jakarta Selatan</t>
  </si>
  <si>
    <t>3.5 x 3 meter; Tidak termasuk listrik; AC; Kasur; Meja; Lemari Baju; Kursi; Bantal; Guling; Jendela; K. Mandi Dalam; Kloset Duduk; Wastafel; Shower; Air panas; WiFi; Kulkas; Penjaga Kos; R. Makan; R. Jemur; Dapur; Dispenser; TV; CCTV; Jemuran; Parkir Mobil; Parkir Motor &amp; Sepeda</t>
  </si>
  <si>
    <t>Kost Singgahsini Q Biz Tipe A Kebayoran Baru Jakarta Selatan</t>
  </si>
  <si>
    <t>2.5 x 3 meter; Termasuk listrik; AC; Kasur; Meja; Lemari Baju; Kursi; Bantal; Cermin; Guling; Jendela; K. Mandi Dalam; Kloset Duduk; Wastafel; Shower; Air panas; WiFi; Kulkas; R. Tamu; Mesin Cuci; Penjaga Kos; R. Makan; R. Jemur; Dapur; TV; Gazebo; Parkir Mobil; Parkir Motor; Parkir Sepeda</t>
  </si>
  <si>
    <t>Kost Mama Inul Tipe A Mampang Prapatan Jakarta Selatan</t>
  </si>
  <si>
    <t>2.5 x 3 meter; Termasuk listrik; Kasur; Lemari Baju; Bantal; Guling; Jendela; Kipas Angin; K. Mandi Dalam; Ember mandi; WiFi; Balcon; Jemuran; Pengurus Kos</t>
  </si>
  <si>
    <t>Kost Singgahsini Pondok Indah Tipe B Kebayoran Lama Jakarta Selatan</t>
  </si>
  <si>
    <t>4 x 3 meter; Termasuk listrik; AC; Kasur; Meja; Lemari Baju; Kursi; Bantal; Guling; Jendela; K. Mandi Dalam; Kloset Duduk; Wastafel; Shower; Air panas; WiFi; R. Tamu; R. Jemur; Mushola; Dapur; Parkir Mobil; Parkir Motor</t>
  </si>
  <si>
    <t>Kost Singgahsini Triani 32 Tipe A Lenteng Agung Jakarta Selatan</t>
  </si>
  <si>
    <t>3 x 3 meter; Tidak termasuk listrik; AC; Kasur; Lemari Baju; Ventilasi; Bantal; Jendela; K. Mandi Dalam; Kloset Duduk; Shower; WiFi; Penjaga Kos; Dapur; Dispenser; Parkir Motor; Parkir Sepeda; Parkir Motor &amp; Sepeda</t>
  </si>
  <si>
    <t>Kost Singgahsini Nathan Kemang Utara Tipe B Mampang Prapatan Jakarta Selatan</t>
  </si>
  <si>
    <t>3 x 3.6 meter; Tidak termasuk listrik; AC; Kasur; Meja; Lemari Baju; Kursi; Bantal; Cermin; Guling; Jendela; K. Mandi Dalam; Kloset Duduk; Wastafel; Shower; Air panas; WiFi; Kulkas; R. Tamu; Penjaga Kos; Mushola; R. Santai; Dapur; Dispenser; Taman; CCTV; Parkir Mobil; Parkir Sepeda; Parkir Motor &amp; Sepeda</t>
  </si>
  <si>
    <t>Kost Apik Lily Tipe B Tebet Jakarta Selatan</t>
  </si>
  <si>
    <t>2.4 x 2.8 meter</t>
  </si>
  <si>
    <t>2.4 x 2.8 meter; Tidak termasuk listrik; Kasur; Lemari Baju; Ventilasi; Bantal; Cermin; Jendela; Kloset Duduk; K. Mandi Luar; WiFi; R. Cuci; Dapur; Parkir Mobil; Parkir Motor; Parkir Sepeda</t>
  </si>
  <si>
    <t>Kost Singgahsini Haji Erwin Duren Tiga Tipe A Pancoran Jakarta Selatan</t>
  </si>
  <si>
    <t>3.8 x 2.8 meter</t>
  </si>
  <si>
    <t>3.8 x 2.8 meter; Tidak termasuk listrik; AC; Kasur; Meja; Lemari Baju; Kursi; Bantal; Cermin; Guling; Jendela; K. Mandi Dalam; Kloset Jongkok; Ember mandi; Shower; WiFi; Kulkas; R. Makan; Dapur; Parkir Motor; Parkir Sepeda</t>
  </si>
  <si>
    <t>Kost Singgahsini MRT Haji Nawi 28 Tipe C Fatmawati Jakarta Selatan</t>
  </si>
  <si>
    <t>4 x 6 meter; Tidak termasuk listrik; AC; Kasur; Meja; TV; Lemari Baju; Ventilasi; Kursi; Bantal; Cermin; Guling; K. Mandi Dalam; Kloset Duduk; Wastafel; Shower; Air panas; WiFi; R. Tamu; Dapur; K. Mandi Luar; Parkir Mobil; Parkir Motor; Parkir Sepeda</t>
  </si>
  <si>
    <t>Rp2.905.000</t>
  </si>
  <si>
    <t>Diskon 320rb</t>
  </si>
  <si>
    <t>Kost Singgahsini Gasyafa Tanjung Barat 45 Tipe C Jagakarsa Jakarta Selatan</t>
  </si>
  <si>
    <t>2 x 3.5 meter; Tidak termasuk listrik; AC; Kasur; Meja; Dispenser; Lemari Baju; Kursi; Bantal; Cermin; Guling; Jendela; K. Mandi Dalam; Kloset Duduk; Kloset Jongkok; Shower; WiFi; R. Jemur; Dapur; CCTV; Parkir Mobil; Parkir Motor; Parkir Sepeda</t>
  </si>
  <si>
    <t>Kost Singgahsini Black House Tipe A Kebayoran Baru Jakarta Selatan</t>
  </si>
  <si>
    <t>3 x 5 meter; Tidak termasuk listrik; AC; Kasur; Lemari Baju; Bantal; Cermin; Guling; Jendela; K. Mandi Dalam; Kloset Duduk; Shower; Air panas; WiFi; Kulkas; R. Tamu; Penjaga Kos; R. Makan; Dapur; Dispenser; K. Mandi Luar; CCTV; Parkir Mobil; Parkir Motor; Parkir Sepeda</t>
  </si>
  <si>
    <t>Rp3.245.000</t>
  </si>
  <si>
    <t>Diskon 280rb</t>
  </si>
  <si>
    <t>Kost Singgahsini Gracia Tipe C Tebet Jakarta Selatan</t>
  </si>
  <si>
    <t>2.6 x 2.3 meter</t>
  </si>
  <si>
    <t>2.6 x 2.3 meter; Tidak termasuk listrik; AC; Kasur; Meja; Lemari Baju; Jendela; Bantal; K. Mandi Dalam; Kloset Duduk; Shower; WiFi; Kulkas; Penjaga Kos; R. Tamu; Dapur; Parkir Motor &amp; Sepeda</t>
  </si>
  <si>
    <t>Rp1.255.000</t>
  </si>
  <si>
    <t>Kost Singgahsini The Casa Tipe B Tebet Jakarta Selatan</t>
  </si>
  <si>
    <t>4 x 4 meter; Tidak termasuk listrik; AC; Kasur; Meja; TV; Lemari Baju; Kulkas; Ventilasi; Kursi; Bantal; Cermin; K. Mandi Dalam; Kloset Duduk; Wastafel; Shower; WiFi; R. Cuci; R. Tamu; R. Jemur; Dapur; Jemuran; Parkir Mobil</t>
  </si>
  <si>
    <t>Kost Singgahsini Cendrawasih I Tipe A Cilandak Jakarta Selatan</t>
  </si>
  <si>
    <t>2.6 x 3.3 meter</t>
  </si>
  <si>
    <t>2.6 x 3.3 meter; Termasuk listrik; AC; Kasur; Lemari Baju; Bantal; Cermin; Jendela; K. Mandi Dalam; Kloset Duduk; Wastafel; Shower; WiFi; Kulkas; R. Tamu; R. Jemur; Dapur; Parkir Mobil; Parkir Motor; Parkir Sepeda</t>
  </si>
  <si>
    <t>Kost Singgahsini Gracia Tipe B Tebet Jakarta Selatan</t>
  </si>
  <si>
    <t>Kost Singgahsini Nona Lebak Bulus Tipe B Cilandak Jakarta Selatan</t>
  </si>
  <si>
    <t>2.8 x 2.5 meter; Tidak termasuk listrik; AC; Kasur; Meja; Lemari Baju; Ventilasi; Kursi; Bantal; Cermin; Jendela; K. Mandi Dalam; Kloset Duduk; Shower; WiFi; Kulkas; R. Jemur; Dapur; CCTV; Parkir Mobil; Parkir Motor; Parkir Sepeda; Parkir Motor &amp; Sepeda</t>
  </si>
  <si>
    <t>Kost Singgahsini Cendrawasih I Tipe B Cilandak Jakarta Selatan</t>
  </si>
  <si>
    <t>3.5 x 4 meter; Termasuk listrik; AC; Kasur; TV; Lemari Baju; Bantal; Cermin; Jendela; K. Mandi Dalam; Kloset Duduk; Wastafel; Shower; WiFi; Kulkas; R. Tamu; R. Jemur; Dapur; Parkir Mobil; Parkir Motor; Parkir Sepeda</t>
  </si>
  <si>
    <t>Rp2.845.000</t>
  </si>
  <si>
    <t>Kost Singgahsini Fatimah Tipe B Tebet Jakarta Selatan</t>
  </si>
  <si>
    <t>3.2 x 3.2 meter; Tidak termasuk listrik; AC; Kasur; Meja; Lemari Baju; Kursi; Bantal; Guling; Jendela; K. Mandi Dalam; Kloset Duduk; Shower; WiFi; Kulkas; R. Tamu; Penjaga Kos; R. Jemur; Dapur; K. Mandi Luar; CCTV; Rice Cooker; Jemuran; Parkir Motor &amp; Sepeda</t>
  </si>
  <si>
    <t>Kost Singgahsini Sunrise Living Tipe C Pasar Minggu Jakarta Selatan</t>
  </si>
  <si>
    <t>4.5 x 3 meter; Tidak termasuk listrik; AC; Kasur; Meja; Lemari Baju; Kursi; Bantal; Jendela; K. Mandi Dalam; Kloset Duduk; Shower; Air panas; WiFi; Kulkas; Penjaga Kos; R. Jemur; Dapur; CCTV; Rooftop; Parkir Mobil; Parkir Motor &amp; Sepeda</t>
  </si>
  <si>
    <t>Kost Singgahsini Rumoh Ã¨h Lebak Bulus Tipe B Cilandak Jakarta Selatan</t>
  </si>
  <si>
    <t>4 x 3.6 meter; Tidak termasuk listrik; AC; Kasur; Meja; Lemari Baju; Kursi; Bantal; Cermin; Guling; Jendela; K. Mandi Dalam; Kloset Duduk; Shower; Air panas; WiFi; R. Santai; TV; CCTV; Parkir Mobil; Parkir Motor; Parkir Sepeda</t>
  </si>
  <si>
    <t>Kost Singgahsini Pancoran 67 Tipe A Jakarta Selatan</t>
  </si>
  <si>
    <t>3.2 x 2.6 meter</t>
  </si>
  <si>
    <t>3.2 x 2.6 meter; Tidak termasuk listrik; AC; Kasur; Meja; Lemari Baju; Ventilasi; Kursi; Bantal; Cermin; Guling; Jendela; K. Mandi Dalam; Kloset Duduk; Shower; WiFi; Kulkas; Penjaga Kos; Dapur; Dispenser; Parkir Motor &amp; Sepeda</t>
  </si>
  <si>
    <t>Kost Singgahsini Petukangan Utara 09 Tipe B Pesanggrahan Jakarta Selatan</t>
  </si>
  <si>
    <t>2 x 3 meter; Termasuk listrik; AC; Kasur; Meja Rias; Lemari Baju; Ventilasi; Kursi; Jendela; Bantal; Cermin; K. Mandi Dalam; Kloset Duduk; Shower; WiFi; R. Tamu; Penjaga Kos; R. Jemur; Dapur; Dispenser; Taman; Gazebo; CCTV; Jemuran; Parkir Motor &amp; Sepeda</t>
  </si>
  <si>
    <t>Kost Singgahsini Cira 29A Tipe B Kebayoran Lama Jakarta Selatan</t>
  </si>
  <si>
    <t>3 x 4 meter; Termasuk listrik; AC; Kasur; Meja; Lemari Baju; Ventilasi; Kursi; Bantal; Cermin; Guling; Jendela; Kloset Duduk; K. Mandi Luar; Shower; WiFi; Penjaga Kos; R. Jemur; Mushola; Dapur; Dispenser; Jemuran; Rooftop; Parkir Motor &amp; Sepeda</t>
  </si>
  <si>
    <t>Kost Apik Anggrek IV Perbanas Tipe B Setiabudi Jakarta Selatan</t>
  </si>
  <si>
    <t>4 x 3 meter; Termasuk listrik; Kasur; Meja; Lemari Baju; Ventilasi; Kursi; Bantal; Cermin; Guling; Jendela; Kloset Jongkok; K. Mandi Luar; Bak mandi; WiFi; R. Tamu; R. Makan; R. Jemur; Dapur; Parkir Mobil; Parkir Sepeda; Parkir Motor &amp; Sepeda</t>
  </si>
  <si>
    <t>Kost Apik Golfi Tipe B Kebayoran Lama Jakarta Selatan</t>
  </si>
  <si>
    <t>3.4 x 2.5 meter</t>
  </si>
  <si>
    <t>3.4 x 2.5 meter; Tidak termasuk listrik; AC; Kasur; Meja; Lemari Baju; Bantal; K. Mandi Dalam; Kloset Duduk; Wastafel; Shower; WiFi; Kulkas; Dapur; Dispenser; CCTV; Parkir Motor &amp; Sepeda</t>
  </si>
  <si>
    <t>Kost Singgahsini Cahaya Mansion Tipe A Tebet Jakarta Selatan</t>
  </si>
  <si>
    <t>4 x 2.8 meter; Tidak termasuk listrik; AC; Kasur; Meja; TV; Lemari Baju; Kursi; Wastafel; Bantal; Jendela; K. Mandi Dalam; Kloset Duduk; Shower; Air panas; WiFi; Kulkas; Penjaga Kos; Laundry; Dapur; Dispenser; CCTV; Parkir Mobil; Parkir Motor &amp; Sepeda</t>
  </si>
  <si>
    <t>Rp3.153.000</t>
  </si>
  <si>
    <t>Kost Singgahsini Praja Arteri Pondok Indah Jakarta Selatan</t>
  </si>
  <si>
    <t>4 x 4 meter; Tidak termasuk listrik; AC; Kasur; Meja; TV; Lemari Baju; Kursi; Cleaning service; K. Mandi Dalam; Kloset Duduk; Wastafel; Shower; Air panas; WiFi; R. Cuci; Kulkas; R. Tamu; Penjaga Kos; R. Jemur; R. Santai; Dapur; R. Keluarga; Parkir Mobil; Parkir Motor; Parkir Sepeda; Parkir Motor &amp; Sepeda</t>
  </si>
  <si>
    <t>Rp2.258.000</t>
  </si>
  <si>
    <t>Kost Singgahsini Raoul Cipete Tipe B Cilandak Jakarta Selatan</t>
  </si>
  <si>
    <t>3.2 x 3.2 meter; Tidak termasuk listrik; AC; Kasur; Meja; Lemari Baju; Kursi; Bantal; Jendela; K. Mandi Dalam; Kloset Duduk; Wastafel; Shower; Air panas; WiFi; R. Jemur; Dapur; CCTV; Parkir Mobil; Parkir Sepeda</t>
  </si>
  <si>
    <t>Kost Singgahsini Rume Betawi Tipe B Cipulir Jakarta Selatan</t>
  </si>
  <si>
    <t>4 x 4 meter; Tidak termasuk listrik; AC; Kasur; Meja; Lemari Baju; Kursi; Bantal; Jendela; K. Mandi Dalam; Kloset Duduk; Wastafel; Shower; Bak mandi; Air panas; Bathtub; WiFi; R. Cuci; Kulkas; R. Tamu; Penjaga Kos; R. Makan; Mushola; R. Santai; Dapur; Dispenser; Parkir Mobil; Parkir Motor; Parkir Sepeda</t>
  </si>
  <si>
    <t>Rp2.447.500</t>
  </si>
  <si>
    <t>Kost Singgahsini Sasya 2 Tipe B Pondok Pinang Jakarta Selatan</t>
  </si>
  <si>
    <t>3 x 3.5 meter; Tidak termasuk listrik; AC; Kasur; Meja; TV; Lemari Baju; Kursi; Bantal; Cermin; Jendela; K. Mandi Dalam; Kloset Duduk; Shower; Air panas; WiFi; R. Cuci; R. Tamu; R. Makan; R. Jemur; Dapur; K. Mandi Luar; Parkir Mobil; Parkir Motor; Parkir Sepeda</t>
  </si>
  <si>
    <t>Kost Singgahsini Pondok Pinang V Tipe E Kebayoran Lama Jakarta Selatan</t>
  </si>
  <si>
    <t>2.3 x 6.0 meter</t>
  </si>
  <si>
    <t>2.3 x 6.0 meter; Tidak termasuk listrik; AC; Kasur; Meja; Lemari Baju; Kursi; Bantal; Jendela; K. Mandi Dalam; Kloset Jongkok; Shower; Air panas; WiFi; R. Tamu; R. Makan; R. Jemur; Mushola; Dapur; TV; Parkir Mobil; Parkir Motor; Parkir Sepeda</t>
  </si>
  <si>
    <t>Diskon 480rb</t>
  </si>
  <si>
    <t>Kost Lotus Pancoran Jakarta Selatan</t>
  </si>
  <si>
    <t>3 x 3 meter; Termasuk listrik; AC; Kasur; Meja; Lemari Baju; Bantal; Cermin; Cleaning service; Jendela; K. Mandi Dalam; Kloset Duduk; Ember mandi; Shower; WiFi; Laundry; Penjaga Kos; R. Tamu; R. Santai; Dapur; Balcon; CCTV; Gazebo; Jemuran; Parkir Mobil; Parkir Motor; Parkir Sepeda</t>
  </si>
  <si>
    <t>Kost Singgahsini Sinar Resident Pedurenan Tipe A Setia Budi Jakarta Selatan</t>
  </si>
  <si>
    <t>3.8 x 2.7 meter</t>
  </si>
  <si>
    <t>3.8 x 2.7 meter; Tidak termasuk listrik; AC; Kasur; Lemari Baju; Kulkas; Bantal; Cermin; Guling; Jendela; K. Mandi Dalam; Kloset Duduk; K. Mandi Luar; Wastafel; Shower; Air panas; WiFi; Penjaga Kos; Laundry; R. Makan; R. Jemur; Dapur; CCTV; Jemuran; Parkir Motor &amp; Sepeda</t>
  </si>
  <si>
    <t>Kost Singgahsini Ulujami 5 Tipe A Pesanggrahan Jakarta Selatan</t>
  </si>
  <si>
    <t>3 x 4 meter; Tidak termasuk listrik; AC; Kasur; Meja; Lemari Baju; Kursi; Bantal; Cermin; Jendela; K. Mandi Dalam; Kloset Duduk; Ember mandi; Shower; WiFi; Kulkas; R. Tamu; Penjaga Kos; R. Makan; R. Jemur; Dapur; Dispenser; K. Mandi Luar; Jemuran; Parkir Mobil; Parkir Motor; Parkir Sepeda</t>
  </si>
  <si>
    <t>Kost Apik Lukman Syariah Tipe B Pasar Minggu Jakarta Selatan</t>
  </si>
  <si>
    <t>3 x 3.5 meter; Termasuk listrik; Kasur; Meja; Lemari Baju; Kursi; Kipas Angin; Bantal; Guling; Kloset Jongkok; K. Mandi Luar; Ember mandi; WiFi; R. Tamu; R. Jemur; Dapur; Parkir Motor; Parkir Sepeda</t>
  </si>
  <si>
    <t>Kost Singgahsini Kebon Mangga 26A Tipe A Kebayoran Lama Jakarta Selatan</t>
  </si>
  <si>
    <t>3.6 x 2.1 meter</t>
  </si>
  <si>
    <t>3.6 x 2.1 meter; Tidak termasuk listrik; AC; Kasur; Meja; Lemari Baju; Ventilasi; Bantal; Jendela; K. Mandi Dalam; Kloset Duduk; Shower; WiFi; Kulkas; R. Tamu; Penjaga Kos; CCTV; Rooftop; Parkir Mobil; Parkir Motor &amp; Sepeda</t>
  </si>
  <si>
    <t>Kost Singgahsini Banjarsari IV Tipe A Cilandak Jakarta Selatan</t>
  </si>
  <si>
    <t>3.2 x 2.8 meter; Tidak termasuk listrik; AC; Kasur; Meja; Lemari Baju; Kursi; Wastafel; Bantal; Cermin; Guling; Jendela; K. Mandi Dalam; Kloset Duduk; Shower; WiFi; Kulkas; R. Jemur; Dapur; Dispenser; CCTV; Parkir Mobil; Parkir Motor; Parkir Sepeda</t>
  </si>
  <si>
    <t>Kost Apik Asih Tipe B Jagakarsa Jakarta Selatan</t>
  </si>
  <si>
    <t>3 x 4 meter; Termasuk listrik; AC; Kasur; Meja; Lemari Baju; Ventilasi; Kursi; Bantal; Guling; Jendela; K. Mandi Dalam; Kloset Jongkok; Ember mandi; WiFi; Penjaga Kos; R. Jemur; Dapur; CCTV; Jemuran; Parkir Motor; Parkir Sepeda</t>
  </si>
  <si>
    <t>Kost Singgahsini MPR05 Menteng Pulo Tipe A Setiabudi Jakarta Selatan</t>
  </si>
  <si>
    <t>2 x 3.5 meter; Tidak termasuk listrik; AC; Kasur; Lemari Baju; Bantal; Cermin; Jendela; K. Mandi Dalam; Kloset Duduk; Shower; WiFi; Kulkas; R. Tamu; Penjaga Kos; R. Jemur; Dapur; Dispenser; Parkir Motor &amp; Sepeda</t>
  </si>
  <si>
    <t>Rp2.285.000</t>
  </si>
  <si>
    <t>Kost Singgahsini Ummi Residence Tipe C Pasar Minggu Jakarta Selatan</t>
  </si>
  <si>
    <t>3.6 x 4.8 meter</t>
  </si>
  <si>
    <t>3.6 x 4.8 meter; Tidak termasuk listrik; AC; Kasur; Meja; TV; Lemari Baju; Kursi; Bantal; Cermin; Guling; Jendela; K. Mandi Dalam; Kloset Duduk; Wastafel; Shower; Air panas; WiFi; Kulkas; R. Tamu; Mesin Cuci; R. Makan; R. Jemur; Dapur; Dispenser; K. Mandi Luar; Parkir Mobil; Parkir Sepeda</t>
  </si>
  <si>
    <t>Diskon 350rb</t>
  </si>
  <si>
    <t>Kost Singgahsini KK9 Tipe A Tebet Jakarta Selatan</t>
  </si>
  <si>
    <t>3 x 3.5 meter; Tidak termasuk listrik; AC; Kasur; Meja; Lemari Baju; Kursi; Bantal; Cermin; Jendela; K. Mandi Dalam; Kloset Duduk; Shower; WiFi; R. Cuci; Kulkas; R. Tamu; Penjaga Kos; R. Makan; R. Jemur; Dapur; Parkir Motor &amp; Sepeda</t>
  </si>
  <si>
    <t>Kost Singgahsini Cahaya Mansion Tipe D Tebet Jakarta Selatan</t>
  </si>
  <si>
    <t>Kost Singgahsini Casa Kalasa Tipe C Mampang Prapatan Jakarta Selatan</t>
  </si>
  <si>
    <t>3.8 x 2.8 meter; Tidak termasuk listrik; AC; Kasur; Meja; Lemari Baju; Ventilasi; Kursi; Bantal; Cermin; Guling; Jendela; K. Mandi Dalam; Kloset Duduk; Wastafel; Shower; WiFi; Penjaga Kos; Dapur; CCTV; Parkir Mobil; Parkir Motor; Parkir Sepeda</t>
  </si>
  <si>
    <t>Kost Singgahsini Gents Home Tipe A Pesanggrahan Jakarta Selatan</t>
  </si>
  <si>
    <t>2.3 x 2.4 meter; Tidak termasuk listrik; AC; Kasur; Meja; Lemari Baju; Kursi; Wastafel; Bantal; Cermin; Jendela; K. Mandi Dalam; Kloset Duduk; Shower; WiFi; Kulkas; R. Makan; Dapur; Dispenser; K. Mandi Luar; CCTV; Parkir Motor; Parkir Sepeda</t>
  </si>
  <si>
    <t>Kost Singgahsini Maroon Tipe A Tebet Jakarta Selatan</t>
  </si>
  <si>
    <t>5 x 3 meter; Tidak termasuk listrik; AC; Kasur; Meja; Lemari Baju; Kursi; Jendela; Bantal; Guling; Cermin; K. Mandi Dalam; Kloset Duduk; Ember mandi; Shower; WiFi; Kulkas; R. Tamu; Penjaga Kos; R. Jemur; Dapur; Rooftop; Parkir Motor &amp; Sepeda</t>
  </si>
  <si>
    <t>Rp2.185.000</t>
  </si>
  <si>
    <t>Kost Singgahsini House of Marsya Tipe A Cilandak Jakarta Selatan</t>
  </si>
  <si>
    <t>4 x 3 meter; Termasuk listrik; AC; Kasur; Meja; TV; Meja Rias; Lemari Baju; Kulkas; Kursi; Cleaning service; Meja makan; K. Mandi Dalam; Kloset Duduk; Shower; Air panas; WiFi; R. Tamu; Penjaga Kos; Laundry; R. Makan; R. Santai; Dapur; Dispenser; Parkir Mobil; Parkir Motor; Parkir Sepeda; Parkir Motor &amp; Sepeda</t>
  </si>
  <si>
    <t>Kost Singgahsini Raoul Cipete Tipe C Cilandak Jakarta Selatan</t>
  </si>
  <si>
    <t>3.6 x 3 meter; Tidak termasuk listrik; AC; Kasur; Meja; Lemari Baju; Kursi; Bantal; Jendela; K. Mandi Dalam; Kloset Duduk; Shower; Air panas; WiFi; R. Jemur; Dapur; CCTV; Parkir Mobil; Parkir Sepeda</t>
  </si>
  <si>
    <t>Kost Singgahsini Dali Teges Tipe A Menteng Dalam Jakarta Selatan</t>
  </si>
  <si>
    <t>3 x 3 meter; Termasuk listrik; AC; Kasur; Meja; Lemari Baju; Ventilasi; Kursi; Bantal; Guling; Jendela; K. Mandi Dalam; Kloset Duduk; K. Mandi Luar; Wastafel; Shower; WiFi; R. Tamu; Penjaga Kos; R. Jemur; Dapur; Dispenser; Jemuran; Parkir Mobil; Parkir Motor; Parkir Motor &amp; Sepeda</t>
  </si>
  <si>
    <t>Kost Singgahsini Griyo Ditelu Tipe A Jagakarsa Jakarta Selatan</t>
  </si>
  <si>
    <t>Kost Singgahsini Guntur 42 Tipe A Setiabudi Jakarta Selatan</t>
  </si>
  <si>
    <t>6 x 3 meter; Termasuk listrik; AC; Kasur; Meja; TV; Lemari Baju; Kursi; Cermin; K. Mandi Dalam; Kloset Duduk; Wastafel; Shower; Air panas; WiFi; Kulkas; R. Tamu; Penjaga Kos; R. Jemur; Dapur; Dispenser; Parkir Mobil; Parkir Motor; Parkir Motor &amp; Sepeda</t>
  </si>
  <si>
    <t>Kost Singgahsini Kana Duren Tiga Tipe B Pancoran Jakarta Selatan</t>
  </si>
  <si>
    <t>3.5 x 3.5 meter; Tidak termasuk listrik; AC; Kasur; Meja; Lemari Baju; Ventilasi; Kursi; Jendela; Bantal; Guling; Kloset Duduk; K. Mandi Luar; Shower; WiFi; Kulkas; R. Tamu; Penjaga Kos; R. Makan; Dapur; Rice Cooker; Parkir Mobil; Parkir Motor &amp; Sepeda</t>
  </si>
  <si>
    <t>Kost Singgahsini Kebagusan 56 Tipe A Pasar Minggu Jakarta Selatan</t>
  </si>
  <si>
    <t>3 x 4 meter; Tidak termasuk listrik; AC; Kasur; Meja; Lemari Baju; Kursi; Bantal; Guling; Jendela; K. Mandi Dalam; Kloset Duduk; Shower; WiFi; Kulkas; Penjaga Kos; R. Jemur; Dapur; CCTV; Parkir Mobil; Parkir Sepeda; Parkir Motor &amp; Sepeda</t>
  </si>
  <si>
    <t>Kost Cozy Coliving Fatmawati Exclusive Cilandak Jakarta Selatan</t>
  </si>
  <si>
    <t>5.5 x 3 meter</t>
  </si>
  <si>
    <t>5.5 x 3 meter; Tidak termasuk listrik; AC; Kasur; Dispenser; Meja; Meja Rias; TV; Kulkas; Lemari Baju; Ventilasi; Bantal; K. Mandi Dalam; Kloset Duduk; Wastafel; Shower; Air panas; WiFi; R. Cuci; Laundry; Penjaga Kos; R. Tamu; R. Jemur; R. Makan; R. Santai; Dapur; Parkir Mobil; Parkir Motor; Parkir Sepeda</t>
  </si>
  <si>
    <t>Kost Singgahsini Griya Dami Tipe A Cilandak Jakarta Selatan</t>
  </si>
  <si>
    <t>4 x 3 meter; Tidak termasuk listrik; AC; Kasur; Meja; TV; Lemari Baju; Kursi; Bantal; Jendela; K. Mandi Dalam; Kloset Duduk; Shower; WiFi; R. Tamu; R. Makan; R. Jemur; Dapur; K. Mandi Luar; CCTV; Parkir Mobil; Parkir Motor; Parkir Sepeda</t>
  </si>
  <si>
    <t>Kost Singgahsini Agde Living 2 Tipe A Kalibata Jakarta Selatan</t>
  </si>
  <si>
    <t>3.5 x 3.5 meter; Tidak termasuk listrik; AC; Kasur; Meja; TV; Lemari Baju; Kursi; Jendela; Bantal; Cermin; Guling; K. Mandi Dalam; Kloset Duduk; Wastafel; Shower; Air panas; WiFi; Penjaga Kos; R. Jemur; Dapur; Dispenser; Parkir Mobil; Parkir Motor &amp; Sepeda</t>
  </si>
  <si>
    <t>Kost Peony Flower Peony C Mampang Prapatan Jakarta Selatan</t>
  </si>
  <si>
    <t>3 x 2 meter; Tidak termasuk listrik; Kasur; Lemari Baju; Ventilasi; Kipas Angin; Jendela; K. Mandi Dalam; Kloset Duduk; Ember mandi; Shower; WiFi; Kulkas; Dapur; Balcon; CCTV; Jemuran</t>
  </si>
  <si>
    <t>Kost Singgahsini Cleo Damai 2 Tipe A Kebayoran Baru Jakarta Selatan</t>
  </si>
  <si>
    <t>4.5 x 4 meter</t>
  </si>
  <si>
    <t>4.5 x 4 meter; Tidak termasuk listrik; AC; Kasur; Meja; TV; Lemari Baju; Kursi; Jendela; Bantal; K. Mandi Dalam; Kloset Duduk; Wastafel; Shower; Air panas; WiFi; Kulkas; R. Tamu; Penjaga Kos; Dapur; Dispenser; CCTV; Parkir Motor &amp; Sepeda</t>
  </si>
  <si>
    <t>Kost Singgahsini Syahrin Tipe C Gandaria Jakarta Selatan</t>
  </si>
  <si>
    <t>4 x 4 meter; Termasuk listrik; AC; Kasur; Meja; Lemari Baju; Kursi; Bantal; Cermin; Jendela; K. Mandi Dalam; Kloset Duduk; Wastafel; Shower; Air panas; WiFi; R. Cuci; Kulkas; R. Tamu; Mesin Cuci; Penjaga Kos; Dapur; Dispenser; Balcon; K. Mandi Luar; Parkir Mobil; Parkir Motor; Parkir Motor &amp; Sepeda</t>
  </si>
  <si>
    <t>Rp3.575.000</t>
  </si>
  <si>
    <t>Kost Singgahsini Dstudio MRT Haji Nawi Tipe A Cilandak Jakarta Selatan</t>
  </si>
  <si>
    <t>3 x 3 meter; Tidak termasuk listrik; AC; Kasur; Meja; Lemari Baju; Kursi; Jendela; K. Mandi Dalam; Kloset Duduk; Shower; Air panas; WiFi; Kulkas; Penjaga Kos; Dapur; Dispenser; Taman; Kartu Akses; CCTV; Parkir Mobil; Parkir Motor &amp; Sepeda</t>
  </si>
  <si>
    <t>Kost Singgahsini b211 The Syariah Residence MRT-Fatmawati Tipe A Cilandak Jakarta Selatan</t>
  </si>
  <si>
    <t>4.5 x 3.5 meter; Tidak termasuk listrik; AC; Kasur; Meja; TV; Lemari Baju; Kursi; Wastafel; K. Mandi Dalam; Kloset Duduk; Shower; Air panas; WiFi; Kulkas; R. Tamu; Penjaga Kos; R. Makan; R. Jemur; R. Santai; Dapur; Dispenser; Rice Cooker; Parkir Mobil; Parkir Motor</t>
  </si>
  <si>
    <t>Rp2.995.000</t>
  </si>
  <si>
    <t>Diskon 146rb</t>
  </si>
  <si>
    <t>Kost Singgahsini De Rooms 1 Batu Tipe B Pasar Minggu Jakarta Selatan</t>
  </si>
  <si>
    <t>4 x 3 meter; Tidak termasuk listrik; AC; Kasur; Meja; Lemari Baju; Kursi; Jendela; Bantal; Cermin; K. Mandi Dalam; Kloset Duduk; Ember mandi; Shower; WiFi; Kulkas; Penjaga Kos; R. Tamu; Dapur; Dispenser; CCTV; Parkir Mobil; Parkir Motor &amp; Sepeda</t>
  </si>
  <si>
    <t>3.5 x 3.5 meter; Tidak termasuk listrik; AC; Kasur; Meja; Lemari Baju; Kursi; Bantal; Cermin; Guling; Jendela; K. Mandi Dalam; Kloset Duduk; Wastafel; Shower; Air panas; WiFi; Kulkas; R. Tamu; Penjaga Kos; R. Jemur; Dapur; Dispenser; TV; K. Mandi Luar; CCTV; Parkir Mobil; Parkir Motor &amp; Sepeda</t>
  </si>
  <si>
    <t>Jakarta Selatan</t>
  </si>
  <si>
    <t>Kost Nala Tipe Gold Pesanggrahan Jakarta Selatan</t>
  </si>
  <si>
    <t>3.3 x 7 meter</t>
  </si>
  <si>
    <t>3.3 x 7 meter; Tidak termasuk listrik; AC; Kasur; Meja; Lemari Baju; Ventilasi; Bantal; Cermin; Cleaning service; Guling; Jendela; K. Mandi Dalam; Kloset Jongkok; Ember mandi; Shower; WiFi; Kulkas; Laundry; Penjaga Kos; R. Jemur; R. Makan; Dapur; Dispenser; CCTV; Jemuran; Parkir Motor; Parkir Sepeda; Parkir Motor &amp; Sepeda</t>
  </si>
  <si>
    <t>Kost Singgahsini Bunggur Wanita Tipe B Kebayoran Lama Jakarta Selatan</t>
  </si>
  <si>
    <t>Kost Apik Amalia Tipe B Pasar Minggu Jakarta Selatan</t>
  </si>
  <si>
    <t>4 x 3 meter; Tidak termasuk listrik; AC; Kasur; Meja; Lemari Baju; Kursi; Jendela; Kloset Duduk; K. Mandi Luar; Shower; WiFi; R. Cuci; Kulkas; R. Tamu; Penjaga Kos; R. Makan; R. Jemur; Mushola; Dapur; TV; Parkir Motor &amp; Sepeda</t>
  </si>
  <si>
    <t>Kost Apik Puri Rinda Tipe C Jagakarsa Jakarta Selatan</t>
  </si>
  <si>
    <t>Kost Singgahsini Ndalem Lakshmi Tipe B Pasar Minggu Jakarta Selatan</t>
  </si>
  <si>
    <t>3.5 x 2.5 meter; Tidak termasuk listrik; AC; Kasur; Meja; Lemari Baju; Kursi; Bantal; Guling; Jendela; K. Mandi Dalam; Kloset Duduk; Wastafel; Shower; Air panas; WiFi; Kulkas; Penjaga Kos; R. Makan; R. Jemur; Dapur; Dispenser; TV; CCTV; Jemuran; Parkir Mobil; Parkir Motor &amp; Sepeda</t>
  </si>
  <si>
    <t>Kost Singgahsini My Home Tipe B Setiabudi Jakarta Selatan</t>
  </si>
  <si>
    <t>4.5 x 2.4 meter; Tidak termasuk listrik; AC; Kasur; Meja; TV; Lemari Baju; Kursi; Bantal; Guling; Jendela; K. Mandi Dalam; Kloset Duduk; K. Mandi Luar; Wastafel; Shower; Air panas; WiFi; R. Cuci; R. Tamu; Penjaga Kos; Dapur; Rooftop; Parkir Mobil; Parkir Motor; Parkir Sepeda; Parkir Motor &amp; Sepeda</t>
  </si>
  <si>
    <t>Kost Singgahsini Abdul Majid Dalam Tipe C Cilandak Jakarta Selatan</t>
  </si>
  <si>
    <t>3 x 3 meter; Tidak termasuk listrik; AC; Kasur; K. Mandi Dalam; Kloset Duduk; WiFi; Penjaga Kos; R. Santai; Dapur; Parkir Sepeda; Parkir Motor &amp; Sepeda</t>
  </si>
  <si>
    <t>Kost Singgahsini AOS Home Tipe A Setiabudi Jakarta Selatan</t>
  </si>
  <si>
    <t>3 x 3 meter; Termasuk listrik; AC; Kasur; Meja; Lemari Baju; Kursi; Wastafel; Bantal; Jendela; K. Mandi Dalam; Kloset Duduk; Shower; WiFi; Penjaga Kos; Parkir Mobil; Parkir Motor; Parkir Sepeda; Parkir Motor &amp; Sepeda</t>
  </si>
  <si>
    <t>Kecamatan Setiabudi</t>
  </si>
  <si>
    <t>Kost Singgahsini Shabila Tipe C Pasar Minggu Jakarta Selatan</t>
  </si>
  <si>
    <t>2.5 x 4 meter; Tidak termasuk listrik; AC; Kasur; Meja; Lemari Baju; Ventilasi; Kursi; Bantal; Cermin; Guling; Jendela; K. Mandi Dalam; Kloset Duduk; Wastafel; Shower; Air panas; WiFi; Kulkas; R. Tamu; Penjaga Kos; R. Jemur; R. Santai; Dapur; TV; CCTV; Parkir Mobil; Parkir Sepeda; Parkir Motor; Parkir Motor &amp; Sepeda</t>
  </si>
  <si>
    <t>Kost Singgahsini Rahmawati Tebet Jakarta Selatan</t>
  </si>
  <si>
    <t>Rp1.935.000</t>
  </si>
  <si>
    <t>4 x 3 meter; Tidak termasuk listrik; AC; Kasur; Meja; Lemari Baju; Ventilasi; Kursi; Bantal; Guling; Jendela; K. Mandi Dalam; Kloset Duduk; Ember mandi; Shower; Bak mandi; WiFi; R. Cuci; Penjaga Kos; Dapur; K. Mandi Luar; Parkir Mobil; Parkir Motor; Parkir Sepeda; Parkir Motor &amp; Sepeda</t>
  </si>
  <si>
    <t>Rp1.839.500</t>
  </si>
  <si>
    <t>Kost Singgahsini Malale Residence 1 Tipe A Kelapa Gading Jakarta Utara</t>
  </si>
  <si>
    <t>4.7 x 3 meter</t>
  </si>
  <si>
    <t>4.7 x 3 meter; Tidak termasuk listrik; AC; Kasur; Meja; TV; Lemari Baju; Kursi; Jendela; K. Mandi Dalam; Kloset Duduk; Shower; WiFi; Kulkas; R. Tamu; Penjaga Kos; Laundry; Dapur; Dispenser; CCTV; Rooftop; Parkir Mobil; Parkir Motor &amp; Sepeda</t>
  </si>
  <si>
    <t>Kecamatan Kelapa Gading</t>
  </si>
  <si>
    <t>Jakarta Utara</t>
  </si>
  <si>
    <t>Kost Apik Dream Sunter Jaya 5 Tipe B Tanjung Priok Jakarta Utara</t>
  </si>
  <si>
    <t>3.6 x 3.6 meter; Tidak termasuk listrik; Kasur; Lemari Baju; Ventilasi; Bantal; Jendela; K. Mandi Dalam; Kloset Jongkok; WiFi; Penjaga Kos; CCTV; Parkir Motor</t>
  </si>
  <si>
    <t>Rp1.221.000</t>
  </si>
  <si>
    <t>Kecamatan Tanjung Priok</t>
  </si>
  <si>
    <t>Kost Singgahsini Mangala 22 Tipe A Pademangan Jakarta Utara</t>
  </si>
  <si>
    <t>2.4 x 2.2 meter</t>
  </si>
  <si>
    <t>2.4 x 2.2 meter; Tidak termasuk listrik; AC; Kasur; Meja; Lemari Baju; Ventilasi; Kursi; Bantal; Guling; Jendela; K. Mandi Dalam; Kloset Duduk; Wastafel; Shower; Air panas; WiFi; R. Tamu; Mesin Cuci; R. Jemur; Dapur; Dispenser; CCTV; Parkir Motor; Parkir Sepeda</t>
  </si>
  <si>
    <t>Pademangan</t>
  </si>
  <si>
    <t>Kost Apik Dream Sunter Jaya 5 Tipe C Tanjung Priok Jakarta Utara</t>
  </si>
  <si>
    <t>3.6 x 2.8 meter; Tidak termasuk listrik; Kasur; Lemari Baju; Ventilasi; Bantal; Jendela; Kloset Jongkok; K. Mandi Luar; WiFi; Penjaga Kos; CCTV; Parkir Motor</t>
  </si>
  <si>
    <t>Kost Apik Dream Sunter Jaya 5 Tipe A Tanjung Priok Jakarta Utara</t>
  </si>
  <si>
    <t>3.6 x 2.8 meter; Tidak termasuk listrik; Kasur; Lemari Baju; Ventilasi; Bantal; Jendela; K. Mandi Dalam; Kloset Jongkok; WiFi; Penjaga Kos; CCTV; Parkir Motor</t>
  </si>
  <si>
    <t>Kost Singgahsini Dahlia I Tipe C Kelapa Gading Jakarta Utara</t>
  </si>
  <si>
    <t>3 x 2.1 meter; Tidak termasuk listrik; AC; Kasur; Lemari Baju; Bantal; Cermin; Jendela; Kloset Duduk; K. Mandi Luar; Shower; WiFi; Kulkas; R. Tamu; Penjaga Kos; Dapur; Parkir Mobil; Parkir Motor; Parkir Sepeda</t>
  </si>
  <si>
    <t>Kelapa Gading</t>
  </si>
  <si>
    <t>Kost Singgahsini Dahlia I Tipe D Kelapa Gading Jakarta Utara</t>
  </si>
  <si>
    <t>2.4 x 2.4 meter; Tidak termasuk listrik; AC; Kasur; Lemari Baju; Bantal; Cermin; Jendela; Kloset Duduk; K. Mandi Luar; Shower; WiFi; Kulkas; R. Tamu; Penjaga Kos; Dapur; Parkir Mobil; Parkir Motor; Parkir Sepeda</t>
  </si>
  <si>
    <t>Kost Singgahsini Taska 33 Tipe A Kelapa Gading Jakarta Utara</t>
  </si>
  <si>
    <t>2.8 x 2.4 meter; Tidak termasuk listrik; AC; Kasur; Meja; Lemari Baju; Bantal; Guling; K. Mandi Dalam; Kloset Duduk; Wastafel; Shower; WiFi; R. Cuci; Mesin Cuci; R. Jemur; Dapur; CCTV; Parkir Motor; Parkir Sepeda; Parkir Motor &amp; Sepeda</t>
  </si>
  <si>
    <t>Kost Singgahsini Dahlia I Tipe A Kelapa Gading Jakarta Utara</t>
  </si>
  <si>
    <t>3 x 3 meter; Tidak termasuk listrik; AC; Kasur; Lemari Baju; Ventilasi; Bantal; Cermin; Jendela; K. Mandi Dalam; Kloset Duduk; Shower; WiFi; Kulkas; R. Tamu; Penjaga Kos; Dapur; K. Mandi Luar; Parkir Mobil; Parkir Motor; Parkir Sepeda</t>
  </si>
  <si>
    <t>Kost Singgahsini Dahlia I Tipe B Kelapa Gading Jakarta Utara</t>
  </si>
  <si>
    <t>3 x 2.4 meter; Tidak termasuk listrik; AC; Kasur; Lemari Baju; Ventilasi; Bantal; Cermin; Jendela; K. Mandi Dalam; Kloset Duduk; Shower; WiFi; Kulkas; R. Tamu; Penjaga Kos; Dapur; K. Mandi Luar; Parkir Mobil; Parkir Motor; Parkir Sepeda</t>
  </si>
  <si>
    <t>Kost Mianma Executive Tanjung Priok Jakarta Utara</t>
  </si>
  <si>
    <t>2.6 x 3.6 meter</t>
  </si>
  <si>
    <t>2.6 x 3.6 meter; Termasuk listrik; Kasur; Meja; Lemari Baju; Ventilasi; Bantal; Jendela; Kipas Angin; K. Mandi Dalam; Kloset Jongkok; Ember mandi; Shower; WiFi; R. Tamu; R. Jemur; R. Santai; Balcon; CCTV; Gazebo; Jemuran; Taman; Parkir Mobil; Parkir Motor; Parkir Sepeda</t>
  </si>
  <si>
    <t>Rp860.000</t>
  </si>
  <si>
    <t>Tanjung Priok</t>
  </si>
  <si>
    <t>Kost Singgahsini Blue N Yellow Tipe B Cilincing Jakarta Utara</t>
  </si>
  <si>
    <t>3 x 3 meter; Tidak termasuk listrik; Kasur; Kipas Angin; Bantal; Jendela; K. Mandi Dalam; Kloset Duduk; Ember mandi; WiFi; Penjaga Kos; R. Jemur; Jemuran; Parkir Mobil; Parkir Motor &amp; Sepeda</t>
  </si>
  <si>
    <t>Cilincing</t>
  </si>
  <si>
    <t>Kost Sunter Jaya 12 Tipe Standart Tanjung Priok Jakarta Utara</t>
  </si>
  <si>
    <t>3 x 4 meter; Tidak termasuk listrik; AC; Kasur; Dispenser; Meja; Kulkas; Lemari Baju; Ventilasi; Bantal; Cermin; Cleaning service; K. Mandi Dalam; Kloset Duduk; Wastafel; Shower; Air panas; WiFi; R. Cuci; Laundry; Mesin Cuci; Penjaga Kos; R. Tamu; R. Jemur; R. Makan; R. Santai; Parkir Mobil; Parkir Motor; Parkir Sepeda</t>
  </si>
  <si>
    <t>Kost Rumah Milanos Kelapa Gading Jakarta Utara</t>
  </si>
  <si>
    <t>3 x 3 meter; Tidak termasuk listrik; AC; Kasur; Lemari Baju; Bantal; Jendela; K. Mandi Dalam; Kloset Duduk; Shower; WiFi; Mesin Cuci; R. Jemur; Dapur; Balcon; Jual Makanan; Jemuran; CCTV; Parkir Motor</t>
  </si>
  <si>
    <t>Kost Rumah Gading Elok Barat Kelapa Gading Jakarta Utara</t>
  </si>
  <si>
    <t>Kost Kalirandu Tipe A Tanjung Priok Jakarta Utara</t>
  </si>
  <si>
    <t>3 x 4 meter; Termasuk listrik; Kasur; Meja; Kulkas; Ventilasi; Bantal; Cermin; Guling; Jendela; Kipas Angin; K. Mandi Dalam; Kloset Jongkok; WiFi; Laundry; Penjaga Kos; R. Jemur; R. Santai; CCTV; Gazebo; Jemuran; Pengurus Kos; Parkir Motor &amp; Sepeda</t>
  </si>
  <si>
    <t>Kost Singgahsini Kelapa Sawit Raya 7 Tipe A Kelapa Gading Jakarta Utara</t>
  </si>
  <si>
    <t>3.6 x 2.5 meter</t>
  </si>
  <si>
    <t>3.6 x 2.5 meter; Tidak termasuk listrik; AC; Kasur; Meja; Lemari Baju; Kursi; K. Mandi Dalam; Kloset Duduk; Shower; WiFi; Kulkas; Laundry; Dapur; K. Mandi Luar; Parkir Motor; Parkir Sepeda</t>
  </si>
  <si>
    <t>Rp1.610.000</t>
  </si>
  <si>
    <t>Kost Singgahsini Indri Taska 35 Tipe A Kelapa Gading Jakarta Utara</t>
  </si>
  <si>
    <t>3 x 3.5 meter; Tidak termasuk listrik; AC; Kasur; Meja; Lemari Baju; Kursi; Bantal; Cermin; Jendela; Kloset Duduk; K. Mandi Luar; Shower; Air panas; WiFi; Kulkas; Penjaga Kos; R. Jemur; Dapur; Dispenser; CCTV; Jemuran; Parkir Motor &amp; Sepeda</t>
  </si>
  <si>
    <t>Kost 93 Suites Standart 2 Tanjung Priok Jakarta Utara</t>
  </si>
  <si>
    <t>3 x 4 meter; Tidak termasuk listrik; AC; Kasur; Meja; Lemari Baju; Bantal; Cermin; Guling; Jendela; Kursi; K. Mandi Dalam; Kloset Duduk; Wastafel; Shower; WiFi; Kulkas; R. Tamu; R. Makan; Dapur; Dispenser; CCTV; Kartu Akses; Pengurus Kos; Parkir Motor</t>
  </si>
  <si>
    <t>Kost Jabusimo Tanjung Priok Jakarta Utara</t>
  </si>
  <si>
    <t>3.5 x 3.5 meter; Tidak termasuk listrik; AC; Kasur; Meja; Meja Rias; Lemari Baju; Ventilasi; Kursi; Cleaning service; Bantal; Cermin; K. Mandi Dalam; Kloset Duduk; Shower; WiFi; R. Cuci; R. Tamu; R. Jemur; R. Santai; Dapur; R. Keluarga; Gazebo; Balcon; CCTV; Parkir Mobil; Parkir Motor; Parkir Sepeda</t>
  </si>
  <si>
    <t>Kost Holi Residence Tipe A Tanjung Priok Jakarta Utara</t>
  </si>
  <si>
    <t>3 x 2 meter; Tidak termasuk listrik; AC; Kasur; Meja; TV; Lemari Baju; Bantal; Cermin; Kursi; Wastafel; K. Mandi Dalam; Kloset Duduk; K. Mandi Luar; Shower; Air panas; WiFi; Kulkas; R. Cuci; Mesin Cuci; Mushola; R. Jemur; Dapur; Dispenser; Balcon; CCTV; Parkir Motor</t>
  </si>
  <si>
    <t>Kost Singgahsini Indri Taska 35 Tipe B Kelapa Gading Jakarta Utara</t>
  </si>
  <si>
    <t>3.5 x 2.5 meter; Tidak termasuk listrik; AC; Kasur; Meja; Lemari Baju; Ventilasi; Kursi; Bantal; Cermin; Jendela; Kloset Duduk; K. Mandi Luar; Shower; Air panas; WiFi; Kulkas; Penjaga Kos; R. Jemur; Dapur; Dispenser; CCTV; Jemuran; Parkir Motor &amp; Sepeda</t>
  </si>
  <si>
    <t>Kost My VIP Penjaringan Jakarta Utara</t>
  </si>
  <si>
    <t>3 x 3 meter; Tidak termasuk listrik; AC; Kasur; Dispenser; Kulkas; Lemari Baju; Ventilasi; Bantal; Cleaning service; Guling; Jendela; K. Mandi Dalam; Kloset Duduk; Ember mandi; Wastafel; Shower; WiFi; R. Cuci; Laundry; Penjaga Kos; R. Jemur; R. Makan; Dapur; Balcon; Parkir Mobil; Parkir Motor; Parkir Sepeda; Parkir Motor &amp; Sepeda</t>
  </si>
  <si>
    <t>Kecamatan Penjaringan</t>
  </si>
  <si>
    <t>Kost Singgahsini Klabat Tipe D Tanjung Priok Jakarta Utara</t>
  </si>
  <si>
    <t>3.6 x 2.4 meter; Tidak termasuk listrik; Kasur; Meja; Lemari Baju; Ventilasi; Kursi; Kipas Angin; Bantal; Cermin; Jendela; K. Mandi Dalam; Kloset Jongkok; Wastafel; Ember mandi; Shower; WiFi; R. Tamu; Penjaga Kos; R. Jemur; Dapur; K. Mandi Luar; CCTV; Parkir Mobil; Parkir Motor; Parkir Sepeda</t>
  </si>
  <si>
    <t>Kost Singgahsini Theresia Tipe C Kelapa Gading Jakarta Utara</t>
  </si>
  <si>
    <t>2.5 x 2.5 meter; Termasuk listrik; AC; Kasur; Lemari Baju; Bantal; Guling; Kloset Duduk; K. Mandi Luar; Shower; WiFi; Kulkas; R. Jemur; Dapur; CCTV; Parkir Mobil; Parkir Motor</t>
  </si>
  <si>
    <t>Rp1.751.000</t>
  </si>
  <si>
    <t>Kost Omah Sin Kiang Tanjung Priok Jakarta Utara</t>
  </si>
  <si>
    <t>3 x 3 meter; Termasuk listrik; Kasur; TV; Lemari Baju; Ventilasi; Kipas Angin; Bantal; Jendela; K. Mandi Dalam; Kloset Jongkok; K. Mandi Luar; Ember mandi; WiFi; Penjaga Kos; Laundry; R. Santai; Balcon; Jual Makanan; Pengurus Kos; Jemuran; Parkir Mobil; Parkir Motor; Parkir Sepeda</t>
  </si>
  <si>
    <t>Kost Singgahsini Rumah Kedua Tipe C Kelapa Gading Jakarta Utara</t>
  </si>
  <si>
    <t>3.2 x 3.2 meter; Tidak termasuk listrik; AC; Kasur; Meja; Lemari Baju; Kursi; Bantal; Jendela; K. Mandi Dalam; Kloset Duduk; Shower; Air panas; WiFi; Kulkas; Penjaga Kos; Laundry; R. Makan; R. Jemur; Dapur; Dispenser; TV; K. Mandi Luar; Parkir Mobil; Parkir Motor &amp; Sepeda</t>
  </si>
  <si>
    <t>Kost Singgahsini Klabat Tipe A Tanjung Priok Jakarta Utara</t>
  </si>
  <si>
    <t>4.5 x 2.8 meter</t>
  </si>
  <si>
    <t>4.5 x 2.8 meter; Tidak termasuk listrik; AC; Kasur; Meja; Lemari Baju; Kursi; Bantal; Cermin; K. Mandi Dalam; Kloset Jongkok; Wastafel; Ember mandi; Shower; WiFi; R. Tamu; Penjaga Kos; R. Jemur; Dapur; K. Mandi Luar; CCTV; Parkir Mobil; Parkir Motor; Parkir Sepeda</t>
  </si>
  <si>
    <t>Kost Apik Barakah Tipe C Cilincing Jakarta Utara</t>
  </si>
  <si>
    <t>3.5 x 2.5 meter; Tidak termasuk listrik; Kasur; Meja; Lemari Baju; Ventilasi; Kursi; Jendela; Kipas Angin; Bantal; Guling; K. Mandi Dalam; Kloset Jongkok; Ember mandi; Shower; WiFi; Penjaga Kos; R. Jemur; Dapur; CCTV; Rooftop; Parkir Motor &amp; Sepeda</t>
  </si>
  <si>
    <t>Rp1.012.000</t>
  </si>
  <si>
    <t>Kost Almic Tipe M Deluxe Tanjung Priok Jakarta Utara</t>
  </si>
  <si>
    <t>4 x 4 meter; Tidak termasuk listrik; AC; Kasur; Meja; Lemari Baju; Bantal; Cermin; Jendela; Kursi; Wastafel; K. Mandi Dalam; Kloset Duduk; Shower; Air panas; WiFi; Penjaga Kos; CCTV; Jemuran; Jual Makanan; Pengurus Kos; Kartu Akses; Parkir Motor; Parkir Sepeda</t>
  </si>
  <si>
    <t>Kost Singgahsini Kelapa Sawit Raya 7 Tipe D Kelapa Gading Jakarta Utara</t>
  </si>
  <si>
    <t>2 x 2.5 meter; Tidak termasuk listrik; AC; Kasur; Lemari Baju; Kloset Duduk; K. Mandi Luar; Shower; WiFi; Kulkas; Laundry; Dapur; Parkir Motor; Parkir Sepeda</t>
  </si>
  <si>
    <t>Kost Raj Tio Tipe A Tanjung Priok Jakarta Utara</t>
  </si>
  <si>
    <t>3 x 3 meter; Termasuk listrik; Kasur; Meja; TV; Lemari Baju; Ventilasi; Bantal; Cermin; Guling; Jendela; Kipas Angin; K. Mandi Dalam; Kloset Jongkok; K. Mandi Luar; Ember mandi; Shower; WiFi; R. Cuci; R. Tamu; R. Jemur; R. Santai; Dapur; Balcon; CCTV; R. Keluarga; Parkir Motor; Parkir Sepeda</t>
  </si>
  <si>
    <t>Kost Mami Anna Kelapa Gading Jakarta Utara</t>
  </si>
  <si>
    <t>3 x 3 meter; Tidak termasuk listrik; AC; Kasur; Meja; Dispenser; Lemari Baju; Kulkas; Ventilasi; Bantal; Cermin; Guling; K. Mandi Dalam; Kloset Duduk; Wastafel; Shower; Air panas; WiFi; Laundry; Penjaga Kos; R. Tamu; R. Jemur; Dapur; Balcon; CCTV; Parkir Mobil; Parkir Motor; Parkir Sepeda</t>
  </si>
  <si>
    <t>Kost Singgahsini 3L Residence Tipe C Kelapa Gading Jakarta Utara</t>
  </si>
  <si>
    <t>2.3 x 3 meter; Tidak termasuk listrik; AC; Kasur; Meja; Lemari Baju; Ventilasi; Kursi; Bantal; Cermin; Jendela; Kloset Duduk; Shower; Air panas; WiFi; Kulkas; Penjaga Kos; Dapur; Dispenser; K. Mandi Luar; CCTV; Parkir Mobil; Parkir Motor; Parkir Motor &amp; Sepeda</t>
  </si>
  <si>
    <t>Kost Lestari Vip Kelapa Gading Jakarta Utara</t>
  </si>
  <si>
    <t>3 x 3 meter; Termasuk listrik; AC; Meja; Lemari Baju; Jendela; Kursi; Kloset Duduk; Wastafel; Shower; Air panas; WiFi; Penjaga Kos; R. Makan; Dapur; K. Mandi Luar; Parkir Motor</t>
  </si>
  <si>
    <t>Kost Gading Elok Residence II Single Bedroom Kelapa Gading Jakarta Utara</t>
  </si>
  <si>
    <t>3 x 3 meter; Tidak termasuk listrik; AC; Kasur; Dispenser; TV; Lemari Baju; Kulkas; Ventilasi; Meja makan; Bantal; Cermin; K. Mandi Dalam; Kloset Duduk; Shower; Air panas; WiFi; R. Cuci; Mesin Cuci; Penjaga Kos; R. Tamu; R. Makan; R. Jemur; R. Santai; Dapur; Parkir Mobil; Parkir Motor; Parkir Sepeda</t>
  </si>
  <si>
    <t>Kost Singgahsini Sunter Jaya 48 Tipe A Tanjung Priok Jakarta Utara</t>
  </si>
  <si>
    <t>3.7 x 3 meter</t>
  </si>
  <si>
    <t>3.7 x 3 meter; Tidak termasuk listrik; AC; Kasur; Lemari Baju; Bantal; Cermin; Dapur Pribadi; Jendela; K. Mandi Dalam; Kloset Duduk; Shower; WiFi; Penjaga Kos; R. Jemur; CCTV; Jemuran; Rooftop; Parkir Motor &amp; Sepeda</t>
  </si>
  <si>
    <t>Kost Singgahsini 3L Residence Tipe B Kelapa Gading Jakarta Utara</t>
  </si>
  <si>
    <t>2.5 x 3.6 meter</t>
  </si>
  <si>
    <t>2.5 x 3.6 meter; Tidak termasuk listrik; AC; Kasur; Meja; Lemari Baju; Ventilasi; Kursi; Bantal; Cermin; Jendela; Kloset Duduk; K. Mandi Luar; Shower; Air panas; WiFi; Kulkas; Penjaga Kos; Dapur; Dispenser; CCTV; Parkir Mobil; Parkir Motor; Parkir Motor &amp; Sepeda</t>
  </si>
  <si>
    <t>Kost Mahesa Cilincing Jakarta Utara</t>
  </si>
  <si>
    <t>4 x 4 meter; Tidak termasuk listrik; AC; Kasur; Meja; Meja Rias; Lemari Baju; Ventilasi; Cleaning service; TV Kabel; Meja makan; Bantal; K. Mandi Dalam; Kloset Duduk; Shower; WiFi; R. Cuci; Kulkas; R. Tamu; Penjaga Kos; Laundry; R. Makan; R. Jemur; R. Santai; Dapur; Parkir Motor; Parkir Sepeda</t>
  </si>
  <si>
    <t>Kecamatan Cilincing</t>
  </si>
  <si>
    <t>Kost Walank Dcost Koja Jakarta Utara</t>
  </si>
  <si>
    <t>3.5 x 5 meter; Tidak termasuk listrik; AC; Kasur; Meja; TV; Lemari Baju; Kulkas; Ventilasi; Bantal; Cermin; Cleaning service; K. Mandi Dalam; Kloset Duduk; Ember mandi; Shower; Air panas; WiFi; Penjaga Kos; R. Tamu; Laundry; R. Jemur; R. Santai; Dapur; Balcon; CCTV; Parkir Mobil; Parkir Motor</t>
  </si>
  <si>
    <t>Koja</t>
  </si>
  <si>
    <t>Kost Glenn Eksklusif Tipe Sedang Kelapa Gading Jakarta Utara</t>
  </si>
  <si>
    <t>3 x 4 meter; Tidak termasuk listrik; AC; Kasur; Meja; TV; Lemari Baju; Ventilasi; Kursi; Cleaning service; TV Kabel; Bantal; K. Mandi Dalam; Kloset Duduk; Shower; WiFi; R. Cuci; Kulkas; R. Tamu; Laundry; R. Makan; R. Jemur; R. Santai; Dapur; Dispenser; Parkir Mobil; Parkir Motor; Parkir Sepeda</t>
  </si>
  <si>
    <t>Kost Studio Residence VVIP Koja Jakarta Utara</t>
  </si>
  <si>
    <t>3 x 4 meter; Tidak termasuk listrik; AC; Kasur; Meja; TV; Lemari Baju; Bantal; Cermin; Jendela; Kursi; K. Mandi Dalam; Kloset Duduk; Ember mandi; Shower; Air panas; WiFi; Kulkas; Penjaga Kos; R. Santai; Dapur; Dispenser; CCTV; Gazebo; Jual Makanan; Kartu Akses; Parkir Motor; Parkir Sepeda</t>
  </si>
  <si>
    <t>Kost The Mansions Tipe B 1 Kelapa Gading Jakarta Utara</t>
  </si>
  <si>
    <t>3 x 3 meter; Tidak termasuk listrik; AC; Kasur; Meja; Lemari Baju; Kursi; Bantal; K. Mandi Dalam; Kloset Duduk; Shower; Air panas; WiFi; R. Cuci; Kulkas; Mesin Cuci; Penjaga Kos; R. Makan; R. Jemur; Dispenser; Dapur; TV; Parkir Motor; Parkir Sepeda</t>
  </si>
  <si>
    <t>Kost Swasembada Tipe A Tanjung Priok Jakarta Utara</t>
  </si>
  <si>
    <t>2.5 x 5 meter; Termasuk listrik; Kasur; Kipas Angin; Bantal; K. Mandi Dalam; Kloset Jongkok; Ember mandi; WiFi; Dapur; Balcon; Jemuran; Parkir Motor</t>
  </si>
  <si>
    <t>Kost Chrystal Hauz Kelapa Gading Jakarta Utara</t>
  </si>
  <si>
    <t>2.5 x 3.5 meter; Tidak termasuk listrik; AC; Kasur; Meja; Lemari Baju; Ventilasi; Bantal; Cermin; Jendela; Kursi; Wastafel; K. Mandi Dalam; Kloset Duduk; Shower; Air panas; WiFi; Dapur; Dispenser; CCTV; Locker; Parkir Motor; Parkir Sepeda; Parkir Motor &amp; Sepeda</t>
  </si>
  <si>
    <t>Kost Singgahsini Mediterania Marina Ancol Tipe A Pademangan Jakarta Utara</t>
  </si>
  <si>
    <t>3 x 3 meter; Termasuk listrik; AC; Kasur; Meja; TV; Lemari Baju; Kursi; Bantal; Cermin; K. Mandi Dalam; Kloset Duduk; Wastafel; Shower; Air panas; WiFi; Kulkas; R. Tamu; Penjaga Kos; Dapur; Dispenser; Kartu Akses; CCTV; Parkir Mobil; Parkir Motor &amp; Sepeda</t>
  </si>
  <si>
    <t>Rp2.232.500</t>
  </si>
  <si>
    <t>Kost Kelapa Cengkir Barat Jakarta Utara</t>
  </si>
  <si>
    <t>3 x 3 meter; Termasuk listrik; AC; Kasur; Meja; TV; Lemari Baju; Ventilasi; Kursi; TV Kabel; Bantal; Cermin; Kloset Duduk; K. Mandi Luar; Shower; Air panas; WiFi; Kulkas; R. Jemur; Dapur; Dispenser; Locker; Balcon; CCTV; Pengurus Kos; Parkir Motor; Parkir Sepeda</t>
  </si>
  <si>
    <t>Kost Singgahsini Maxtim Tipe C Kelapa Gading Jakarta Utara</t>
  </si>
  <si>
    <t>3 x 5.5 meter; Termasuk listrik; AC; Kasur; Meja; Lemari Baju; Ventilasi; Kursi; Bantal; Cermin; Guling; Jendela; K. Mandi Dalam; Kloset Duduk; Shower; Air panas; WiFi; Kulkas; Penjaga Kos; R. Jemur; Dapur; Dispenser; K. Mandi Luar; Parkir Mobil; Parkir Motor; Parkir Sepeda; Parkir Motor &amp; Sepeda</t>
  </si>
  <si>
    <t>Kost Singgahsini Nony Tipe B Tanjung Priok Jakarta Utara</t>
  </si>
  <si>
    <t>3 x 3 meter; Tidak termasuk listrik; AC; Kasur; Lemari Baju; Ventilasi; Bantal; Jendela; Guling; K. Mandi Dalam; Kloset Duduk; Ember mandi; Shower; WiFi; Penjaga Kos; R. Jemur; CCTV; Balcon; Parkir Motor &amp; Sepeda</t>
  </si>
  <si>
    <t>Kost Singgahsini Klabat Tipe B Tanjung Priok Jakarta Utara</t>
  </si>
  <si>
    <t>4.5 x 2.5 meter; Tidak termasuk listrik; AC; Kasur; Meja; Lemari Baju; Kursi; Bantal; Cermin; K. Mandi Dalam; Wastafel; Shower; WiFi; R. Tamu; Penjaga Kos; R. Jemur; Dapur; K. Mandi Luar; CCTV; Parkir Mobil; Parkir Motor; Parkir Sepeda</t>
  </si>
  <si>
    <t>Rp1.497.500</t>
  </si>
  <si>
    <t>Diskon 78rb</t>
  </si>
  <si>
    <t>Kost Singgahsini Maxtim Tipe B Kelapa Gading Jakarta Utara</t>
  </si>
  <si>
    <t>3 x 3.5 meter; Termasuk listrik; AC; Kasur; Meja; Lemari Baju; Kursi; Bantal; Cermin; Guling; Jendela; K. Mandi Dalam; Kloset Duduk; K. Mandi Luar; Shower; Air panas; WiFi; Kulkas; Penjaga Kos; R. Jemur; Dapur; Dispenser; Parkir Mobil; Parkir Motor; Parkir Sepeda; Parkir Motor &amp; Sepeda</t>
  </si>
  <si>
    <t>Kost Rumah Tipe Standard Pademangan Jakarta Utara</t>
  </si>
  <si>
    <t>3 x 3 meter; Tidak termasuk listrik; AC; Kasur; Dispenser; Lemari Baju; Cleaning service; Jendela; Bantal; Cermin; Wastafel; K. Mandi Dalam; Kloset Duduk; Kloset Jongkok; K. Mandi Luar; Shower; WiFi; R. Cuci; R. Makan; R. Jemur; Dapur; CCTV; Pengurus Kos; R. Keluarga; Parkir Motor; Parkir Sepeda</t>
  </si>
  <si>
    <t>Kecamatan Pademangan</t>
  </si>
  <si>
    <t>Kost Cozy Coliving Sunter Papanggo Tipe A Tanjung Priok Jakarta Utara</t>
  </si>
  <si>
    <t>3 x 3 meter; Tidak termasuk listrik; AC; Kasur; Meja; Lemari Baju; Kursi; Cermin; Jendela; K. Mandi Dalam; Kloset Duduk; Air panas; WiFi; Kulkas; R. Tamu; Laundry; R. Makan; R. Jemur; Mushola; Dapur; Dispenser; CCTV; Parkir Motor</t>
  </si>
  <si>
    <t>Kost Singgahsini Summagung Tipe B Kelapa Gading Jakarta Utara</t>
  </si>
  <si>
    <t>3.5 x 2.5 meter; Tidak termasuk listrik; AC; Kasur; Meja; Lemari Baju; Kursi; Bantal; Cermin; Guling; K. Mandi Dalam; Kloset Duduk; Shower; Air panas; WiFi; Kulkas; R. Tamu; Penjaga Kos; Dapur; Dispenser; Parkir Mobil; Parkir Motor; Parkir Sepeda</t>
  </si>
  <si>
    <t>Kost Bu Elis Kelapa Gading Jakarta Utara</t>
  </si>
  <si>
    <t>3 x 3 meter; Termasuk listrik; AC; Kasur; Meja; Meja Rias; Lemari Baju; Kursi; Wastafel; Cleaning service; K. Mandi Dalam; Kloset Duduk; Shower; Air panas; WiFi; R. Cuci; R. Jemur</t>
  </si>
  <si>
    <t>Kost Singgahsini Theresia Tipe A Kelapa Gading Jakarta Utara</t>
  </si>
  <si>
    <t>2.5 x 3.6 meter; Termasuk listrik; AC; Kasur; Lemari Baju; Bantal; Cermin; Guling; K. Mandi Dalam; Kloset Duduk; Wastafel; Shower; Air panas; WiFi; Kulkas; R. Jemur; Dapur; K. Mandi Luar; CCTV; Parkir Mobil; Parkir Motor</t>
  </si>
  <si>
    <t>Kost Gading Elok Kelapa Gading Jakarta Utara</t>
  </si>
  <si>
    <t>2.5 x 3 meter; Tidak termasuk listrik; AC; Kasur; Meja; Dispenser; Lemari Baju; Kulkas; Ventilasi; Kursi; Wastafel; Bantal; Kloset Duduk; K. Mandi Luar; Ember mandi; Shower; WiFi; R. Cuci; Mesin Cuci; R. Jemur; Dapur; Balcon; CCTV; Parkir Motor; Parkir Sepeda</t>
  </si>
  <si>
    <t>Kost De Alcatraz 3 Tipe Hayden Kelapa Gading Jakarta Utara</t>
  </si>
  <si>
    <t>3.4 x 2.5 meter; Tidak termasuk listrik; AC; Kasur; Meja; Lemari Baju; Bantal; Cermin; Kursi; Wastafel; K. Mandi Dalam; Kloset Duduk; Shower; Air panas; WiFi; Kulkas; Penjaga Kos; R. Jemur; Dapur; Dispenser; CCTV; Jemuran; K. Mandi Luar; Kartu Akses; Parkir Mobil; Parkir Motor &amp; Sepeda</t>
  </si>
  <si>
    <t>Kost Gading Elok Residence II Queensize Bedroom Kelapa Gading Jakarta Utara</t>
  </si>
  <si>
    <t>3.2 x 3.2 meter; Tidak termasuk listrik; AC; Kasur; Dispenser; TV; Lemari Baju; Kulkas; Ventilasi; Meja makan; Cermin; Jendela; K. Mandi Dalam; Kloset Duduk; Shower; Air panas; WiFi; R. Cuci; Mesin Cuci; Penjaga Kos; R. Tamu; R. Makan; R. Jemur; R. Santai; Dapur; Parkir Mobil; Parkir Motor; Parkir Sepeda</t>
  </si>
  <si>
    <t>Diskon 236rb</t>
  </si>
  <si>
    <t>Kost Apik Dreamwork Pluit Tipe A Penjaringan Jakarta Utara</t>
  </si>
  <si>
    <t>2 x 2.4 meter</t>
  </si>
  <si>
    <t>2 x 2.4 meter; Tidak termasuk listrik; AC; Kasur; Meja; Lemari Baju; Kursi; Bantal; Cermin; Guling; Jendela; K. Mandi Dalam; Kloset Duduk; Wastafel; Shower; Air panas; WiFi; R. Tamu; Penjaga Kos; R. Jemur; Dapur; CCTV; Jemuran; Parkir Mobil; Parkir Motor</t>
  </si>
  <si>
    <t>Penjaringan</t>
  </si>
  <si>
    <t>Kost Pahala Sunter Podomoro Tipe C Tanjung Priok Jakarta Utara</t>
  </si>
  <si>
    <t>3 x 4 meter; Tidak termasuk listrik; AC; Kasur; TV; Lemari Baju; K. Mandi Dalam; Ember mandi; Shower; WiFi; Penjaga Kos; R. Jemur; Dapur; Parkir Mobil; Parkir Motor; Parkir Sepeda</t>
  </si>
  <si>
    <t>Kost Hardika Pademangan Jakarta Utara</t>
  </si>
  <si>
    <t>3 x 4 meter; Tidak termasuk listrik; AC; Kasur; Meja; Lemari Baju; Bantal; Kursi; K. Mandi Dalam; Kloset Duduk; Shower; WiFi; Penjaga Kos; Dapur; CCTV; Jemuran; Pengurus Kos; Parkir Mobil; Parkir Motor; Parkir Sepeda; Parkir Motor &amp; Sepeda</t>
  </si>
  <si>
    <t>Kost Homie Co Living Tanjung Priok Jakarta Utara</t>
  </si>
  <si>
    <t>4 x 2.5 meter; Tidak termasuk listrik; AC; Kasur; Meja; Lemari Baju; Bantal; Cermin; Jendela; K. Mandi Dalam; Kloset Duduk; Wastafel; Shower; Air panas; Kulkas; R. Jemur; Dapur; Balcon; CCTV; Jemuran; Kartu Akses; Pengurus Kos; Rooftop; Parkir Mobil; Parkir Motor; Parkir Sepeda; Parkir Motor &amp; Sepeda</t>
  </si>
  <si>
    <t>Kost Singgahsini Kelapa Sawit Raya 7 Tipe B Kelapa Gading Jakarta Utara</t>
  </si>
  <si>
    <t>3 x 2.5 meter; Tidak termasuk listrik; AC; Kasur; Meja; Lemari Baju; Kursi; Bantal; Guling; Jendela; K. Mandi Dalam; Kloset Duduk; Shower; WiFi; Kulkas; Laundry; Dapur; K. Mandi Luar; Parkir Motor; Parkir Sepeda</t>
  </si>
  <si>
    <t>Rp1.426.000</t>
  </si>
  <si>
    <t>Kost Singgahsini Kelapa Sawit Raya 7 Tipe C Kelapa Gading Jakarta Utara</t>
  </si>
  <si>
    <t>2 x 2.5 meter; Tidak termasuk listrik; AC; Kasur; Lemari Baju; Bantal; Cermin; Guling; Kloset Duduk; K. Mandi Luar; Shower; WiFi; Kulkas; Laundry; Dapur; Parkir Motor; Parkir Sepeda</t>
  </si>
  <si>
    <t>Kost Renata Tipe A Kelapa Gading Jakarta Utara</t>
  </si>
  <si>
    <t>4 x 4 meter; Tidak termasuk listrik; AC; Kasur; Meja; Lemari Baju; Kursi; Wastafel; K. Mandi Dalam; Kloset Duduk; Shower; Air panas; WiFi; Kulkas; R. Cuci; Laundry; R. Tamu; Penjaga Kos; R. Jemur; Dapur; Dispenser; TV; Parkir Mobil; Parkir Motor</t>
  </si>
  <si>
    <t>Kost Griya Flamboyan Tipe A Kelapa Gading Jakarta Utara</t>
  </si>
  <si>
    <t>3 x 4 meter; Tidak termasuk listrik; AC; Kasur; Lemari Baju; K. Mandi Dalam; Kloset Duduk; Shower; Air panas; WiFi; R. Cuci; Kulkas; Mesin Cuci; Laundry; R. Jemur; Dapur; Parkir Mobil; Parkir Motor; Parkir Sepeda</t>
  </si>
  <si>
    <t>Kost Abah Penjaringan Jakarta Utara</t>
  </si>
  <si>
    <t>3 x 2 meter; Termasuk listrik; Lemari Baju; Kipas Angin; Ember mandi</t>
  </si>
  <si>
    <t>Kost Nali House Tipe B Kelapa Gading Jakarta Utara</t>
  </si>
  <si>
    <t>3 x 3 meter; Tidak termasuk listrik; AC; Kasur; Meja; Lemari Baju; Ventilasi; Bantal; Cermin; Guling; Kursi; Jendela; Kloset Duduk; K. Mandi Luar; Wastafel; Ember mandi; Shower; WiFi; Kulkas; R. Cuci; R. Tamu; R. Jemur; Dapur; CCTV; Jemuran; TV; Parkir Sepeda; Parkir Motor &amp; Sepeda</t>
  </si>
  <si>
    <t>Kost Casa De Luna Tipe B Kelapa Gading Jakarta Utara</t>
  </si>
  <si>
    <t>3 x 2.5 meter; Tidak termasuk listrik; AC; Kasur; Meja; Lemari Baju; Bantal; Cermin; Guling; Jendela; Kursi; K. Mandi Dalam; Kloset Duduk; Shower; Air panas; WiFi; Kulkas; R. Cuci; Mesin Cuci; Penjaga Kos; R. Jemur; Dapur; Balcon; CCTV; Jemuran; Parkir Motor</t>
  </si>
  <si>
    <t>Kost Narendras House Kelapa Gading Jakarta Utara</t>
  </si>
  <si>
    <t>3 x 3 meter; Tidak termasuk listrik; AC; Kasur; Meja; Lemari Baju; Bantal; Cermin; Guling; Kursi; K. Mandi Dalam; Kloset Duduk; Shower; R. Cuci; Mesin Cuci; Penjaga Kos; Mushola; R. Jemur; Dapur; Dispenser; Balcon; Jemuran; Rooftop; Parkir Motor</t>
  </si>
  <si>
    <t>Kost Puan Kelapa Gading Jakarta Utara</t>
  </si>
  <si>
    <t>3 x 4 meter; Termasuk listrik; AC; Kasur; Dispenser; Lemari Baju; Kulkas; Bantal; Cermin; Jendela; Kursi; Cleaning service; Kloset Duduk; K. Mandi Luar; Wastafel; Shower; Air panas; WiFi; R. Cuci; Laundry; Mesin Cuci; Penjaga Kos; Dapur; Jemuran; Jual Makanan; Parkir Mobil; Parkir Sepeda; Parkir Motor; Parkir Motor &amp; Sepeda</t>
  </si>
  <si>
    <t>Kost Cozy Coliving Sunter Papanggo Tipe B Tanjung Priok Jakarta Utara</t>
  </si>
  <si>
    <t>4 x 4 meter; Tidak termasuk listrik; AC; Kasur; Meja; Lemari Baju; Kulkas; Kursi; Wastafel; Meja makan; microwave; Bantal; K. Mandi Dalam; Kloset Duduk; Air panas; WiFi; Laundry; Mushola; Dapur; Dispenser; Kartu Akses; Parkir Mobil; Parkir Motor</t>
  </si>
  <si>
    <t>Kost Singgahsini Nony Tipe A Tanjung Priok Jakarta Utara</t>
  </si>
  <si>
    <t>4 x 3 meter; Tidak termasuk listrik; AC; Kasur; Lemari Baju; Ventilasi; Bantal; Jendela; Guling; K. Mandi Dalam; Kloset Duduk; Ember mandi; Shower; WiFi; Penjaga Kos; R. Jemur; CCTV; Balcon; Parkir Motor &amp; Sepeda</t>
  </si>
  <si>
    <t>Kost Ny Linda Kelapa Gading Jakarta Utara</t>
  </si>
  <si>
    <t>3 x 3 meter; Tidak termasuk listrik; Kasur; Lemari Baju; Wastafel; Kipas Angin; Cleaning service; Kloset Duduk; K. Mandi Luar; Shower; WiFi; Penjaga Kos; R. Jemur; Dapur; Balcon; CCTV; Jemuran; Parkir Motor; Parkir Sepeda</t>
  </si>
  <si>
    <t>Kost Singgahsini Gracia Tipe A Kelapa Gading Jakarta Utara</t>
  </si>
  <si>
    <t>5 x 4.5 meter; Tidak termasuk listrik; AC; Kasur; Meja; Lemari Baju; Kursi; Jendela; Bantal; Cermin; K. Mandi Dalam; Kloset Duduk; Wastafel; Shower; Air panas; WiFi; Kulkas; R. Tamu; Penjaga Kos; R. Makan; R. Jemur; R. Santai; Dapur; Dispenser; TV; Parkir Mobil; Parkir Motor &amp; Sepeda</t>
  </si>
  <si>
    <t>Rp3.680.000</t>
  </si>
  <si>
    <t>Kost Rainbow Tanjung Priok Jakarta Utara</t>
  </si>
  <si>
    <t>3 x 4 meter; Tidak termasuk listrik; AC; Kasur; TV; Kulkas; Lemari Baju; Ventilasi; Bantal; Guling; Jendela; Kursi; Kloset Duduk; K. Mandi Luar; Shower; WiFi; R. Cuci; Penjaga Kos; R. Tamu; R. Jemur; R. Makan; R. Santai; Dapur; CCTV; Parkir Mobil; Parkir Motor; Parkir Sepeda</t>
  </si>
  <si>
    <t>Kost My 2 Tipe A Penjaringan Jakarta Utara</t>
  </si>
  <si>
    <t>2.4 x 2.8 meter; Tidak termasuk listrik; AC; Kasur; Meja; Lemari Baju; Ventilasi; Bantal; Cermin; Guling; Jendela; Kursi; K. Mandi Dalam; Kloset Duduk; Kloset Jongkok; K. Mandi Luar; Wastafel; Shower; Air panas; WiFi; Kulkas; Laundry; R. Tamu; R. Jemur; R. Makan; R. Santai; Dapur; Dispenser; Balcon; Parkir Sepeda</t>
  </si>
  <si>
    <t>Kost Tiara Tipe A1 Koja Jakarta Utara</t>
  </si>
  <si>
    <t>3 x 4 meter; Tidak termasuk listrik; AC; Kasur; Meja; Lemari Baju; Kulkas; Kursi; Bantal; Cermin; Jendela; K. Mandi Dalam; Kloset Jongkok; Ember mandi; WiFi; R. Tamu; Penjaga Kos; R. Jemur; Balcon; CCTV; Jemuran; Parkir Motor; Parkir Sepeda</t>
  </si>
  <si>
    <t>Kost Haven Sunter Standard Tanjung Priok Jakarta Utara</t>
  </si>
  <si>
    <t>3 x 4 meter; Tidak termasuk listrik; AC; Kasur; Meja; TV; Lemari Baju; Ventilasi; Bantal; Cermin; Kursi; Wastafel; Kloset Duduk; Shower; Air panas; WiFi; Kulkas; Laundry; Mesin Cuci; Penjaga Kos; R. Tamu; R. Makan; R. Santai; Dapur; Dispenser; Parkir Mobil; Parkir Motor; Parkir Sepeda; Parkir Motor &amp; Sepeda</t>
  </si>
  <si>
    <t>Rp2.470.000</t>
  </si>
  <si>
    <t>Kost Mimosa 1 Tipe WC Luar AC sharing Tanjung Priok Jakarta Utara</t>
  </si>
  <si>
    <t>2 x 3 meter; Termasuk listrik; AC; Kasur; Meja; Lemari Baju; Ventilasi; Kursi; Cleaning service; Bantal; Jendela; Kloset Duduk; K. Mandi Luar; Wastafel; Shower; R. Cuci; Kulkas; R. Tamu; Penjaga Kos; Laundry; R. Makan; R. Jemur; R. Santai; Dapur; Dispenser; Parkir Motor; Parkir Sepeda</t>
  </si>
  <si>
    <t>Kost Baru Tipe A Tanjung Priok Jakarta Utara</t>
  </si>
  <si>
    <t>2 x 3.5 meter; Tidak termasuk listrik; AC; Kasur; Meja; Lemari Baju; Cermin; Kursi; Wastafel; K. Mandi Dalam; Kloset Duduk; Shower; WiFi; R. Santai; CCTV; Pengurus Kos; Parkir Mobil; Parkir Motor</t>
  </si>
  <si>
    <t>Kost Tiara Tipe B1 Koja Jakarta Utara</t>
  </si>
  <si>
    <t>4 x 5 meter; Tidak termasuk listrik; AC; Kasur; Meja; Lemari Baju; Kulkas; Kursi; Bantal; Cermin; Jendela; K. Mandi Dalam; Kloset Jongkok; Ember mandi; WiFi; R. Tamu; Penjaga Kos; Laundry; R. Jemur; Balcon; CCTV; Jemuran</t>
  </si>
  <si>
    <t>Kost Pahala Sunter Podomoro Tipe A Tanjung Priok Jakarta Utara</t>
  </si>
  <si>
    <t>3 x 4 meter; Tidak termasuk listrik; AC; Kasur; TV; Lemari Baju; K. Mandi Dalam; Kloset Jongkok; Ember mandi; Shower; Air panas; WiFi; Dapur; Parkir Mobil; Parkir Motor; Parkir Sepeda</t>
  </si>
  <si>
    <t>Kost Dekat Stadion JIS Tanjung Priok Jakarta Utara</t>
  </si>
  <si>
    <t>3 x 4 meter; Tidak termasuk listrik; AC; Kasur; Meja; Lemari Baju; Ventilasi; Bantal; Cermin; Jendela; Kursi; Wastafel; K. Mandi Dalam; Kloset Duduk; Shower; WiFi; Kulkas; R. Jemur; Dapur; Balcon; CCTV; Taman; Parkir Motor &amp; Sepeda</t>
  </si>
  <si>
    <t>Kost Teman Residence 2 Koja Jakarta Utara</t>
  </si>
  <si>
    <t>3 x 7 meter; Tidak termasuk listrik; Dapur Pribadi; Jendela; K. Mandi Dalam; Kloset Jongkok; Shower; Balcon; Parkir Motor; Parkir Sepeda; Parkir Motor &amp; Sepeda</t>
  </si>
  <si>
    <t>Kecamatan Koja</t>
  </si>
  <si>
    <t>Kost Gambyong Tipe A Kelapa Gading Jakarta Utara</t>
  </si>
  <si>
    <t>3 x 3 meter; Tidak termasuk listrik; AC; Kasur; Meja; TV; Lemari Baju; Bantal; Cermin; Guling; Kursi; K. Mandi Dalam; Kloset Jongkok; K. Mandi Luar; Ember mandi; Shower; WiFi; Kulkas; R. Tamu; R. Jemur; Dapur; CCTV; Jemuran; Pengurus Kos; Parkir Motor</t>
  </si>
  <si>
    <t>Kost CherryHomeStay Tipe A Kelapa Gading Jakarta Utara</t>
  </si>
  <si>
    <t>2.6 x 3.5 meter</t>
  </si>
  <si>
    <t>2.6 x 3.5 meter; Termasuk listrik; AC; Kasur; Meja; TV; Meja Rias; Lemari Baju; Kursi; Kloset Duduk; K. Mandi Luar; Wastafel; Ember mandi; WiFi; Kulkas; R. Tamu; Laundry; R. Makan; Dapur; R. Keluarga</t>
  </si>
  <si>
    <t>Kost Haven Sunter Superior Tanjung Priok Jakarta Utara</t>
  </si>
  <si>
    <t>3 x 4 meter; Tidak termasuk listrik; AC; Kasur; Meja; TV; Ventilasi; Bantal; Cermin; Wastafel; Kloset Duduk; Shower; Air panas; WiFi; Kulkas; Laundry; Mesin Cuci; Penjaga Kos; R. Tamu; R. Makan; R. Santai; Dapur; Dispenser; Parkir Mobil; Parkir Motor; Parkir Sepeda; Parkir Motor &amp; Sepeda</t>
  </si>
  <si>
    <t>Kost Singgahsini 3L Residence Tipe A Kelapa Gading Jakarta Utara</t>
  </si>
  <si>
    <t>3 x 3.5 meter; Tidak termasuk listrik; AC; Kasur; Meja; Lemari Baju; Ventilasi; Kursi; Bantal; Cermin; Jendela; Kloset Duduk; K. Mandi Luar; Shower; Air panas; WiFi; Kulkas; Penjaga Kos; Dapur; Dispenser; CCTV; Parkir Mobil; Parkir Motor; Parkir Motor &amp; Sepeda</t>
  </si>
  <si>
    <t>Kost Singgahsini Maxtim Tipe D Kelapa Gading Jakarta Utara</t>
  </si>
  <si>
    <t>4 x 5 meter; Termasuk listrik; AC; Kasur; Meja; Lemari Baju; Kursi; Bantal; Guling; K. Mandi Dalam; Kloset Duduk; Shower; Air panas; WiFi; Kulkas; Penjaga Kos; R. Jemur; Dapur; Dispenser; K. Mandi Luar; Parkir Mobil; Parkir Motor; Parkir Sepeda; Parkir Motor &amp; Sepeda</t>
  </si>
  <si>
    <t>Kost Singgahsini Rumah Kedua Tipe B Kelapa Gading Jakarta Utara</t>
  </si>
  <si>
    <t>3.7 x 3.2 meter; Tidak termasuk listrik; AC; Kasur; Meja; Lemari Baju; Kursi; Bantal; Jendela; K. Mandi Dalam; Kloset Duduk; Shower; Air panas; WiFi; Kulkas; Penjaga Kos; Laundry; R. Makan; R. Jemur; Dapur; Dispenser; TV; K. Mandi Luar; Parkir Mobil; Parkir Motor &amp; Sepeda</t>
  </si>
  <si>
    <t>Kost Mimi Tipe I Kelapa Gading Jakarta Utara</t>
  </si>
  <si>
    <t>3 x 3 meter; Tidak termasuk listrik; AC; Kasur; Meja; TV; Kulkas; Lemari Baju; Ventilasi; Bantal; Cermin; Dapur Pribadi; K. Mandi Dalam; Kloset Duduk; Wastafel; Shower; Air panas; WiFi; R. Cuci; R. Tamu; Laundry; Penjaga Kos; R. Makan; Mushola; R. Jemur; R. Santai; Parkir Mobil; Parkir Motor; Parkir Sepeda</t>
  </si>
  <si>
    <t>Kost Pelangi TIpe B Kelapa Gading Jakarta Utara</t>
  </si>
  <si>
    <t>2.2 x 3 meter; Tidak termasuk listrik; Ventilasi; Kloset Duduk; WiFi; R. Cuci; R. Jemur; Dapur; Balcon; Parkir Motor</t>
  </si>
  <si>
    <t>Kost Singgahsini Gracia Tipe B Kelapa Gading Jakarta Utara</t>
  </si>
  <si>
    <t>4.7 x 3.2 meter; Tidak termasuk listrik; AC; Kasur; Meja; Lemari Baju; Kursi; Jendela; Bantal; Cermin; K. Mandi Dalam; Kloset Duduk; Wastafel; Shower; Air panas; WiFi; Kulkas; R. Tamu; Penjaga Kos; R. Makan; R. Jemur; R. Santai; Dapur; Dispenser; TV; Parkir Mobil; Parkir Motor &amp; Sepeda</t>
  </si>
  <si>
    <t>Rp2.944.000</t>
  </si>
  <si>
    <t>Kost Barata Kipas Syariah Koja Jakarta Utara</t>
  </si>
  <si>
    <t>3 x 4 meter; Tidak termasuk listrik; Kasur; Meja; Lemari Baju; Bantal; Cermin; Guling; Jendela; Kipas Angin; Kloset Duduk; K. Mandi Luar; Ember mandi; Shower; WiFi; Kulkas; R. Tamu; R. Jemur; R. Makan; R. Santai; Dapur; Balcon; CCTV; Jemuran; Parkir Mobil; Parkir Motor; Parkir Sepeda; Parkir Motor &amp; Sepeda</t>
  </si>
  <si>
    <t>Kost 93 Suites Primier Tanjung Priok Jakarta Utara</t>
  </si>
  <si>
    <t>4 x 5 meter; Tidak termasuk listrik; AC; Kasur; Meja; TV; Meja Rias; Kulkas; Lemari Baju; Ventilasi; Bantal; Cermin; K. Mandi Dalam; Kloset Duduk; Wastafel; Shower; Air panas; WiFi; R. Tamu; Penjaga Kos; R. Makan; Dapur; Dispenser; CCTV; Kartu Akses; Pengurus Kos; Parkir Motor</t>
  </si>
  <si>
    <t>Kost Singgahsini Rumah Kedua Tipe A Kelapa Gading Jakarta Utara</t>
  </si>
  <si>
    <t>Kost Singgahsini Mediterania Marina Ancol Tipe B Pademangan Jakarta Utara</t>
  </si>
  <si>
    <t>Rp2.090.000</t>
  </si>
  <si>
    <t>Kost Home Living Tipe 2F Kelapa Gading Jakarta Utara</t>
  </si>
  <si>
    <t>3 x 3 meter; Tidak termasuk listrik; AC; Kasur; Meja; TV; Lemari Baju; Ventilasi; Bantal; Cermin; Cleaning service; Guling; K. Mandi Dalam; Kloset Duduk; Wastafel; Shower; Air panas; WiFi; Kulkas; Laundry; Penjaga Kos; R. Tamu; R. Jemur; R. Makan; R. Santai; Dispenser; Dapur; Parkir Mobil; Parkir Motor &amp; Sepeda</t>
  </si>
  <si>
    <t>Kost Singgahsini Gracia Tipe C Kelapa Gading Jakarta Utara</t>
  </si>
  <si>
    <t>4.2 x 3 meter; Tidak termasuk listrik; AC; Kasur; Meja; Lemari Baju; Kursi; Jendela; Bantal; Cermin; K. Mandi Dalam; Kloset Duduk; Wastafel; Shower; Air panas; WiFi; Kulkas; R. Tamu; Penjaga Kos; R. Makan; R. Jemur; R. Santai; Dapur; Dispenser; TV; Parkir Mobil; Parkir Motor &amp; Sepeda</t>
  </si>
  <si>
    <t>Rp2.760.000</t>
  </si>
  <si>
    <t>Kost The Gading Residence Kelapa Gading Jakarta Utara</t>
  </si>
  <si>
    <t>2.5 x 2.2 meter; Tidak termasuk listrik; AC; Ventilasi; Bantal; Guling; Kloset Duduk; Wastafel; Shower; WiFi; Kulkas; R. Cuci; R. Jemur; R. Makan; Dispenser; Dapur; Jemuran; K. Mandi Luar; Parkir Mobil; Parkir Motor; Parkir Sepeda</t>
  </si>
  <si>
    <t>Kost Singgahsini Theresia Tipe B Kelapa Gading Jakarta Utara</t>
  </si>
  <si>
    <t>2.5 x 3 meter; Termasuk listrik; AC; Kasur; Lemari Baju; Bantal; Cermin; Guling; K. Mandi Dalam; Kloset Duduk; Wastafel; Shower; Air panas; WiFi; Kulkas; R. Jemur; Dapur; K. Mandi Luar; CCTV; Parkir Mobil; Parkir Motor</t>
  </si>
  <si>
    <t>Rp1.945.000</t>
  </si>
  <si>
    <t>Kost Home Living Tipe 1B Kelapa Gading Jakarta Utara</t>
  </si>
  <si>
    <t>Kost Sunter Karya Bianca Tipe A Tanjung Priok Jakarta Utara</t>
  </si>
  <si>
    <t>3 x 4 meter; Tidak termasuk listrik; AC; Kasur; Meja; Lemari Baju; Cermin; Guling; Jendela; Kursi; Kloset Duduk; Shower; Dapur; Parkir Motor</t>
  </si>
  <si>
    <t>Kost Akim Tipe C Tanjung Priok Jakarta Utara</t>
  </si>
  <si>
    <t>4 x 3 meter; Termasuk listrik; AC; Kasur; Lemari Baju; Kloset Jongkok; K. Mandi Luar; Ember mandi; Shower; Kulkas; R. Tamu; Dapur; Parkir Mobil; Parkir Motor; Parkir Sepeda</t>
  </si>
  <si>
    <t>Kost Harpa Place Tipe A Kelapa Gading Jakarta Utara</t>
  </si>
  <si>
    <t>3 x 4 meter; Tidak termasuk listrik; AC; Kasur; Meja; TV; Lemari Baju; Ventilasi; Kursi; Bantal; Cermin; Guling; K. Mandi Dalam; Kloset Duduk; Shower; Air panas; WiFi; R. Cuci; Kulkas; R. Makan; R. Jemur; R. Santai; Dapur; Dispenser; Balcon; Parkir Mobil; Parkir Motor; Parkir Sepeda</t>
  </si>
  <si>
    <t>Kost Cozy Coliving Sunter Papanggo Tipe C Tanjung Priok Jakarta Utara</t>
  </si>
  <si>
    <t>4 x 4 meter; Tidak termasuk listrik; AC; Kasur; Meja; Lemari Baju; Kulkas; Ventilasi; microwave; Bantal; Cermin; Jendela; K. Mandi Dalam; Kloset Duduk; Shower; Air panas; WiFi; Penjaga Kos; Laundry; R. Makan; Mushola; R. Santai; Dapur; Dispenser; Kartu Akses; Parkir Mobil; Parkir Motor; Parkir Sepeda</t>
  </si>
  <si>
    <t>Kost Barata AC Syariah Koja Jakarta Utara</t>
  </si>
  <si>
    <t>3 x 4 meter; Tidak termasuk listrik; AC; Kasur; Meja; Lemari Baju; Bantal; Cermin; Guling; Jendela; Kursi; Kloset Duduk; K. Mandi Luar; Ember mandi; Shower; WiFi; Kulkas; R. Tamu; R. Jemur; R. Makan; R. Santai; Dapur; Balcon; CCTV; Jemuran; Parkir Mobil; Parkir Motor; Parkir Sepeda; Parkir Motor &amp; Sepeda</t>
  </si>
  <si>
    <t>Kost Singgahsini T18A Pegangsaan Dua Tipe B Kelapa Gading Jakarta Utara</t>
  </si>
  <si>
    <t>3 x 2.8 meter; Tidak termasuk listrik; AC; Kasur; Lemari Baju; Ventilasi; Bantal; Kloset Duduk; K. Mandi Luar; Wastafel; Shower; WiFi; Kulkas; Penjaga Kos; R. Jemur; Dapur; Rooftop; Parkir Motor &amp; Sepeda</t>
  </si>
  <si>
    <t>Rp1.391.200</t>
  </si>
  <si>
    <t>Diskon 119rb</t>
  </si>
  <si>
    <t>Kost Luxury VIP Cilincing Jakarta Utara</t>
  </si>
  <si>
    <t>3 x 3 meter; Tidak termasuk listrik; AC; Kasur; Meja; Lemari Baju; Bantal; Cermin; Cleaning service; Dapur Pribadi; Guling; Kursi; K. Mandi Dalam; Kloset Duduk; K. Mandi Luar; Shower; WiFi; R. Cuci; Penjaga Kos; R. Jemur; R. Makan; R. Santai; Dapur; Balcon; CCTV; Jemuran; Parkir Mobil; Parkir Motor; Parkir Sepeda; Parkir Motor &amp; Sepeda</t>
  </si>
  <si>
    <t>Kost Almic Guesthouse Tipe S Keyless New Tanjung Priok Jakarta Utara</t>
  </si>
  <si>
    <t>3 x 4 meter; Tidak termasuk listrik; AC; Kasur; Meja; Lemari Baju; Bantal; Cermin; Jendela; Kursi; Wastafel; K. Mandi Dalam; Kloset Jongkok; Shower; WiFi; Penjaga Kos; R. Jemur; CCTV; Jual Makanan; Parkir Motor; Parkir Motor &amp; Sepeda</t>
  </si>
  <si>
    <t>Kost 38 Lt3 Tanjung Priok Jakarta Utara</t>
  </si>
  <si>
    <t>3 x 3 meter; Termasuk listrik; Kasur; Meja; Kulkas; Lemari Baju; Ventilasi; Bantal; Cermin; Cleaning service; Jendela; Kipas Angin; Kloset Jongkok; K. Mandi Luar; Penjaga Kos; R. Jemur; Dapur; CCTV; Jemuran; Pengurus Kos</t>
  </si>
  <si>
    <t>Kost Singgahsini Klabat Tipe C Tanjung Priok Jakarta Utara</t>
  </si>
  <si>
    <t>3.6 x 3.4 meter</t>
  </si>
  <si>
    <t>3.6 x 3.4 meter; Tidak termasuk listrik; Kasur; Meja; Lemari Baju; Kursi; Bantal; Jendela; K. Mandi Dalam; Wastafel; Ember mandi; Shower; WiFi; R. Tamu; Penjaga Kos; R. Jemur; Dapur; K. Mandi Luar; CCTV; Parkir Mobil; Parkir Motor; Parkir Sepeda</t>
  </si>
  <si>
    <t>Rp1.117.500</t>
  </si>
  <si>
    <t>Diskon 58rb</t>
  </si>
  <si>
    <t>Kost Singgahsini Indri Taska 35 Tipe C Kelapa Gading Jakarta Utara</t>
  </si>
  <si>
    <t>3 x 2.5 meter; Tidak termasuk listrik; AC; Kasur; Meja; Lemari Baju; Ventilasi; Kursi; Bantal; Cermin; Jendela; Kloset Duduk; K. Mandi Luar; Shower; Air panas; WiFi; Kulkas; Penjaga Kos; R. Jemur; Dapur; Dispenser; CCTV; Jemuran; Parkir Motor &amp; Sepeda</t>
  </si>
  <si>
    <t>Kost MX Home Tipe B Kelapa Gading Jakarta Utara</t>
  </si>
  <si>
    <t>3 x 3 meter; Tidak termasuk listrik; AC; Kasur; Meja; TV; Lemari Baju; Ventilasi; Kursi; Kipas Angin; Cleaning service; Meja makan; Kloset Duduk; Kloset Jongkok; K. Mandi Luar; Wastafel; Ember mandi; Shower; WiFi; R. Tamu; Mesin Cuci; Penjaga Kos; Laundry; R. Jemur; Dapur; Taman; R. Keluarga; Gazebo; Parkir Mobil; Parkir Motor; Parkir Sepeda</t>
  </si>
  <si>
    <t>Kost Eksekutif Boulevard Kelapa Gading Jakarta Utara</t>
  </si>
  <si>
    <t>4 x 4 meter; Termasuk listrik; AC; Kasur; Meja; Dispenser; TV; Meja Rias; Lemari Baju; Kulkas; Ventilasi; Kursi; K. Mandi Dalam; Kloset Duduk; Wastafel; Shower; Air panas; WiFi; R. Cuci; R. Tamu; Mesin Cuci; Penjaga Kos; Laundry; R. Makan; R. Santai; Parkir Mobil; Parkir Motor; Parkir Sepeda</t>
  </si>
  <si>
    <t>Rp3.001.500</t>
  </si>
  <si>
    <t>Kost Haven Sunter Deluxe Tanjung Priok Jakarta Utara</t>
  </si>
  <si>
    <t>3.5 x 4 meter; Tidak termasuk listrik; AC; Kasur; Meja Rias; TV; Lemari Baju; Ventilasi; Bantal; Cermin; Kursi; Wastafel; Kloset Duduk; Shower; Air panas; WiFi; Kulkas; Laundry; Mesin Cuci; Penjaga Kos; R. Tamu; R. Makan; R. Santai; Dapur; Dispenser; Parkir Mobil; Parkir Motor; Parkir Sepeda; Parkir Motor &amp; Sepeda</t>
  </si>
  <si>
    <t>Rp2.945.000</t>
  </si>
  <si>
    <t>Kost Grace Cilincing Jakarta Utara</t>
  </si>
  <si>
    <t>2 x 3 meter; Tidak termasuk listrik; AC; Kasur; Meja; Lemari Baju; Kursi; Bantal; Guling; Kloset Duduk; K. Mandi Luar; Ember mandi; Shower; WiFi; R. Makan; Balcon; Jemuran; Parkir Motor; Parkir Sepeda; Parkir Motor &amp; Sepeda</t>
  </si>
  <si>
    <t>Kost Raya Permai DE 15 Kelapa Gading Jakarta Utara</t>
  </si>
  <si>
    <t>3 x 3.3 meter; Tidak termasuk listrik; AC; Kasur; Meja; Lemari Baju; Kursi; Cleaning service; K. Mandi Dalam; Kloset Duduk; K. Mandi Luar; Wastafel; Ember mandi; Shower; WiFi; Kulkas; R. Tamu; Mesin Cuci; Penjaga Kos; R. Makan; R. Santai; Dispenser; R. Keluarga; Balcon; Parkir Mobil; Parkir Motor; Parkir Sepeda</t>
  </si>
  <si>
    <t>Kost Singgahsini Victory Tipe A Kelapa Gading Jakarta Utara</t>
  </si>
  <si>
    <t>3.2 x 3.2 meter; Tidak termasuk listrik; AC; Kasur; Meja; Lemari Baju; Kursi; Jendela; Bantal; Cermin; K. Mandi Dalam; Kloset Duduk; Shower; Air panas; WiFi; Kulkas; R. Tamu; Penjaga Kos; R. Jemur; Dapur; Dispenser; CCTV; Parkir Mobil; Parkir Motor &amp; Sepeda</t>
  </si>
  <si>
    <t>Kost Cynfel 2 Tipe Standar Tanjung Priok Jakarta Utara</t>
  </si>
  <si>
    <t>4 x 4 meter; Tidak termasuk listrik; AC; Kasur; Meja; Lemari Baju; Ventilasi; Bantal; Cermin; Jendela; Kursi; K. Mandi Dalam; Kloset Duduk; Shower; WiFi; CCTV; Parkir Motor; Parkir Sepeda</t>
  </si>
  <si>
    <t>Kost Hans Sungai Bambu Tanjung Priok Jakarta Utara</t>
  </si>
  <si>
    <t>3 x 3 meter; Termasuk listrik; Kasur; TV; Kipas Angin; TV Kabel; Kloset Duduk; K. Mandi Luar; Wastafel; Ember mandi; Shower; WiFi; R. Cuci; Kulkas; Laundry; R. Jemur; Dapur; Parkir Motor</t>
  </si>
  <si>
    <t>Kost Apik Barakah Tipe B Cilincing Jakarta Utara</t>
  </si>
  <si>
    <t>4 x 3 meter; Tidak termasuk listrik; Kasur; Meja; Lemari Baju; Kursi; Jendela; Kipas Angin; Bantal; Guling; K. Mandi Dalam; Kloset Jongkok; Ember mandi; Shower; WiFi; Penjaga Kos; R. Jemur; Dapur; CCTV; Rooftop; Parkir Motor &amp; Sepeda</t>
  </si>
  <si>
    <t>Kost Singgahsini Victory Tipe B Kelapa Gading Jakarta Utara</t>
  </si>
  <si>
    <t>Rp2.116.000</t>
  </si>
  <si>
    <t>Kost Singgahsini Blue N Yellow Tipe A Cilincing Jakarta Utara</t>
  </si>
  <si>
    <t>3 x 3 meter; Tidak termasuk listrik; AC; Kasur; Bantal; Jendela; K. Mandi Dalam; Kloset Duduk; Ember mandi; WiFi; Penjaga Kos; R. Jemur; Jemuran; Parkir Mobil; Parkir Motor &amp; Sepeda</t>
  </si>
  <si>
    <t>Kost Harpa Place Tipe C Kelapa Gading Jakarta Utara</t>
  </si>
  <si>
    <t>3 x 3 meter; Tidak termasuk listrik; AC; Kasur; Meja; TV; Lemari Baju; Bantal; Cermin; Guling; Jendela; Meja makan; Kloset Duduk; K. Mandi Luar; Shower; Air panas; WiFi; R. Cuci; Kulkas; R. Makan; R. Jemur; R. Santai; Dapur; Dispenser; Balcon; Parkir Mobil; Parkir Motor; Parkir Sepeda</t>
  </si>
  <si>
    <t>Kost Ibu Arif Standar Penjaringan Jakarta Utara</t>
  </si>
  <si>
    <t>2 x 1.8 meter</t>
  </si>
  <si>
    <t>2 x 1.8 meter; Termasuk listrik; Lemari Baju; Kipas Angin; Ember mandi</t>
  </si>
  <si>
    <t>Kost Apik Barakah Tipe D Cilincing Jakarta Utara</t>
  </si>
  <si>
    <t>3.5 x 2.5 meter; Tidak termasuk listrik; AC; Kasur; Meja; Lemari Baju; Kursi; Jendela; Bantal; K. Mandi Dalam; Kloset Jongkok; Ember mandi; Shower; WiFi; Penjaga Kos; R. Jemur; Dapur; CCTV; Rooftop; Parkir Motor &amp; Sepeda</t>
  </si>
  <si>
    <t>Kost Sunter Indah Raya VIP Tanjung Priok Jakarta Utara</t>
  </si>
  <si>
    <t>3 x 4 meter; Tidak termasuk listrik; AC; Dispenser; Meja; TV; Lemari Baju; Bantal; Cermin; Jendela; Wastafel; K. Mandi Dalam; Kloset Duduk; Shower; Air panas; WiFi; R. Tamu; R. Makan; R. Santai; Balcon; CCTV; Jual Makanan; Pengurus Kos; R. Keluarga; Parkir Mobil; Parkir Motor; Parkir Sepeda</t>
  </si>
  <si>
    <t>Kost Singgahsini Tressa Tipe A Kelapa Gading Jakarta Utara</t>
  </si>
  <si>
    <t>3.5 x 3 meter; Tidak termasuk listrik; AC; Kasur; Meja; Lemari Baju; Ventilasi; Kursi; Bantal; Cermin; K. Mandi Dalam; Kloset Duduk; Wastafel; Shower; Air panas; WiFi; Kulkas; Mesin Cuci; Penjaga Kos; R. Makan; R. Jemur; Dapur; Dispenser; CCTV; Rooftop; Parkir Motor &amp; Sepeda</t>
  </si>
  <si>
    <t>Rp1.807.000</t>
  </si>
  <si>
    <t>Diskon 198rb</t>
  </si>
  <si>
    <t>Kost Makmur Jaya 198 Tipe A Penjaringan Jakarta Utara</t>
  </si>
  <si>
    <t>3 x 4 meter; Tidak termasuk listrik; AC; Kasur; Meja; Lemari Baju; Bantal; Cermin; Kursi; K. Mandi Dalam; Kloset Duduk; Ember mandi; Shower; WiFi; CCTV; Jemuran; Balcon; Parkir Motor &amp; Sepeda</t>
  </si>
  <si>
    <t>Kost Kelapa Puan Timur Tipe E Kelapa Gading Jakarta Utara</t>
  </si>
  <si>
    <t>2.5 x 2 meter; Termasuk listrik; Kasur; Lemari Baju; Bantal; Cermin; Guling; Kipas Angin; Kloset Duduk; K. Mandi Luar; Shower; WiFi; R. Cuci; Kulkas; R. Tamu; Penjaga Kos; Laundry; R. Makan; R. Jemur; R. Santai; Dapur; Parkir Motor; Parkir Sepeda</t>
  </si>
  <si>
    <t>Rp695.000</t>
  </si>
  <si>
    <t>Kost Oma Ida Tipe B Kelapa Gading Jakarta Utara</t>
  </si>
  <si>
    <t>3 x 3 meter; Termasuk listrik; Kasur; Meja; Lemari Baju; Ventilasi; Cermin; Guling; Jendela; Kursi; Kloset Jongkok; K. Mandi Luar; Ember mandi; WiFi; R. Cuci; Laundry; R. Jemur; Dapur; Dispenser; Balcon; Jemuran; Parkir Mobil; Parkir Motor; Parkir Sepeda</t>
  </si>
  <si>
    <t>Kost Qing House KG Executive Kelapa Gading Jakarta Utara</t>
  </si>
  <si>
    <t>3 x 4 meter; Tidak termasuk listrik; AC; Kasur; Dispenser; Meja; Meja Rias; TV; Kulkas; Lemari Baju; Ventilasi; Bantal; Kloset Duduk; K. Mandi Luar; Wastafel; Shower; WiFi; R. Cuci; Mesin Cuci; Penjaga Kos; R. Tamu; R. Jemur; R. Makan; R. Santai; Dapur; Parkir Mobil; Parkir Motor; Parkir Sepeda; Parkir Motor &amp; Sepeda</t>
  </si>
  <si>
    <t>Kost Apik Barakah Tipe A Cilincing Jakarta Utara</t>
  </si>
  <si>
    <t>4.5 x 3.7 meter</t>
  </si>
  <si>
    <t>4.5 x 3.7 meter; Tidak termasuk listrik; AC; Kasur; Meja; Lemari Baju; Ventilasi; Kursi; Jendela; Kipas Angin; Bantal; Guling; K. Mandi Dalam; Kloset Jongkok; Ember mandi; Shower; WiFi; Penjaga Kos; R. Jemur; Dapur; CCTV; Rooftop; Parkir Motor &amp; Sepeda</t>
  </si>
  <si>
    <t>Kost Tapas 25 VIP Blue Penjaringan Jakarta Utara</t>
  </si>
  <si>
    <t>3 x 4 meter; Tidak termasuk listrik; AC; Kasur; Lemari Baju; Bantal; Cermin; Guling; Jendela; Wastafel; K. Mandi Dalam; Kloset Duduk; Shower; WiFi; CCTV; Jemuran; Pengurus Kos; Parkir Motor &amp; Sepeda</t>
  </si>
  <si>
    <t>Kost My 1 Tipe B Penjaringan Jakarta Utara</t>
  </si>
  <si>
    <t>2.4 x 2.8 meter; Tidak termasuk listrik; AC; Kasur; Meja; Lemari Baju; Ventilasi; Bantal; Guling; Kursi; Cermin; Jendela; Kloset Duduk; Kloset Jongkok; K. Mandi Luar; Wastafel; Shower; Air panas; WiFi; Kulkas; Laundry; R. Jemur; R. Santai; Dapur; Dispenser; CCTV; Jemuran; Pengurus Kos; Parkir Motor &amp; Sepeda</t>
  </si>
  <si>
    <t>Kost Home Living Tipe 2D Kelapa Gading Jakarta Utara</t>
  </si>
  <si>
    <t>Kost Gading Pavillion Tipe A Kelapa Gading Jakarta Utara</t>
  </si>
  <si>
    <t>3 x 4 meter; Tidak termasuk listrik; AC; Kasur; Meja; TV; Lemari Baju; Kulkas; Ventilasi; Kursi; Wastafel; Cleaning service; K. Mandi Dalam; Kloset Duduk; Shower; Air panas; WiFi; R. Tamu; Penjaga Kos; R. Makan; R. Jemur; R. Santai; Dapur; Balcon; Parkir Motor</t>
  </si>
  <si>
    <t>Kost Singgahsini Indri Taska 35 Tipe D Kelapa Gading Jakarta Utara</t>
  </si>
  <si>
    <t>2.5 x 2.5 meter; Tidak termasuk listrik; AC; Kasur; Meja; Lemari Baju; Kursi; Bantal; Cermin; Jendela; Kloset Duduk; K. Mandi Luar; Shower; Air panas; WiFi; Kulkas; Penjaga Kos; R. Jemur; Dapur; Dispenser; CCTV; Jemuran; Parkir Motor &amp; Sepeda</t>
  </si>
  <si>
    <t>Kost Tanjung Priok Jakarta Utara</t>
  </si>
  <si>
    <t>3 x 4 meter; Tidak termasuk listrik; AC; K. Mandi Dalam; Kloset Jongkok; Ember mandi; Shower; WiFi; Penjaga Kos; Pengurus Kos; Parkir Motor</t>
  </si>
  <si>
    <t>Kost Jalan Merah Jambu Kelapa Gading Jakarta Utara</t>
  </si>
  <si>
    <t>3 x 4 meter; Tidak termasuk listrik; AC; Kasur; Lemari Baju; Bantal; Kloset Duduk; K. Mandi Luar; Wastafel; Shower; Air panas; WiFi; Kulkas; R. Tamu; Laundry; R. Makan; Balcon; Parkir Motor</t>
  </si>
  <si>
    <t>Kost Mehan Kolis Tipe A Tanjung Priok Jakarta Utara</t>
  </si>
  <si>
    <t>3 x 5 meter; Tidak termasuk listrik; K. Mandi Dalam; Kloset Jongkok; Balcon; Jemuran; Pengurus Kos; Parkir Motor; Parkir Sepeda; Parkir Motor &amp; Sepeda</t>
  </si>
  <si>
    <t>Kost Singgahsini Serenity Living Tipe C Kelapa Gading Jakarta Utara</t>
  </si>
  <si>
    <t>2 x 2 meter; Tidak termasuk listrik; AC; Kasur; Meja; Lemari Baju; Bantal; Kloset Duduk; K. Mandi Luar; Ember mandi; Shower; Air panas; WiFi; Penjaga Kos; Dapur; Dispenser; Parkir Mobil; Parkir Motor &amp; Sepeda</t>
  </si>
  <si>
    <t>Kost H Muh Ashyari Executive Penjaringan Jakarta Utara</t>
  </si>
  <si>
    <t>3 x 3 meter; Tidak termasuk listrik; AC; Kasur; Meja; Lemari Baju; Ventilasi; Jendela; Kipas Angin; Kursi; K. Mandi Dalam; Kloset Jongkok; Ember mandi; WiFi; Laundry; R. Tamu; R. Jemur; R. Makan; R. Santai; Dapur; Balcon; CCTV; Jemuran; Parkir Mobil; Parkir Motor</t>
  </si>
  <si>
    <t>Kost Singgahsini Serenity Living Tipe B Kelapa Gading Jakarta Utara</t>
  </si>
  <si>
    <t>3 x 2 meter; Tidak termasuk listrik; AC; Kasur; Meja; Lemari Baju; Bantal; Kloset Duduk; K. Mandi Luar; Ember mandi; Shower; Air panas; WiFi; Penjaga Kos; Dapur; Dispenser; Parkir Mobil; Parkir Motor &amp; Sepeda</t>
  </si>
  <si>
    <t>Rp1.267.000</t>
  </si>
  <si>
    <t>Kost CherryHomeStay Tipe B Kelapa Gading Jakarta Utara</t>
  </si>
  <si>
    <t>3.7 x 3.9 meter</t>
  </si>
  <si>
    <t>3.7 x 3.9 meter; Tidak termasuk listrik; AC; Kasur; Meja; TV; Meja Rias; Lemari Baju; Kursi; Jendela; Kloset Duduk; K. Mandi Luar; Wastafel; Shower; WiFi; Kulkas; R. Tamu; Laundry; R. Makan; R. Jemur; R. Santai; Dapur; Dispenser</t>
  </si>
  <si>
    <t>Kost Singgahsini Serenity Living Tipe A Kelapa Gading Jakarta Utara</t>
  </si>
  <si>
    <t>3 x 2 meter; Tidak termasuk listrik; AC; Kasur; Meja; Lemari Baju; Bantal; Jendela; Kloset Duduk; K. Mandi Luar; Ember mandi; Shower; Air panas; WiFi; Penjaga Kos; Dapur; Dispenser; Parkir Mobil; Parkir Motor &amp; Sepeda</t>
  </si>
  <si>
    <t>Kost Singgahsini T18A Pegangsaan Dua Tipe A Kelapa Gading Jakarta Utara</t>
  </si>
  <si>
    <t>3 x 2.8 meter; Tidak termasuk listrik; AC; Kasur; Meja; Lemari Baju; Ventilasi; Kursi; Bantal; Kloset Duduk; K. Mandi Luar; Wastafel; Shower; WiFi; Kulkas; Penjaga Kos; R. Jemur; Dapur; Rooftop; Parkir Motor &amp; Sepeda</t>
  </si>
  <si>
    <t>Rp1.556.800</t>
  </si>
  <si>
    <t>Kost Merah Delima A4 Kelapa Gading Jakarta Utara</t>
  </si>
  <si>
    <t>3 x 3 meter; Termasuk listrik; AC; Kasur; Lemari Baju; Kulkas; Kipas Angin; Bantal; Cermin; Jendela; Kloset Duduk; K. Mandi Luar; Bak mandi; WiFi; R. Cuci; R. Jemur; Jual Makanan; Jemuran; Parkir Motor</t>
  </si>
  <si>
    <t>Kost Mimi Tipe C Kelapa Gading Jakarta Utara</t>
  </si>
  <si>
    <t>3 x 3 meter; Tidak termasuk listrik; AC; Kasur; Meja; Meja Rias; TV; Kulkas; Lemari Baju; Ventilasi; Bantal; Cermin; Kloset Duduk; K. Mandi Luar; WiFi; R. Tamu; R. Makan; Dapur; Kartu Akses; Parkir Motor</t>
  </si>
  <si>
    <t>Kost StayZone Sunter Agung Tipe B Tanjung Priok Jakarta Utara</t>
  </si>
  <si>
    <t>3.3 x 2.5 meter</t>
  </si>
  <si>
    <t>3.3 x 2.5 meter; Tidak termasuk listrik; AC; Kasur; Meja; Lemari Baju; Ventilasi; Bantal; Cermin; Guling; Kursi; K. Mandi Dalam; Kloset Duduk; Shower; WiFi; Kulkas; Laundry; Penjaga Kos; R. Jemur; R. Makan; R. Santai; Dapur; Dispenser; Balcon; Parkir Mobil; Parkir Motor &amp; Sepeda</t>
  </si>
  <si>
    <t>Kost Cynfel 1 Tipe C Tanjung Priok Jakarta Utara</t>
  </si>
  <si>
    <t>3 x 3 meter; Tidak termasuk listrik; AC; Kasur; Meja; Lemari Baju; Ventilasi; Cermin; Jendela; Kursi; Bantal; K. Mandi Dalam; Kloset Duduk; Shower; WiFi; Kulkas; R. Jemur; R. Makan; Dapur; Balcon; CCTV; Rooftop; Jemuran; Parkir Motor</t>
  </si>
  <si>
    <t>Kost Pintu Hijau Tipe A Kelapa Gading Jakarta Utara</t>
  </si>
  <si>
    <t>3 x 4 meter; Tidak termasuk listrik; AC; Kasur; Meja Rias; Lemari Baju; Bantal; Cermin; Guling; Jendela; Kursi; K. Mandi Dalam; Kloset Duduk; Shower; Air panas; WiFi; Kulkas; R. Cuci; Mesin Cuci; R. Tamu; R. Jemur; Dapur; Dispenser; CCTV; Jemuran; Parkir Mobil; Parkir Motor</t>
  </si>
  <si>
    <t>Kost Ceniza Astari Kelapa Gading Jakarta Utara</t>
  </si>
  <si>
    <t>3 x 3 meter; Tidak termasuk listrik; Kasur; Meja; Lemari Baju; Ventilasi; Kursi; Bantal; Jendela; K. Mandi Dalam; Kloset Duduk; Ember mandi; WiFi; Kulkas; Penjaga Kos; R. Jemur; Dapur; Dispenser; Jemuran; Pengurus Kos; Parkir Motor; Parkir Sepeda</t>
  </si>
  <si>
    <t>Kost Bina Berkat 1 Tipe A Tanjung Priok Jakarta Utara</t>
  </si>
  <si>
    <t>3 x 4 meter; Tidak termasuk listrik; AC; Kasur; Meja; Lemari Baju; Bantal; Guling; Jendela; Kursi; K. Mandi Dalam; Kloset Duduk; Ember mandi; Shower; Air panas; WiFi; Kulkas; R. Cuci; Mesin Cuci; Penjaga Kos; R. Jemur; R. Makan; Dapur; Balcon; CCTV; Parkir Motor; Parkir Sepeda</t>
  </si>
  <si>
    <t>Kost Nias Kelapa Gading Jakarta Utara</t>
  </si>
  <si>
    <t>3 x 3 meter; Termasuk listrik; AC; Kasur; Meja; Lemari Baju; Ventilasi; Bantal; Cermin; Jendela; Kursi; K. Mandi Dalam; Kloset Duduk; K. Mandi Luar; Shower; WiFi; Kulkas; R. Cuci; Mesin Cuci; Penjaga Kos; R. Tamu; R. Makan; R. Jemur; R. Santai; Dapur; Parkir Mobil; Parkir Motor</t>
  </si>
  <si>
    <t>Kost Permata Biru Tipe A Kelapa Gading Jakarta Utara</t>
  </si>
  <si>
    <t>2.5 x 3 meter; Tidak termasuk listrik; AC; Kasur; Lemari Baju; K. Mandi Dalam; Kloset Duduk; Kloset Jongkok; K. Mandi Luar; WiFi; Mesin Cuci; Laundry; Dapur; Parkir Mobil; Parkir Motor</t>
  </si>
  <si>
    <t>Kost Pondok Mitra Tipe B Tanjung Priok Jakarta Utara</t>
  </si>
  <si>
    <t>3 x 4 meter; Tidak termasuk listrik; AC; Kasur; Lemari Baju; Ventilasi; Bantal; Guling; Jendela; K. Mandi Dalam; WiFi</t>
  </si>
  <si>
    <t>Kost Queen Sunter Tipe D Jakarta Utara</t>
  </si>
  <si>
    <t>WiFi; Penjaga Kos</t>
  </si>
  <si>
    <t>Kost Queen Sunter Tipe A Jakarta Utara</t>
  </si>
  <si>
    <t>2.5 x 3 meter; Tidak termasuk listrik; AC; Kasur; Meja; TV; Meja Rias; Lemari Baju; Kursi; Cermin; Bantal; Guling; K. Mandi Dalam; Kloset Duduk; Wastafel; Shower; Bak mandi; Air panas; WiFi; Penjaga Kos; Parkir Mobil; Parkir Motor</t>
  </si>
  <si>
    <t>Kost Pondok Mitra Tipe C Tanjung Priok Jakarta Utara</t>
  </si>
  <si>
    <t>3 x 6 meter; Tidak termasuk listrik; Kasur; Lemari Baju; Ventilasi; Kursi; Kipas Angin; Bantal; K. Mandi Dalam; Kloset Jongkok; Ember mandi; WiFi; R. Jemur; CCTV; Parkir Motor</t>
  </si>
  <si>
    <t>Kost Pak Aji Tipe A Tanjung Priok Jakarta Utara</t>
  </si>
  <si>
    <t>2 x 2.5 meter; Tidak termasuk listrik; AC; Kasur; Lemari Baju; Bantal; Guling; Jendela; K. Mandi Dalam; Kloset Jongkok; Ember mandi; Shower; WiFi; Kulkas; Penjaga Kos; R. Jemur; Dapur; Jemuran; Parkir Motor</t>
  </si>
  <si>
    <t>Kost Exclusive Jl Serayu Raya Semper Cilincing Jakarta Utara</t>
  </si>
  <si>
    <t>3 x 4 meter; Tidak termasuk listrik; AC; K. Mandi Dalam; Kloset Duduk; Shower; Air panas; TV; Parkir Mobil</t>
  </si>
  <si>
    <t>Kost Haji Bu Yanni Penjaringan Jakarta Utara</t>
  </si>
  <si>
    <t>3 x 3 meter; Tidak termasuk listrik; Kasur; Meja; TV; Lemari Baju; Ventilasi; Kipas Angin; TV Kabel; K. Mandi Dalam; Kloset Jongkok; Ember mandi; R. Cuci; R. Tamu; R. Jemur; R. Santai; Dapur; Locker; Taman; Balcon; Parkir Motor</t>
  </si>
  <si>
    <t>Kost H2 Kelapa Gading Jakarta Utara</t>
  </si>
  <si>
    <t>3 x 4 meter; Tidak termasuk listrik; AC; Kasur; Lemari Baju; Bantal; Guling; Jendela; Kipas Angin; Kloset Duduk; Kloset Jongkok; K. Mandi Luar; Shower; Penjaga Kos; R. Jemur; Dapur; Jemuran; Parkir Mobil; Parkir Motor; Parkir Sepeda</t>
  </si>
  <si>
    <t>Kost Cengkir Kelapa Gading Jakarta Utara</t>
  </si>
  <si>
    <t>3 x 3 meter; Tidak termasuk listrik; AC; Kasur; Meja; Lemari Baju; Kursi; Wastafel; Kloset Duduk; K. Mandi Luar; Shower; WiFi; Kulkas; R. Cuci; Laundry; R. Makan; R. Jemur; R. Santai; Dapur; TV; Gazebo; Parkir Mobil; Parkir Motor</t>
  </si>
  <si>
    <t>Kost Aras Lodge Standard Kelapa Gading Jakarta Utara</t>
  </si>
  <si>
    <t>3 x 3 meter; Tidak termasuk listrik; AC; Kasur; Meja; Lemari Baju; Ventilasi; Bantal; Cermin; Cleaning service; Guling; Jendela; K. Mandi Dalam; Kloset Duduk; Shower; WiFi; Kulkas; R. Cuci; Laundry; Penjaga Kos; R. Tamu; R. Jemur; R. Makan; R. Santai; Dapur; Parkir Mobil; Parkir Motor; Parkir Sepeda</t>
  </si>
  <si>
    <t>Rumah Kontrakan Komplek Sunter Jaya Baru Tanjung Priok Jakarta Utara</t>
  </si>
  <si>
    <t>3 x 4 meter; Tidak termasuk listrik; Ventilasi; Jendela; K. Mandi Dalam; Kloset Duduk; Kloset Jongkok; Bak mandi; R. Cuci; R. Tamu; R. Jemur; R. Makan; R. Santai; Dapur; R. Keluarga; Parkir Mobil; Parkir Motor; Parkir Sepeda; Parkir Motor &amp; Sepeda</t>
  </si>
  <si>
    <t>Rp4.600.000</t>
  </si>
  <si>
    <t>Kost In Home Kelapa Gading Jakarta Utara</t>
  </si>
  <si>
    <t>3 x 4 meter; Termasuk listrik; AC; Kasur; Lemari Baju; Cleaning service; Bantal; Guling; Jendela; K. Mandi Dalam; Kloset Duduk; Kloset Jongkok; K. Mandi Luar; Wastafel; Shower; R. Tamu; Penjaga Kos; R. Makan; R. Jemur; Dapur; Balcon; Pengurus Kos; Parkir Mobil; Parkir Motor</t>
  </si>
  <si>
    <t>Kost Ellok Tipe A Kelapa Gading Jakarta Utara</t>
  </si>
  <si>
    <t>3 x 3 meter; Tidak termasuk listrik; AC; Kasur; Meja; TV; Lemari Baju; Ventilasi; Bantal; Cermin; Cleaning service; Jendela; K. Mandi Dalam; Kloset Jongkok; Wastafel; Shower; Air panas; WiFi; Kulkas; Penjaga Kos; R. Tamu; R. Santai; Dispenser; CCTV; Pengurus Kos</t>
  </si>
  <si>
    <t>Kost Jabutta Living Tanjung Priok Jakarta Utara</t>
  </si>
  <si>
    <t>4 x 4.5 meter; Tidak termasuk listrik; AC; Kasur; Dispenser; Meja; Meja Rias; TV; Kulkas; Lemari Baju; Bantal; Cermin; K. Mandi Dalam; Kloset Duduk; Wastafel; Shower; Air panas; WiFi; Penjaga Kos; R. Santai; CCTV; Gazebo; Pengurus Kos; Rooftop; Parkir Mobil; Parkir Motor</t>
  </si>
  <si>
    <t>Kost Pa Guru Tanjung Priok Jakarta Utara</t>
  </si>
  <si>
    <t>3 x 4 meter; Tidak termasuk listrik; Kasur; Lemari Baju; Ventilasi; Bantal; Jendela; Kloset Jongkok; K. Mandi Luar; Wastafel; Ember mandi; Bak mandi; R. Cuci; R. Jemur; Balcon; Jemuran; Parkir Motor; Parkir Sepeda</t>
  </si>
  <si>
    <t>Kost Leo Kelapa Gading Jakarta Utara</t>
  </si>
  <si>
    <t>3 x 3 meter; Tidak termasuk listrik; AC; Kasur; Meja; Dispenser; Lemari Baju; Kursi; Bantal; Kloset Duduk; K. Mandi Luar; Wastafel; Shower; WiFi</t>
  </si>
  <si>
    <t>Kost Mami Gibbor Tipe A Tanjung Priok Jakarta Utara</t>
  </si>
  <si>
    <t>3 x 4 meter; Tidak termasuk listrik; Ventilasi; Kloset Jongkok; K. Mandi Luar; Ember mandi; R. Cuci; Penjaga Kos; R. Jemur; Dapur; Jemuran; Pengurus Kos; Parkir Motor; Parkir Sepeda</t>
  </si>
  <si>
    <t>Kost Angel 2 Tipe A Koja Jakarta Utara</t>
  </si>
  <si>
    <t>3 x 3 meter; Tidak termasuk listrik; AC; Kasur; Meja; TV; Lemari Baju; Bantal; Guling; K. Mandi Dalam; Kloset Duduk; Ember mandi; WiFi; R. Cuci; Kulkas; R. Tamu; R. Jemur; R. Santai; Dapur; CCTV; Jemuran; Parkir Motor; Parkir Sepeda</t>
  </si>
  <si>
    <t>Kost Mindi 41 Tipe B Koja Jakarta Utara</t>
  </si>
  <si>
    <t>3 x 4 meter; Tidak termasuk listrik; AC; Kasur; Lemari Baju; Bantal; Guling; Jendela; K. Mandi Dalam; Kloset Jongkok; Ember mandi; Shower; WiFi; Kulkas; R. Tamu; R. Santai; Dapur; Dispenser; TV; K. Mandi Luar; CCTV; Pengurus Kos; Parkir Motor</t>
  </si>
  <si>
    <t>Kost Nine Living Tipe A Tanjung Priok Jakarta Utara</t>
  </si>
  <si>
    <t>3 x 3 meter; Tidak termasuk listrik; AC; Kasur; Meja; TV; Lemari Baju; Bantal; Jendela; Wastafel; Guling; Kursi; K. Mandi Dalam; Kloset Jongkok; Ember mandi; WiFi; Kulkas; R. Jemur; Dapur; CCTV; Jemuran; Pengurus Kos; Balcon; Parkir Mobil; Parkir Motor</t>
  </si>
  <si>
    <t>Kost Ibu Nita Tipe E Tanjung Priok Jakarta Utara</t>
  </si>
  <si>
    <t>3 x 3 meter; Termasuk listrik; Kasur; Lemari Baju; Ventilasi; Jendela; Kloset Jongkok; K. Mandi Luar; Ember mandi; R. Jemur; Jemuran; Parkir Motor; Parkir Sepeda</t>
  </si>
  <si>
    <t>Kost Nyaman Kelapa Gading Jakarta Utara</t>
  </si>
  <si>
    <t>3 x 3 meter; Tidak termasuk listrik; AC; Kasur; TV; Lemari Baju; Bantal; Cermin; Cleaning service; TV Kabel; K. Mandi Dalam; Kloset Duduk; Shower; WiFi; Kulkas; R. Cuci; Mesin Cuci; Penjaga Kos; R. Jemur; R. Santai; Dapur; Dispenser; Balcon; Parkir Motor; Parkir Sepeda; Parkir Motor &amp; Sepeda</t>
  </si>
  <si>
    <t>Rp1.399.999</t>
  </si>
  <si>
    <t>Kost Gading Surya Tipe H Kelapa Gading Jakarta Utara</t>
  </si>
  <si>
    <t>3 x 3 meter; Termasuk listrik; Kasur; Lemari Baju; Ventilasi; Bantal; Guling; Kipas Angin; Kloset Duduk; K. Mandi Luar; Wastafel; Shower; WiFi; R. Cuci; Kulkas; R. Tamu; Penjaga Kos; R. Makan; R. Jemur; R. Santai; Dapur; Dispenser; Parkir Motor; Parkir Sepeda</t>
  </si>
  <si>
    <t>Kost Wynn Sunter Tipe 1 Tanjung Priok Jakarta Utara</t>
  </si>
  <si>
    <t>2 x 3 meter; Tidak termasuk listrik; AC; Kasur; Ventilasi; Bantal; Cermin; Jendela; Wastafel; K. Mandi Dalam; Kloset Duduk; Shower; WiFi; Kulkas; R. Cuci; Laundry; Mesin Cuci; Penjaga Kos; R. Jemur; Dapur; Dispenser; CCTV; Parkir Motor</t>
  </si>
  <si>
    <t>Kost Yudi Residence Tipe C Tanjung Priok Jakarta Utara</t>
  </si>
  <si>
    <t>3 x 3 meter; Termasuk listrik; AC; Kasur; Lemari Baju; Ventilasi; Bantal; Cermin; Guling; Jendela; Kipas Angin; K. Mandi Dalam; Kloset Duduk; Shower; R. Cuci; Kulkas; R. Tamu; Penjaga Kos; R. Makan; R. Jemur; R. Santai; Dapur; TV; R. Keluarga; Parkir Motor; Parkir Sepeda</t>
  </si>
  <si>
    <t>Kost Ava Guest Ancol Pademangan Jakarta Utara</t>
  </si>
  <si>
    <t>3 x 3 meter; Tidak termasuk listrik; AC; Kasur; TV; Ventilasi; Bantal; Cermin; Cleaning service; Jendela; Wastafel; K. Mandi Dalam; Kloset Duduk; Shower; Air panas; WiFi; Penjaga Kos; Dispenser; CCTV; Pengurus Kos; Kartu Akses; Parkir Mobil; Parkir Motor</t>
  </si>
  <si>
    <t>Kost Murni 3 Tipe A Penjaringan Jakarta Utara</t>
  </si>
  <si>
    <t>3 x 3 meter; Termasuk listrik; AC; Kasur; Lemari Baju; Ventilasi; TV Kabel; Bantal; Cermin; Guling; Jendela; Kloset Duduk; K. Mandi Luar; Wastafel; Shower; WiFi; R. Cuci; Kulkas; R. Tamu; Mesin Cuci; Penjaga Kos; Laundry; R. Makan; R. Jemur; R. Santai; Parkir Mobil; Parkir Motor; Parkir Sepeda</t>
  </si>
  <si>
    <t>Kost Premium Gading Putih Tipe 1 Kelapa Gading Jakarta Utara</t>
  </si>
  <si>
    <t>2.7 x 4.3 meter; Tidak termasuk listrik; AC; Kasur; Meja; Lemari Baju; Ventilasi; Kursi; Cleaning service; Bantal; Cermin; Jendela; K. Mandi Dalam; Kloset Duduk; Wastafel; Shower; Air panas; R. Cuci; Kulkas; R. Tamu; Mesin Cuci; Penjaga Kos; Laundry; R. Jemur; R. Santai; Balcon; CCTV; Parkir Motor; Parkir Sepeda</t>
  </si>
  <si>
    <t>Kost Griya Musdalifah Penjaringan Jakarta Utara</t>
  </si>
  <si>
    <t>3 x 4 meter; Tidak termasuk listrik; AC; Kasur; Lemari Baju; Ventilasi; Bantal; Cermin; Guling; Jendela; K. Mandi Dalam; Kloset Jongkok; Ember mandi; Wastafel; WiFi; Kulkas; Penjaga Kos; R. Jemur; R. Santai; Dapur; Balcon; Jemuran; Jual Makanan; Locker; Parkir Mobil; Parkir Motor; Parkir Sepeda</t>
  </si>
  <si>
    <t>Kost Valentina Tipe Silver Tanjung Priok Jakarta Utara</t>
  </si>
  <si>
    <t>3 x 3 meter; Tidak termasuk listrik; AC; Kasur; Meja; Kulkas; Lemari Baju; Ventilasi; Bantal; Cermin; Jendela; Guling; Kloset Duduk; K. Mandi Luar; Ember mandi; Shower; WiFi; R. Cuci; Penjaga Kos; Mesin Cuci; R. Jemur; R. Makan; Dapur; Dispenser; CCTV; Parkir Motor; Parkir Sepeda</t>
  </si>
  <si>
    <t>Kost Agung Utara Tanjung Priok Jakarta Utara</t>
  </si>
  <si>
    <t>3 x 4 meter; Tidak termasuk listrik; AC; Kasur; Meja Rias; Lemari Baju; Ventilasi; Jendela; K. Mandi Dalam; Kloset Duduk; Shower; WiFi; R. Cuci; Kulkas; R. Tamu; Mesin Cuci; Penjaga Kos; Laundry; R. Makan; R. Jemur; Mushola; Parkir Motor; Parkir Sepeda</t>
  </si>
  <si>
    <t>Kost Gading Surya Tipe G Kelapa Gading Jakarta Utara</t>
  </si>
  <si>
    <t>2.5 x 2 meter; Termasuk listrik; Kasur; Meja; Meja Rias; Lemari Baju; Ventilasi; Kursi; Bantal; Cermin; Guling; Jendela; Kloset Duduk; K. Mandi Luar; Wastafel; Ember mandi; Shower; WiFi; R. Cuci; Kulkas; R. Tamu; Penjaga Kos; R. Makan; R. Jemur; R. Santai; Dapur; Dispenser; Parkir Motor; Parkir Sepeda</t>
  </si>
  <si>
    <t>Kost Almic Tipe XS Tanjung Priok Jakarta Utara</t>
  </si>
  <si>
    <t>3 x 3 meter; Tidak termasuk listrik; AC; Kasur; Meja; Lemari Baju; Wastafel; Bantal; Kipas Angin; Meja makan; K. Mandi Dalam; Kloset Duduk; Shower; WiFi; CCTV; Pengurus Kos; Kartu Akses; Parkir Motor; Parkir Sepeda</t>
  </si>
  <si>
    <t>Kost Romario Sunter Tipe B Tanjung Priok Jakarta Utara</t>
  </si>
  <si>
    <t>3 x 3 meter; Tidak termasuk listrik; AC; Kasur; Lemari Baju; K. Mandi Dalam; Kloset Duduk; Kloset Jongkok; WiFi; Kulkas; R. Tamu; Dapur; Dispenser; TV; Parkir Motor</t>
  </si>
  <si>
    <t>Kost Asya Tipe B Kelapa Gading Jakarta Utara</t>
  </si>
  <si>
    <t>3 x 3 meter; Tidak termasuk listrik; AC; Kasur; Meja; Lemari Baju; Bantal; Cermin; Kursi; K. Mandi Luar; Shower; Air panas; WiFi; Kulkas; R. Cuci; R. Jemur; R. Makan; Dapur; Dispenser; Balcon; CCTV; Jemuran; Parkir Motor</t>
  </si>
  <si>
    <t>Kost Ibu Angel Kelapa Gading Jakarta Utara</t>
  </si>
  <si>
    <t>3 x 4 meter; Tidak termasuk listrik; AC; Meja; Lemari Baju; Ventilasi; Bantal; Cermin; K. Mandi Dalam; Kloset Duduk; Shower; WiFi; Mesin Cuci; Dapur; CCTV; Jemuran; Parkir Sepeda; Parkir Motor; Parkir Motor &amp; Sepeda</t>
  </si>
  <si>
    <t>Kost Mama Nia Tipe A Koja Jakarta Utara</t>
  </si>
  <si>
    <t>3.5 x 5 meter; Tidak termasuk listrik; AC; Kasur; Meja; TV; Lemari Baju; Kursi; TV Kabel; Bantal; Cermin; Dapur Pribadi; K. Mandi Dalam; Kloset Duduk; Shower; Bak mandi; R. Cuci; Penjaga Kos; R. Jemur; R. Santai; Dapur; Jemuran; Pengurus Kos; Parkir Motor; Parkir Sepeda</t>
  </si>
  <si>
    <t>Kost Raya Kelapa Gading North Jakarta</t>
  </si>
  <si>
    <t>3 x 4 meter; Tidak termasuk listrik; AC; Kasur; Ventilasi; Bantal; Cleaning service; Jendela; TV Kabel; K. Mandi Dalam; Kloset Duduk; Kloset Jongkok; Shower; WiFi; Kulkas; Laundry; Mesin Cuci; Penjaga Kos; R. Jemur; R. Makan; Dapur; Dispenser; CCTV; Parkir Motor</t>
  </si>
  <si>
    <t>Kost Bun&amp;Bun Tipe Reguler Kelapa Gading Jakarta Utara</t>
  </si>
  <si>
    <t>3 x 3 meter; Tidak termasuk listrik; AC; Kasur; Meja; Lemari Baju; Ventilasi; Bantal; Jendela; Kursi; K. Mandi Dalam; Kloset Duduk; Shower; WiFi; Kulkas; Penjaga Kos; R. Tamu; R. Jemur; Dapur; Dispenser; Balcon; Jemuran; Pengurus Kos; Parkir Mobil; Parkir Motor; Parkir Sepeda</t>
  </si>
  <si>
    <t>Kost Helena Asri Tipe Double Penjaringan Jakarta Utara</t>
  </si>
  <si>
    <t>4 x 4 meter; Tidak termasuk listrik; AC; Kasur; Meja; Lemari Baju; Ventilasi; Bantal; Cermin; Jendela; Kursi; Wastafel; K. Mandi Dalam; Kloset Duduk; Ember mandi; Shower; Air panas; WiFi; Kulkas; Penjaga Kos; R. Tamu; Balcon; CCTV; Pengurus Kos; Parkir Mobil; Parkir Motor; Parkir Sepeda</t>
  </si>
  <si>
    <t>Kost Cibanteng Raya Koja Jakarta Utara</t>
  </si>
  <si>
    <t>3 x 7 meter; Tidak termasuk listrik; AC; Kasur; Lemari Baju; Bantal; Jendela; Kloset Duduk; Shower; Penjaga Kos; K. Mandi Luar; CCTV; Jemuran; Parkir Motor; Parkir Sepeda</t>
  </si>
  <si>
    <t>Kost Tenggiri 3R Tipe B Tanjung Priok Jakarta Utara</t>
  </si>
  <si>
    <t>3 x 3 meter; Tidak termasuk listrik; AC; Kasur; TV; Lemari Baju; Bantal; Kipas Angin; K. Mandi Dalam; Kloset Duduk; Ember mandi; Shower; WiFi; Kulkas; Penjaga Kos; R. Santai; Dapur; Dispenser; Balcon; CCTV; Gazebo; Jual Makanan; Parkir Motor; Parkir Sepeda</t>
  </si>
  <si>
    <t>Kost Vinn Room 1 Lux Kelapa Gading Jakarta Utara</t>
  </si>
  <si>
    <t>4 x 3 meter; Tidak termasuk listrik; AC; Kasur; Meja; Lemari Baju; Ventilasi; Kursi; Bantal; Guling; Cermin; Jendela; Kloset Duduk; K. Mandi Luar; Wastafel; Shower; WiFi; Kulkas; R. Cuci; R. Tamu; R. Makan; R. Jemur; R. Santai; Dapur; Jemuran; Balcon; Parkir Mobil; Parkir Motor; Parkir Sepeda</t>
  </si>
  <si>
    <t>Rp1.499.999</t>
  </si>
  <si>
    <t>Kost Joyo Premium Tipe B Kelapa Gading Jakarta Utara</t>
  </si>
  <si>
    <t>3 x 3 meter; Tidak termasuk listrik; AC; Kasur; Meja; TV; Lemari Baju; Ventilasi; Wastafel; Cleaning service; TV Kabel; Bantal; K. Mandi Dalam; Kloset Duduk; Shower; Air panas; WiFi; Kulkas; R. Tamu; Mesin Cuci; Laundry; R. Makan; Dapur; Dispenser; Balcon; Parkir Mobil; Parkir Sepeda; Parkir Motor</t>
  </si>
  <si>
    <t>Kost De Saari 21 Tipe Non Ac Tanjung Priok Jakarta Utara</t>
  </si>
  <si>
    <t>3 x 3 meter; Termasuk listrik; Kasur; Lemari Baju; Kulkas; Ventilasi; Cleaning service; Jendela; Kipas Angin; Bantal; Kloset Duduk; Kloset Jongkok; K. Mandi Luar; Shower; WiFi; R. Cuci; Penjaga Kos; R. Tamu; R. Jemur; R. Santai; Dispenser; Balcon; CCTV; Parkir Motor; Parkir Sepeda</t>
  </si>
  <si>
    <t>Kost Cahtrin Juliana Tipe A Kelapa Gading Jakarta Utara</t>
  </si>
  <si>
    <t>2 x 3 meter; Termasuk listrik; AC; Kasur; Meja; Dispenser; Lemari Baju; Kursi; Wastafel; Kipas Angin; Cleaning service; Bantal; K. Mandi Dalam; Kloset Duduk; K. Mandi Luar; Ember mandi; Shower; WiFi; R. Cuci; Kulkas; Mesin Cuci; Penjaga Kos; R. Jemur; Dapur; Balcon; Parkir Motor; Parkir Sepeda</t>
  </si>
  <si>
    <t>Kost Glenn Eksklusif Tipe Big Kelapa Gading Jakarta Utara</t>
  </si>
  <si>
    <t>6 x 4 meter</t>
  </si>
  <si>
    <t>6 x 4 meter; Tidak termasuk listrik; AC; Kasur; Meja; TV; Lemari Baju; Ventilasi; Kursi; Cleaning service; Bantal; Cermin; K. Mandi Dalam; Kloset Duduk; Ember mandi; Shower; WiFi; R. Cuci; Kulkas; R. Tamu; Penjaga Kos; Laundry; R. Makan; R. Jemur; R. Santai; Dapur; Parkir Mobil; Parkir Motor; Parkir Sepeda</t>
  </si>
  <si>
    <t>Kost Bandengan Tipe A Penjaringan Jakarta Utara</t>
  </si>
  <si>
    <t>2 x 3 meter; Tidak termasuk listrik; Kasur; Bantal; Kloset Jongkok; K. Mandi Luar; Ember mandi; WiFi; R. Cuci; R. Jemur; Jemuran; Parkir Motor</t>
  </si>
  <si>
    <t>Kost Haji Aan 2 Tipe B Penjaringan Jakarta Utara</t>
  </si>
  <si>
    <t>3 x 4 meter; Tidak termasuk listrik; AC; Kasur; Lemari Baju; Ventilasi; Jendela; Kipas Angin; TV Kabel; K. Mandi Dalam; Kloset Jongkok; Ember mandi; Bak mandi; WiFi; Laundry; Penjaga Kos; R. Tamu; R. Jemur; R. Santai; Balcon; CCTV; Jemuran; Jual Makanan; Parkir Mobil; Parkir Motor; Parkir Sepeda</t>
  </si>
  <si>
    <t>Kost Premium Gading Putih Tipe 2 Kelapa Gading Jakarta Utara</t>
  </si>
  <si>
    <t>2.7 x 4.3 meter; Tidak termasuk listrik; AC; Kasur; Meja; Lemari Baju; Ventilasi; Kursi; Wastafel; Cleaning service; Bantal; Cermin; K. Mandi Dalam; Kloset Duduk; Shower; Air panas; R. Cuci; Kulkas; R. Tamu; Mesin Cuci; Penjaga Kos; Laundry; R. Jemur; R. Santai; Dapur; Balcon; Parkir Motor; Parkir Sepeda</t>
  </si>
  <si>
    <t>Kost Kelapa Puan Timur Tipe B Kelapa Gading Jakarta Utara</t>
  </si>
  <si>
    <t>2.5 x 2 meter; Termasuk listrik; Kasur; Lemari Baju; Ventilasi; Bantal; Guling; Kloset Duduk; K. Mandi Luar; Shower; WiFi; R. Cuci; Kulkas; R. Tamu; Penjaga Kos; Laundry; R. Makan; R. Jemur; R. Santai; Dapur; Parkir Motor; Parkir Sepeda</t>
  </si>
  <si>
    <t>Kost Lee's Tanjung Priok Jakarta Utara</t>
  </si>
  <si>
    <t>2 x 3 meter; Tidak termasuk listrik; Kasur; Lemari Baju; Ventilasi; Jendela; K. Mandi Dalam; Kloset Duduk; Shower; WiFi; Kulkas; Penjaga Kos; R. Jemur; Dapur; Kartu Akses; Balcon; K. Mandi Luar; Pengurus Kos; Parkir Motor; Parkir Sepeda</t>
  </si>
  <si>
    <t>Kost Home 88 Tipe C Penjaringan Jakarta Utara</t>
  </si>
  <si>
    <t>2.8  x  4 meter</t>
  </si>
  <si>
    <t>2.8  x  4 meter; Tidak termasuk listrik; AC; Kasur; Meja; Lemari Baju; Kulkas; Bantal; Cermin; K. Mandi Dalam; Kloset Duduk; Shower; Air panas; WiFi; Penjaga Kos; Mushola; R. Makan; Dapur; Dispenser; TV; Kartu Akses; CCTV; Parkir Mobil; Parkir Motor; Parkir Sepeda</t>
  </si>
  <si>
    <t>Kost Asya Tipe A Kelapa Gading Jakarta Utara</t>
  </si>
  <si>
    <t>2 x 3 meter; Tidak termasuk listrik; AC; Kasur; Meja; Lemari Baju; Bantal; Cermin; Kursi; K. Mandi Luar; Shower; Air panas; Kulkas; R. Cuci; R. Jemur; R. Makan; Dapur; Dispenser; Balcon; CCTV; Jemuran; Pengurus Kos; Parkir Motor</t>
  </si>
  <si>
    <t>Kost Kemuning Agung Perkasa Tanjung Priok Jakarta Utara</t>
  </si>
  <si>
    <t>3 x 3 meter; Tidak termasuk listrik; AC; Kasur; Meja; Lemari Baju; Ventilasi; Bantal; Cermin; Jendela; Kursi; Wastafel; K. Mandi Dalam; Kloset Duduk; Shower; Air panas; WiFi; Kulkas; R. Cuci; Laundry; Penjaga Kos; R. Jemur; R. Santai; Dispenser; Dapur; Balcon; Parkir Motor</t>
  </si>
  <si>
    <t>Kost Fantasy Kelapa Gading Jakarta Utara</t>
  </si>
  <si>
    <t>2 x 3 meter; Termasuk listrik; AC; Kasur; Meja; Lemari Baju; Ventilasi; Bantal; Cermin; Kloset Duduk; K. Mandi Luar; Wastafel; Shower; WiFi; R. Cuci; Kulkas; Mesin Cuci; R. Jemur; Dapur; Dispenser; Balcon; CCTV; Jemuran; Parkir Motor; Parkir Sepeda</t>
  </si>
  <si>
    <t>Kost Safar Nama 1 Koja Jakarta Utara</t>
  </si>
  <si>
    <t>3 x 4 meter; Tidak termasuk listrik; AC; Kasur; Meja; Lemari Baju; Ventilasi; Bantal; Guling; Jendela; Kursi; K. Mandi Dalam; Kloset Duduk; Ember mandi; Shower; Bak mandi; WiFi; Kulkas; Penjaga Kos; R. Tamu; R. Jemur; R. Santai; Dapur; Dispenser; Balcon; CCTV; Parkir Motor</t>
  </si>
  <si>
    <t>Kost Chrysant Home BQ Tipe B1 Kelapa Gading Jakarta Utara</t>
  </si>
  <si>
    <t>2.5 x 2.5 meter; Tidak termasuk listrik; AC; Kasur; Meja; Lemari Baju; Ventilasi; Bantal; Guling; Jendela; Cleaning service; Kloset Duduk; K. Mandi Luar; Wastafel; Shower; WiFi; R. Cuci; Kulkas; Mesin Cuci; Penjaga Kos; Laundry; R. Jemur; Dapur; CCTV; Parkir Motor; Parkir Sepeda; Parkir Motor &amp; Sepeda</t>
  </si>
  <si>
    <t>Kost Chrysant Home Tipe A Kelapa Gading Jakarta Utara</t>
  </si>
  <si>
    <t>2 x 2 meter; Tidak termasuk listrik; AC; Kasur; Meja; Lemari Baju; Ventilasi; Cleaning service; Meja makan; Bantal; Guling; Jendela; Kloset Duduk; K. Mandi Luar; Wastafel; Shower; WiFi; R. Cuci; Kulkas; Mesin Cuci; Penjaga Kos; Laundry; R. Jemur; Mushola; Dapur; Parkir Motor; Parkir Sepeda; Parkir Motor &amp; Sepeda</t>
  </si>
  <si>
    <t>Rp899.000</t>
  </si>
  <si>
    <t>Kost Janur Kuning Silver Kelapa Gading Jakarta Utara</t>
  </si>
  <si>
    <t>3 x 3 meter; Tidak termasuk listrik; AC; Kasur; Meja; Lemari Baju; Bantal; Cermin; Guling; Kursi; Wastafel; Kloset Duduk; K. Mandi Luar; Shower; WiFi; Kulkas; R. Cuci; Laundry; Mesin Cuci; R. Tamu; Penjaga Kos; R. Jemur; R. Makan; R. Santai; Parkir Mobil; Parkir Motor</t>
  </si>
  <si>
    <t>Kost Gading Surya Tipe E Kelapa Gading Jakarta Utara</t>
  </si>
  <si>
    <t>2 x 2 meter; Termasuk listrik; Kasur; Lemari Baju; Ventilasi; Bantal; Kipas Angin; Kloset Duduk; K. Mandi Luar; Wastafel; Shower; WiFi; R. Cuci; Kulkas; R. Tamu; Penjaga Kos; R. Makan; R. Jemur; R. Santai; Dapur; Dispenser; Parkir Motor; Parkir Sepeda</t>
  </si>
  <si>
    <t>Kost Grace Residence Tipe Lorong Tanjung Priok Jakarta Utara</t>
  </si>
  <si>
    <t>3 x 2.5 meter; Tidak termasuk listrik; AC; Kasur; Meja; Lemari Baju; Ventilasi; Jendela; Kursi; K. Mandi Dalam; Kloset Duduk; Shower; Air panas; WiFi; Kulkas; Penjaga Kos; Dapur; CCTV; Jemuran; Parkir Motor; Parkir Sepeda</t>
  </si>
  <si>
    <t>Kost Jessie Tanjung Priok Jakarta Utara</t>
  </si>
  <si>
    <t>3 x 3 meter; Tidak termasuk listrik; Ventilasi; Jendela; K. Mandi Dalam; Kloset Jongkok; Shower; WiFi; R. Cuci; R. Jemur; Dapur; CCTV; Jemuran; Pengurus Kos; Parkir Motor; Parkir Sepeda</t>
  </si>
  <si>
    <t>Kost Pak Salim Executive Penjaringan Jakarta Utara</t>
  </si>
  <si>
    <t>3 x 4 meter; Tidak termasuk listrik; AC; Kasur; Meja; Lemari Baju; Bantal; Cermin; Cleaning service; Guling; Jendela; Kursi; K. Mandi Dalam; Kloset Duduk; K. Mandi Luar; Wastafel; Ember mandi; Shower; Air panas; WiFi; Kulkas; Laundry; Penjaga Kos; R. Tamu; R. Jemur; R. Makan; R. Santai; Dapur; Dispenser; Parkir Motor &amp; Sepeda</t>
  </si>
  <si>
    <t>Kost Cilincing Top Cilincing Jakarta Utara</t>
  </si>
  <si>
    <t>3 x 3 meter; Tidak termasuk listrik; AC; Kasur; Meja; Lemari Baju; Cermin; Jendela; Kursi; K. Mandi Dalam; Kloset Duduk; Shower; WiFi; Penjaga Kos; R. Jemur; Balcon; CCTV; Jemuran; Parkir Motor</t>
  </si>
  <si>
    <t>Kost Milenial Tanjung Priok Jakarta Utara</t>
  </si>
  <si>
    <t>3 x 4 meter; Tidak termasuk listrik; AC; Kasur; Meja; Lemari Baju; Bantal; Guling; Jendela; K. Mandi Dalam; Kloset Duduk; Kloset Jongkok; Ember mandi; Shower; WiFi; Kulkas; R. Jemur; Dapur; Balcon; Jemuran; CCTV; Parkir Motor; Parkir Sepeda</t>
  </si>
  <si>
    <t>Kost Yudi Residence Tipe A Tanjung Priok Jakarta Utara</t>
  </si>
  <si>
    <t>3 x 3 meter; Tidak termasuk listrik; AC; Kasur; Meja; TV; Lemari Baju; Kulkas; Ventilasi; Kursi; Wastafel; Kipas Angin; K. Mandi Dalam; Kloset Duduk; Shower; WiFi; R. Cuci; R. Tamu; Penjaga Kos; R. Makan; R. Jemur; R. Santai; Dapur; Parkir Motor; Parkir Sepeda</t>
  </si>
  <si>
    <t>Kost Eksklusif Tipe Ekonomis Kelapa Gading Jakarta Utara</t>
  </si>
  <si>
    <t>3 x 4 meter; Tidak termasuk listrik; AC; Kasur; Meja; TV; Lemari Baju; Ventilasi; Kursi; Cleaning service; Bantal; Cermin; K. Mandi Dalam; Kloset Duduk; Ember mandi; Shower; WiFi; R. Cuci; Kulkas; R. Tamu; Penjaga Kos; Laundry; R. Makan; R. Jemur; R. Santai; Dapur; Parkir Mobil; Parkir Motor; Parkir Sepeda</t>
  </si>
  <si>
    <t>Kost Lenny Tipe B Kelapa Gading Jakarta Utara</t>
  </si>
  <si>
    <t>4 x 3 meter; Tidak termasuk listrik; AC; Kasur; TV; Lemari Baju; Cleaning service; K. Mandi Dalam; Kloset Duduk; Shower; Air panas; WiFi; Kulkas; R. Tamu; R. Makan; Dapur; Locker</t>
  </si>
  <si>
    <t>Kost Haji Agus Tanjung Priok Jakarta Utara</t>
  </si>
  <si>
    <t>3.5 x 3.5 meter; Termasuk listrik; Kasur; Lemari Baju; K. Mandi Dalam; Kloset Jongkok; Ember mandi; WiFi; R. Jemur; Dapur; Balcon; Parkir Motor; Parkir Sepeda</t>
  </si>
  <si>
    <t>Kost Kopyor Barat Kelapa Gading Jakarta Utara</t>
  </si>
  <si>
    <t>3 x 3 meter; Tidak termasuk listrik; AC; Kasur; Meja; Lemari Baju; Kursi; Wastafel; Bantal; Kloset Duduk; K. Mandi Luar; Shower; WiFi; Kulkas; Mesin Cuci; Dispenser; Dapur; TV; CCTV; Jemuran; Parkir Motor</t>
  </si>
  <si>
    <t>Kost Singgahsini Al Farisy Tipe A Kalideres Jakarta Barat</t>
  </si>
  <si>
    <t>3 x 4 meter; Tidak termasuk listrik; AC; Kasur; Meja; Lemari Baju; Kursi; Bantal; Cermin; Guling; Jendela; K. Mandi Dalam; Kloset Jongkok; Ember mandi; WiFi; R. Tamu; Penjaga Kos; R. Jemur; Dapur; Jemuran; Parkir Mobil; Parkir Motor; Parkir Sepeda</t>
  </si>
  <si>
    <t>Tangerang</t>
  </si>
  <si>
    <t>Kost Daan Mogot Le Paris Syariah Residence Tipe A Tangerang</t>
  </si>
  <si>
    <t>3 x 3 meter; Tidak termasuk listrik; AC; Kasur; Meja; TV; Lemari Baju; Ventilasi; Bantal; Cermin; Cleaning service; Guling; K. Mandi Dalam; Kloset Duduk; Shower; Air panas; WiFi; Penjaga Kos; R. Tamu; R. Jemur; R. Santai; Dispenser; CCTV; Pengurus Kos; Parkir Motor; Parkir Sepeda</t>
  </si>
  <si>
    <t>Kecamatan Tangerang</t>
  </si>
  <si>
    <t>Kost Singgahsini Barada Cipondoh Tipe C Tangerang</t>
  </si>
  <si>
    <t>3.5 x 8. meter; Tidak termasuk listrik; AC; Kasur; Meja; TV; Lemari Baju; Kursi; Bantal; Cermin; Guling; Jendela; K. Mandi Dalam; Kloset Duduk; Kloset Jongkok; Ember mandi; Air panas; WiFi; Kulkas; R. Tamu; R. Makan; R. Jemur; Dapur; CCTV; Parkir Mobil; Parkir Motor; Parkir Sepeda</t>
  </si>
  <si>
    <t>Rp1.948.750</t>
  </si>
  <si>
    <t>Cipondoh</t>
  </si>
  <si>
    <t>Kost Singgahsini Ivory Tipe B Tangerang</t>
  </si>
  <si>
    <t>2.6 x 4 meter</t>
  </si>
  <si>
    <t>2.6 x 4 meter; Tidak termasuk listrik; AC; Kasur; Meja; TV; Lemari Baju; Ventilasi; Kursi; Bantal; Jendela; Cermin; K. Mandi Dalam; Kloset Duduk; Shower; Air panas; WiFi; Kulkas; R. Tamu; Penjaga Kos; R. Jemur; Dapur; Dispenser; Parkir Mobil; Parkir Motor &amp; Sepeda</t>
  </si>
  <si>
    <t>Kost Ijo W2k Syariah Tipe B Pinang Tangerang</t>
  </si>
  <si>
    <t>8 x 3 meter; Tidak termasuk listrik; AC; Kasur; Meja; Lemari Baju; K. Mandi Dalam; Kloset Duduk; Shower; WiFi; Kulkas; R. Tamu; R. Makan; R. Jemur; R. Santai; Dapur; TV; Taman; R. Keluarga; Parkir Motor; Parkir Sepeda</t>
  </si>
  <si>
    <t>Pinang</t>
  </si>
  <si>
    <t>Kost Apik Zihan Tipe B Tangerang</t>
  </si>
  <si>
    <t>2.8 x 4.9 meter</t>
  </si>
  <si>
    <t>2.8 x 4.9 meter; Tidak termasuk listrik; Kasur; Meja; Lemari Baju; Ventilasi; Kursi; Bantal; Cermin; Guling; Jendela; K. Mandi Dalam; Kloset Jongkok; Ember mandi; WiFi; R. Cuci; Kulkas; Mesin Cuci; Penjaga Kos; R. Jemur; Dapur; Jemuran; Parkir Motor &amp; Sepeda</t>
  </si>
  <si>
    <t>Larangan</t>
  </si>
  <si>
    <t>Kost Singgahsini MHR Tipe A Cikokol Tangerang</t>
  </si>
  <si>
    <t>8 x 3 meter; Tidak termasuk listrik; AC; Kasur; Meja; TV; Lemari Baju; Kursi; Bantal; Cermin; Guling; Jendela; K. Mandi Dalam; Kloset Duduk; Wastafel; Ember mandi; Shower; Air panas; WiFi; R. Cuci; R. Tamu; Penjaga Kos; R. Jemur; Mushola; Dapur; Taman; Gazebo; Parkir Mobil; Parkir Motor &amp; Sepeda</t>
  </si>
  <si>
    <t>Kost Rumah Kedua Tipe Mezzanine Tangerang</t>
  </si>
  <si>
    <t>3 x 4 meter; Tidak termasuk listrik; AC; Kasur; Meja; Lemari Baju; Ventilasi; Bantal; Cermin; Cleaning service; Guling; Jendela; K. Mandi Dalam; Kloset Duduk; Wastafel; Shower; Air panas; WiFi; Kulkas; Laundry; Penjaga Kos; R. Tamu; R. Jemur; R. Makan; R. Santai; Dapur; Dispenser; Parkir Mobil; Parkir Motor; Parkir Sepeda</t>
  </si>
  <si>
    <t>Kost Singgahsini Rose Residence Tipe B Tangerang</t>
  </si>
  <si>
    <t>4.9 x 4.9 meter</t>
  </si>
  <si>
    <t>4.9 x 4.9 meter; Tidak termasuk listrik; AC; Kasur; Meja; Lemari Baju; Ventilasi; Kursi; Jendela; Bantal; Cermin; K. Mandi Dalam; Kloset Duduk; Wastafel; Shower; Air panas; WiFi; Kulkas; R. Tamu; Penjaga Kos; R. Makan; R. Santai; Dapur; CCTV; Parkir Mobil; Parkir Motor &amp; Sepeda</t>
  </si>
  <si>
    <t>Kost Calla Coliving Tipe Deluxe Karang Tengah Tangerang</t>
  </si>
  <si>
    <t>7 x 4 meter; Tidak termasuk listrik; AC; Kasur; Meja; Meja Rias; TV; Lemari Baju; Ventilasi; Bantal; Cermin; Cleaning service; K. Mandi Dalam; Kloset Duduk; Wastafel; Shower; Air panas; WiFi; Kulkas; Penjaga Kos; R. Tamu; R. Jemur; R. Makan; R. Santai; Dapur; Dispenser; Balcon; Parkir Mobil; Parkir Motor; Parkir Sepeda; Parkir Motor &amp; Sepeda</t>
  </si>
  <si>
    <t>Kecamatan Karang Tengah</t>
  </si>
  <si>
    <t>Kost Singgahsini Bunda Tsamara Tipe A Tangerang</t>
  </si>
  <si>
    <t>Benda</t>
  </si>
  <si>
    <t>Kost Singgahsini Homy Home Tipe C Tangerang</t>
  </si>
  <si>
    <t>3.7 x 2.7 meter; Tidak termasuk listrik; AC; Kasur; Lemari Baju; Wastafel; Bantal; Cermin; K. Mandi Dalam; Kloset Duduk; Shower; Air panas; WiFi; Kulkas; R. Tamu; Penjaga Kos; R. Jemur; Dapur; K. Mandi Luar; Jemuran; Parkir Motor &amp; Sepeda</t>
  </si>
  <si>
    <t>Kost M12 Tipe A Neglasari Tangerang</t>
  </si>
  <si>
    <t>4 x 5 meter; Termasuk listrik; AC; Kasur; Meja; TV; Meja Rias; Lemari Baju; Ventilasi; Bantal; Cermin; Guling; K. Mandi Dalam; Kloset Jongkok; K. Mandi Luar; Ember mandi; Bak mandi; WiFi; Kulkas; R. Cuci; R. Tamu; R. Jemur; R. Makan; R. Santai; Dapur; Dispenser; Balcon; Parkir Mobil; Parkir Motor; Parkir Sepeda</t>
  </si>
  <si>
    <t>Kecamatan Neglasari</t>
  </si>
  <si>
    <t>Kost Singgahsini Umi Abadi 6 Tipe B Larangan Tangerang</t>
  </si>
  <si>
    <t>3 x 3 meter; Tidak termasuk listrik; AC; Kasur; Meja; Lemari Baju; Ventilasi; Kursi; Bantal; Cermin; Jendela; K. Mandi Dalam; Kloset Duduk; Shower; WiFi; Kulkas; Penjaga Kos; R. Makan; R. Jemur; Dapur; Dispenser; CCTV; Jemuran; Parkir Motor; Parkir Sepeda</t>
  </si>
  <si>
    <t>Rp1.421.500</t>
  </si>
  <si>
    <t>Kost Singgahsini Daan Mogot 44 Tipe A Tangerang</t>
  </si>
  <si>
    <t>3.9 x 3 meter; Tidak termasuk listrik; AC; Kasur; Meja; Lemari Baju; Kursi; Wastafel; Bantal; Jendela; K. Mandi Dalam; Kloset Duduk; Shower; WiFi; R. Tamu; R. Jemur; Dapur; Parkir Motor; Parkir Sepeda; Parkir Motor &amp; Sepeda</t>
  </si>
  <si>
    <t>Kost Singgahsini Al Farisy Tipe B Kalideres Jakarta Barat</t>
  </si>
  <si>
    <t>3 x 4 meter; Tidak termasuk listrik; Kasur; Meja; Lemari Baju; Kursi; Kipas Angin; Bantal; Cermin; Guling; Jendela; K. Mandi Dalam; Kloset Jongkok; Ember mandi; WiFi; R. Tamu; Penjaga Kos; R. Jemur; Dapur; Jemuran; Parkir Mobil; Parkir Motor; Parkir Sepeda</t>
  </si>
  <si>
    <t>Kost Apik Keroncong Permai 8 Tipe B Tangerang</t>
  </si>
  <si>
    <t>2.5 x 2.3 meter</t>
  </si>
  <si>
    <t>2.5 x 2.3 meter; Tidak termasuk listrik; AC; Kasur; Meja; Lemari Baju; Ventilasi; Kursi; Bantal; Kloset Duduk; K. Mandi Luar; Wastafel; Ember mandi; Shower; WiFi; Kulkas; Penjaga Kos; R. Jemur; Dapur; CCTV; Jemuran; Parkir Motor; Parkir Sepeda; Parkir Motor &amp; Sepeda</t>
  </si>
  <si>
    <t>Jati Uwung</t>
  </si>
  <si>
    <t>Kost Damai 51 Tipe Exhaust Fan Tangerang</t>
  </si>
  <si>
    <t>3 x 4 meter; Tidak termasuk listrik; Kasur; Lemari Baju; Ventilasi; Bantal; Guling; Jendela; Kipas Angin; K. Mandi Dalam; Kloset Jongkok; Ember mandi; Shower; WiFi; Kulkas; Penjaga Kos; R. Tamu; Mushola; R. Jemur; R. Makan; R. Santai; Dapur; CCTV; Parkir Mobil; Parkir Motor</t>
  </si>
  <si>
    <t>Kost Singgahsini Fulvian Banjarwijaya Tipe E Cipondoh Tangerang</t>
  </si>
  <si>
    <t>2.8 x 2.9 meter</t>
  </si>
  <si>
    <t>2.8 x 2.9 meter; Tidak termasuk listrik; AC; Kasur; TV; Lemari Baju; Jendela; Bantal; Cermin; K. Mandi Dalam; Kloset Duduk; Shower; WiFi; Kulkas; Penjaga Kos; R. Tamu; R. Jemur; Dapur; Dispenser; Balcon; CCTV; Parkir Mobil; Parkir Motor &amp; Sepeda</t>
  </si>
  <si>
    <t>Kost Singgahsini Barada Cipondoh Tipe A Tangerang</t>
  </si>
  <si>
    <t>3 x 3 meter; Tidak termasuk listrik; AC; Kasur; TV; Lemari Baju; Bantal; Cermin; Guling; Jendela; K. Mandi Dalam; Kloset Duduk; Shower; Air panas; WiFi; Kulkas; R. Tamu; R. Makan; R. Jemur; Dapur; CCTV; Parkir Mobil; Parkir Motor; Parkir Sepeda</t>
  </si>
  <si>
    <t>Kost Singgahsini MHR Tipe B Cikokol Tangerang</t>
  </si>
  <si>
    <t>8 x 3 meter; Tidak termasuk listrik; AC; Kasur; Meja; TV; Lemari Baju; Kursi; Bantal; Cermin; Guling; Jendela; K. Mandi Dalam; Kloset Duduk; Ember mandi; Shower; WiFi; R. Cuci; R. Tamu; Penjaga Kos; R. Jemur; Mushola; Dapur; Taman; Gazebo; Parkir Mobil; Parkir Motor &amp; Sepeda</t>
  </si>
  <si>
    <t>Kost Dreamland Cipondoh Tangerang</t>
  </si>
  <si>
    <t>3 x 4 meter; Termasuk listrik; Kasur; Meja; Lemari Baju; Cermin; Jendela; Kipas Angin; Kursi; K. Mandi Dalam; Kloset Duduk; Ember mandi; Shower; WiFi; Kulkas; R. Tamu; R. Makan; Dapur; Dispenser; Balcon; Jemuran; Pengurus Kos; Parkir Motor; Parkir Sepeda; Parkir Motor &amp; Sepeda</t>
  </si>
  <si>
    <t>Kost Singgahsini Tang City Tipe A Tangerang</t>
  </si>
  <si>
    <t>3 x 2 meter; Tidak termasuk listrik; AC; Kasur; Meja; Lemari Baju; Kursi; Bantal; Guling; Kloset Duduk; K. Mandi Luar; Wastafel; Shower; Air panas; WiFi; R. Cuci; Kulkas; R. Tamu; Penjaga Kos; Mesin Cuci; R. Makan; R. Jemur; Dapur; Dispenser; Parkir Mobil; Parkir Motor &amp; Sepeda</t>
  </si>
  <si>
    <t>Kost Singgahsini First AA 4 Tipe A Kedaung Wetan Tangerang</t>
  </si>
  <si>
    <t>5.5 x 2.5 meter</t>
  </si>
  <si>
    <t>5.5 x 2.5 meter; Tidak termasuk listrik; AC; Kasur; Lemari Baju; Ventilasi; Bantal; Cermin; Jendela; K. Mandi Dalam; Kloset Jongkok; Ember mandi; WiFi; Penjaga Kos; R. Jemur; Jemuran; Parkir Mobil; Parkir Motor; Parkir Sepeda</t>
  </si>
  <si>
    <t>Neglasari</t>
  </si>
  <si>
    <t>Kost Go 8 Periuk Tangerang</t>
  </si>
  <si>
    <t>3 x 3 meter; Tidak termasuk listrik; AC; Kasur; Meja; Lemari Baju; Ventilasi; Bantal; Guling; Jendela; Kursi; Kloset Duduk; K. Mandi Luar; Wastafel; Shower; WiFi; Kulkas; Dapur; Dispenser; Balcon; CCTV; Kartu Akses; Rice Cooker; Parkir Mobil; Parkir Motor</t>
  </si>
  <si>
    <t>Kecamatan Periuk</t>
  </si>
  <si>
    <t>Kost Kamarku Deluxe Tangcity Tangerang</t>
  </si>
  <si>
    <t>3 x 3.5 meter; Tidak termasuk listrik; AC; Kasur; Meja; Kulkas; Lemari Baju; Bantal; Cermin; Cleaning service; Guling; Jendela; K. Mandi Dalam; Kloset Duduk; Wastafel; Shower; Air panas; WiFi; Penjaga Kos; R. Makan; R. Santai; Dapur; Dispenser; CCTV; Kartu Akses; Pengurus Kos; Parkir Motor; Parkir Motor &amp; Sepeda</t>
  </si>
  <si>
    <t>Kost Singgahsini Soldier Xosan Tipe B Cipondoh Tangerang</t>
  </si>
  <si>
    <t>3.2 x 1.7 meter</t>
  </si>
  <si>
    <t>3.2 x 1.7 meter; Tidak termasuk listrik; AC; Kasur; Lemari Baju; Ventilasi; Bantal; Cermin; Guling; Kloset Duduk; K. Mandi Luar; Ember mandi; Shower; WiFi; Penjaga Kos; Dapur; Parkir Motor &amp; Sepeda</t>
  </si>
  <si>
    <t>Kost Ibu Sumiyati Tangerang</t>
  </si>
  <si>
    <t>3 x 3 meter; Termasuk listrik; Kasur; Lemari Baju; Kulkas; Kipas Angin; Jendela; Bantal; K. Mandi Dalam; Kloset Jongkok; Ember mandi; WiFi; Mesin Cuci; R. Jemur; Dapur; CCTV; Jemuran; Parkir Motor; Parkir Sepeda</t>
  </si>
  <si>
    <t>Kost Singgahsini Rumah Cibodas Star Tipe B Tangerang</t>
  </si>
  <si>
    <t>2.8 x 2.5 meter; Tidak termasuk listrik; AC; Kasur; TV; Lemari Baju; Bantal; Cermin; K. Mandi Dalam; Kloset Duduk; Wastafel; Shower; Air panas; WiFi; R. Tamu; Penjaga Kos; R. Makan; R. Jemur; Dapur; Dispenser; CCTV; Jemuran; Parkir Motor &amp; Sepeda</t>
  </si>
  <si>
    <t>Periuk</t>
  </si>
  <si>
    <t>Kost Singgahsini First AA 4 Tipe B Kedaung Wetan Tangerang</t>
  </si>
  <si>
    <t>5.5 x 2.5 meter; Tidak termasuk listrik; Kasur; Lemari Baju; Ventilasi; Bantal; Cermin; Jendela; K. Mandi Dalam; Kloset Jongkok; Ember mandi; WiFi; Penjaga Kos; R. Jemur; Jemuran; Parkir Mobil; Parkir Sepeda; Parkir Motor &amp; Sepeda</t>
  </si>
  <si>
    <t>Kost Braun Haus Royal Plus Benda Tangerang</t>
  </si>
  <si>
    <t>3 x 3 meter; Tidak termasuk listrik; AC; Kasur; Meja; TV; Lemari Baju; Bantal; Cermin; Guling; Jendela; K. Mandi Dalam; Kloset Duduk; Shower; Air panas; WiFi; Kulkas; R. Cuci; Laundry; Penjaga Kos; Mesin Cuci; R. Tamu; R. Jemur; R. Santai; Dapur; Parkir Motor; Parkir Sepeda</t>
  </si>
  <si>
    <t>Kost Singgahsini Andatu Residence Tipe A Tangerang</t>
  </si>
  <si>
    <t>5.1 x 2.9 meter</t>
  </si>
  <si>
    <t>5.1 x 2.9 meter; Tidak termasuk listrik; AC; Kasur; Meja; Lemari Baju; Kursi; Jendela; K. Mandi Dalam; Kloset Duduk; Bak mandi; WiFi; Penjaga Kos; Laundry; CCTV; Parkir Mobil; Parkir Motor &amp; Sepeda</t>
  </si>
  <si>
    <t>Kost Apik Keroncong Permai 8 Tipe D Tangerang</t>
  </si>
  <si>
    <t>4 x 5 meter; Tidak termasuk listrik; AC; Kasur; Lemari Baju; Kursi; Bantal; Cermin; Guling; K. Mandi Dalam; Kloset Duduk; Shower; WiFi; Kulkas; Penjaga Kos; R. Jemur; Dapur; CCTV; Jemuran; Parkir Mobil; Parkir Motor &amp; Sepeda</t>
  </si>
  <si>
    <t>Kost Ridhan Tipe A Cibodas Tangerang</t>
  </si>
  <si>
    <t>3 x 4 meter; Tidak termasuk listrik; AC; Kasur; Meja; TV; Lemari Baju; Bantal; Cermin; Jendela; K. Mandi Dalam; Kloset Duduk; Shower; WiFi; R. Cuci; Penjaga Kos; R. Jemur; Dapur; Dispenser; Balcon; CCTV; Jemuran; Pengurus Kos; Parkir Mobil; Parkir Motor; Parkir Sepeda</t>
  </si>
  <si>
    <t>Kecamatan Cibodas</t>
  </si>
  <si>
    <t>Kost Apik Keroncong Permai 8 Tipe A Tangerang</t>
  </si>
  <si>
    <t>2 x 3 meter; Tidak termasuk listrik; Kasur; Lemari Baju; Kipas Angin; Bantal; Cermin; Kloset Duduk; K. Mandi Luar; Wastafel; Ember mandi; Shower; WiFi; Kulkas; Penjaga Kos; R. Jemur; Dapur; CCTV; Jemuran; Parkir Motor; Parkir Sepeda; Parkir Motor &amp; Sepeda</t>
  </si>
  <si>
    <t>Rp807.000</t>
  </si>
  <si>
    <t>Kost Apik Zihan Tipe A Tangerang</t>
  </si>
  <si>
    <t>3 x 5 meter; Tidak termasuk listrik; AC; Kasur; Meja; Lemari Baju; Ventilasi; Kursi; Bantal; Cermin; Guling; Jendela; K. Mandi Dalam; Kloset Jongkok; Ember mandi; WiFi; R. Cuci; Kulkas; Mesin Cuci; Penjaga Kos; R. Jemur; Dapur; Jemuran; Parkir Motor &amp; Sepeda</t>
  </si>
  <si>
    <t>Kost CBC Homestay 8 Benda Tangerang</t>
  </si>
  <si>
    <t>3 x 5 meter; Tidak termasuk listrik; AC; Kasur; Meja; Dispenser; TV; Lemari Baju; Ventilasi; Wastafel; Cleaning service; TV Kabel; K. Mandi Dalam; Kloset Duduk; Shower; Air panas; WiFi; Kulkas; Penjaga Kos; R. Santai; Dapur; Kartu Akses; CCTV; Parkir Mobil; Parkir Motor</t>
  </si>
  <si>
    <t>Kost Singgahsini Daan Mogot 44 Tipe B Tangerang</t>
  </si>
  <si>
    <t>Kost Singgahsini Indira Tipe A Cipondoh Tangerang</t>
  </si>
  <si>
    <t>2.5 x 2.9 meter</t>
  </si>
  <si>
    <t>2.5 x 2.9 meter; Tidak termasuk listrik; AC; Kasur; Lemari Baju; Ventilasi; Bantal; Jendela; Cermin; Guling; K. Mandi Dalam; Kloset Jongkok; Ember mandi; WiFi; R. Cuci; Kulkas; R. Tamu; Mesin Cuci; R. Jemur; Dapur; Jemuran; Parkir Motor &amp; Sepeda</t>
  </si>
  <si>
    <t>Kost Singgahsini Garasi Hobby Tipe A Ciledug Tangerang</t>
  </si>
  <si>
    <t>3 x 5 meter; Tidak termasuk listrik; AC; Kasur; Meja; Lemari Baju; Kursi; K. Mandi Dalam; Kloset Duduk; Shower; WiFi; R. Cuci; Kulkas; Mesin Cuci; Penjaga Kos; R. Jemur; Dapur; Dispenser; Parkir Mobil; Parkir Motor &amp; Sepeda</t>
  </si>
  <si>
    <t>Ciledug</t>
  </si>
  <si>
    <t>Kost Singgahsini Rumah Cibodas Star Tipe A Tangerang</t>
  </si>
  <si>
    <t>3 x 3 meter; Tidak termasuk listrik; AC; Kasur; TV; Lemari Baju; Bantal; Jendela; Cermin; K. Mandi Dalam; Kloset Duduk; Wastafel; Shower; Air panas; WiFi; R. Tamu; Penjaga Kos; R. Makan; R. Jemur; Dapur; Dispenser; CCTV; Jemuran; Parkir Motor &amp; Sepeda</t>
  </si>
  <si>
    <t>Kost Singgahsini Barada Cipondoh Tipe B Tangerang</t>
  </si>
  <si>
    <t>3.8 x 3.6 meter</t>
  </si>
  <si>
    <t>3.8 x 3.6 meter; Tidak termasuk listrik; AC; Kasur; Meja; TV; Lemari Baju; Kursi; Bantal; Cermin; Guling; Jendela; K. Mandi Dalam; Kloset Duduk; Shower; Air panas; WiFi; Kulkas; R. Tamu; R. Makan; R. Jemur; Dapur; CCTV; Parkir Mobil; Parkir Motor; Parkir Sepeda</t>
  </si>
  <si>
    <t>Kost Kayana Residence Tipe D Tangerang</t>
  </si>
  <si>
    <t>2.5 x 4 meter; Tidak termasuk listrik; AC; Kasur; Meja; TV; Lemari Baju; Bantal; Cermin; Cleaning service; Guling; Jendela; K. Mandi Dalam; Kloset Duduk; Wastafel; Shower; Air panas; WiFi; Kulkas; Laundry; R. Jemur; R. Santai; Dapur; Dispenser; CCTV; Jemuran; Kartu Akses; Parkir Motor &amp; Sepeda</t>
  </si>
  <si>
    <t>Kost Unilever D9 Tipe B Karang Tengah Tangerang</t>
  </si>
  <si>
    <t>2.5 x 3.5 meter; Tidak termasuk listrik; AC; Kasur; Meja; TV; Lemari Baju; Ventilasi; Bantal; Cermin; Dapur Pribadi; Guling; K. Mandi Dalam; Kloset Duduk; Kloset Jongkok; Ember mandi; Shower; WiFi; Kulkas; R. Jemur; Dapur; CCTV; Jemuran; Parkir Mobil; Parkir Motor</t>
  </si>
  <si>
    <t>Kost Singgahsini Ivory Tipe C Tangerang</t>
  </si>
  <si>
    <t>3 x 2 meter; Tidak termasuk listrik; AC; Kasur; Meja; TV; Lemari Baju; Ventilasi; Kursi; Bantal; Jendela; Cermin; K. Mandi Dalam; Kloset Duduk; Shower; Air panas; WiFi; Kulkas; R. Tamu; Penjaga Kos; R. Jemur; Dapur; Dispenser; Parkir Mobil; Parkir Motor &amp; Sepeda</t>
  </si>
  <si>
    <t>Kost Dzahline Larangan Tangerang</t>
  </si>
  <si>
    <t>3 x 3 meter; Tidak termasuk listrik; Kasur; Lemari Baju; Ventilasi; Bantal; Guling; Jendela; Kloset Jongkok; K. Mandi Luar; Ember mandi; Kulkas; R. Cuci; Laundry; Mushola; R. Jemur; Jemuran; Jual Makanan; Pengurus Kos; Parkir Motor; Parkir Sepeda</t>
  </si>
  <si>
    <t>Kecamatan Larangan</t>
  </si>
  <si>
    <t>Kost Singgahsini Homy Home Tipe A Tangerang</t>
  </si>
  <si>
    <t>4.5 x 2.7 meter</t>
  </si>
  <si>
    <t>4.5 x 2.7 meter; Tidak termasuk listrik; AC; Kasur; Meja; Lemari Baju; Ventilasi; Kursi; Wastafel; Bantal; Cermin; Jendela; K. Mandi Dalam; Kloset Duduk; Shower; Air panas; WiFi; Kulkas; R. Tamu; Penjaga Kos; R. Jemur; Dapur; K. Mandi Luar; Jemuran; Parkir Motor &amp; Sepeda</t>
  </si>
  <si>
    <t>Kost Singgahsini Ivory Tipe A Tangerang</t>
  </si>
  <si>
    <t>5 x 2.4 meter</t>
  </si>
  <si>
    <t>5 x 2.4 meter; Tidak termasuk listrik; AC; Kasur; Meja; TV; Lemari Baju; Ventilasi; Kursi; Bantal; Jendela; Cermin; K. Mandi Dalam; Kloset Duduk; Shower; Air panas; WiFi; Kulkas; R. Tamu; Penjaga Kos; R. Jemur; Dapur; Dispenser; Parkir Mobil; Parkir Motor &amp; Sepeda</t>
  </si>
  <si>
    <t>Kost Bumi Mas Raya Tangerang</t>
  </si>
  <si>
    <t>3 x 4 meter; Tidak termasuk listrik; AC; Kasur; Meja; Kulkas; Lemari Baju; Bantal; Cermin; Guling; Jendela; Kursi; K. Mandi Dalam; Kloset Duduk; Wastafel; Shower; WiFi; R. Tamu; R. Jemur; Dapur; Dispenser; Balcon; CCTV; Jemuran; Jual Makanan; Parkir Mobil; Parkir Motor</t>
  </si>
  <si>
    <t>Kost Singgahsini Fulvian Banjarwijaya Tipe A Cipondoh Tangerang</t>
  </si>
  <si>
    <t>3 x 3 meter; Tidak termasuk listrik; AC; Kasur; Meja; TV; Lemari Baju; Kursi; Jendela; Bantal; K. Mandi Dalam; Kloset Duduk; Shower; Air panas; WiFi; Kulkas; Penjaga Kos; R. Tamu; R. Jemur; Dapur; Dispenser; Balcon; CCTV; Parkir Mobil; Parkir Motor &amp; Sepeda</t>
  </si>
  <si>
    <t>Rp2.067.500</t>
  </si>
  <si>
    <t>Kost Singgahsini Jasmine Bango 1 Tipe A Cibodas Tangerang</t>
  </si>
  <si>
    <t>2.9 x 3 meter</t>
  </si>
  <si>
    <t>2.9 x 3 meter; Tidak termasuk listrik; AC; Kasur; Lemari Baju; Ventilasi; Kursi; Bantal; Jendela; Kloset Duduk; K. Mandi Luar; Ember mandi; Shower; WiFi; R. Tamu; Dapur; CCTV; Parkir Motor; Parkir Sepeda; Parkir Motor &amp; Sepeda</t>
  </si>
  <si>
    <t>Cibodas</t>
  </si>
  <si>
    <t>Kost Kayana Residence Tipe A Tangerang Tangerang</t>
  </si>
  <si>
    <t>3 x 4 meter; Tidak termasuk listrik; AC; Kasur; Meja; TV; Lemari Baju; Ventilasi; Bantal; Cermin; Cleaning service; Guling; K. Mandi Dalam; Kloset Duduk; Shower; Air panas; WiFi; Kulkas; Laundry; Penjaga Kos; R. Makan; R. Santai; Dapur; Dispenser; CCTV; Jemuran; Parkir Motor; Parkir Motor &amp; Sepeda</t>
  </si>
  <si>
    <t>Kost Tricasa Deluxe Doubel Tangerang</t>
  </si>
  <si>
    <t>3.7 x 4.1 meter</t>
  </si>
  <si>
    <t>3.7 x 4.1 meter; Tidak termasuk listrik; AC; Kasur; Meja; Lemari Baju; Bantal; Cleaning service; Jendela; Kursi; K. Mandi Dalam; Kloset Duduk; Shower; Air panas; WiFi; Kulkas; Mesin Cuci; Penjaga Kos; R. Jemur; Dapur; Dispenser; Balcon; CCTV; Jemuran; Parkir Motor &amp; Sepeda</t>
  </si>
  <si>
    <t>Kost Kekey Tipe A Karang Tengah Tangerang</t>
  </si>
  <si>
    <t>3 x 5 meter; Tidak termasuk listrik; Kasur; Dispenser; Lemari Baju; Kulkas; Kipas Angin; Bantal; Cermin; Cleaning service; Guling; Kursi; K. Mandi Dalam; Kloset Jongkok; Ember mandi; Shower; WiFi; R. Tamu; Parkir Motor</t>
  </si>
  <si>
    <t>Karang Tengah</t>
  </si>
  <si>
    <t>Kost Kayana Residence Tipe B Tangerang</t>
  </si>
  <si>
    <t>3 x 4 meter; Tidak termasuk listrik; AC; Kasur; Meja; TV; Lemari Baju; Ventilasi; Bantal; Cermin; Cleaning service; Guling; Kloset Duduk; Shower; Air panas; WiFi; Kulkas; Laundry; R. Jemur; R. Makan; R. Santai; Dapur; Dispenser; CCTV; Jemuran; Parkir Motor &amp; Sepeda</t>
  </si>
  <si>
    <t>Kost Days Standard Non AC Pinang Tangerang</t>
  </si>
  <si>
    <t>3 x 4 meter; Tidak termasuk listrik; Kasur; Lemari Baju; Ventilasi; Bantal; Cermin; Jendela; Kipas Angin; K. Mandi Dalam; Kloset Jongkok; Ember mandi; Shower; WiFi; Penjaga Kos; R. Tamu; R. Jemur; Balcon; CCTV; Jemuran; Jual Makanan; Parkir Motor</t>
  </si>
  <si>
    <t>Kecamatan Pinang</t>
  </si>
  <si>
    <t>Kost Apik Keroncong Permai 8 Tipe C Tangerang</t>
  </si>
  <si>
    <t>2.4 x 3 meter; Tidak termasuk listrik; AC; Kasur; Meja; Lemari Baju; Kursi; Bantal; Jendela; Kloset Duduk; K. Mandi Luar; Wastafel; Ember mandi; Shower; WiFi; Kulkas; Penjaga Kos; R. Jemur; Dapur; CCTV; Jemuran; Parkir Motor; Parkir Sepeda; Parkir Motor &amp; Sepeda</t>
  </si>
  <si>
    <t>Kost Bening Executive Cipondoh Tangerang</t>
  </si>
  <si>
    <t>3 x 4 meter; Tidak termasuk listrik; AC; Kasur; Lemari Baju; Cermin; Jendela; Kursi; Kloset Duduk; Shower; Kulkas; R. Santai; Dapur; CCTV; Parkir Motor &amp; Sepeda</t>
  </si>
  <si>
    <t>Kecamatan Cipondoh</t>
  </si>
  <si>
    <t>Kost Casa De Beverly Executive Benda Tangerang</t>
  </si>
  <si>
    <t>3 x 4 meter; Tidak termasuk listrik; AC; Kasur; Dispenser; Lemari Baju; Ventilasi; Cermin; Guling; Jendela; Bantal; K. Mandi Dalam; Kloset Duduk; Shower; Air panas; WiFi; R. Cuci; Penjaga Kos; R. Jemur; Dapur; CCTV; Jemuran; Pengurus Kos; Rice Cooker; Parkir Mobil; Parkir Motor &amp; Sepeda</t>
  </si>
  <si>
    <t>Kecamatan Benda</t>
  </si>
  <si>
    <t>Kost Dhio Dhea Ciledug Tangerang</t>
  </si>
  <si>
    <t>3 x 3 meter; Tidak termasuk listrik; Kasur; Meja; Lemari Baju; Ventilasi; Bantal; Guling; Jendela; Kipas Angin; K. Mandi Dalam; Kloset Jongkok; Ember mandi; WiFi; Kulkas; Dapur; Balcon; Jemuran; Parkir Motor; Parkir Motor &amp; Sepeda</t>
  </si>
  <si>
    <t>Kecamatan Ciledug</t>
  </si>
  <si>
    <t>Kost Magnolia Tipe A Cipondoh Tangerang</t>
  </si>
  <si>
    <t>3 x 4 meter; Termasuk listrik; AC; Kasur; Meja; Lemari Baju; Ventilasi; Cermin; Jendela; Kursi; Kloset Duduk; K. Mandi Luar; Wastafel; Shower; Air panas; WiFi; R. Tamu; R. Makan; R. Jemur; Dapur; Taman; CCTV; Jemuran; Parkir Mobil; Parkir Motor; Parkir Sepeda; Parkir Motor &amp; Sepeda</t>
  </si>
  <si>
    <t>Kost Unfurnished Karang Tengah Tangerang</t>
  </si>
  <si>
    <t>11 x 3.5 meter</t>
  </si>
  <si>
    <t>11 x 3.5 meter; Tidak termasuk listrik; Meja; Ventilasi; Jendela; Wastafel; K. Mandi Dalam; Kloset Jongkok; R. Cuci; R. Tamu; R. Jemur; R. Makan; R. Santai; Dapur; Gazebo; Jemuran; Joglo; R. Keluarga; Parkir Mobil; Parkir Motor; Parkir Sepeda; Parkir Motor &amp; Sepeda</t>
  </si>
  <si>
    <t>Kost Singgahsini Mahony Tipe C Tangerang</t>
  </si>
  <si>
    <t>3 x 3 meter; Tidak termasuk listrik; AC; Kasur; Meja; TV; Lemari Baju; Ventilasi; Kursi; Bantal; Jendela; Cermin; K. Mandi Dalam; Kloset Duduk; Shower; Air panas; WiFi; Kulkas; Penjaga Kos; R. Jemur; Dapur; Dispenser; Jemuran; Parkir Mobil; Parkir Motor &amp; Sepeda</t>
  </si>
  <si>
    <t>Kost Banding 2 Tipe A Tangerang</t>
  </si>
  <si>
    <t>3 x 4 meter; Termasuk listrik; AC; Kasur; Dispenser; Meja; TV; Lemari Baju; Bantal; Cermin; Guling; Jendela; K. Mandi Dalam; Kloset Duduk; Ember mandi; Shower; WiFi; Penjaga Kos; R. Tamu; R. Jemur; Balcon; Jemuran; Jual Makanan; Parkir Motor</t>
  </si>
  <si>
    <t>Kost Days Tipe Standard AC Pinang Tangerang</t>
  </si>
  <si>
    <t>3 x 3 meter; Tidak termasuk listrik; Kasur; Lemari Baju; Ventilasi; Cermin; Jendela; Bantal; Kipas Angin; K. Mandi Dalam; Kloset Jongkok; Ember mandi; Shower; WiFi; Penjaga Kos; R. Tamu; R. Jemur; Balcon; CCTV; Jemuran; Jual Makanan; Parkir Motor</t>
  </si>
  <si>
    <t>Kost Ibu Heru Tipe A Pinang Tangerang</t>
  </si>
  <si>
    <t>4 x 5 meter; Tidak termasuk listrik; Kasur; Meja; Lemari Baju; Ventilasi; Kipas Angin; Bantal; Guling; Jendela; K. Mandi Dalam; Kloset Duduk; Ember mandi; Kulkas; R. Jemur; R. Santai; Dapur; Balcon; Pengurus Kos; Jemuran; Parkir Motor</t>
  </si>
  <si>
    <t>Kost Duta Garden Benda Tangerang</t>
  </si>
  <si>
    <t>4 x 4 meter; Tidak termasuk listrik; AC; Kasur; Meja; Lemari Baju; Ventilasi; Bantal; Cermin; Guling; Jendela; Kursi; K. Mandi Dalam; Kloset Duduk; Wastafel; Shower; WiFi; R. Jemur; Dapur; Balcon; CCTV; Jemuran; Parkir Mobil; Parkir Motor</t>
  </si>
  <si>
    <t>Kost Sollana Fancy Gold Neglasari Tangerang</t>
  </si>
  <si>
    <t>2.2 x 4.5 meter; Tidak termasuk listrik; AC; Kasur; Meja; TV; Kulkas; Lemari Baju; Ventilasi; Bantal; Cermin; Guling; K. Mandi Dalam; Kloset Duduk; Ember mandi; Shower; Air panas; WiFi; Laundry; Penjaga Kos; R. Tamu; R. Jemur; R. Makan; R. Santai; Dapur; Dispenser; Parkir Motor</t>
  </si>
  <si>
    <t>Kost Sakura AC Pinang Tangerang</t>
  </si>
  <si>
    <t>3 x 4 meter; Tidak termasuk listrik; AC; Kasur; Lemari Baju; Cermin; Bantal; Guling; Kloset Jongkok; K. Mandi Luar; Ember mandi; Shower; WiFi; R. Cuci; Kulkas; Mesin Cuci; R. Tamu; R. Jemur; R. Santai; Dapur; Jemuran; Jual Makanan; Parkir Motor; Parkir Sepeda</t>
  </si>
  <si>
    <t>Kost Bening At Cempaka Cipondoh Tangerang</t>
  </si>
  <si>
    <t>3 x 4 meter; Tidak termasuk listrik; AC; Kasur; Meja; Lemari Baju; Cermin; Jendela; K. Mandi Dalam; Kloset Duduk; K. Mandi Luar; Shower; WiFi; Kulkas; R. Makan; R. Santai; Dapur; CCTV; Parkir Motor &amp; Sepeda</t>
  </si>
  <si>
    <t>Kost Singgahsini Mahony Tipe B Tangerang</t>
  </si>
  <si>
    <t>4.2 x 3.2 meter</t>
  </si>
  <si>
    <t>4.2 x 3.2 meter; Tidak termasuk listrik; AC; Kasur; Meja; TV; Lemari Baju; Ventilasi; Kursi; Bantal; Jendela; Cermin; K. Mandi Dalam; Kloset Duduk; Shower; Air panas; WiFi; Kulkas; Penjaga Kos; R. Jemur; Dapur; Dispenser; Jemuran; Parkir Mobil; Parkir Motor &amp; Sepeda</t>
  </si>
  <si>
    <t>Kost Braun Haus Premium Benda Tangerang</t>
  </si>
  <si>
    <t>3 x 3 meter; Tidak termasuk listrik; AC; Kasur; Meja; Lemari Baju; Bantal; Cermin; Guling; Jendela; K. Mandi Dalam; Kloset Duduk; Shower; Air panas; WiFi; Kulkas; R. Cuci; Laundry; Penjaga Kos; Mesin Cuci; R. Tamu; R. Jemur; R. Santai; Dapur; Parkir Motor; Parkir Sepeda</t>
  </si>
  <si>
    <t>Kost Pondok Barokah Larangan Tangerang</t>
  </si>
  <si>
    <t>3 x 4 meter; Tidak termasuk listrik; Kasur; Meja Rias; Lemari Baju; Ventilasi; Jendela; Bantal; Cermin; Guling; Kipas Angin; K. Mandi Dalam; Kloset Duduk; Shower; WiFi; Kulkas; Dapur; CCTV; Parkir Motor</t>
  </si>
  <si>
    <t>Kost Lovina Neglasari Tangerang</t>
  </si>
  <si>
    <t>2.5 x 2.5 meter; Termasuk listrik; AC; Kasur; Lemari Baju; Bantal; Guling; K. Mandi Dalam; Kloset Jongkok; Ember mandi; Shower; WiFi; R. Cuci; Kulkas; R. Tamu; R. Jemur; R. Santai; Dapur; Dispenser; TV; Jemuran; Parkir Motor; Parkir Sepeda</t>
  </si>
  <si>
    <t>Kost Finch Tipe Executive Ciledug Tangerang</t>
  </si>
  <si>
    <t>3 x 6 meter; Tidak termasuk listrik; AC; Kasur; Meja; TV; Bantal; Cermin; Dapur Pribadi; Jendela; Kursi; K. Mandi Dalam; Kloset Duduk; Shower; Penjaga Kos; R. Makan; Dapur; Pengurus Kos; Parkir Mobil; Parkir Motor; Parkir Sepeda; Parkir Motor &amp; Sepeda</t>
  </si>
  <si>
    <t>Kost Singgahsini Fulvian Banjarwijaya Tipe C Cipondoh Tangerang</t>
  </si>
  <si>
    <t>3 x 3 meter; Tidak termasuk listrik; AC; Kasur; Meja; TV; Lemari Baju; Kursi; Jendela; Bantal; K. Mandi Dalam; Kloset Duduk; Shower; WiFi; Kulkas; Penjaga Kos; R. Tamu; R. Jemur; Dapur; Dispenser; Balcon; CCTV; Parkir Mobil; Parkir Motor &amp; Sepeda</t>
  </si>
  <si>
    <t>Kost Hj Betty Tipe B Karawaci Tangerang</t>
  </si>
  <si>
    <t>6 x 6 meter; Tidak termasuk listrik; Kasur; TV; Lemari Baju; Bantal; Cleaning service; Guling; Jendela; Kursi; Wastafel; Kloset Duduk; K. Mandi Luar; Ember mandi; WiFi; Kulkas; R. Cuci; Laundry; Penjaga Kos; R. Tamu; R. Jemur; R. Makan; R. Santai; Dapur; Parkir Mobil; Parkir Motor; Parkir Sepeda; Parkir Motor &amp; Sepeda</t>
  </si>
  <si>
    <t>Karawaci</t>
  </si>
  <si>
    <t>Kost Keluarga Cemara Karang Tengah Tangerang</t>
  </si>
  <si>
    <t>3 x 4 meter; Tidak termasuk listrik; AC; Kasur; Lemari Baju; Cermin; Bantal; Jendela; Guling; K. Mandi Dalam; Kloset Jongkok; Wastafel; Shower; WiFi; Kulkas; R. Jemur; Jemuran; Parkir Motor; Parkir Sepeda</t>
  </si>
  <si>
    <t>Kost Singgahsini Inn Taman Mahkota Tipe B Tangerang</t>
  </si>
  <si>
    <t>3.7 x 2 meter</t>
  </si>
  <si>
    <t>3.7 x 2 meter; Tidak termasuk listrik; AC; Kasur; Lemari Baju; Bantal; Cermin; Guling; Jendela; K. Mandi Dalam; Kloset Duduk; Shower; WiFi; Kulkas; Penjaga Kos; R. Makan; R. Jemur; Dapur; CCTV; Jemuran; Parkir Motor &amp; Sepeda</t>
  </si>
  <si>
    <t>Kost Eksklusif M25 Residence Benda Tangerang</t>
  </si>
  <si>
    <t>3 x 4 meter; Tidak termasuk listrik; AC; Kasur; Meja; Dispenser; TV; Lemari Baju; Kulkas; Kursi; Wastafel; Cleaning service; K. Mandi Dalam; Kloset Duduk; Shower; Air panas; WiFi; R. Tamu; Penjaga Kos; R. Makan; Mushola; R. Santai; Dapur; Parkir Mobil; Parkir Motor; Parkir Sepeda</t>
  </si>
  <si>
    <t>Kost Singgahsini Umi Abadi 6 Tipe A Larangan Tangerang</t>
  </si>
  <si>
    <t>3 x 3 meter; Tidak termasuk listrik; AC; Kasur; Meja; Lemari Baju; Ventilasi; Kursi; Bantal; Cermin; Jendela; K. Mandi Dalam; Kloset Duduk; Shower</t>
  </si>
  <si>
    <t>Kost JM Mutiara Batuceper Tangerang</t>
  </si>
  <si>
    <t>3 x 4 meter; Tidak termasuk listrik; AC; Kasur; Meja; Lemari Baju; Ventilasi; Bantal; Cermin; Guling; Jendela; K. Mandi Dalam; Kloset Duduk; Shower; Air panas; WiFi; Kulkas; R. Cuci; R. Jemur; Dapur; Dispenser; Balcon; CCTV; Jemuran; K. Mandi Luar; Parkir Motor</t>
  </si>
  <si>
    <t>Kecamatan Batuceper</t>
  </si>
  <si>
    <t>Kost BMR Tipe C Setia Budi Cikokol Tangerang</t>
  </si>
  <si>
    <t>3 x 3 meter; Tidak termasuk listrik; AC; Kasur; Meja; Lemari Baju; Kursi; Wastafel; Bantal; Guling; Jendela; K. Mandi Dalam; Kloset Duduk; Ember mandi; Shower; WiFi; R. Cuci; R. Jemur; Balcon; K. Mandi Luar; Parkir Motor</t>
  </si>
  <si>
    <t>Kost Singgahsini Fulvian Banjarwijaya Tipe D Cipondoh Tangerang</t>
  </si>
  <si>
    <t>3 x 2.7 meter; Tidak termasuk listrik; AC; Kasur; Meja; TV; Lemari Baju; Ventilasi; Kursi; Bantal; K. Mandi Dalam; Kloset Duduk; Shower; WiFi; Kulkas; Penjaga Kos; R. Tamu; R. Jemur; Dapur; Dispenser; Balcon; CCTV; Parkir Mobil; Parkir Motor &amp; Sepeda</t>
  </si>
  <si>
    <t>Kost Pondok Nila Tipe VVIP Karawaci Tangerang</t>
  </si>
  <si>
    <t>3 x 3 meter; Tidak termasuk listrik; AC; Kasur; Meja; Lemari Baju; Ventilasi; Bantal; Cermin; Guling; Jendela; Kipas Angin; Kloset Duduk; K. Mandi Luar; Ember mandi; Shower; WiFi; Kulkas; R. Cuci; Mesin Cuci; R. Tamu; R. Jemur; Dapur; CCTV; Jemuran; Pengurus Kos; Parkir Motor &amp; Sepeda</t>
  </si>
  <si>
    <t>Kost Singgahsini Manosa Tipe A Larangan Tangerang</t>
  </si>
  <si>
    <t>3 x 2.7 meter; Tidak termasuk listrik; AC; Kasur; Lemari Baju; Bantal; Cermin; Guling; Jendela; K. Mandi Dalam; Kloset Duduk; Shower; Air panas; WiFi; Kulkas; Mesin Cuci; Penjaga Kos; R. Jemur; Mushola; Dapur; Dispenser; Kartu Akses; CCTV; Parkir Motor &amp; Sepeda</t>
  </si>
  <si>
    <t>Kost Singgahsini Inn Taman Mahkota Tipe C Tangerang</t>
  </si>
  <si>
    <t>2.5 x 1.8 meter</t>
  </si>
  <si>
    <t>2.5 x 1.8 meter; Tidak termasuk listrik; AC; Kasur; Lemari Baju; Bantal; Cermin; Guling; Jendela; Kloset Duduk; K. Mandi Luar; Shower; WiFi; Kulkas; Penjaga Kos; R. Makan; R. Jemur; Dapur; CCTV; Jemuran; Parkir Motor &amp; Sepeda</t>
  </si>
  <si>
    <t>Kost Singgahsini Jasmine Bango 1 Tipe B Cibodas Tangerang</t>
  </si>
  <si>
    <t>3 x 4 meter; Tidak termasuk listrik; AC; Kasur; Lemari Baju; Ventilasi; Kursi; Bantal; Jendela; K. Mandi Dalam; Kloset Duduk; Shower; WiFi; R. Tamu; Dapur; K. Mandi Luar; CCTV; Parkir Motor; Parkir Sepeda; Parkir Motor &amp; Sepeda</t>
  </si>
  <si>
    <t>Kost Singgahsini Umi Abadi 6 Tipe C Larangan Tangerang</t>
  </si>
  <si>
    <t>Kost Rumah GH97 Tipe A Pinang Tangerang</t>
  </si>
  <si>
    <t>3 x 4 meter; Tidak termasuk listrik; AC; Kasur; Dispenser; Meja; TV; Lemari Baju; Ventilasi; Bantal; Cermin; Guling; K. Mandi Dalam; Kloset Duduk; Wastafel; Shower; WiFi; Penjaga Kos; R. Jemur; R. Santai; Balcon; CCTV; Gazebo; Jemuran; Jual Makanan; Parkir Mobil; Parkir Motor; Parkir Sepeda; Parkir Motor &amp; Sepeda</t>
  </si>
  <si>
    <t>Kost Permata Tipe T Plus Cipondoh Tangerang</t>
  </si>
  <si>
    <t>4 x 2.5 meter; Tidak termasuk listrik; Ventilasi; Cleaning service; Jendela; K. Mandi Dalam; Kloset Duduk; Ember mandi; Shower; WiFi; Kulkas; R. Tamu; Laundry; Penjaga Kos; R. Makan; R. Jemur; R. Santai; Dispenser; TV; Parkir Mobil; Parkir Motor &amp; Sepeda</t>
  </si>
  <si>
    <t>Rp1.507.500</t>
  </si>
  <si>
    <t>Kost Limoti Neglasari Tangerang</t>
  </si>
  <si>
    <t>4 x 4 meter; Tidak termasuk listrik; AC; Kasur; Meja; TV; Lemari Baju; Kulkas; Ventilasi; Kursi; Wastafel; Bantal; K. Mandi Dalam; Kloset Duduk; Ember mandi; Shower; Air panas; R. Tamu; Laundry; Penjaga Kos; R. Makan; R. Jemur; Dapur; Dispenser; CCTV; Jual Makanan; Parkir Mobil; Parkir Motor; Parkir Sepeda</t>
  </si>
  <si>
    <t>Kost Singgahsini Rose Residence Tipe A Tangerang</t>
  </si>
  <si>
    <t>4 x 6 meter; Tidak termasuk listrik; AC; Kasur; Meja; Lemari Baju; Kursi; Jendela; Bantal; Cermin; K. Mandi Dalam; Kloset Duduk; Wastafel; Shower; Air panas; WiFi; Kulkas; R. Tamu; Penjaga Kos; R. Makan; R. Santai; Dapur; CCTV; Parkir Mobil; Parkir Motor &amp; Sepeda</t>
  </si>
  <si>
    <t>Kost Costco Coliving Tipe Deluxe Karawaci Tangerang</t>
  </si>
  <si>
    <t>3 x 3 meter; Tidak termasuk listrik; AC; Kasur; Meja; TV; Lemari Baju; Ventilasi; Bantal; Cermin; Guling; Jendela; K. Mandi Dalam; Kloset Jongkok; Shower; Air panas; WiFi; Kulkas; R. Cuci; Mesin Cuci; Penjaga Kos; R. Tamu; Dapur; Dispenser; Balcon; CCTV; Parkir Motor &amp; Sepeda</t>
  </si>
  <si>
    <t>Kost Tentram Tipe 1 Benda Tangerang</t>
  </si>
  <si>
    <t>3 x 3 meter; Tidak termasuk listrik; Ventilasi; Jendela; K. Mandi Dalam; Kloset Jongkok; Ember mandi; CCTV; Jemuran; Parkir Motor &amp; Sepeda</t>
  </si>
  <si>
    <t>Kost Singgahsini Fulvian Banjarwijaya Tipe B Cipondoh Tangerang</t>
  </si>
  <si>
    <t>5 x 3.3 meter; Tidak termasuk listrik; AC; Kasur; Meja; TV; Lemari Baju; Kursi; Jendela; Bantal; Cermin; K. Mandi Dalam; Kloset Duduk; Shower; WiFi; Kulkas; Penjaga Kos; R. Tamu; R. Jemur; Dapur; Dispenser; Balcon; CCTV; Parkir Mobil; Parkir Motor &amp; Sepeda</t>
  </si>
  <si>
    <t>Kost Mak Yanti Karawaci Tangerang</t>
  </si>
  <si>
    <t>3 x 4 meter; Tidak termasuk listrik; Kasur; Lemari Baju; Ventilasi; Bantal; Guling; Kipas Angin; Kloset Jongkok; K. Mandi Luar; Ember mandi; R. Jemur; Parkir Motor</t>
  </si>
  <si>
    <t>Kost Kamarku Loft Tangcity Tangerang</t>
  </si>
  <si>
    <t>Kost Adhiraka Tipe C Pinang Tangerang</t>
  </si>
  <si>
    <t>3 x 4 meter; Tidak termasuk listrik; AC; Kasur; Bantal; Jendela; K. Mandi Dalam; Kloset Duduk; Ember mandi; R. Jemur; Balcon; Rooftop; Parkir Motor; Parkir Motor &amp; Sepeda</t>
  </si>
  <si>
    <t>Kost Key Homes Pinang Tangerang</t>
  </si>
  <si>
    <t>3 x 3 meter; Tidak termasuk listrik; Ventilasi; Dapur Pribadi; Jendela; K. Mandi Dalam; Kloset Jongkok; R. Cuci; Dapur; CCTV; Parkir Motor</t>
  </si>
  <si>
    <t>Kost Bunda Iin Tipe A Karawaci Tangerang</t>
  </si>
  <si>
    <t>3 x 4 meter; Tidak termasuk listrik; Kasur; Lemari Baju; Ventilasi; Wastafel; Bantal; Jendela; K. Mandi Dalam; Kloset Duduk; Ember mandi; Shower; R. Jemur; Pengurus Kos; Jemuran; Parkir Motor</t>
  </si>
  <si>
    <t>Kost Kamarku Superior Tangcity Tangerang</t>
  </si>
  <si>
    <t>3 x 5 meter; Tidak termasuk listrik; AC; Kasur; Meja; Kulkas; Lemari Baju; Bantal; Cermin; Cleaning service; Guling; Jendela; K. Mandi Dalam; Kloset Duduk; Wastafel; Shower; Air panas; WiFi; Penjaga Kos; R. Makan; R. Santai; Dapur; Dispenser; CCTV; Kartu Akses; Pengurus Kos; Parkir Motor; Parkir Motor &amp; Sepeda</t>
  </si>
  <si>
    <t>Kost Hj Sartinih Tipe A Pinang Tangerang</t>
  </si>
  <si>
    <t>3 x 3 meter; Tidak termasuk listrik; Ventilasi; K. Mandi Dalam; Kloset Jongkok</t>
  </si>
  <si>
    <t>Kost Kamarku Standard Tangcity Tangerang</t>
  </si>
  <si>
    <t>3 x 3 meter; Tidak termasuk listrik; AC; Kasur; Meja; Kulkas; Lemari Baju; Bantal; Cermin; Cleaning service; Guling; Jendela; K. Mandi Dalam; Kloset Duduk; Wastafel; Shower; Air panas; WiFi; Penjaga Kos; R. Makan; R. Santai; Dapur; Dispenser; CCTV; Kartu Akses; Pengurus Kos; Parkir Motor; Parkir Motor &amp; Sepeda</t>
  </si>
  <si>
    <t>Kost Finch Deluxe Ciledug Tangerang</t>
  </si>
  <si>
    <t>3 x 3 meter; Tidak termasuk listrik; AC; Kasur; Dispenser; Meja; TV; Kulkas; Lemari Baju; Bantal; Cermin; Cleaning service; Kloset Duduk; K. Mandi Luar; Shower; WiFi; Laundry; Penjaga Kos; R. Tamu; R. Makan; R. Santai; Dapur; Balcon; Parkir Mobil; Parkir Motor; Parkir Sepeda; Parkir Motor &amp; Sepeda</t>
  </si>
  <si>
    <t>Kost Cimone Alam Permai 1 Putri Tipe Premium Cibodas Tangerang</t>
  </si>
  <si>
    <t>2 x 1.6 meter</t>
  </si>
  <si>
    <t>2 x 1.6 meter; Termasuk listrik; AC; Kasur; Lemari Baju; Bantal; Guling; Kloset Duduk; K. Mandi Luar; Shower; WiFi; Kulkas; R. Cuci; Laundry; Mesin Cuci; Penjaga Kos; R. Jemur; R. Santai; Dapur; Dispenser; Parkir Motor; Parkir Sepeda</t>
  </si>
  <si>
    <t>Kost Soja I Tipe A Pinang Tangerang</t>
  </si>
  <si>
    <t>2.5 x 2.5 meter; Termasuk listrik; Kasur; Meja; Lemari Baju; Ventilasi; Bantal; Cermin; Guling; Jendela; Kipas Angin; Kloset Jongkok; K. Mandi Luar; Bak mandi; WiFi; Kulkas; R. Cuci; R. Jemur; Dapur; CCTV; Jemuran; TV; Pengurus Kos; Parkir Motor &amp; Sepeda</t>
  </si>
  <si>
    <t>Kost Singgahsini Inn Taman Mahkota Tipe A Tangerang</t>
  </si>
  <si>
    <t>3.2 x 2.8 meter; Tidak termasuk listrik; AC; Kasur; Lemari Baju; Bantal; Cermin; Guling; Jendela; K. Mandi Dalam; Kloset Duduk; Shower; WiFi; Kulkas; Penjaga Kos; R. Makan; R. Jemur; Dapur; CCTV; Jemuran; Parkir Motor &amp; Sepeda</t>
  </si>
  <si>
    <t>Kost Mutiara Jatiuwung Tangerang</t>
  </si>
  <si>
    <t>3 x 9 meter; Tidak termasuk listrik; Jendela; K. Mandi Dalam; Kloset Jongkok; R. Cuci; R. Tamu; R. Jemur; Balcon; R. Keluarga; Parkir Motor; Parkir Motor &amp; Sepeda</t>
  </si>
  <si>
    <t>Kecamatan Jatiuwung</t>
  </si>
  <si>
    <t>Kost Rumah Niaga Raya 11 Tipe D Karang Tengah Tangerang</t>
  </si>
  <si>
    <t>4 x 4 meter; Tidak termasuk listrik; AC; Kasur; Meja; Lemari Baju; Kursi; Wastafel; K. Mandi Dalam; Kloset Duduk; K. Mandi Luar; WiFi; R. Makan; R. Santai; Dapur; TV; Parkir Motor</t>
  </si>
  <si>
    <t>Kost Singgahsini Mahony Tipe A Tangerang</t>
  </si>
  <si>
    <t>5 x 5 meter; Tidak termasuk listrik; AC; Kasur; Meja; TV; Lemari Baju; Ventilasi; Kursi; Bantal; Jendela; Cermin; K. Mandi Dalam; Kloset Duduk; Shower; Air panas; WiFi; Kulkas; Penjaga Kos; R. Jemur; Dapur; Dispenser; Jemuran; Parkir Mobil; Parkir Motor &amp; Sepeda</t>
  </si>
  <si>
    <t>Kost Eksklusif M25 Tipe E Benda Tangerang</t>
  </si>
  <si>
    <t>3 x 6 meter; Tidak termasuk listrik; AC; Kasur; Meja; Dispenser; TV; Meja Rias; Lemari Baju; Kulkas; Kursi; Wastafel; K. Mandi Dalam; Kloset Duduk; Shower; Air panas; WiFi; R. Tamu; Penjaga Kos; R. Makan; Mushola; R. Santai; Dapur; Parkir Mobil; Parkir Motor; Parkir Sepeda</t>
  </si>
  <si>
    <t>Kost Green Haus Premium Plus Benda Tangerang</t>
  </si>
  <si>
    <t>3 x 3 meter; Tidak termasuk listrik; AC; Kasur; Meja; Lemari Baju; Bantal; Cermin; Guling; Jendela; K. Mandi Dalam; Kloset Duduk; Shower; Air panas; WiFi; Kulkas; Laundry; Penjaga Kos; Mesin Cuci; R. Makan; R. Jemur; R. Santai; Dapur; Dispenser; Parkir Sepeda; Parkir Motor</t>
  </si>
  <si>
    <t>Kost Singgahsini Homy Home Tipe B Tangerang</t>
  </si>
  <si>
    <t>3.7 x 2.7 meter; Tidak termasuk listrik; AC; Kasur; Meja; Lemari Baju; Ventilasi; Kursi; Wastafel; Bantal; Cermin; Jendela; K. Mandi Dalam; Kloset Duduk; Shower; Air panas; WiFi; Kulkas; R. Tamu; Penjaga Kos; R. Jemur; Dapur; K. Mandi Luar; Jemuran; Parkir Motor &amp; Sepeda</t>
  </si>
  <si>
    <t>Kost Taman Beringin VVIP Cibodas Tangerang</t>
  </si>
  <si>
    <t>3 x 4 meter; Tidak termasuk listrik; AC; Kasur; Meja; Lemari Baju; Bantal; Guling; Jendela; Kursi; K. Mandi Dalam; Kloset Duduk; Wastafel; Shower; WiFi; Kulkas; Mesin Cuci; Penjaga Kos; Dapur; Dispenser; CCTV; Jemuran; Kartu Akses; Pengurus Kos; Parkir Motor</t>
  </si>
  <si>
    <t>Kost Cimone Alam Permai 1 Tipe Royal Cibodas Tangerang</t>
  </si>
  <si>
    <t>2 x 2 meter; Termasuk listrik; Kasur; Lemari Baju; Ventilasi; Bantal; Guling; Jendela; Kipas Angin; Kloset Duduk; K. Mandi Luar; Shower; WiFi; Kulkas; R. Cuci; Laundry; Mesin Cuci; Penjaga Kos; R. Jemur; R. Santai; Dapur; Dispenser; Parkir Motor; Parkir Sepeda</t>
  </si>
  <si>
    <t>Kost Singgahsini Soldier Xosan Tipe A Cipondoh Tangerang</t>
  </si>
  <si>
    <t>2.5 x 2.7 meter; Tidak termasuk listrik; AC; Kasur; Lemari Baju; Ventilasi; Bantal; Cermin; Guling; Jendela; Kloset Duduk; K. Mandi Luar; Ember mandi; Shower; WiFi; Penjaga Kos; Dapur; Parkir Motor &amp; Sepeda</t>
  </si>
  <si>
    <t>Kost Green Haus Royal Plus Benda Tangerang</t>
  </si>
  <si>
    <t>Kost Arcadia Coliving Executive Periuk Tangerang</t>
  </si>
  <si>
    <t>3 x 4 meter; Tidak termasuk listrik; AC; Kasur; Meja; TV; Lemari Baju; Bantal; Cermin; Guling; Jendela; TV Kabel; K. Mandi Dalam; Kloset Duduk; Shower; Air panas; WiFi; Kulkas; R. Cuci; Mesin Cuci; Penjaga Kos; R. Jemur; Dapur; Dispenser; CCTV; Jemuran; Parkir Motor</t>
  </si>
  <si>
    <t>Kost Taman Beringin Tipe B Kelapa Dua Tangerang</t>
  </si>
  <si>
    <t>3 x 3 meter; Tidak termasuk listrik; Kasur; Meja; Bantal; Guling; Kipas Angin; Kloset Jongkok; K. Mandi Luar; WiFi; Kulkas; Mesin Cuci; Penjaga Kos; R. Tamu; R. Makan; R. Santai; Dapur; Dispenser; CCTV; Parkir Motor; Parkir Sepeda</t>
  </si>
  <si>
    <t>Kelapa Dua</t>
  </si>
  <si>
    <t>Kost Fajar Tipe A Kebayoran Baru Jakarta Selatan</t>
  </si>
  <si>
    <t>3 x 3 meter; Tidak termasuk listrik; AC; Kasur; Lemari Baju; K. Mandi Dalam; WiFi; Dapur; Parkir Mobil; Parkir Motor</t>
  </si>
  <si>
    <t>Kost Sde Larangan Tangerang</t>
  </si>
  <si>
    <t>3 x 4 meter; Tidak termasuk listrik; AC; Kasur; Meja; Lemari Baju; Ventilasi; Bantal; Cermin; Jendela; Kursi; K. Mandi Dalam; Kloset Duduk; Shower; Air panas; WiFi; Kulkas; R. Cuci; R. Tamu; R. Jemur; R. Makan; R. Santai; Dapur; Balcon; CCTV; Parkir Mobil; Parkir Motor; Parkir Sepeda; Parkir Motor &amp; Sepeda</t>
  </si>
  <si>
    <t>Kost Bu Titi Tangerang</t>
  </si>
  <si>
    <t>3 x 4 meter; Tidak termasuk listrik; AC; Kasur; Meja; Lemari Baju; Kipas Angin; K. Mandi Dalam; Kloset Jongkok; Ember mandi; Shower; WiFi; Parkir Mobil</t>
  </si>
  <si>
    <t>Kost Mama Adam Cibodas Tangerang</t>
  </si>
  <si>
    <t>2 x 3 meter; Termasuk listrik; Kasur; Lemari Baju; Kloset Jongkok; K. Mandi Luar; Ember mandi; Parkir Motor</t>
  </si>
  <si>
    <t>Kost Ibu Etty Karawaci Tangerang</t>
  </si>
  <si>
    <t>3 x 4 meter; Termasuk listrik; Kasur; Dispenser; Lemari Baju; Bantal; Cermin; Jendela; Kipas Angin; Kursi; Kloset Duduk; K. Mandi Luar; Ember mandi; Shower; R. Cuci; R. Tamu; R. Jemur; R. Santai; Jemuran; TV; Parkir Motor</t>
  </si>
  <si>
    <t>Kecamatan Karawaci</t>
  </si>
  <si>
    <t>Kost L1 Tipe A Periuk Tangerang</t>
  </si>
  <si>
    <t>3 x 3 meter; Tidak termasuk listrik; AC; Kasur; Meja; Lemari Baju; Bantal; Cermin; Cleaning service; Kursi; K. Mandi Dalam; Kloset Duduk; Kloset Jongkok; K. Mandi Luar; Ember mandi; Shower; WiFi; Dapur; Dispenser; Parkir Motor; Parkir Sepeda</t>
  </si>
  <si>
    <t>Kost Rumah Aghva Tipe B Cibodas Tangerang</t>
  </si>
  <si>
    <t>3 x 4 meter; Termasuk listrik; Kasur; Lemari Baju; Kipas Angin; Kloset Jongkok; K. Mandi Luar; Ember mandi; Bak mandi; Laundry; R. Jemur; R. Santai; Dapur; Parkir Mobil; Parkir Motor; Parkir Sepeda</t>
  </si>
  <si>
    <t>Kost Executive Wahy Tipe A Pedurungan Semarang</t>
  </si>
  <si>
    <t>3 x 4 meter; Tidak termasuk listrik; AC; Kasur; Meja; TV; Lemari Baju; Ventilasi; Bantal; Cermin; Cleaning service; Guling; K. Mandi Dalam; Kloset Jongkok; Ember mandi; Shower; WiFi; R. Cuci; Penjaga Kos; R. Tamu; R. Jemur; R. Makan; R. Santai; Dapur; Balcon; CCTV; Parkir Mobil; Parkir Motor; Parkir Motor &amp; Sepeda</t>
  </si>
  <si>
    <t>Pedurungan</t>
  </si>
  <si>
    <t>Kost Hanais Tangerang Tangerang</t>
  </si>
  <si>
    <t>3.2 x 2.4 meter; Tidak termasuk listrik; Kasur; Lemari Baju; Ventilasi; Cermin; Jendela; K. Mandi Dalam; Kloset Jongkok; Ember mandi; R. Jemur; Balcon; CCTV; Jemuran; Pengurus Kos; R. Keluarga; Parkir Motor; Parkir Sepeda</t>
  </si>
  <si>
    <t>Kost Titi Tipe A Cipondoh Tangerang</t>
  </si>
  <si>
    <t>3 x 6 meter; Tidak termasuk listrik; Meja; Ventilasi; Jendela; K. Mandi Dalam; Kloset Jongkok; Ember mandi; Bak mandi; Jemuran; Jual Makanan; Taman</t>
  </si>
  <si>
    <t>Kost Wilka Larangan Tangerang</t>
  </si>
  <si>
    <t>3 x 4 meter; Tidak termasuk listrik; AC; Kasur; Meja; Bantal; Jendela; Kursi; K. Mandi Dalam; Kloset Duduk; Shower; WiFi; R. Cuci; Penjaga Kos; R. Jemur; R. Santai; Jemuran; Jual Makanan; Taman; Parkir Motor</t>
  </si>
  <si>
    <t>Kost Happy 22 Basic Batuceper Tangerang</t>
  </si>
  <si>
    <t>2 x 3 meter; Termasuk listrik; Kasur; Meja; Meja Rias; Lemari Baju; Ventilasi; Kipas Angin; Jendela; Cermin; Sofa; Kloset Duduk; K. Mandi Luar; Ember mandi; Wastafel; Shower; WiFi; Kulkas; R. Cuci; Mesin Cuci; R. Tamu; R. Jemur; R. Makan; R. Santai; Dispenser; Dapur; Parkir Mobil; Parkir Motor; Parkir Sepeda; Parkir Motor &amp; Sepeda</t>
  </si>
  <si>
    <t>Rp895.000</t>
  </si>
  <si>
    <t>Kost Happy 22 Ekonomis Batuceper Tangerang</t>
  </si>
  <si>
    <t>2 x 3 meter; Termasuk listrik; Kasur; Meja; Dispenser; Kulkas; Lemari Baju; Ventilasi; Kipas Angin; Meja makan; Bantal; Kursi; Kloset Duduk; K. Mandi Luar; Ember mandi; Wastafel; Shower; Air panas; WiFi; R. Cuci; Mesin Cuci; Laundry; R. Jemur; R. Makan; R. Santai; Dapur; Jemuran; Parkir Mobil; Parkir Motor; Parkir Sepeda; Parkir Motor &amp; Sepeda</t>
  </si>
  <si>
    <t>Kost Ibu Sri Salon Ciledug Tangerang</t>
  </si>
  <si>
    <t>3 x 3 meter; Termasuk listrik; Kasur; Meja; Lemari Baju; Ventilasi; Kipas Angin; Guling; Bantal; Jendela; K. Mandi Dalam; Kloset Jongkok; Ember mandi; R. Jemur; Dapur; Parkir Motor; Parkir Sepeda</t>
  </si>
  <si>
    <t>Kost Pondok Damai Tipe D Larangan Tangerang</t>
  </si>
  <si>
    <t>4 x 4 meter; Tidak termasuk listrik; AC; Kasur; TV; Meja Rias; Lemari Baju; Kulkas; Sofa; K. Mandi Dalam; Kloset Duduk; Shower; Air panas; R. Cuci; Laundry; R. Jemur; Parkir Mobil; Parkir Motor; Parkir Sepeda</t>
  </si>
  <si>
    <t>Kost Pondok Damai Tipe C Larangan Tangerang</t>
  </si>
  <si>
    <t>3 x 3.8 meter</t>
  </si>
  <si>
    <t>3 x 3.8 meter; Tidak termasuk listrik; AC; Kasur; TV; Lemari Baju; Kulkas; K. Mandi Dalam; Kloset Duduk; Shower; Air panas; R. Cuci; Laundry; R. Jemur; Parkir Mobil; Parkir Motor; Parkir Sepeda</t>
  </si>
  <si>
    <t>Kost Komplek Deplu Larangan Tangerang</t>
  </si>
  <si>
    <t>4 x 4 meter; Tidak termasuk listrik; AC; Kasur; Meja; Lemari Baju; Ventilasi; Bantal; Jendela; K. Mandi Dalam; Kloset Duduk; K. Mandi Luar; Shower; WiFi; Kulkas; R. Tamu; Penjaga Kos; R. Jemur; R. Makan; Dapur; CCTV; Jemuran; Parkir Mobil; Parkir Motor; Parkir Sepeda</t>
  </si>
  <si>
    <t>Kost JM Tipe A Batuceper Tangerang</t>
  </si>
  <si>
    <t>3 x 4 meter; Tidak termasuk listrik; AC; Kasur; Meja; Lemari Baju; Kursi; Kloset Duduk; K. Mandi Luar; Wastafel; Shower; WiFi; R. Cuci; Kulkas; R. Makan; R. Jemur; R. Santai; Dapur; TV; Parkir Motor; Parkir Sepeda</t>
  </si>
  <si>
    <t>Batuceper</t>
  </si>
  <si>
    <t>Kost Lavira Tipe B Pinang Tangerang</t>
  </si>
  <si>
    <t>4 x 6 meter; Tidak termasuk listrik; Kasur; Meja; Lemari Baju; Ventilasi; Kipas Angin; Bantal; Guling; Jendela; Cermin; K. Mandi Dalam; Kloset Duduk; Kloset Jongkok; Ember mandi; WiFi; Kulkas; R. Jemur; R. Santai; Dapur; Balcon; Pengurus Kos; Jemuran; Parkir Motor; Parkir Sepeda</t>
  </si>
  <si>
    <t>Kost Jm Tanah Tinggi Tangerang</t>
  </si>
  <si>
    <t>3 x 3 meter; Tidak termasuk listrik; AC; Kasur; Meja; Lemari Baju; Ventilasi; Bantal; Guling; Jendela; Kursi; K. Mandi Dalam; Kloset Duduk; K. Mandi Luar; Shower; Air panas; WiFi; Kulkas; R. Cuci; R. Jemur; Dapur; Dispenser; Balcon; CCTV; Jemuran; Parkir Mobil; Parkir Motor</t>
  </si>
  <si>
    <t>Kost Omah Kita Cikokol Kota Tangerang</t>
  </si>
  <si>
    <t>2 x 3 meter; Tidak termasuk listrik; AC; Kasur; Meja; Lemari Baju; Bantal; Guling; Jendela; Kloset Duduk; K. Mandi Luar; Wastafel; Shower; Air panas; WiFi; Kulkas; Penjaga Kos; R. Jemur; Dispenser; Dapur; Balcon; CCTV; Jemuran; Parkir Motor; Parkir Sepeda</t>
  </si>
  <si>
    <t>Kost Casa Living Pinang Tangerang</t>
  </si>
  <si>
    <t>3 x 6 meter; Tidak termasuk listrik; AC; Kasur; Meja; TV; Lemari Baju; Bantal; Cermin; Cleaning service; Guling; Jendela; K. Mandi Dalam; Kloset Duduk; Wastafel; Shower; Air panas; WiFi; Mesin Cuci; Penjaga Kos; Mushola; R. Santai; Dapur; CCTV; Pengurus Kos; Kartu Akses; Parkir Mobil; Parkir Motor; Parkir Sepeda</t>
  </si>
  <si>
    <t>Kost Sollana Premium Superior Neglasari Tangerang</t>
  </si>
  <si>
    <t>2.5 x 3.8 meter</t>
  </si>
  <si>
    <t>2.5 x 3.8 meter; Tidak termasuk listrik; AC; Kasur; Meja; TV; Lemari Baju; Ventilasi; Bantal; Cermin; Cleaning service; Guling; K. Mandi Dalam; Kloset Duduk; Ember mandi; Shower; Air panas; WiFi; Kulkas; R. Cuci; Laundry; Mesin Cuci; Penjaga Kos; R. Tamu; R. Jemur; R. Makan; R. Santai; Parkir Mobil; Parkir Motor</t>
  </si>
  <si>
    <t>Kost Cempaka Tipe B Cipondoh Tangerang</t>
  </si>
  <si>
    <t>3 x 4 meter; Tidak termasuk listrik; AC; Kasur; Dispenser; Meja Rias; Lemari Baju; Bantal; Cermin; Guling; Kursi; K. Mandi Dalam; Kloset Duduk; Shower; WiFi; R. Tamu; R. Jemur; R. Makan; R. Santai; Dapur; CCTV; Jemuran; K. Mandi Luar; R. Keluarga; Parkir Mobil; Parkir Motor; Parkir Sepeda</t>
  </si>
  <si>
    <t>Kost Sinar Mulya Batuceper Tangerang</t>
  </si>
  <si>
    <t>4 x 4.5 meter; Tidak termasuk listrik; AC; Kasur; Meja; Lemari Baju; Jendela; Bantal; Kursi; Cermin; K. Mandi Dalam; Kloset Jongkok; Ember mandi; R. Cuci; R. Jemur; Dapur; CCTV; Jemuran; Pengurus Kos; Parkir Motor; Parkir Sepeda</t>
  </si>
  <si>
    <t>Kost Daan Mogot Le Paris Syariah Residence Tipe B Tangerang</t>
  </si>
  <si>
    <t>3 x 3 meter; Tidak termasuk listrik; AC; Kasur; TV; Lemari Baju; Ventilasi; Bantal; Cermin; Cleaning service; Guling; Jendela; K. Mandi Dalam; Kloset Duduk; Air panas; WiFi; Kulkas; Penjaga Kos; R. Tamu; Mushola; R. Jemur; Dispenser; Dapur; Balcon; Parkir Motor</t>
  </si>
  <si>
    <t>Rp1.760.000</t>
  </si>
  <si>
    <t>Kost Loka Asa Premium Karang Tengah Tangerang</t>
  </si>
  <si>
    <t>3 x 4 meter; Tidak termasuk listrik; AC; Kasur; Dispenser; Meja; TV; Lemari Baju; Bantal; Cermin; Guling; Jendela; K. Mandi Dalam; Kloset Duduk; Ember mandi; Shower; Kulkas; R. Cuci; Mesin Cuci; R. Tamu; Mushola; R. Jemur; R. Makan; R. Santai; Dapur; Balcon; Parkir Motor</t>
  </si>
  <si>
    <t>Kost Zahra Pinang Tangerang</t>
  </si>
  <si>
    <t>3 x 5 meter; Tidak termasuk listrik; Ventilasi; Dapur Pribadi; Jendela; Wastafel; K. Mandi Dalam; Kloset Jongkok; Ember mandi; R. Tamu; Balcon; Jemuran; Pengurus Kos; Parkir Motor; Parkir Sepeda</t>
  </si>
  <si>
    <t>Kost Wijaya Neglasari Tangerang</t>
  </si>
  <si>
    <t>3 x 5 meter; Tidak termasuk listrik; AC; Kasur; Meja; Lemari Baju; Ventilasi; Kursi; Bantal; Dapur Pribadi; Guling; K. Mandi Dalam; Kloset Duduk; Ember mandi; WiFi; Penjaga Kos; Jemuran; Kartu Akses; Parkir Mobil; Parkir Motor</t>
  </si>
  <si>
    <t>Kost Cordelia Standard Room Karangtengah Tangerang</t>
  </si>
  <si>
    <t>3 x 3 meter; Termasuk listrik; Kasur; Lemari Baju; Ventilasi; Bantal; Cermin; Jendela; Kloset Duduk; Kloset Jongkok; K. Mandi Luar; Wastafel; Ember mandi; Shower; WiFi; Kulkas; R. Cuci; R. Tamu; R. Jemur; R. Makan; R. Santai; Dapur; Balcon; CCTV; Parkir Mobil; Parkir Motor; Parkir Sepeda</t>
  </si>
  <si>
    <t>Karangtengah</t>
  </si>
  <si>
    <t>Kost Binus Alam Sutera Tipe Deluxe Pinang Tangerang</t>
  </si>
  <si>
    <t>3.5 x 4 meter; Tidak termasuk listrik; AC; Kasur; Meja; Lemari Baju; Kursi; Wastafel; Cleaning service; K. Mandi Dalam; Kloset Duduk; Shower; Air panas; WiFi; R. Cuci; Kulkas; R. Tamu; Mesin Cuci; Penjaga Kos; Laundry; R. Makan; R. Jemur; R. Santai; Parkir Mobil; Parkir Motor; Parkir Sepeda</t>
  </si>
  <si>
    <t>Kost Ekslusif Bandaramas Tipe Vvip Neglasari Tangerang</t>
  </si>
  <si>
    <t>Kost Daan Mogot Le Paris Syariah Residence Tipe E Tangerang Tangerang</t>
  </si>
  <si>
    <t>3 x 3 meter; Tidak termasuk listrik; AC; Kasur; Meja; TV; Lemari Baju; Ventilasi; Bantal; Cermin; Cleaning service; Kursi; K. Mandi Dalam; Kloset Duduk; Shower; Air panas; WiFi; Kulkas; Penjaga Kos; R. Tamu; R. Jemur; Mushola; R. Santai; Dispenser; Dapur; Parkir Motor; Parkir Sepeda</t>
  </si>
  <si>
    <t>Kost Al Fazza Tangerang</t>
  </si>
  <si>
    <t>4 x 4 meter; Tidak termasuk listrik; AC; Kasur; Meja; Lemari Baju; Ventilasi; Bantal; Cermin; Guling; Jendela; Cleaning service; K. Mandi Dalam; Kloset Duduk; Ember mandi; Wastafel; Shower; Bathtub; WiFi; Kulkas; R. Cuci; R. Tamu; Penjaga Kos; R. Jemur; R. Makan; R. Santai; Dapur; Jemuran; Parkir Motor; Parkir Sepeda; Parkir Motor &amp; Sepeda</t>
  </si>
  <si>
    <t>Kost Athar 07 Larangan Tangerang</t>
  </si>
  <si>
    <t>3 x 4 meter; Tidak termasuk listrik; AC; Kasur; Lemari Baju; Ventilasi; Bantal; Cermin; Guling; Jendela; K. Mandi Dalam; Kloset Duduk; Shower; WiFi; Kulkas; R. Jemur; R. Makan; Dapur; Jemuran; K. Mandi Luar; Pengurus Kos; TV; Taman; Parkir Motor</t>
  </si>
  <si>
    <t>Kost Opung 1 Tipe A Tangerang Tangerang</t>
  </si>
  <si>
    <t>3 x 4 meter; Tidak termasuk listrik; AC; Kasur; Meja; Lemari Baju; Ventilasi; Kursi; Jendela; Guling; Cermin; Bantal; K. Mandi Dalam; Kloset Jongkok; Bak mandi; WiFi; R. Cuci; Laundry; R. Tamu; Penjaga Kos; R. Jemur; R. Makan; R. Santai; Balcon; Jemuran; Parkir Mobil; Parkir Motor; Parkir Sepeda</t>
  </si>
  <si>
    <t>Kost Kamsada Binus Alam Sutra Pinang Tangerang</t>
  </si>
  <si>
    <t>3 x 3 meter; Tidak termasuk listrik; AC; Kasur; Meja; Lemari Baju; Ventilasi; Bantal; Cermin; Guling; Jendela; Kursi; K. Mandi Dalam; Kloset Duduk; Shower; WiFi; Kulkas; R. Cuci; Mesin Cuci; Penjaga Kos; R. Jemur; Dapur; Balcon; CCTV; Jemuran; Parkir Motor; Parkir Sepeda; Parkir Motor &amp; Sepeda</t>
  </si>
  <si>
    <t>Kost Dian Tipe A Tangerang</t>
  </si>
  <si>
    <t>2 x 2.3 meter</t>
  </si>
  <si>
    <t>2 x 2.3 meter; Tidak termasuk listrik; AC; Kasur; Meja; Dispenser; Lemari Baju; Kulkas; Kursi; Kloset Duduk; K. Mandi Luar; Shower; WiFi; R. Cuci; R. Tamu; R. Makan; R. Jemur; Mushola; R. Santai; Dapur; Taman; Parkir Mobil; Parkir Motor; Parkir Sepeda</t>
  </si>
  <si>
    <t>Kost Senantiasa Premium Tangerang</t>
  </si>
  <si>
    <t>3 x 4 meter; Tidak termasuk listrik; Kasur; Lemari Baju; Ventilasi; Bantal; Cermin; Guling; Jendela; Kipas Angin; K. Mandi Dalam; Kloset Duduk; Ember mandi; Shower; WiFi; Kulkas; R. Tamu; R. Jemur; R. Makan; R. Santai; Dapur; Jemuran; Jual Makanan; Pengurus Kos; Parkir Motor; Parkir Sepeda</t>
  </si>
  <si>
    <t>Kost Opung 1 Tipe B Tangerang Tangerang</t>
  </si>
  <si>
    <t>3 x 4 meter; Tidak termasuk listrik; Kasur; Meja; Lemari Baju; Bantal; Guling; Jendela; Kipas Angin; Kursi; K. Mandi Dalam; Kloset Jongkok; Ember mandi; WiFi; R. Cuci; Laundry; Mesin Cuci; Penjaga Kos; R. Tamu; R. Jemur; R. Makan; R. Santai; Balcon; Parkir Mobil; Parkir Motor; Parkir Sepeda</t>
  </si>
  <si>
    <t>Kost Baru Homi Residence Benda Tangerang</t>
  </si>
  <si>
    <t>3 x 4 meter; Tidak termasuk listrik; AC; K. Mandi Dalam; Kloset Duduk; Shower; Air panas; WiFi; Kulkas; Laundry; Dapur; Dispenser; TV; CCTV; Parkir Mobil</t>
  </si>
  <si>
    <t>Kost Serumah Bareng Tipe C Tangerang</t>
  </si>
  <si>
    <t>2.5 x 2.5 meter; Termasuk listrik; AC; Kasur; Meja; Lemari Baju; Ventilasi; Cleaning service; Bantal; Cermin; Guling; Jendela; K. Mandi Dalam; Kloset Duduk; K. Mandi Luar; Wastafel; Shower; WiFi; Kulkas; R. Cuci; Laundry; Penjaga Kos; Mesin Cuci; R. Jemur; R. Makan; Dapur; Dispenser; Parkir Mobil; Parkir Motor; Parkir Sepeda; Parkir Motor &amp; Sepeda</t>
  </si>
  <si>
    <t>Kost Bunda Ratu Karang Tengah Tangerang</t>
  </si>
  <si>
    <t>3 x 4 meter; Termasuk listrik; Kasur; Meja; Lemari Baju; Ventilasi; Bantal; Cermin; Guling; Kloset Jongkok; K. Mandi Luar; Ember mandi; WiFi; Penjaga Kos; R. Jemur; Mushola; Dapur; Balcon; Pengurus Kos; CCTV; Parkir Motor</t>
  </si>
  <si>
    <t>Kost Miko Benda Tangerang</t>
  </si>
  <si>
    <t>3 x 4 meter; Tidak termasuk listrik; AC; Kasur; Lemari Baju; K. Mandi Dalam; Kloset Jongkok; Ember mandi; WiFi; R. Tamu; R. Jemur; R. Santai; Dapur; TV; Parkir Motor</t>
  </si>
  <si>
    <t>Kost Palem Griya Tipe Single 2 Cibodas Tangerang</t>
  </si>
  <si>
    <t>3 x 3 meter; Tidak termasuk listrik; AC; Kasur; Lemari Baju; Ventilasi; Jendela; K. Mandi Dalam; Kloset Duduk; Ember mandi; Shower; WiFi; R. Cuci; R. Tamu; Penjaga Kos; R. Makan; R. Jemur; R. Santai; Dapur; R. Keluarga; Balcon; Parkir Motor; Parkir Sepeda</t>
  </si>
  <si>
    <t>Rp1.065.000</t>
  </si>
  <si>
    <t>Kost Dewi J1 Cipondoh Tangerang</t>
  </si>
  <si>
    <t>3 x 4 meter; Tidak termasuk listrik; AC; Kasur; Lemari Baju; Ventilasi; Bantal; Guling; Jendela; K. Mandi Dalam; Kloset Duduk; Ember mandi; Shower; WiFi; R. Cuci; Penjaga Kos; R. Tamu; R. Jemur; Dapur; Dispenser; Jemuran; Pengurus Kos; Parkir Motor; Parkir Sepeda</t>
  </si>
  <si>
    <t>Kost Baru Tangcity Kayana Residence Tipe C Tangerang Tangerang</t>
  </si>
  <si>
    <t>3 x 3.7 meter</t>
  </si>
  <si>
    <t>3 x 3.7 meter; Tidak termasuk listrik; AC; Kasur; Meja; TV; Lemari Baju; Ventilasi; Bantal; Cermin; Cleaning service; Guling; K. Mandi Dalam; Kloset Duduk; Shower; Air panas; WiFi; Kulkas; R. Cuci; Laundry; Mesin Cuci; Penjaga Kos; R. Tamu; R. Jemur; R. Makan; R. Santai; Parkir Motor</t>
  </si>
  <si>
    <t>Kost Daan Mogot Le Paris Syariah Residence Tipe D Tangerang</t>
  </si>
  <si>
    <t>3 x 3 meter; Tidak termasuk listrik; AC; Kasur; Meja; TV; Lemari Baju; Ventilasi; Bantal; Cermin; Cleaning service; Jendela; K. Mandi Dalam; Kloset Duduk; Shower; Air panas; WiFi; Penjaga Kos; R. Tamu; R. Jemur; R. Santai; Dispenser; CCTV; Pengurus Kos; Parkir Motor; Parkir Sepeda</t>
  </si>
  <si>
    <t>Rp1.960.000</t>
  </si>
  <si>
    <t>Kost Kapling Tipe B Tangerang Tangerang</t>
  </si>
  <si>
    <t>3 x 4 meter; Tidak termasuk listrik; AC; Meja; TV; Lemari Baju; Kursi; K. Mandi Dalam; Kloset Duduk; R. Cuci; Kulkas; R. Tamu; Mesin Cuci; R. Jemur; Dapur; Dispenser; Balcon; Kartu Akses; Parkir Motor; Parkir Sepeda</t>
  </si>
  <si>
    <t>Kost Bapak Nana Juhana Cibodas Tangerang</t>
  </si>
  <si>
    <t>2.5 x 2.5 meter; Tidak termasuk listrik; K. Mandi Dalam; Kloset Jongkok; Jual Makanan; Jemuran; Pengurus Kos; Parkir Motor</t>
  </si>
  <si>
    <t>Kost Familly 701 Cipondoh Tangerang</t>
  </si>
  <si>
    <t>3 x 3 meter; Tidak termasuk listrik; Kasur; Kulkas; Lemari Baju; Ventilasi; Bantal; Guling; Jendela; Kursi; Wastafel; K. Mandi Dalam; Kloset Jongkok; K. Mandi Luar; Ember mandi; Shower; R. Cuci; R. Jemur; R. Santai; Dapur; Balcon; CCTV; Jemuran; Jual Makanan; Pengurus Kos; Parkir Motor; Parkir Sepeda; Parkir Motor &amp; Sepeda</t>
  </si>
  <si>
    <t>Kost D3 Sudimara Tipe B Pinang Tangerang</t>
  </si>
  <si>
    <t>3 x 3 meter; Tidak termasuk listrik; AC; Kasur; Meja; Lemari Baju; Kursi; K. Mandi Dalam; Kloset Jongkok; Ember mandi; WiFi; R. Cuci; Kulkas; R. Tamu; Penjaga Kos; R. Makan; R. Jemur; R. Santai; Dapur; Dispenser; Parkir Mobil; Parkir Motor; Parkir Sepeda</t>
  </si>
  <si>
    <t>Kost Days Tipe Non AC Pinang Tangerang</t>
  </si>
  <si>
    <t>3 x 3 meter; Tidak termasuk listrik; AC; Kasur; Lemari Baju; Ventilasi; Cermin; Jendela; K. Mandi Dalam; Kloset Jongkok; Ember mandi; Shower; WiFi; Penjaga Kos; R. Tamu; R. Jemur; Balcon; CCTV; Jemuran; Jual Makanan; Parkir Motor</t>
  </si>
  <si>
    <t>Kost Diva Perum 2 Tipe A1 Cibodas Tangerang</t>
  </si>
  <si>
    <t>3 x 4 meter; Tidak termasuk listrik; AC; Kasur; Lemari Baju; Ventilasi; Bantal; Cermin; Jendela; K. Mandi Dalam; Kloset Jongkok; WiFi; Kulkas; R. Tamu; R. Makan; R. Jemur; R. Santai; Dapur; CCTV; Jemuran; Pengurus Kos; Parkir Motor; Parkir Sepeda; Parkir Motor &amp; Sepeda</t>
  </si>
  <si>
    <t>Kost Permata Tipe F1 Cipondoh Tangerang</t>
  </si>
  <si>
    <t>2.5 x 4 meter; Tidak termasuk listrik; AC; Kasur; Dispenser; Meja; Lemari Baju; Ventilasi; Bantal; Cermin; Cleaning service; Jendela; K. Mandi Dalam; Kloset Duduk; Kloset Jongkok; K. Mandi Luar; Wastafel; Ember mandi; Shower; Bak mandi; WiFi; R. Cuci; R. Tamu; Laundry; Penjaga Kos; R. Makan; R. Jemur; Mushola; R. Santai; Parkir Mobil; Parkir Motor; Parkir Sepeda</t>
  </si>
  <si>
    <t>Kost Mahardhika Perumnas 1 Tipe A Cibodas Tangerang</t>
  </si>
  <si>
    <t>3 x 4.5 meter; Termasuk listrik; Kasur; Lemari Baju; Cleaning service; K. Mandi Dalam; Kloset Jongkok; Ember mandi; R. Jemur; R. Santai; Balcon; Parkir Motor</t>
  </si>
  <si>
    <t>Kost Pelajar Karyawan Tipe Standart Karawaci Tangerang</t>
  </si>
  <si>
    <t>3 x 3 meter; Tidak termasuk listrik; AC; Kasur; Meja; Lemari Baju; Ventilasi; Bantal; Cermin; Guling; Jendela; Kursi; K. Mandi Dalam; Kloset Duduk; K. Mandi Luar; Ember mandi; Shower; R. Cuci; Laundry; Penjaga Kos; R. Tamu; R. Jemur; R. Makan; R. Santai; CCTV; Gazebo; Jemuran; Parkir Sepeda; Parkir Motor</t>
  </si>
  <si>
    <t>Kost Rumah An Nisa 1 Karang Tengah Tangerang</t>
  </si>
  <si>
    <t>3 x 4 meter; Tidak termasuk listrik; AC; Kasur; Meja Rias; Lemari Baju; Bantal; Cermin; Jendela; K. Mandi Dalam; Kloset Duduk; Shower; WiFi; Kulkas; R. Tamu; R. Makan; R. Jemur; R. Santai; Dapur; Dispenser; TV; R. Keluarga; Parkir Mobil; Parkir Motor; Parkir Sepeda</t>
  </si>
  <si>
    <t>Kost AMD Neglasari Tangerang</t>
  </si>
  <si>
    <t>3 x 4 meter; Tidak termasuk listrik; Kasur; Ventilasi; Dapur Pribadi; Jendela; Kipas Angin; K. Mandi Dalam; Kloset Jongkok; Ember mandi; Wastafel; R. Tamu; R. Jemur; Dapur; Jemuran; Pengurus Kos; Parkir Motor; Parkir Sepeda</t>
  </si>
  <si>
    <t>Kost Sollana Premium Tipe Superior Green Neglasari Tangerang</t>
  </si>
  <si>
    <t>2.5 x 4 meter; Tidak termasuk listrik; AC; Kasur; Meja; Meja Rias; TV; Lemari Baju; Ventilasi; Bantal; Cermin; Cleaning service; K. Mandi Dalam; Kloset Duduk; Ember mandi; Shower; Air panas; WiFi; Kulkas; R. Cuci; Laundry; Mesin Cuci; Penjaga Kos; R. Tamu; R. Jemur; R. Makan; R. Santai; Parkir Mobil; Parkir Motor</t>
  </si>
  <si>
    <t>Rp1.899.000</t>
  </si>
  <si>
    <t>Kost Ruko Mahkota Mas Tipe A Tangerang Tangerang</t>
  </si>
  <si>
    <t>2 x 2 meter; Tidak termasuk listrik; AC; Kasur; Meja; Lemari Baju; Bantal; Cermin; Kloset Duduk; K. Mandi Luar; Ember mandi; Shower; WiFi; R. Cuci; Penjaga Kos; R. Tamu; R. Jemur; R. Makan; R. Santai; Dapur; CCTV; Jemuran; Parkir Mobil; Parkir Motor; Parkir Sepeda</t>
  </si>
  <si>
    <t>Kost Rumah Niaga Raya 11 Tipe C Karang Tengah Tangerang</t>
  </si>
  <si>
    <t>3 x 4 meter; Tidak termasuk listrik; AC; Kasur; Meja; TV; Lemari Baju; Kursi; K. Mandi Dalam; Kloset Duduk; K. Mandi Luar; Wastafel; WiFi; R. Tamu; R. Santai; Dapur; Parkir Motor</t>
  </si>
  <si>
    <t>Kost Permata Tipe D Cipondoh Tangerang</t>
  </si>
  <si>
    <t>1.7 x 3.5 meter</t>
  </si>
  <si>
    <t>1.7 x 3.5 meter; Termasuk listrik; Kasur; Dispenser; Lemari Baju; Ventilasi; Wastafel; Kipas Angin; Cleaning service; Bantal; K. Mandi Dalam; Kloset Duduk; Kloset Jongkok; K. Mandi Luar; Ember mandi; Shower; Bak mandi; WiFi; R. Cuci; R. Tamu; Laundry; R. Makan; R. Jemur; Mushola; R. Santai; TV; Parkir Mobil; Parkir Motor; Parkir Sepeda</t>
  </si>
  <si>
    <t>Kost Norita Tipe D Benda Tangerang</t>
  </si>
  <si>
    <t>3 x 4 meter; Tidak termasuk listrik; AC; Kasur; Meja; TV; Lemari Baju; Kursi; Bantal; Guling; Jendela; K. Mandi Dalam; Kloset Duduk; Shower; Air panas; WiFi; Kulkas; R. Tamu; Penjaga Kos; Laundry; R. Makan; R. Jemur; R. Santai; Dapur; Dispenser; Parkir Mobil; Parkir Motor; Parkir Sepeda</t>
  </si>
  <si>
    <t>Kost Mama Papa Tangerang Tangerang</t>
  </si>
  <si>
    <t>2 x 3 meter; Tidak termasuk listrik; AC; Kasur; TV; Lemari Baju; Ventilasi; Cleaning service; Meja makan; Bantal; Guling; Jendela; K. Mandi Dalam; Kloset Duduk; Wastafel; Shower; Air panas; WiFi; R. Cuci; Kulkas; R. Tamu; Mesin Cuci; Penjaga Kos; R. Makan; R. Jemur; Mushola; R. Santai; Parkir Motor</t>
  </si>
  <si>
    <t>Kost Palem Griya Tipe A Cibodas Tangerang</t>
  </si>
  <si>
    <t>3 x 3 meter; Tidak termasuk listrik; AC; Kasur; Lemari Baju; Ventilasi; Jendela; Kloset Duduk; Ember mandi; Wastafel; WiFi; Kulkas; R. Cuci; R. Tamu; R. Jemur; R. Santai; Dapur; CCTV; Jemuran; Jual Makanan; Parkir Motor; Parkir Sepeda</t>
  </si>
  <si>
    <t>Kost NJ AC Karawaci Tangerang</t>
  </si>
  <si>
    <t>3.5 x 4 meter; Tidak termasuk listrik; AC; Kasur; TV; Lemari Baju; Ventilasi; Bantal; Cermin; Guling; K. Mandi Dalam; Ember mandi; Shower; Penjaga Kos; Dapur; Dispenser; Balcon; Jual Makanan; Parkir Motor; Parkir Sepeda; Parkir Motor &amp; Sepeda</t>
  </si>
  <si>
    <t>Kost Moza 1 Tipe A Karawaci Tangerang</t>
  </si>
  <si>
    <t>3 x 3 meter; Termasuk listrik; Kasur; Lemari Baju; Ventilasi; Bantal; Cermin; Jendela; Cleaning service; Dapur Pribadi; Kipas Angin; Kloset Jongkok; K. Mandi Luar; Ember mandi; Shower; Bak mandi; WiFi; R. Cuci; Penjaga Kos; R. Tamu; R. Jemur; R. Makan; R. Santai; Dapur; CCTV; Jemuran; Parkir Motor; Parkir Sepeda; Parkir Motor &amp; Sepeda</t>
  </si>
  <si>
    <t>Kost Rumah An Nisa 2 Karang Tengah Tangerang</t>
  </si>
  <si>
    <t>3 x 4 meter; Tidak termasuk listrik; AC; Kasur; Meja; Lemari Baju; Bantal; Cermin; Jendela; K. Mandi Dalam; Kloset Duduk; Shower; WiFi; Kulkas; R. Tamu; R. Makan; R. Jemur; R. Santai; Dapur; Dispenser; TV; Taman; Parkir Mobil; Parkir Motor; Parkir Sepeda</t>
  </si>
  <si>
    <t>Kost Nyaman Disini Tipe B Cipondoh Tangerang</t>
  </si>
  <si>
    <t>3 x 3 meter; Tidak termasuk listrik; AC; Kasur; Lemari Baju; Cermin; Jendela; K. Mandi Dalam; Kloset Jongkok; Ember mandi; R. Santai; Dapur; Balcon; Gazebo; Parkir Motor</t>
  </si>
  <si>
    <t>Kost Hanimun Lippo VIP Cibodas Tangerang</t>
  </si>
  <si>
    <t>3 x 3 meter; Tidak termasuk listrik; AC; Kasur; Meja; Lemari Baju; Bantal; Cermin; Guling; Kursi; Jendela; K. Mandi Dalam; Kloset Duduk; Shower; Air panas; WiFi; Penjaga Kos; R. Jemur; R. Santai; CCTV; Jemuran; Jual Makanan; Pengurus Kos; Parkir Mobil; Parkir Motor; Parkir Sepeda</t>
  </si>
  <si>
    <t>Kost Haji Ujang Tipe A Pinang Tangerang</t>
  </si>
  <si>
    <t>3 x 3 meter; Termasuk listrik; Kasur; Kipas Angin; Bantal; Jendela; Kloset Jongkok; K. Mandi Luar; Ember mandi; Shower; WiFi; R. Cuci; R. Tamu; R. Jemur; R. Santai; Balcon; Jual Makanan; Pengurus Kos; Jemuran; Parkir Motor; Parkir Sepeda</t>
  </si>
  <si>
    <t>Kost D'Green House Tipe C Tangerang Tangerang</t>
  </si>
  <si>
    <t>3 x 4 meter; Tidak termasuk listrik; AC; Kasur; Meja; Dispenser; TV; Lemari Baju; Ventilasi; Kursi; Bantal; Guling; K. Mandi Dalam; Kloset Duduk; Shower; WiFi; R. Cuci; R. Tamu; R. Santai; Dapur; Taman; CCTV; Jemuran; Parkir Mobil; Parkir Motor; Parkir Sepeda</t>
  </si>
  <si>
    <t>Kost Rantau Tipe A Pinang Tangerang</t>
  </si>
  <si>
    <t>3 x 3 meter; Tidak termasuk listrik; Lemari Baju; Kipas Angin; Wastafel; Ember mandi; Shower; Bak mandi; R. Cuci; R. Tamu; Laundry; R. Jemur; Dapur; Dispenser; K. Mandi Luar; Parkir Mobil; Parkir Motor; Parkir Sepeda</t>
  </si>
  <si>
    <t>Kost Dona I Karawaci Tangerang</t>
  </si>
  <si>
    <t>3 x 4 meter; Tidak termasuk listrik; Kasur; Meja; Lemari Baju; Ventilasi; Bantal; Cermin; Guling; Kipas Angin; Kursi; K. Mandi Dalam; Kloset Jongkok; Ember mandi; WiFi; R. Tamu; R. Santai; Dapur; Dispenser; CCTV; Jemuran; Pengurus Kos; Parkir Motor; Parkir Sepeda</t>
  </si>
  <si>
    <t>Kost Village Marpaung Tipe A Ciledug Tangerang</t>
  </si>
  <si>
    <t>3 x 4 meter; Termasuk listrik; Kasur; Lemari Baju; Jendela; K. Mandi Dalam; Kloset Jongkok; Ember mandi; WiFi; R. Tamu; Penjaga Kos; R. Jemur; Mushola; R. Santai; K. Mandi Luar; CCTV; Jual Makanan; Pengurus Kos; Parkir Motor; Parkir Sepeda</t>
  </si>
  <si>
    <t>Kost Norita Tipe C Benda Tangerang</t>
  </si>
  <si>
    <t>3 x 4 meter; Tidak termasuk listrik; AC; Kasur; Meja; TV; Lemari Baju; Kursi; K. Mandi Dalam; Kloset Duduk; Shower; Air panas; WiFi; R. Tamu; Laundry; Dapur; Parkir Mobil; Parkir Motor; Parkir Sepeda</t>
  </si>
  <si>
    <t>Kost Bu Purbo Bahagia 7 Larangan Tangerang</t>
  </si>
  <si>
    <t>2.5 x 3.5 meter; Termasuk listrik; Kasur; Lemari Baju; Ventilasi; Bantal; Jendela; K. Mandi Dalam; Kloset Jongkok; Ember mandi; WiFi; R. Jemur; CCTV; Jemuran; Parkir Sepeda</t>
  </si>
  <si>
    <t>Kost Mauza Tipe A Karang Tengah Tangerang</t>
  </si>
  <si>
    <t>3 x 4 meter; Tidak termasuk listrik; Kasur; Lemari Baju; Bantal; K. Mandi Dalam; Kloset Jongkok; Ember mandi; WiFi; Dapur; Jemuran; Parkir Motor; Parkir Sepeda</t>
  </si>
  <si>
    <t>Kost Yellow Cipondoh Tangerang</t>
  </si>
  <si>
    <t>3 x 4 meter; Tidak termasuk listrik; AC; Kasur; Meja; TV; Lemari Baju; Bantal; Cermin; Guling; Jendela; Kursi; K. Mandi Dalam; Kloset Duduk; Shower; WiFi; Kulkas; Laundry; R. Jemur; R. Santai; Dapur; CCTV; Jemuran; Rooftop; Pengurus Kos; Parkir Mobil; Parkir Motor; Parkir Sepeda</t>
  </si>
  <si>
    <t>Kost Magnolia Tipe B Cipondoh Tangerang</t>
  </si>
  <si>
    <t>3 x 3 meter; Termasuk listrik; AC; Kasur; Meja; Lemari Baju; Ventilasi; Bantal; Cermin; Guling; Jendela; Kursi; Kloset Duduk; K. Mandi Luar; Wastafel; Shower; WiFi; R. Tamu; R. Makan; R. Jemur; R. Santai; Dapur; CCTV; Jemuran; R. Keluarga; Parkir Motor; Parkir Sepeda; Parkir Motor &amp; Sepeda</t>
  </si>
  <si>
    <t>Kost Wisma Tonitaa Karawaci Tangerang</t>
  </si>
  <si>
    <t>3 x 3 meter; Termasuk listrik; Kasur; Lemari Baju; Bantal; K. Mandi Dalam; Kloset Jongkok; Bak mandi; WiFi; Penjaga Kos; Dapur; Balcon; CCTV; Jemuran; Parkir Motor; Parkir Sepeda</t>
  </si>
  <si>
    <t>Kost Pondok Terang Tipe A Cibodas Tangerang</t>
  </si>
  <si>
    <t>3 x 6 meter; Tidak termasuk listrik; Ventilasi; K. Mandi Dalam; Kloset Jongkok; Ember mandi; R. Jemur; Parkir Motor; Parkir Sepeda</t>
  </si>
  <si>
    <t>Kost Alia CBD Karang Tengah Tangerang</t>
  </si>
  <si>
    <t>3 x 3 meter; Tidak termasuk listrik; Kasur; Meja; Lemari Baju; Bantal; Jendela; Kursi; K. Mandi Dalam; Kloset Duduk; Shower; Penjaga Kos; Balcon; Parkir Motor; Parkir Sepeda</t>
  </si>
  <si>
    <t>Kost Village Marpaung Tipe AC Ciledug Tangerang</t>
  </si>
  <si>
    <t>3 x 4 meter; Termasuk listrik; Ventilasi; K. Mandi Dalam; Kloset Jongkok; WiFi; R. Cuci; Penjaga Kos; R. Jemur; R. Santai; K. Mandi Luar; CCTV; Jual Makanan; Pengurus Kos; Jemuran; Parkir Motor</t>
  </si>
  <si>
    <t>Kost Naviri Jatiuwung Periuk Tangerang</t>
  </si>
  <si>
    <t>2â€™7 x 8 meter</t>
  </si>
  <si>
    <t>2â€™7 x 8 meter; Tidak termasuk listrik; Dapur Pribadi; Jendela; K. Mandi Dalam; Kloset Jongkok; Dapur; Parkir Motor; Parkir Sepeda</t>
  </si>
  <si>
    <t>Kost Ibu Merry Tipe 2 Cipondoh Tangerang</t>
  </si>
  <si>
    <t>3 x 3 meter; Tidak termasuk listrik; AC; Kasur; Meja Rias; Lemari Baju; Ventilasi; Bantal; Guling; Jendela; Kursi; Cermin; K. Mandi Dalam; Kloset Duduk; Shower; WiFi; Kulkas; R. Cuci; Mesin Cuci; Penjaga Kos; R. Tamu; R. Jemur; R. Makan; R. Santai; Dapur; Parkir Mobil; Parkir Motor; Parkir Sepeda</t>
  </si>
  <si>
    <t>Kost Eno Tipe A Benda Tangerang</t>
  </si>
  <si>
    <t>3 x 4 meter; Tidak termasuk listrik; AC; Kasur; Dispenser; Meja; TV; Lemari Baju; Kulkas; Ventilasi; Wastafel; Cleaning service; K. Mandi Dalam; Kloset Duduk; Ember mandi; Shower; Air panas; WiFi; R. Cuci; R. Tamu; Penjaga Kos; R. Makan; R. Jemur; R. Santai; Dapur; Parkir Mobil; Parkir Motor; Parkir Sepeda; Parkir Motor &amp; Sepeda</t>
  </si>
  <si>
    <t>Kost Homestay 8 Greenlake Cipondoh Tangerang</t>
  </si>
  <si>
    <t>3 x 3 meter; Tidak termasuk listrik; AC; Kasur; Meja; Lemari Baju; Bantal; K. Mandi Dalam; Kloset Duduk; Wastafel; Shower; WiFi; Kulkas; Penjaga Kos; Dapur; CCTV; Kartu Akses; Parkir Mobil; Parkir Motor</t>
  </si>
  <si>
    <t>Kost Griya Fahira 2 Karawaci Tangerang</t>
  </si>
  <si>
    <t>3 x 4 meter; Tidak termasuk listrik; AC; Kasur; Dispenser; Lemari Baju; TV Kabel; Meja makan; K. Mandi Dalam; Kloset Duduk; Shower; WiFi; R. Cuci; Kulkas; R. Tamu; R. Makan; R. Jemur; Dapur; TV; Balcon; Parkir Mobil; Parkir Motor; Parkir Sepeda</t>
  </si>
  <si>
    <t>Kost Ibu Pangkat Tipe Standart Batuceper Tangerang</t>
  </si>
  <si>
    <t>3 x 3 meter; Termasuk listrik; Kasur; Meja; Lemari Baju; Ventilasi; Bantal; Jendela; Cermin; Kipas Angin; Kursi; Kloset Jongkok; K. Mandi Luar; Bak mandi; WiFi; R. Cuci; Kulkas; Mesin Cuci; R. Jemur; Jemuran; Taman; Parkir Motor; Parkir Sepeda</t>
  </si>
  <si>
    <t>Kost Daan Mogot Le Paris Syariah Residence Tipe C Tangerang</t>
  </si>
  <si>
    <t>3 x 3 meter; Tidak termasuk listrik; AC; Kasur; Meja; TV; Lemari Baju; Bantal; Cermin; Kloset Duduk; K. Mandi Luar; Air panas; WiFi; Kulkas; Penjaga Kos; R. Tamu; Mushola; R. Makan; R. Santai; Dapur; Dispenser; Parkir Motor</t>
  </si>
  <si>
    <t>Kost Oemah Noor Regular Karang Tengah Tangerang</t>
  </si>
  <si>
    <t>3 x 3.5 meter; Tidak termasuk listrik; AC; Kasur; Meja; Lemari Baju; Ventilasi; Bantal; Kursi; Jendela; K. Mandi Dalam; Kloset Duduk; Shower; WiFi; Kulkas; Penjaga Kos; R. Jemur; R. Makan; R. Santai; Dapur; Dispenser; CCTV; Jemuran; Parkir Motor; Parkir Sepeda</t>
  </si>
  <si>
    <t>Kost Taman Mahkota Tipe B Benda Tangerang</t>
  </si>
  <si>
    <t>3 x 4 meter; Tidak termasuk listrik; AC; Kasur; Meja; Lemari Baju; Ventilasi; Kursi; Wastafel; Bantal; Cermin; Guling; K. Mandi Dalam; Kloset Duduk; Shower; WiFi; Kulkas; R. Tamu; Penjaga Kos; R. Makan; R. Jemur; R. Santai; Dapur; TV; CCTV; Parkir Motor; Parkir Sepeda</t>
  </si>
  <si>
    <t>Kost TK 9C Tipe AC Karang Tengah Tangerang</t>
  </si>
  <si>
    <t>3 x 3 meter; Tidak termasuk listrik; AC; Kasur; Lemari Baju; Ventilasi; K. Mandi Dalam; Kloset Duduk; Ember mandi; Shower; WiFi; R. Cuci; R. Tamu; R. Jemur; Jemuran; Pengurus Kos; CCTV; Parkir Motor; Parkir Motor &amp; Sepeda</t>
  </si>
  <si>
    <t>Kost Haji Sahar V3 Larangan Tangerang</t>
  </si>
  <si>
    <t>3 x 3 meter; Tidak termasuk listrik; Kasur; Lemari Baju; Bantal; Jendela; K. Mandi Dalam; Kloset Duduk; Ember mandi; WiFi; Penjaga Kos; CCTV; Jemuran; Pengurus Kos; Parkir Motor &amp; Sepeda</t>
  </si>
  <si>
    <t>Kost Eksklusif M25 Tipe A Benda Tangerang</t>
  </si>
  <si>
    <t>2 x 4 meter; Tidak termasuk listrik; AC; Kasur; Meja; TV; Meja Rias; Lemari Baju; Kulkas; Kursi; Wastafel; Cleaning service; K. Mandi Dalam; Kloset Duduk; Shower; Air panas; WiFi; R. Tamu; R. Makan; R. Santai; Dapur; Dispenser; Locker; R. Keluarga; Parkir Mobil; Parkir Motor; Parkir Sepeda</t>
  </si>
  <si>
    <t>Kost Norita Tipe A Benda Tangerang</t>
  </si>
  <si>
    <t>Kost Zahsy Tipe A Tangerang</t>
  </si>
  <si>
    <t>3 x 6 meter; Tidak termasuk listrik; Kasur; Lemari Baju; Ventilasi; Bantal; Guling; Jendela; Kipas Angin; K. Mandi Dalam; Kloset Duduk; Ember mandi; Laundry; Balcon; CCTV; Gazebo; Jemuran; Joglo; Parkir Motor; Parkir Sepeda</t>
  </si>
  <si>
    <t>Kost Kenanga Deluxe Tangerang</t>
  </si>
  <si>
    <t>4 x 4 meter; Tidak termasuk listrik; AC; Kasur; Meja; Lemari Baju; Bantal; Cermin; Jendela; Kursi; K. Mandi Dalam; Kloset Duduk; Wastafel; Shower; Air panas; WiFi; Kulkas; Penjaga Kos; R. Jemur; R. Makan; R. Santai; Dapur; Balcon; CCTV; Jemuran; Parkir Mobil</t>
  </si>
  <si>
    <t>Kost Nabila Cibodas Tangerang</t>
  </si>
  <si>
    <t>3 x 3 meter; Termasuk listrik; Kasur; Lemari Baju; Ventilasi; Cleaning service; K. Mandi Dalam; Kloset Jongkok; Ember mandi; WiFi; R. Jemur; Dapur; CCTV; Pengurus Kos; Jemuran; Parkir Motor; Parkir Sepeda</t>
  </si>
  <si>
    <t>Kost Jati 77 Tangerang Tangerang</t>
  </si>
  <si>
    <t>3 x 3 meter; Tidak termasuk listrik; AC; Kasur; Lemari Baju; Meja makan; Bantal; Guling; K. Mandi Dalam; Kloset Duduk; Shower; WiFi; R. Cuci; Kulkas; R. Tamu; R. Makan; R. Jemur; Dapur; Dispenser; Jemuran; CCTV; Parkir Mobil; Parkir Motor; Parkir Sepeda</t>
  </si>
  <si>
    <t>Kost Zea Andri Alam Sutera Pinang Tangerang</t>
  </si>
  <si>
    <t>3 x 4 meter; Tidak termasuk listrik; AC; Kasur; Meja; Lemari Baju; Ventilasi; Bantal; Guling; Jendela; Cermin; K. Mandi Dalam; Kloset Duduk; Ember mandi; Shower; WiFi; R. Cuci; Kulkas; Mesin Cuci; Penjaga Kos; R. Jemur; Dapur; Jemuran; Balcon; Pengurus Kos; Parkir Motor; Parkir Sepeda; Parkir Motor &amp; Sepeda</t>
  </si>
  <si>
    <t>Kost Karein Dua Tipe A Cipondoh Tangerang</t>
  </si>
  <si>
    <t>3 x 4 meter; Tidak termasuk listrik; AC; Kasur; Lemari Baju; Ventilasi; Bantal; Guling; Jendela; K. Mandi Dalam; Kloset Jongkok; Ember mandi; WiFi; R. Tamu; R. Jemur; R. Santai; Dapur; Parkir Motor; Parkir Sepeda</t>
  </si>
  <si>
    <t>Kost Lavin Tangcity Tipe Single Tangerang</t>
  </si>
  <si>
    <t>3 x 3 meter; Tidak termasuk listrik; AC; Kasur; Meja; TV; Lemari Baju; Ventilasi; Bantal; Cermin; Cleaning service; Guling; K. Mandi Dalam; Kloset Duduk; Shower; Air panas; WiFi; Kulkas; R. Cuci; Mushola; R. Jemur; R. Makan; R. Santai; Dapur; Dispenser; Balcon; Parkir Mobil; Parkir Motor; Parkir Sepeda</t>
  </si>
  <si>
    <t>Kost Dean Residence 10 Tipe Deluxe Karang Tengah Tangerang</t>
  </si>
  <si>
    <t>7 x 4 meter; Tidak termasuk listrik; AC; Kasur; Meja; Dispenser; TV; Meja Rias; Kulkas; Lemari Baju; Ventilasi; Bantal; K. Mandi Dalam; Kloset Duduk; Wastafel; Shower; Air panas; WiFi; Laundry; Penjaga Kos; R. Makan; R. Santai; Dapur; Balcon; CCTV; Parkir Mobil; Parkir Motor; Parkir Sepeda</t>
  </si>
  <si>
    <t>Kost Saadi Cipondoh Tangerang</t>
  </si>
  <si>
    <t>2.8 x 2.8 meter; Tidak termasuk listrik; Kasur; Lemari Baju; Ventilasi; Bantal; Kipas Angin; K. Mandi Dalam; Kloset Jongkok; Ember mandi; WiFi; R. Jemur; Dispenser; Balcon; CCTV; Pengurus Kos; Parkir Motor; Parkir Sepeda</t>
  </si>
  <si>
    <t>Kost Alam Raya Bandara Tipe C Benda Tangerang</t>
  </si>
  <si>
    <t>3 x 3 meter; Termasuk listrik; AC; Kasur; Meja Rias; Lemari Baju; Jendela; Kloset Duduk; K. Mandi Luar; Ember mandi; Shower; WiFi; R. Cuci; Kulkas; R. Tamu; R. Makan; R. Jemur; R. Santai; Dapur; Dispenser; TV; Parkir Mobil; Parkir Motor</t>
  </si>
  <si>
    <t>Kost Sollana Premium Tipe Mezzanine Green Neglasari Tangerang</t>
  </si>
  <si>
    <t>2.5 x 6 meter</t>
  </si>
  <si>
    <t>2.5 x 6 meter; Tidak termasuk listrik; AC; Kasur; Dispenser; Meja; TV; Kulkas; Lemari Baju; Ventilasi; Bantal; Cermin; K. Mandi Dalam; Kloset Duduk; Ember mandi; Shower; Air panas; WiFi; R. Cuci; Laundry; Mesin Cuci; Penjaga Kos; R. Tamu; R. Jemur; R. Makan; R. Santai; Parkir Mobil; Parkir Motor</t>
  </si>
  <si>
    <t>Rp1.999.000</t>
  </si>
  <si>
    <t>Kost FMO Tipe B Karawaci Tangerang</t>
  </si>
  <si>
    <t>3.5 x 2.5 meter; Tidak termasuk listrik; Kasur; Lemari Baju; Bantal; Cermin; Guling; Jendela; K. Mandi Dalam; Kloset Duduk; Shower; WiFi; Kulkas; Mesin Cuci; R. Jemur; Dapur; Balcon; CCTV; Jemuran; Parkir Motor; Parkir Sepeda</t>
  </si>
  <si>
    <t>Kost Diva Perum 2 Tipe Executive Cibodas Tangerang</t>
  </si>
  <si>
    <t>3 x 5 meter; Tidak termasuk listrik; AC; Kasur; Lemari Baju; Bantal; Cermin; Jendela; K. Mandi Dalam; Kloset Duduk; Shower; WiFi; Kulkas; R. Jemur; R. Makan; R. Santai; CCTV; Balcon; Jemuran; Jual Makanan; Parkir Mobil; Parkir Motor</t>
  </si>
  <si>
    <t>Kost Griyakoe Tipe A Cipondoh Tangerang</t>
  </si>
  <si>
    <t>3 x 4 meter; Tidak termasuk listrik; AC; Kasur; Meja; Lemari Baju; Ventilasi; Bantal; Cermin; Cleaning service; Dapur Pribadi; Guling; K. Mandi Dalam; Kloset Duduk; Kloset Jongkok; Wastafel; Shower; WiFi; Kulkas; R. Cuci; Penjaga Kos; R. Tamu; R. Jemur; R. Makan; R. Santai; Dapur; CCTV; Parkir Mobil; Parkir Motor; Parkir Sepeda</t>
  </si>
  <si>
    <t>Kost Nyaman Dekat Bandara Mahkota Benda Tangerang</t>
  </si>
  <si>
    <t>3 x 3 meter; Tidak termasuk listrik; AC; Kasur; TV; Lemari Baju; Bantal; Cermin; Cleaning service; Wastafel; K. Mandi Dalam; Kloset Duduk; Air panas; WiFi; Penjaga Kos; R. Tamu; CCTV; Pengurus Kos; Parkir Motor</t>
  </si>
  <si>
    <t>Kost Viveka Residence Bintaro Deluxe Pondok Aren Tangerang Selatan</t>
  </si>
  <si>
    <t>3 x 2.5 meter; Tidak termasuk listrik; AC; Kasur; Meja; TV; Lemari Baju; Bantal; Cermin; Guling; Jendela; Kursi; K. Mandi Dalam; Kloset Duduk; Shower; Air panas; WiFi; Kulkas; Laundry; Penjaga Kos; R. Tamu; R. Makan; Dapur; Dispenser; CCTV; Kartu Akses; Parkir Motor; Parkir Sepeda; Parkir Motor &amp; Sepeda</t>
  </si>
  <si>
    <t>Kecamatan Pondok Aren</t>
  </si>
  <si>
    <t>Tangerang Selatan</t>
  </si>
  <si>
    <t>Kost Singgahsini STAN Rain Tipe A Pondok Aren Tangerang Selatan</t>
  </si>
  <si>
    <t>4 x 2.8 meter; Tidak termasuk listrik; AC; Kasur; Meja; Lemari Baju; Kursi; Bantal; Cermin; Jendela; K. Mandi Dalam; Kloset Duduk; Shower; WiFi; R. Tamu; Dapur; Parkir Motor; Parkir Sepeda</t>
  </si>
  <si>
    <t>Rp1.595.000</t>
  </si>
  <si>
    <t>PONDOK AREN</t>
  </si>
  <si>
    <t>Kost Apik Pondok Ardhan Tipe B Pondok Aren Tangerang Selatan</t>
  </si>
  <si>
    <t>Rp767.000</t>
  </si>
  <si>
    <t>3 x 2 meter; Termasuk listrik; Kasur; Lemari Baju; Bantal; Jendela; Kloset Jongkok; K. Mandi Luar; Ember mandi; WiFi; Kulkas; Penjaga Kos; Dapur; CCTV; TV; Parkir Motor &amp; Sepeda</t>
  </si>
  <si>
    <t>Rp707.640</t>
  </si>
  <si>
    <t>Pondok Aren</t>
  </si>
  <si>
    <t>Diskon 59rb</t>
  </si>
  <si>
    <t>Kost Singgahsini BSD Anggrek Jingga 1 Tipe B Serpong Tangerang Selatan</t>
  </si>
  <si>
    <t>3.5 x 2.6 meter; Termasuk listrik; AC; Kasur; Meja; Lemari Baju; Kursi; Bantal; Cermin; Jendela; K. Mandi Dalam; Kloset Duduk; Wastafel; Shower; Air panas; WiFi; Kulkas; R. Tamu; R. Jemur; Dapur; Dispenser; TV; K. Mandi Luar; CCTV; Parkir Mobil; Parkir Motor</t>
  </si>
  <si>
    <t>Serpong</t>
  </si>
  <si>
    <t>Kost Singgahsini Chika 19 Tipe A Pondok Aren Tangerang Selatan</t>
  </si>
  <si>
    <t>3 x 3 meter; Tidak termasuk listrik; AC; Kasur; TV; Lemari Baju; Cermin; K. Mandi Dalam; Kloset Duduk; Shower; Air panas; WiFi; Laundry; Mesin Cuci; Dapur; Dispenser; CCTV; Rooftop; Parkir Motor &amp; Sepeda</t>
  </si>
  <si>
    <t>Kost Singgahsini Wisma Serasi Tipe A Serpong Tangerang Selatan</t>
  </si>
  <si>
    <t>3.5 x 4 meter; Tidak termasuk listrik; AC; Kasur; Meja; Lemari Baju; Kulkas; Kursi; Bantal; Dapur Pribadi; Jendela; K. Mandi Dalam; Kloset Jongkok; Ember mandi; WiFi; Penjaga Kos; R. Jemur; Parkir Motor &amp; Sepeda</t>
  </si>
  <si>
    <t>Kost Singgahsini Wisma Serasi Tipe B Serpong Tangerang Selatan</t>
  </si>
  <si>
    <t>3.5 x 4 meter; Tidak termasuk listrik; AC; Kasur; Meja; Lemari Baju; Kursi; Bantal; Jendela; K. Mandi Dalam; Kloset Jongkok; Ember mandi; WiFi; Penjaga Kos; R. Jemur; Parkir Motor &amp; Sepeda</t>
  </si>
  <si>
    <t>Kost Singgahsini BSD Anggrek Jingga 1 Tipe A Serpong Tangerang Selatan</t>
  </si>
  <si>
    <t>Kost Singgahsini Maysa Gunung Raya Tipe A Ciputat Timur Tangerang Selatan</t>
  </si>
  <si>
    <t>3 x 3 meter; Tidak termasuk listrik; AC; Kasur; Meja; TV; Lemari Baju; Kulkas; Jendela; K. Mandi Dalam; Kloset Duduk; Shower; WiFi; R. Cuci; Mesin Cuci; Penjaga Kos; R. Jemur; Dapur; CCTV; Jemuran; Parkir Mobil; Parkir Motor &amp; Sepeda</t>
  </si>
  <si>
    <t>Ciputat</t>
  </si>
  <si>
    <t>Kost Apik Rumah Deka Tipe A Pondok Aren Tangerang Selatan</t>
  </si>
  <si>
    <t>Rp705.000</t>
  </si>
  <si>
    <t>3 x 3 meter; Termasuk listrik; Kasur; Meja; Lemari Baju; Kursi; Kloset Jongkok; K. Mandi Luar; Bak mandi; WiFi; R. Jemur; Dapur; Parkir Motor &amp; Sepeda</t>
  </si>
  <si>
    <t>Rp650.600</t>
  </si>
  <si>
    <t>Diskon 54rb</t>
  </si>
  <si>
    <t>Kost Singgahsini Davincy Bintaro Pondok Aren Tangerang Selatan</t>
  </si>
  <si>
    <t>5 x 3 meter; Tidak termasuk listrik; AC; Kasur; Meja; Lemari Baju; Kursi; Bantal; Cermin; Jendela; K. Mandi Dalam; Kloset Duduk; Shower; WiFi; Kulkas; R. Jemur; Dispenser; Parkir Mobil; Parkir Motor; Parkir Sepeda; Parkir Motor &amp; Sepeda</t>
  </si>
  <si>
    <t>Kost Apik Pondok Ardhan Tipe A Pondok Aren Tangerang Selatan</t>
  </si>
  <si>
    <t>3 x 3 meter; Tidak termasuk listrik; AC; Kasur; Lemari Baju; Bantal; Jendela; K. Mandi Dalam; WiFi; Kulkas; Penjaga Kos; Dapur; CCTV; TV; Parkir Motor &amp; Sepeda</t>
  </si>
  <si>
    <t>Rp1.252.000</t>
  </si>
  <si>
    <t>Kost Omah Tipe A Pondok Aren Tangerang Selatan</t>
  </si>
  <si>
    <t>3 x 2.9 meter</t>
  </si>
  <si>
    <t>3 x 2.9 meter; Tidak termasuk listrik; AC; Bantal; K. Mandi Dalam; Kloset Jongkok; Ember mandi; WiFi; Dapur; CCTV; Parkir Motor</t>
  </si>
  <si>
    <t>Kost Apik Hijau Tipe C Ciputat Timur Tangerang Selatan</t>
  </si>
  <si>
    <t>3.2 x 2.7 meter; Tidak termasuk listrik; AC; Kasur; Lemari Baju; Ventilasi; Bantal; Cermin; Kloset Duduk; K. Mandi Luar; Ember mandi; Shower; WiFi; R. Cuci; Penjaga Kos; R. Tamu; Mesin Cuci; R. Makan; R. Jemur; Dapur; Dispenser; Parkir Motor &amp; Sepeda</t>
  </si>
  <si>
    <t>Ciputat Timur</t>
  </si>
  <si>
    <t>Kost Singgahsini The Best Kost Tipe C Serpong Tangerang Selatan</t>
  </si>
  <si>
    <t>3 x 5.2 meter</t>
  </si>
  <si>
    <t>3 x 5.2 meter; Tidak termasuk listrik; AC; Kasur; Meja; Lemari Baju; Kursi; Jendela; Wastafel; Bantal; Cermin; K. Mandi Dalam; Kloset Jongkok; Ember mandi; Shower; WiFi; Kulkas; Penjaga Kos; R. Tamu; Dapur; Kartu Akses; CCTV; Rooftop; Parkir Mobil; Parkir Motor &amp; Sepeda</t>
  </si>
  <si>
    <t>Rp1.520.000</t>
  </si>
  <si>
    <t>Kost Singgahsini Pondok Asri Tipe A Ciputat Timur Tangerang Selatan</t>
  </si>
  <si>
    <t>3.5 x 4 meter; Tidak termasuk listrik; AC; Kasur; Meja; Lemari Baju; Ventilasi; Bantal; Cermin; K. Mandi Dalam; Kloset Duduk; Wastafel; Shower; Air panas; WiFi; Penjaga Kos; Mesin Cuci; Parkir Motor &amp; Sepeda</t>
  </si>
  <si>
    <t>Kost Apik Cuba 10 Tipe B Serpong Tangerang Selatan</t>
  </si>
  <si>
    <t>3.3 x 2.7 meter; Tidak termasuk listrik; Kasur; Meja; Lemari Baju; Ventilasi; Kursi; Kipas Angin; Bantal; Guling; Jendela; Kloset Duduk; K. Mandi Luar; Ember mandi; Shower; WiFi; Kulkas; R. Tamu; Penjaga Kos; R. Jemur; Dapur; CCTV; Rice Cooker; Jemuran; Parkir Motor; Parkir Sepeda</t>
  </si>
  <si>
    <t>Kost Singgahsini Java Tentrem Tipe B Ciputat Timur Tangerang Selatan</t>
  </si>
  <si>
    <t>4.6 x 2.8 meter</t>
  </si>
  <si>
    <t>4.6 x 2.8 meter; Tidak termasuk listrik; AC; Kasur; Meja; Lemari Baju; Kursi; Bantal; Cermin; Guling; Jendela; K. Mandi Dalam; Kloset Duduk; Wastafel; Shower; Air panas; WiFi; R. Tamu; Penjaga Kos; R. Jemur; Dapur; Gazebo; CCTV; Jemuran; Parkir Mobil; Parkir Motor; Parkir Sepeda</t>
  </si>
  <si>
    <t>Rp2.135.000</t>
  </si>
  <si>
    <t>Kost My Suite Ciputat Tangerang Selatan</t>
  </si>
  <si>
    <t>4 x 4 meter; Tidak termasuk listrik; AC; Kasur; TV; Lemari Baju; Bantal; Cermin; Guling; Jendela; Dapur Pribadi; K. Mandi Dalam; Kloset Duduk; Kloset Jongkok; Shower; WiFi; Dapur; CCTV; Taman; Balcon; Parkir Motor; Parkir Sepeda; Parkir Motor &amp; Sepeda</t>
  </si>
  <si>
    <t>Kost Singgahsini BSD 36 Tipe B Serpong Tangerang Selatan</t>
  </si>
  <si>
    <t>3 x 3 meter; Tidak termasuk listrik; AC; Kasur; Lemari Baju; Wastafel; K. Mandi Dalam; Kloset Duduk; Shower; Penjaga Kos; R. Jemur; Mushola; R. Santai; Dapur; Taman; Parkir Mobil; Parkir Motor</t>
  </si>
  <si>
    <t>Kost Singgahsini MR PKN STAN Tipe A Pondok Aren Tangerang Selatan</t>
  </si>
  <si>
    <t>3.7 x 3.6 meter</t>
  </si>
  <si>
    <t>3.7 x 3.6 meter; Tidak termasuk listrik; AC; Kasur; Meja; Lemari Baju; Ventilasi; Kursi; Bantal; Cermin; Guling; Jendela; K. Mandi Dalam; Kloset Jongkok; Ember mandi; Bak mandi; WiFi; Kulkas; R. Tamu; Penjaga Kos; R. Jemur; Dapur; Jemuran; Parkir Mobil; Parkir Motor; Parkir Sepeda</t>
  </si>
  <si>
    <t>Rp1.497.000</t>
  </si>
  <si>
    <t>Kost Md Tipe A Serpong Tangerang Selatan</t>
  </si>
  <si>
    <t>3 x 5 meter; Tidak termasuk listrik; Kasur; Lemari Baju; Bantal; Cermin; Dapur Pribadi; Kipas Angin; Wastafel; K. Mandi Dalam; Kloset Jongkok; Ember mandi; Bak mandi; WiFi; Jemuran; Rooftop; Parkir Mobil; Parkir Motor; Parkir Sepeda; Parkir Motor &amp; Sepeda</t>
  </si>
  <si>
    <t>Kecamatan Serpong</t>
  </si>
  <si>
    <t>Kost Sandratex Ciputat Timur Tangerang Selatan</t>
  </si>
  <si>
    <t>3 x 3 meter; Tidak termasuk listrik; Kasur; Meja; Lemari Baju; Ventilasi; Kipas Angin; Bantal; Guling; Jendela; Sofa; Cermin; K. Mandi Dalam; Kloset Jongkok; Ember mandi; Shower; WiFi; R. Cuci; R. Tamu; R. Jemur; R. Santai; Dapur; Balcon; CCTV; Gazebo; Jemuran; Parkir Motor; Parkir Sepeda</t>
  </si>
  <si>
    <t>Kecamatan Ciputat Timur</t>
  </si>
  <si>
    <t>Kost Singgahsini Dbugs Tipe A Ciputat Timur Tangerang Selatan</t>
  </si>
  <si>
    <t>3 x 3 meter; Tidak termasuk listrik; AC; Kasur; Meja; Lemari Baju; Kursi; Jendela; Bantal; Cermin; K. Mandi Dalam; Kloset Duduk; Wastafel; Shower; WiFi; Kulkas; R. Tamu; Penjaga Kos; CCTV; Parkir Mobil; Parkir Motor &amp; Sepeda</t>
  </si>
  <si>
    <t>Kost Singgahsini Java Tentrem Tipe A Ciputat Timur Tangerang Selatan</t>
  </si>
  <si>
    <t>3.5 x 5 meter; Tidak termasuk listrik; AC; Kasur; Meja; Lemari Baju; Kursi; Wastafel; Bantal; Cermin; Guling; Jendela; K. Mandi Dalam; Kloset Duduk; Shower; Air panas; WiFi; R. Tamu; Penjaga Kos; R. Jemur; Dapur; Gazebo; CCTV; Jemuran; Parkir Mobil; Parkir Motor; Parkir Sepeda</t>
  </si>
  <si>
    <t>Kost Singgahsini Dehook Tipe A Ciputat Tangerang Selatan</t>
  </si>
  <si>
    <t>3.9 x 3.2 meter</t>
  </si>
  <si>
    <t>3.9 x 3.2 meter; Tidak termasuk listrik; AC; Kasur; Lemari Baju; Ventilasi; Jendela; Bantal; Cermin; Guling; K. Mandi Dalam; Kloset Duduk; Ember mandi; WiFi; Kulkas; Penjaga Kos; R. Jemur; Dapur; CCTV; Parkir Mobil; Parkir Motor &amp; Sepeda</t>
  </si>
  <si>
    <t>Kost KamarKu Anggrek Loka Tipe Deluxe A Serpong Tangerang Selatan</t>
  </si>
  <si>
    <t>3 x 3.6 meter; Tidak termasuk listrik; AC; Kasur; Meja; TV; Lemari Baju; Ventilasi; Kursi; Cleaning service; Bantal; Cermin; K. Mandi Dalam; Kloset Duduk; Wastafel; Shower; Air panas; WiFi; R. Cuci; Kulkas; Mesin Cuci; Penjaga Kos; Laundry; R. Makan; R. Jemur; R. Santai; Dapur; Parkir Mobil; Parkir Motor; Parkir Sepeda</t>
  </si>
  <si>
    <t>Kost Singgahsini Mandar IV Bintaro Tipe A Pondok Aren Tangerang Selatan</t>
  </si>
  <si>
    <t>3 x 3 meter; Tidak termasuk listrik; AC; Kasur; TV; Lemari Baju; Bantal; Jendela; K. Mandi Dalam; Kloset Duduk; Shower; Air panas; WiFi; Kulkas; Dapur; Parkir Mobil; Parkir Motor; Parkir Sepeda; Parkir Motor &amp; Sepeda</t>
  </si>
  <si>
    <t>Kost Singgahsini Benito Tipe D Serpong Tangerang Selatan</t>
  </si>
  <si>
    <t>4 x 4 meter; Termasuk listrik; AC; Kasur; Meja; TV; Meja Rias; Lemari Baju; Kursi; Bantal; Cermin; Jendela; K. Mandi Dalam; Kloset Duduk; Wastafel; Shower; Air panas; WiFi; Kulkas; R. Tamu; Penjaga Kos; R. Makan; R. Jemur; R. Santai; Dapur; Dispenser; Parkir Mobil; Parkir Motor; Parkir Sepeda</t>
  </si>
  <si>
    <t>Serpong Utara</t>
  </si>
  <si>
    <t>Kost Homiku Pondok Cabe Tipe A Pamulang Tangerang Selatan</t>
  </si>
  <si>
    <t>3 x 3 meter; Termasuk listrik; Kasur; Meja; Lemari Baju; Ventilasi; Meja makan; Bantal; Jendela; K. Mandi Dalam; WiFi; Parkir Mobil</t>
  </si>
  <si>
    <t>Pamulang</t>
  </si>
  <si>
    <t>Kost Singgahsini Bintaro Executive Tipe B Pondok Aren Tangerang Selatan</t>
  </si>
  <si>
    <t>3 x 2.5 meter; Tidak termasuk listrik; AC; Kasur; Meja Rias; Lemari Baju; Bantal; Cermin; K. Mandi Dalam; Kloset Duduk; Shower; WiFi; R. Cuci; Kulkas; R. Tamu; Penjaga Kos; R. Jemur; Jemuran; Parkir Mobil; Parkir Motor &amp; Sepeda</t>
  </si>
  <si>
    <t>Kost Kpop Stan Sarmili Pondok Aren Tangerang Selatan</t>
  </si>
  <si>
    <t>3 x 4 meter; Tidak termasuk listrik; Kasur; Meja; Lemari Baju; Kulkas; Ventilasi; Bantal; Cermin; Guling; Jendela; Kipas Angin; K. Mandi Dalam; Kloset Jongkok; Ember mandi; WiFi; Dapur; Jemuran; Parkir Motor</t>
  </si>
  <si>
    <t>Kost Singgahsini Perkici IV STAN Tipe A Bintaro Tangerang Selatan</t>
  </si>
  <si>
    <t>2.3 x 2.8 meter; Tidak termasuk listrik; AC; Kasur; Lemari Baju; Jendela; Bantal; Guling; Kloset Duduk; K. Mandi Luar; Ember mandi; WiFi; Kulkas; Penjaga Kos; Dapur; Dispenser; Parkir Motor &amp; Sepeda</t>
  </si>
  <si>
    <t>Kost Singgahsini Hannie BSD Tipe D Rawa Buntu Tangerang Selatan</t>
  </si>
  <si>
    <t>3.2 x 3.3 meter; Termasuk listrik; AC; Kasur; Meja; TV; Lemari Baju; Ventilasi; Kursi; Bantal; Cermin; Jendela; Kloset Duduk; K. Mandi Luar; Shower; WiFi; R. Cuci; Kulkas; R. Tamu; Mesin Cuci; Penjaga Kos; R. Makan; R. Jemur; Dapur; Dispenser; Parkir Mobil; Parkir Motor &amp; Sepeda</t>
  </si>
  <si>
    <t>Kost Singgahsini Benito Tipe B Serpong Tangerang Selatan</t>
  </si>
  <si>
    <t>2 x 3 meter; Termasuk listrik; AC; Kasur; Meja; Lemari Baju; Ventilasi; Bantal; Kloset Duduk; K. Mandi Luar; Shower; Air panas; WiFi; Kulkas; R. Tamu; Penjaga Kos; R. Makan; R. Jemur; R. Santai; Dapur; Dispenser; TV; Parkir Mobil; Parkir Motor; Parkir Sepeda</t>
  </si>
  <si>
    <t>Kost Apik Cirendeu UMJ Tipe B Ciputat Timur Tangerang Selatan</t>
  </si>
  <si>
    <t>2.9 x 2.5 meter</t>
  </si>
  <si>
    <t>2.9 x 2.5 meter; Termasuk listrik; Kasur; Meja; Lemari Baju; Ventilasi; Kursi; Bantal; Jendela; Kloset Jongkok; K. Mandi Luar; WiFi; Penjaga Kos; CCTV; Parkir Motor; Parkir Sepeda</t>
  </si>
  <si>
    <t>Rp709.000</t>
  </si>
  <si>
    <t>Diskon 36rb</t>
  </si>
  <si>
    <t>Kost Singgahsini STAN Tipe B Jurang Mangu Tangerang Selatan</t>
  </si>
  <si>
    <t>4 x 3 meter; Tidak termasuk listrik; Kasur; Meja; Lemari Baju; Kulkas; Ventilasi; Kursi; Kipas Angin; Bantal; Cermin; Jendela; K. Mandi Dalam; Kloset Duduk; Shower; WiFi; R. Cuci; R. Tamu; Dapur; Dispenser; Parkir Mobil; Parkir Motor; Parkir Sepeda; Parkir Motor &amp; Sepeda</t>
  </si>
  <si>
    <t>Kost Singgahsini Ramboe Ranca 85 Tipe A Ciputat Tangerang Selatan</t>
  </si>
  <si>
    <t>5 x 3 meter; Tidak termasuk listrik; AC; Kasur; Meja; TV; Lemari Baju; Ventilasi; Kursi; Bantal; Jendela; K. Mandi Dalam; Kloset Duduk; Wastafel; Shower; Air panas; WiFi; R. Tamu; Dapur; CCTV; Parkir Mobil; Parkir Motor</t>
  </si>
  <si>
    <t>Kecamatan Ciputat</t>
  </si>
  <si>
    <t>Kost Apik Cuba 10 Tipe A Serpong Tangerang Selatan</t>
  </si>
  <si>
    <t>3.9 x 2.8 meter</t>
  </si>
  <si>
    <t>3.9 x 2.8 meter; Tidak termasuk listrik; AC; Kasur; Meja; TV; Lemari Baju; Ventilasi; Kursi; Bantal; Cermin; Guling; K. Mandi Dalam; Kloset Duduk; Shower; WiFi; Kulkas; R. Tamu; Penjaga Kos; R. Jemur; Dapur; K. Mandi Luar; CCTV; Rice Cooker; Jemuran; Parkir Motor; Parkir Sepeda</t>
  </si>
  <si>
    <t>Kost Singgahsini Ramboe Ranca 85 Tipe B Ciputat Tangerang Selatan</t>
  </si>
  <si>
    <t>Kost Singgahsini STAN Bintaro Andalusia Tipe B Pondok Aren Tangerang Selatan</t>
  </si>
  <si>
    <t>3 x 2.9 meter; Tidak termasuk listrik; AC; Kasur; Meja; Lemari Baju; Kursi; Guling; Jendela; K. Mandi Dalam; Kloset Duduk; Ember mandi; WiFi; Kulkas; R. Jemur; Dapur; TV; K. Mandi Luar; Parkir Motor; Parkir Sepeda</t>
  </si>
  <si>
    <t>Kost Singgahsini Magnolia BSD Tipe A Serpong Tangerang Selatan</t>
  </si>
  <si>
    <t>3 x 4 meter; Tidak termasuk listrik; AC; Kasur; Meja; Lemari Baju; Kursi; Bantal; Cermin; Guling; Jendela; K. Mandi Dalam; Kloset Duduk; Shower; WiFi; Kulkas; R. Tamu; Penjaga Kos; R. Jemur; Dapur; Gazebo; CCTV; Jemuran; Parkir Motor &amp; Sepeda</t>
  </si>
  <si>
    <t>Kost Singgahsini STAN Bintaro Andalusia Tipe C Pondok Aren Tangerang Selatan</t>
  </si>
  <si>
    <t>2.3 x 2.8 meter; Tidak termasuk listrik; Kasur; Meja; Lemari Baju; Kursi; Bantal; Guling; Jendela; K. Mandi Dalam; Kloset Duduk; Ember mandi; WiFi; Kulkas; R. Jemur; Dapur; TV; K. Mandi Luar; Parkir Motor; Parkir Sepeda</t>
  </si>
  <si>
    <t>Kost BSD Aster Serpong Tangerang</t>
  </si>
  <si>
    <t>3 x 3 meter; Tidak termasuk listrik; AC; Kasur; Meja; Lemari Baju; Kursi; Wastafel; K. Mandi Dalam; Kloset Duduk; Shower; Air panas; WiFi; Mesin Cuci; R. Makan; R. Jemur; Dapur; Parkir Motor</t>
  </si>
  <si>
    <t>Kost Apik Riyadus Solihin Park View Tipe A Pondok Aren Tangerang Selatan</t>
  </si>
  <si>
    <t>3 x 3 meter; Termasuk listrik; AC; Kasur; Lemari Baju; Ventilasi; Bantal; Jendela; K. Mandi Dalam; Kloset Jongkok; Ember mandi; WiFi; R. Cuci; Kulkas; R. Tamu; Mesin Cuci; Penjaga Kos; R. Jemur; Dapur; Parkir Motor &amp; Sepeda</t>
  </si>
  <si>
    <t>Kost Singgahsini Bintaro Executive Tipe A Pondok Aren Tangerang Selatan</t>
  </si>
  <si>
    <t>3 x 3 meter; Tidak termasuk listrik; AC; Kasur; Lemari Baju; Wastafel; Bantal; Cermin; K. Mandi Dalam; Kloset Duduk; Shower; WiFi; R. Cuci; Kulkas; R. Tamu; Penjaga Kos; R. Jemur; Jemuran; Parkir Mobil; Parkir Motor &amp; Sepeda</t>
  </si>
  <si>
    <t>Kost Singgahsini Griya Miravelle Tipe A Tangerang Selatan</t>
  </si>
  <si>
    <t>3 x 3 meter; Tidak termasuk listrik; AC; Kasur; Meja; Lemari Baju; Kursi; Bantal; Cermin; Jendela; K. Mandi Dalam; Kloset Duduk; Wastafel; Shower; WiFi; R. Cuci; Kulkas; R. Tamu; Penjaga Kos; R. Makan; R. Jemur; TV; Jemuran; Parkir Motor &amp; Sepeda</t>
  </si>
  <si>
    <t>Kost Singgahsini Dehook Tipe B Ciputat Tangerang Selatan</t>
  </si>
  <si>
    <t>3.9 x 3.2 meter; Tidak termasuk listrik; Kasur; Lemari Baju; Ventilasi; Jendela; Kipas Angin; Bantal; Cermin; Guling; K. Mandi Dalam; Kloset Duduk; Ember mandi; WiFi; Kulkas; Penjaga Kos; R. Jemur; Dapur; CCTV; Parkir Mobil; Parkir Motor &amp; Sepeda</t>
  </si>
  <si>
    <t>Kost Singgahsini Putri Mawar PJMI Tipe A Bintaro Tangerang Selatan</t>
  </si>
  <si>
    <t>4.5 x 4 meter; Tidak termasuk listrik; AC; Kasur; Meja; Lemari Baju; Kursi; Bantal; Jendela; K. Mandi Dalam; Kloset Duduk; Ember mandi; Shower; WiFi; Kulkas; Dapur; Dispenser; Parkir Mobil; Parkir Motor; Parkir Sepeda; Parkir Motor &amp; Sepeda</t>
  </si>
  <si>
    <t>Kost Singgahsini MR PKN STAN Tipe B Pondok Aren Tangerang Selatan</t>
  </si>
  <si>
    <t>2.5 x 3 meter; Tidak termasuk listrik; AC; Kasur; Meja; Lemari Baju; Ventilasi; Kursi; Bantal; Cermin; Guling; Jendela; K. Mandi Dalam; Kloset Duduk; K. Mandi Luar; Ember mandi; WiFi; Kulkas; R. Tamu; Penjaga Kos; R. Jemur; Dapur; Jemuran; Parkir Mobil; Parkir Motor; Parkir Sepeda</t>
  </si>
  <si>
    <t>Kost Jambu Asri Ciputat Timur Tangerang Selatan</t>
  </si>
  <si>
    <t>9 x 3 meter; Tidak termasuk listrik; AC; Ventilasi; Dapur Pribadi; Jendela; K. Mandi Dalam; Kloset Duduk; Shower; R. Tamu; R. Jemur; Dapur; Locker; Taman; Balcon; Parkir Mobil; Parkir Motor</t>
  </si>
  <si>
    <t>Kost Singgahsini Al Karim STAN Tipe A Pondok Aren Tangerang Selatan</t>
  </si>
  <si>
    <t>3.2 x 3.2 meter; Tidak termasuk listrik; AC; Kasur; Meja; Lemari Baju; Ventilasi; Kursi; Bantal; Jendela; K. Mandi Dalam; Kloset Duduk; Ember mandi; Shower; WiFi; Kulkas; R. Tamu; Penjaga Kos; R. Makan; R. Jemur; Dapur; K. Mandi Luar; Jemuran; Parkir Motor; Parkir Sepeda; Parkir Motor &amp; Sepeda</t>
  </si>
  <si>
    <t>Kost Farandole Tipe A Serpong Tangerang Selatan</t>
  </si>
  <si>
    <t>2 x 3 meter; Tidak termasuk listrik; AC; Kasur; Meja; TV; Lemari Baju; Ventilasi; Bantal; Cermin; Guling; Jendela; K. Mandi Dalam; Kloset Duduk; Shower; Air panas; WiFi; Kulkas; R. Cuci; Laundry; Mesin Cuci; Penjaga Kos; R. Jemur; Dapur; Dispenser; CCTV; Parkir Motor; Parkir Motor &amp; Sepeda</t>
  </si>
  <si>
    <t>Kost KamarKu Griya Loka BSD Deluxe Serpong Tangerang Selatan</t>
  </si>
  <si>
    <t>3 x 3.5 meter; Tidak termasuk listrik; AC; Kasur; Meja; Lemari Baju; Ventilasi; Bantal; Cermin; Cleaning service; Jendela; Kursi; K. Mandi Dalam; Kloset Duduk; Wastafel; Shower; Air panas; WiFi; Laundry; Penjaga Kos; R. Makan; R. Santai; Dapur; Dispenser; CCTV; Jemuran; Kartu Akses; Parkir Mobil; Parkir Motor; Parkir Motor &amp; Sepeda</t>
  </si>
  <si>
    <t>Kost Apik Mahoni Tipe A Pondok Aren Tangerang Selatan</t>
  </si>
  <si>
    <t>2.4 x 2.7 meter</t>
  </si>
  <si>
    <t>2.4 x 2.7 meter; Tidak termasuk listrik; AC; Kasur; Meja; Lemari Baju; Ventilasi; Kursi; Jendela; Bantal; K. Mandi Dalam; Kloset Jongkok; Ember mandi; WiFi; R. Tamu; R. Jemur; Dapur; CCTV; Balcon; Jemuran; Parkir Motor &amp; Sepeda</t>
  </si>
  <si>
    <t>Kost Singgahsini Benito Tipe A Serpong Tangerang Selatan</t>
  </si>
  <si>
    <t>2 x 3 meter; Termasuk listrik; Kasur; Meja; Lemari Baju; Ventilasi; Kursi; Bantal; Kloset Duduk; K. Mandi Luar; Shower; Air panas; WiFi; Kulkas; R. Tamu; Penjaga Kos; R. Makan; R. Jemur; R. Santai; Dapur; Dispenser; TV; Parkir Mobil; Parkir Motor; Parkir Sepeda</t>
  </si>
  <si>
    <t>Kost Singgahsini Cireundeu 2 Tipe A Ciputat Timur Tangerang Selatan</t>
  </si>
  <si>
    <t>3.5 x 2.9 meter</t>
  </si>
  <si>
    <t>3.5 x 2.9 meter; Tidak termasuk listrik; AC; Kasur; Meja; Lemari Baju; Ventilasi; Kursi; Bantal; Guling; K. Mandi Dalam; Kloset Duduk; Wastafel; Shower; Air panas; WiFi; Mesin Cuci; Penjaga Kos; Dapur; CCTV; Parkir Mobil; Parkir Motor &amp; Sepeda</t>
  </si>
  <si>
    <t>Kost Omah Andriz Tipe B Pamulang Tangerang Selatan</t>
  </si>
  <si>
    <t>3 x 3 meter; Tidak termasuk listrik; Kasur; Meja; Lemari Baju; Ventilasi; Bantal; Jendela; Kursi; K. Mandi Dalam; Kloset Duduk; Shower; WiFi; Kulkas; R. Tamu; R. Jemur; R. Santai; Dapur; CCTV; Gazebo; Jemuran; Pengurus Kos; Parkir Motor</t>
  </si>
  <si>
    <t>Kecamatan Pamulang</t>
  </si>
  <si>
    <t>Kost Singgahsini BSD Anggrek Loka AR15 Tipe D Serpong Tangerang Selatan</t>
  </si>
  <si>
    <t>3.3 x 2.7 meter; Tidak termasuk listrik; Kasur; Meja; Lemari Baju; Kursi; Bantal; Guling; Jendela; Kloset Duduk; K. Mandi Luar; Shower; WiFi; Kulkas; R. Tamu; Mesin Cuci; Dapur; Dispenser; Rice Cooker; Parkir Mobil; Parkir Motor; Parkir Sepeda</t>
  </si>
  <si>
    <t>Kost Singgahsini Sepintu Rawa Buntu Tipe A Serpong Tangerang Selatan</t>
  </si>
  <si>
    <t>3 x 3 meter; Tidak termasuk listrik; AC; Kasur; Meja; Lemari Baju; Kursi; Bantal; Jendela; K. Mandi Dalam; Kloset Duduk; Wastafel; Shower; WiFi; R. Tamu; Penjaga Kos; R. Makan; R. Jemur; Dapur; CCTV; Rice Cooker; Jemuran; Parkir Mobil; Parkir Motor; Parkir Sepeda</t>
  </si>
  <si>
    <t>Kost Apik Cirendeu UMJ Tipe A Ciputat Timur Tangerang Selatan</t>
  </si>
  <si>
    <t>2.9 x 2.5 meter; Termasuk listrik; Kasur; Meja; Lemari Baju; Ventilasi; Kursi; Bantal; Cermin; Jendela; K. Mandi Dalam; Kloset Jongkok; WiFi; Penjaga Kos; K. Mandi Luar; CCTV; Parkir Motor; Parkir Sepeda</t>
  </si>
  <si>
    <t>Kost Singgahsini The Best Kost Tipe A Serpong Tangerang Selatan</t>
  </si>
  <si>
    <t>Kost Milenial Tipe F Pondok Aren Tangerang Selatan</t>
  </si>
  <si>
    <t>4 x 4 meter; Tidak termasuk listrik; AC; Kasur; Meja; Lemari Baju; Ventilasi; Kursi; Cleaning service; Bantal; Cermin; Guling; K. Mandi Dalam; Kloset Duduk; Shower; WiFi; R. Cuci; Kulkas; R. Tamu; Mesin Cuci; Penjaga Kos; R. Makan; R. Jemur; R. Santai; Dapur; Parkir Motor; Parkir Sepeda</t>
  </si>
  <si>
    <t>Kost Apik Riyadus Solihin Park View Tipe B Pondok Aren Tangerang Selatan</t>
  </si>
  <si>
    <t>3 x 3 meter; Termasuk listrik; Kasur; Lemari Baju; Ventilasi; Bantal; Jendela; K. Mandi Dalam; Kloset Jongkok; Ember mandi; WiFi; R. Cuci; Kulkas; R. Tamu; Mesin Cuci; Penjaga Kos; R. Jemur; Dapur; Parkir Motor &amp; Sepeda</t>
  </si>
  <si>
    <t>Kost Singgahsini Queen Tisli Tipe A Serpong Tangerang Selatan</t>
  </si>
  <si>
    <t>Rp2.041.000</t>
  </si>
  <si>
    <t>4 x 4 meter; Tidak termasuk listrik; AC; Kasur; Meja; Lemari Baju; Kursi; Bantal; Cermin; Guling; Jendela; K. Mandi Dalam; Kloset Duduk; Shower; Air panas; WiFi; Kulkas; R. Tamu; Penjaga Kos; R. Makan; R. Jemur; Dapur; Dispenser; K. Mandi Luar; CCTV; Parkir Mobil; Parkir Motor &amp; Sepeda</t>
  </si>
  <si>
    <t>Rp1.940.200</t>
  </si>
  <si>
    <t>Kost Gris Home Executive Setu Tangerang Selatan</t>
  </si>
  <si>
    <t>3 x 4 meter; Tidak termasuk listrik; AC; Kasur; Meja; TV; Lemari Baju; Ventilasi; Bantal; Guling; Jendela; Kursi; K. Mandi Dalam; Kloset Duduk; Shower; Air panas; WiFi; Kulkas; R. Cuci; Mesin Cuci; Penjaga Kos; R. Jemur; Dapur; Dispenser; Balcon; CCTV; Parkir Motor; Parkir Sepeda; Parkir Motor &amp; Sepeda</t>
  </si>
  <si>
    <t>Kecamatan Setu</t>
  </si>
  <si>
    <t>Kost Apik Griya Tentrem Bintaro Tipe A Pondok Aren Tangerang Selatan</t>
  </si>
  <si>
    <t>3 x 2.2 meter; Termasuk listrik; Kasur; Meja; TV; Lemari Baju; Ventilasi; Kursi; Kipas Angin; Bantal; Jendela; Kloset Jongkok; K. Mandi Luar; Ember mandi; WiFi; R. Tamu; Penjaga Kos; R. Makan; R. Jemur; Dapur; Parkir Mobil; Parkir Motor; Parkir Sepeda</t>
  </si>
  <si>
    <t>Diskon 76rb</t>
  </si>
  <si>
    <t>Kost Apik Tarigan Tipe B Setu Tangerang Selatan</t>
  </si>
  <si>
    <t>3.1 x 2.8 meter; Tidak termasuk listrik; Kasur; Lemari Baju; Bantal; Guling; Jendela; K. Mandi Dalam; Kloset Duduk; Shower; WiFi; Penjaga Kos; Parkir Motor &amp; Sepeda</t>
  </si>
  <si>
    <t>Setu</t>
  </si>
  <si>
    <t>Kost Singgahsini BSD 36 Tipe A Serpong Tangerang Selatan</t>
  </si>
  <si>
    <t>Kost Ibu Yuyun Tipe A Ciputat Tangerang Selatan</t>
  </si>
  <si>
    <t>3 x 4 meter; Termasuk listrik; Kasur; Lemari Baju; Ventilasi; Dapur Pribadi; Bantal; Cermin; Guling; Jendela; Kipas Angin; Kursi; K. Mandi Dalam; Kloset Jongkok; Ember mandi; Bak mandi; WiFi; Penjaga Kos; R. Jemur; Dapur; Balcon; Jemuran; Pengurus Kos; R. Keluarga; CCTV; Parkir Motor; Parkir Sepeda</t>
  </si>
  <si>
    <t>Kost Singgahsini Putri Mawar PJMI Tipe B Bintaro Tangerang Selatan</t>
  </si>
  <si>
    <t>4 x 3 meter; Tidak termasuk listrik; AC; Kasur; Meja; Lemari Baju; Kursi; Bantal; Jendela; K. Mandi Dalam; Kloset Duduk; Ember mandi; Shower; WiFi; Kulkas; Dapur; Dispenser; Parkir Mobil; Parkir Motor; Parkir Sepeda; Parkir Motor &amp; Sepeda</t>
  </si>
  <si>
    <t>Kost Lexie House Pondok Aren Tangerang Selatan</t>
  </si>
  <si>
    <t>3 x 4 meter; Tidak termasuk listrik; AC; Kasur; Meja; Lemari Baju; Ventilasi; Kursi; Bantal; Guling; K. Mandi Dalam; Kloset Jongkok; Ember mandi; Shower; WiFi; Kulkas; R. Tamu; Penjaga Kos; R. Jemur; R. Santai; Dapur; TV; Pengurus Kos; Jemuran; Parkir Motor; Parkir Sepeda</t>
  </si>
  <si>
    <t>Kost Apik Griya Tentrem Bintaro Tipe B Pondok Aren Tangerang Selatan</t>
  </si>
  <si>
    <t>Kost Apik Cilenggang 18 Tipe A Serpong Tangerang Selatan</t>
  </si>
  <si>
    <t>3.2 x 3 meter; Tidak termasuk listrik; Kasur; Lemari Baju; Ventilasi; Jendela; Bantal; K. Mandi Dalam; Kloset Jongkok; Ember mandi; WiFi; Dapur; Parkir Motor &amp; Sepeda</t>
  </si>
  <si>
    <t>Rp785.000</t>
  </si>
  <si>
    <t>Kost Singgahsini STAN Tipe A Jurang Mangu Tangerang Selatan</t>
  </si>
  <si>
    <t>4 x 3 meter; Tidak termasuk listrik; AC; Kasur; Meja; Lemari Baju; Kulkas; Ventilasi; Kursi; Bantal; Cermin; Jendela; K. Mandi Dalam; Kloset Duduk; Shower; WiFi; R. Cuci; R. Tamu; Dapur; Dispenser; Parkir Mobil; Parkir Motor; Parkir Sepeda; Parkir Motor &amp; Sepeda</t>
  </si>
  <si>
    <t>Kost Flamboyan A One Ciputat Timur Tangerang Selatan</t>
  </si>
  <si>
    <t>3 x 3 meter; Tidak termasuk listrik; AC; Kasur; Meja; Meja Rias; Lemari Baju; Ventilasi; Kursi; Cleaning service; Bantal; Cermin; K. Mandi Dalam; Kloset Duduk; Shower; Air panas; WiFi; Kulkas; R. Tamu; Penjaga Kos; Laundry; R. Makan; R. Jemur; R. Santai; Dapur; CCTV; Parkir Motor</t>
  </si>
  <si>
    <t>Kost Rie Cozy Bsd Homey Serpong Tangerang Selatan</t>
  </si>
  <si>
    <t>3 x 4 meter; Tidak termasuk listrik; AC; Kasur; Meja; Meja Rias; Lemari Baju; Ventilasi; Bantal; Cermin; Guling; Jendela; K. Mandi Dalam; Kloset Duduk; Wastafel; Ember mandi; Shower; Air panas; WiFi; Kulkas; R. Cuci; Laundry; Mesin Cuci; Penjaga Kos; R. Tamu; R. Jemur; R. Makan; R. Santai; Parkir Mobil; Parkir Motor</t>
  </si>
  <si>
    <t>Kost Singgahsini Cireundeu 9 Tipe A Ciputat Timur Tangerang Selatan</t>
  </si>
  <si>
    <t>3 x 3 meter; Tidak termasuk listrik; AC; Kasur; Meja; TV; Kursi; Bantal; Jendela; K. Mandi Dalam; Kloset Duduk; Wastafel; Shower; Air panas; WiFi; R. Cuci; Kulkas; R. Tamu; Penjaga Kos; R. Jemur; Dapur; CCTV; Rice Cooker; Parkir Mobil; Parkir Motor &amp; Sepeda</t>
  </si>
  <si>
    <t>Kost Singgahsini BSD Anggrek Loka AR15 Tipe C Serpong Tangerang Selatan</t>
  </si>
  <si>
    <t>3.8 x 2.9 meter</t>
  </si>
  <si>
    <t>3.8 x 2.9 meter; Tidak termasuk listrik; AC; Kasur; Meja; TV; Lemari Baju; Kursi; Bantal; Guling; Jendela; K. Mandi Dalam; Kloset Duduk; Kloset Jongkok; Shower; WiFi; Kulkas; R. Tamu; Mesin Cuci; Dapur; Dispenser; Rice Cooker; Parkir Mobil; Parkir Motor; Parkir Sepeda</t>
  </si>
  <si>
    <t>Kost Singgahsini Java Tentrem Tipe C Ciputat Timur Tangerang Selatan</t>
  </si>
  <si>
    <t>4.5 x 5 meter</t>
  </si>
  <si>
    <t>4.5 x 5 meter; Tidak termasuk listrik; AC; Kasur; Meja; Lemari Baju; Kursi; K. Mandi Dalam; Kloset Duduk; Shower; Air panas; WiFi; Parkir Mobil; Parkir Motor &amp; Sepeda</t>
  </si>
  <si>
    <t>Kost Singgahsini Putri Mawar PJMI Tipe C Bintaro Tangerang Selatan</t>
  </si>
  <si>
    <t>Kost Singgahsini Hannie BSD Tipe C Rawa Buntu Tangerang Selatan</t>
  </si>
  <si>
    <t>3.2 x 3.3 meter; Termasuk listrik; AC; Kasur; Meja; Lemari Baju; Kursi; Bantal; Jendela; K. Mandi Dalam; Kloset Duduk; K. Mandi Luar; Shower; WiFi; R. Cuci; Kulkas; R. Tamu; Mesin Cuci; Penjaga Kos; R. Makan; R. Jemur; Dapur; Dispenser; Parkir Mobil; Parkir Motor &amp; Sepeda</t>
  </si>
  <si>
    <t>Kost Singgahsini Ravanti Tipe B Ciputat Timur Tangerang Selatan</t>
  </si>
  <si>
    <t>4.2 x 3.5 meter; Tidak termasuk listrik; AC; Kasur; Meja; TV; Lemari Baju; Kulkas; Kursi; Bantal; Guling; Jendela; K. Mandi Dalam; Kloset Duduk; Shower; WiFi; R. Tamu; Laundry; Dapur; Parkir Mobil; Parkir Motor; Parkir Sepeda</t>
  </si>
  <si>
    <t>Kost Singgahsini Boboyu Tipe A Pondok Aren Tangerang Selatan</t>
  </si>
  <si>
    <t>4 x 3 meter; Tidak termasuk listrik; AC; Kasur; Meja; TV; Lemari Baju; Kursi; Jendela; Bantal; Guling; K. Mandi Dalam; Kloset Duduk; Wastafel; Shower; Air panas; WiFi; Kulkas; R. Tamu; R. Makan; R. Jemur; Dapur; Dispenser; Kartu Akses; CCTV; Parkir Motor &amp; Sepeda</t>
  </si>
  <si>
    <t>Kost Emir Viktor Setu Tangerang Selatan</t>
  </si>
  <si>
    <t>3 x 4 meter; Tidak termasuk listrik; AC; Kasur; Meja; Lemari Baju; Bantal; Jendela; Kursi; K. Mandi Dalam; Kloset Duduk; Shower; WiFi; Kulkas; R. Cuci; R. Jemur; R. Santai; Dapur; CCTV; Jemuran; K. Mandi Luar; Parkir Mobil; Parkir Motor; Parkir Sepeda</t>
  </si>
  <si>
    <t>Kost Apik Garuda Utama Tipe A Pondok Cabe Tangerang Selatan</t>
  </si>
  <si>
    <t>3 x 3 meter; Tidak termasuk listrik; Kasur; Meja; Lemari Baju; Ventilasi; Kursi; Kipas Angin; Bantal; Guling; Jendela; Kloset Jongkok; K. Mandi Luar; Ember mandi; Bak mandi; WiFi; R. Tamu; Mesin Cuci; Penjaga Kos; R. Jemur; Dapur; Dispenser; TV; CCTV; Jemuran; Parkir Motor; Parkir Sepeda</t>
  </si>
  <si>
    <t>Rp577.000</t>
  </si>
  <si>
    <t>Kost 44 Ciputat Timur Tangerang Selatan</t>
  </si>
  <si>
    <t>3 x 3 meter; Termasuk listrik; Kasur; Lemari Baju; Ventilasi; Bantal; Jendela; Kipas Angin; Kloset Jongkok; K. Mandi Luar; Ember mandi; WiFi; R. Tamu; R. Jemur; Dapur; CCTV; Jemuran; TV; Parkir Motor</t>
  </si>
  <si>
    <t>Kost 126 Pondok Aren Tangerang Selatan</t>
  </si>
  <si>
    <t>3 x 3 meter; Tidak termasuk listrik; AC; Kasur; Meja; Lemari Baju; Bantal; Jendela; K. Mandi Dalam; Kloset Jongkok; Ember mandi; WiFi; R. Jemur; Dispenser; Balcon; CCTV; Jemuran; Gazebo; Jual Makanan; Taman; Parkir Mobil; Parkir Motor</t>
  </si>
  <si>
    <t>Kost Singgahsini STAN Ceger Raya Tipe A Pondok Aren Tangerang</t>
  </si>
  <si>
    <t>3.3 x 4.2 meter</t>
  </si>
  <si>
    <t>3.3 x 4.2 meter; Tidak termasuk listrik; AC; Kasur; Meja; Lemari Baju; Kulkas; Kursi; Bantal; Cermin; Jendela; K. Mandi Dalam; Kloset Duduk; Wastafel; Ember mandi; Shower; WiFi; R. Jemur; Dapur; Jemuran; Parkir Mobil; Parkir Motor</t>
  </si>
  <si>
    <t>Rp1.585.000</t>
  </si>
  <si>
    <t>Kost Maxwell Pd Cabe Pamulang Tangerang Selatan</t>
  </si>
  <si>
    <t>3 x 4 meter; Tidak termasuk listrik; AC; Kasur; Meja; Lemari Baju; Bantal; Guling; Kursi; K. Mandi Dalam; Kloset Duduk; Shower; WiFi; R. Cuci; R. Tamu; R. Jemur; R. Santai; Dapur; Dispenser; Balcon; CCTV; Gazebo; Parkir Mobil; Parkir Motor; Parkir Sepeda; Parkir Motor &amp; Sepeda</t>
  </si>
  <si>
    <t>Kost Singgahsini STAN Bintaro Andalusia Tipe A Pondok Aren Tangerang Selatan</t>
  </si>
  <si>
    <t>2.3 x 2.8 meter; Tidak termasuk listrik; AC; Kasur; Meja; Lemari Baju; Kursi; Bantal; Guling; Jendela; K. Mandi Dalam; Kloset Duduk; WiFi; Kulkas; R. Jemur; Dapur; TV; K. Mandi Luar; Parkir Motor; Parkir Sepeda</t>
  </si>
  <si>
    <t>Kost Singgahsini Benito Tipe E Serpong Tangerang Selatan</t>
  </si>
  <si>
    <t>2 x 3 meter; Termasuk listrik; Kasur; Meja; Lemari Baju; Ventilasi; Kursi; Bantal; Jendela; Kloset Jongkok; K. Mandi Luar; Bak mandi; WiFi; Kulkas; R. Tamu; Penjaga Kos; R. Makan; R. Jemur; R. Santai; Dapur; Dispenser; TV; Parkir Mobil; Parkir Sepeda; Parkir Motor &amp; Sepeda</t>
  </si>
  <si>
    <t>Kost Singgahsini Boboyu Tipe B Pondok Aren Tangerang Selatan</t>
  </si>
  <si>
    <t>4 x 3 meter; Tidak termasuk listrik; AC; Kasur; Meja; TV; Lemari Baju; Kursi; Jendela; Wastafel; Bantal; Cermin; K. Mandi Dalam; Kloset Duduk; Shower; Air panas; WiFi; Kulkas; R. Tamu; R. Makan; R. Jemur; Dapur; Dispenser; Kartu Akses; CCTV; Parkir Motor &amp; Sepeda</t>
  </si>
  <si>
    <t>Kost Singgahsini Magnolia BSD Tipe B Serpong Tangerang Selatan</t>
  </si>
  <si>
    <t>3 x 3 meter; Tidak termasuk listrik; AC; Kasur; Meja; Lemari Baju; Kursi; Bantal; Cermin; Guling; Jendela; K. Mandi Dalam; Kloset Duduk; Shower; WiFi; Kulkas; Penjaga Kos; R. Tamu; R. Jemur; Dapur; Gazebo; CCTV; Jemuran; Parkir Motor &amp; Sepeda</t>
  </si>
  <si>
    <t>Kost Singgahsini Hannie BSD Tipe A Rawa Buntu Tangerang Selatan</t>
  </si>
  <si>
    <t>4.2 x 3 meter; Termasuk listrik; AC; Kasur; Meja; TV; Lemari Baju; Ventilasi; Kursi; Bantal; Cermin; Jendela; K. Mandi Dalam; Kloset Duduk; Shower; WiFi; R. Cuci; Kulkas; R. Tamu; Mesin Cuci; Penjaga Kos; R. Makan; R. Jemur; Dapur; Dispenser; Parkir Mobil; Parkir Motor &amp; Sepeda</t>
  </si>
  <si>
    <t>Kost Singgahsini Ravanti Tipe A Ciputat Timur Tangerang Selatan</t>
  </si>
  <si>
    <t>4.5 x 2.9 meter</t>
  </si>
  <si>
    <t>4.5 x 2.9 meter; Tidak termasuk listrik; AC; Kasur; Meja; Lemari Baju; Kulkas; Kursi; Bantal; Guling; Jendela; K. Mandi Dalam; Kloset Duduk; Shower; WiFi; R. Tamu; Laundry; Dapur; Parkir Mobil; Parkir Motor; Parkir Sepeda</t>
  </si>
  <si>
    <t>Kost 99 Tipe B Pondok Aren Tangerang Selatan</t>
  </si>
  <si>
    <t>2.5 x 4 meter; Tidak termasuk listrik; Kasur; Meja; Lemari Baju; Bantal; Jendela; Kursi; K. Mandi Dalam; Kloset Duduk; Ember mandi; WiFi; Kulkas; R. Tamu; R. Jemur; R. Makan; R. Santai; Dapur; Balcon; CCTV; Pengurus Kos; Parkir Motor</t>
  </si>
  <si>
    <t>Kost Singgahsini Hade Pondok Cabe Tipe A Tangerang Selatan</t>
  </si>
  <si>
    <t>3.2 x 3.2 meter; Tidak termasuk listrik; AC; Kasur; Meja; Lemari Baju; Kursi; Jendela; Bantal; Cermin; K. Mandi Dalam; Kloset Duduk; Shower; WiFi; Kulkas; Penjaga Kos; Dapur; CCTV; Parkir Mobil; Parkir Motor &amp; Sepeda</t>
  </si>
  <si>
    <t>Kost Singgahsini Benito Tipe C Serpong Tangerang Selatan</t>
  </si>
  <si>
    <t>3 x 3 meter; Termasuk listrik; AC; Kasur; Meja; Lemari Baju; Ventilasi; Kursi; Bantal; K. Mandi Dalam; Kloset Duduk; Wastafel; Shower; Air panas; WiFi; Kulkas; R. Tamu; Penjaga Kos; R. Makan; R. Jemur; R. Santai; Dapur; Dispenser; TV; Parkir Mobil; Parkir Motor; Parkir Sepeda</t>
  </si>
  <si>
    <t>Kost Pakis Living Tipe Deluxe Serpong Tangerang Selatan</t>
  </si>
  <si>
    <t>3 x 5 meter; Tidak termasuk listrik; AC; Kasur; Meja; TV; Lemari Baju; Jendela; Bantal; Kursi; Cleaning service; K. Mandi Dalam; Kloset Duduk; Shower; Air panas; WiFi; Kulkas; R. Cuci; Mesin Cuci; Penjaga Kos; R. Tamu; R. Jemur; R. Santai; Dapur; Dispenser; Parkir Mobil; Parkir Motor</t>
  </si>
  <si>
    <t>Kost R Serpong Tangerang Selatan</t>
  </si>
  <si>
    <t>3 x 3 meter; Tidak termasuk listrik; AC; Kasur; Meja; Lemari Baju; Bantal; Cermin; Guling; K. Mandi Dalam; Kloset Duduk; WiFi; Laundry; R. Tamu; R. Jemur; Dapur; CCTV; Jemuran; Pengurus Kos; Parkir Motor; Parkir Sepeda; Parkir Motor &amp; Sepeda</t>
  </si>
  <si>
    <t>Kost Singgahsini RK Tipe A Pondok Aren Tangerang Selatan</t>
  </si>
  <si>
    <t>3 x 3 meter; Tidak termasuk listrik; AC; Kasur; Meja; Lemari Baju; Ventilasi; Jendela; Bantal; K. Mandi Dalam; Kloset Jongkok; Ember mandi; Shower; WiFi; Kulkas; R. Tamu; R. Jemur; Dapur; CCTV; Balcon; Parkir Motor &amp; Sepeda</t>
  </si>
  <si>
    <t>Rumah Kontrakan Gang H Nasir Ciputat Tangerang Selatan</t>
  </si>
  <si>
    <t>2 x 5 meter</t>
  </si>
  <si>
    <t>2 x 5 meter; Tidak termasuk listrik; Jendela; Kloset Jongkok; R. Cuci; R. Tamu; R. Jemur; R. Makan; R. Santai; Balcon; R. Keluarga; Parkir Motor</t>
  </si>
  <si>
    <t>Kost Apik Junt STAN Tipe A Pondok Aren Tangerang Selatan</t>
  </si>
  <si>
    <t>3 x 3 meter; Tidak termasuk listrik; AC; Kasur; Meja; Lemari Baju; Kursi; Bantal; Kloset Duduk; Kloset Jongkok; K. Mandi Luar; Ember mandi; Shower; WiFi; R. Cuci; Kulkas; Penjaga Kos; R. Jemur; Dapur; Jemuran; Parkir Motor &amp; Sepeda</t>
  </si>
  <si>
    <t>Diskon 56rb</t>
  </si>
  <si>
    <t>Kost Singgahsini Alamanda BSD Tipe A Serpong Tangerang Selatan</t>
  </si>
  <si>
    <t>2.5 x 3.6 meter; Tidak termasuk listrik; AC; Kasur; Ventilasi; Bantal; Jendela; K. Mandi Dalam; Kloset Jongkok; Shower; WiFi; Mesin Cuci; Penjaga Kos; R. Jemur; R. Makan; Dapur; Pengurus Kos; Jemuran; Parkir Motor &amp; Sepeda</t>
  </si>
  <si>
    <t>Kost Apik Tarigan Tipe C Setu Tangerang Selatan</t>
  </si>
  <si>
    <t>3 x 2 meter; Tidak termasuk listrik; Kasur; Lemari Baju; Bantal; Guling; Jendela; K. Mandi Dalam; Kloset Duduk; Shower; WiFi; Penjaga Kos; Parkir Motor &amp; Sepeda</t>
  </si>
  <si>
    <t>Kost Apik Surya Pagi Tipe A Pondok Aren Tangerang Selatan</t>
  </si>
  <si>
    <t>4 x 3 meter; Tidak termasuk listrik; AC; Kasur; Lemari Baju; Ventilasi; Bantal; Jendela; Cermin; Guling; K. Mandi Dalam; Kloset Jongkok; Ember mandi; WiFi; Penjaga Kos; Parkir Mobil; Parkir Motor &amp; Sepeda</t>
  </si>
  <si>
    <t>Rp1.635.000</t>
  </si>
  <si>
    <t>Kost Apik Edozen Kedaung Tipe C Pamulang Tangerang Selatan</t>
  </si>
  <si>
    <t>3 x 3 meter; Termasuk listrik; Kasur; Meja; Lemari Baju; Bantal; Jendela; Kloset Duduk; K. Mandi Luar; Shower; WiFi; R. Tamu; R. Jemur; Dapur; Dispenser; Rooftop; Parkir Mobil; Parkir Motor &amp; Sepeda</t>
  </si>
  <si>
    <t>Kost Swadaya II Tipe Executive Pondok Aren Tangerang Selatan</t>
  </si>
  <si>
    <t>3 x 3 meter; Tidak termasuk listrik; AC; Kasur; Meja; Bantal; Guling; Jendela; K. Mandi Dalam; Kloset Duduk; WiFi; Kulkas; Penjaga Kos; Dapur; Pengurus Kos; Parkir Motor &amp; Sepeda</t>
  </si>
  <si>
    <t>Kost Maharani Tipe A Serpong Utara Tangerang Selatan</t>
  </si>
  <si>
    <t>3 x 3 meter; Termasuk listrik; AC; Kasur; Meja; Lemari Baju; Bantal; Cermin; Kursi; Kloset Duduk; K. Mandi Luar; Wastafel; Shower; WiFi; Kulkas; Dapur; Dispenser; CCTV; Pengurus Kos; Parkir Mobil; Parkir Motor</t>
  </si>
  <si>
    <t>Kecamatan Serpong Utara</t>
  </si>
  <si>
    <t>Kost Singgahsini Scholier Dochter Tipe B Pondok Cabe Tangerang Selatan</t>
  </si>
  <si>
    <t>3 x 3 meter; Tidak termasuk listrik; AC; Kasur; Meja; Lemari Baju; Kursi; Bantal; Jendela; Kloset Duduk; K. Mandi Luar; Ember mandi; Shower; WiFi; R. Tamu; R. Jemur; Dapur; TV; Taman; Jemuran; Parkir Mobil; Parkir Motor &amp; Sepeda</t>
  </si>
  <si>
    <t>Kost Apik Afifah STAN Bintaro Tipe A Pondok Aren Tangerang Selatan</t>
  </si>
  <si>
    <t>3 x 3 meter; Tidak termasuk listrik; AC; Kasur; Meja; Lemari Baju; Ventilasi; Kursi; Bantal; Cermin; Guling; Jendela; Kloset Jongkok; K. Mandi Luar; Ember mandi; WiFi; R. Cuci; R. Tamu; Penjaga Kos; R. Jemur; Dapur; CCTV; Jemuran; Parkir Motor &amp; Sepeda</t>
  </si>
  <si>
    <t>Kost Singgahsini Bintaro Executive Tipe C Pondok Aren Tangerang Selatan</t>
  </si>
  <si>
    <t>1.9 x 1.9 meter</t>
  </si>
  <si>
    <t>1.9 x 1.9 meter; Tidak termasuk listrik; Kasur; Lemari Baju; Kipas Angin; Bantal; Kloset Duduk; K. Mandi Luar; Ember mandi; WiFi; R. Cuci; Kulkas; R. Tamu; Penjaga Kos; R. Jemur; Jemuran; Parkir Mobil; Parkir Motor &amp; Sepeda</t>
  </si>
  <si>
    <t>Rp1.104.000</t>
  </si>
  <si>
    <t>Kost Singgahsini Pondok Nuri Tipe A Tangerang Selatan</t>
  </si>
  <si>
    <t>4.5 x 3 meter; Tidak termasuk listrik; AC; Kasur; Meja; Lemari Baju; Ventilasi; Kursi; Jendela; Bantal; K. Mandi Dalam; Kloset Duduk; Ember mandi; Shower; WiFi; R. Cuci; Kulkas; R. Tamu; Penjaga Kos; Mesin Cuci; R. Jemur; Dapur; CCTV; Jemuran; Parkir Motor &amp; Sepeda</t>
  </si>
  <si>
    <t>Kost Rid House I Tipe D Ciputat Timur Tangerang Selatan</t>
  </si>
  <si>
    <t>7.5 x 3.2 meter</t>
  </si>
  <si>
    <t>7.5 x 3.2 meter; Tidak termasuk listrik; Kasur; Lemari Baju; Ventilasi; Jendela; Kipas Angin; K. Mandi Dalam; Kloset Jongkok; Ember mandi; WiFi; Balcon</t>
  </si>
  <si>
    <t>Kost Oma Tipe AC Ciputat Timur Tangerang Selatan</t>
  </si>
  <si>
    <t>3 x 3 meter; Tidak termasuk listrik; AC; Kasur; Meja; Lemari Baju; Ventilasi; Bantal; Guling; Jendela; Kursi; Kloset Duduk; Kloset Jongkok; K. Mandi Luar; Ember mandi; Wastafel; Shower; WiFi; Kulkas; R. Cuci; Penjaga Kos; R. Tamu; R. Jemur; R. Makan; R. Santai; Dapur; Dispenser; Parkir Motor &amp; Sepeda</t>
  </si>
  <si>
    <t>Kost Apik Edozen Kedaung Tipe D Pamulang Tangerang Selatan</t>
  </si>
  <si>
    <t>3 x 3 meter; Termasuk listrik; Kasur; Lemari Baju; Ventilasi; Bantal; Kloset Duduk; K. Mandi Luar; Shower; WiFi; R. Tamu; R. Jemur; Dapur; Dispenser; Rooftop; Parkir Mobil; Parkir Motor &amp; Sepeda</t>
  </si>
  <si>
    <t>Kost Singgahsini The Bed Tipe A Serpong Tangerang Selatan</t>
  </si>
  <si>
    <t>2.5 x 2.4 meter</t>
  </si>
  <si>
    <t>2.5 x 2.4 meter; Tidak termasuk listrik; AC; Kasur; Meja; Lemari Baju; Kursi; Wastafel; Bantal; Cermin; Kloset Duduk; Kloset Jongkok; K. Mandi Luar; WiFi; Kulkas; R. Tamu; Penjaga Kos; Dapur; Kartu Akses; CCTV; Parkir Motor &amp; Sepeda</t>
  </si>
  <si>
    <t>Kost Zeal 2 Residence Serpong Utara Tangerang Selatan</t>
  </si>
  <si>
    <t>3 x 6 meter; Termasuk listrik; AC; Kasur; Meja; TV; Meja Rias; Lemari Baju; Kulkas; Ventilasi; Kursi; Wastafel; K. Mandi Dalam; Kloset Duduk; Shower; Air panas; WiFi; Penjaga Kos; Laundry; R. Santai; Dapur; Dispenser; Kartu Akses; CCTV; Pengurus Kos; Parkir Mobil; Parkir Motor; Parkir Sepeda; Parkir Motor &amp; Sepeda</t>
  </si>
  <si>
    <t>Kost Singgahsini Scholier Dochter Tipe A Pondok Cabe Tangerang Selatan</t>
  </si>
  <si>
    <t>5.2 x 4 meter; Tidak termasuk listrik; AC; Kasur; Meja; Lemari Baju; Kursi; Bantal; Jendela; K. Mandi Dalam; Kloset Duduk; Ember mandi; Shower; Air panas; WiFi; R. Tamu; R. Jemur; Dapur; TV; Taman; Jemuran; Parkir Mobil; Parkir Motor &amp; Sepeda</t>
  </si>
  <si>
    <t>Kost Singgahsini Pondok Nuri Tipe C Tangerang Selatan</t>
  </si>
  <si>
    <t>3 x 3 meter; Tidak termasuk listrik; AC; Kasur; Meja; Lemari Baju; Ventilasi; Kursi; Jendela; Bantal; Kloset Duduk; K. Mandi Luar; Ember mandi; Shower; WiFi; R. Cuci; Kulkas; R. Tamu; Penjaga Kos; Mesin Cuci; R. Jemur; Dapur; CCTV; Jemuran; Parkir Motor &amp; Sepeda</t>
  </si>
  <si>
    <t>Kost Aisyah 2 Setu Tangerang Selatan</t>
  </si>
  <si>
    <t>2.6 x 2.6 meter</t>
  </si>
  <si>
    <t>2.6 x 2.6 meter; Tidak termasuk listrik; Kasur; Meja; Lemari Baju; Kursi; K. Mandi Dalam; Ember mandi; Shower; WiFi; Kulkas; R. Tamu; R. Jemur; Dapur; Balcon; CCTV; Jemuran; Pengurus Kos; Rooftop; Parkir Motor</t>
  </si>
  <si>
    <t>Kost Anami Serpong Utara Tangerang Selatan</t>
  </si>
  <si>
    <t>3 x 3.5 meter; Tidak termasuk listrik; AC; Kasur; Meja Rias; Lemari Baju; Bantal; Cermin; Guling; Jendela; K. Mandi Dalam; Shower; Kulkas; Laundry; Dispenser; Balcon; Jemuran; Jual Makanan; Locker; Rice Cooker; Parkir Motor; Parkir Sepeda</t>
  </si>
  <si>
    <t>Kost Putih Tipe A Ciputat Timur Tangerang Selatan</t>
  </si>
  <si>
    <t>3 x 4 meter; Tidak termasuk listrik; Kasur; Lemari Baju; Bantal; Cermin; Jendela; K. Mandi Dalam; Kloset Jongkok; Shower; WiFi; Jemuran</t>
  </si>
  <si>
    <t>Kost Bu Fifi Pamulang Tangerang Selatan</t>
  </si>
  <si>
    <t>3 x 3 meter; Termasuk listrik; Kasur; Lemari Baju; Kipas Angin; Bantal; Cermin; Guling; Jendela; Kloset Duduk; Kloset Jongkok; K. Mandi Luar; Ember mandi; Shower; WiFi; R. Cuci; Mesin Cuci; R. Jemur; R. Santai; Dispenser; TV; Balcon; CCTV; Jemuran; Parkir Motor; Parkir Sepeda</t>
  </si>
  <si>
    <t>Kost Singgahsini Blessing House BSD Tipe A Serpong Tangerang Selatan</t>
  </si>
  <si>
    <t>5.1 x 3.2 meter</t>
  </si>
  <si>
    <t>5.1 x 3.2 meter; Tidak termasuk listrik; AC; Kasur; Lemari Baju; Ventilasi; Bantal; Cermin; Jendela; K. Mandi Dalam; Kloset Duduk; Shower; Air panas; WiFi; Kulkas; Penjaga Kos; R. Jemur; Dapur; Parkir Mobil; Parkir Motor &amp; Sepeda</t>
  </si>
  <si>
    <t>Kost The Lavender Executive Pamulang Tangerang Selatan</t>
  </si>
  <si>
    <t>3 x 3 meter; Tidak termasuk listrik; AC; Kasur; Meja; Lemari Baju; Bantal; Cermin; Guling; Jendela; Kursi; Kloset Duduk; Kloset Jongkok; Shower; R. Cuci; R. Tamu; R. Jemur; R. Makan; Dapur; Jemuran; K. Mandi Luar; Pengurus Kos; R. Keluarga; Parkir Mobil; Parkir Motor; Parkir Sepeda</t>
  </si>
  <si>
    <t>Kost Singgahsini Hannie BSD Tipe B Rawa Buntu Tangerang Selatan</t>
  </si>
  <si>
    <t>3.2 x 3.3 meter; Termasuk listrik; AC; Kasur; Meja; Lemari Baju; Kursi; Jendela; Bantal; K. Mandi Dalam; Kloset Duduk; Shower; WiFi; R. Cuci; Kulkas; R. Tamu; Mesin Cuci; Penjaga Kos; R. Makan; R. Jemur; Dapur; Dispenser; Parkir Mobil; Parkir Motor &amp; Sepeda</t>
  </si>
  <si>
    <t>Kost Rani Tipe A Pondok Aren Tangerang Selatan</t>
  </si>
  <si>
    <t>3 x 3 meter; Tidak termasuk listrik; AC; Kasur; Ventilasi; K. Mandi Dalam; Kloset Duduk; Ember mandi; Shower; Kulkas; R. Jemur; Dapur; Balcon; CCTV; Jemuran; Jual Makanan; Pengurus Kos; Taman; Parkir Motor</t>
  </si>
  <si>
    <t>Kost Apik Junt STAN Tipe B Pondok Aren Tangerang Selatan</t>
  </si>
  <si>
    <t>3 x 2 meter; Tidak termasuk listrik; Kasur; Meja; Lemari Baju; Ventilasi; Kursi; Bantal; Jendela; Kipas Angin; Kloset Duduk; Kloset Jongkok; K. Mandi Luar; Ember mandi; Shower; WiFi; R. Cuci; Kulkas; Penjaga Kos; R. Jemur; Dapur; Jemuran; Parkir Motor &amp; Sepeda</t>
  </si>
  <si>
    <t>Rp669.000</t>
  </si>
  <si>
    <t>Kost Ruko52 Residence Tipe A Pamulang Tangerang Selatan</t>
  </si>
  <si>
    <t>3.5 x 12 meter</t>
  </si>
  <si>
    <t>3.5 x 12 meter; Tidak termasuk listrik; Ventilasi; Jendela; K. Mandi Dalam; Kloset Jongkok; Ember mandi; CCTV; Pengurus Kos; Parkir Motor; Parkir Sepeda</t>
  </si>
  <si>
    <t>Kost Arga Wilis Tipe VIP 19B Pondok Aren Tangerang Selatan</t>
  </si>
  <si>
    <t>3 x 3 meter; Termasuk listrik; AC; Meja; Lemari Baju; Kulkas; Jendela; Bantal; Kursi; K. Mandi Dalam; Kloset Duduk; Shower; WiFi; R. Cuci; R. Tamu; R. Jemur; R. Makan; Dapur; Jemuran; Pengurus Kos; Parkir Mobil; Parkir Motor</t>
  </si>
  <si>
    <t>Kost Puri Marissa Ciputat Tangerang Selatan</t>
  </si>
  <si>
    <t>3 x 4 meter; Termasuk listrik; AC; Kasur; Meja; TV; Lemari Baju; Kulkas; Wastafel; Sofa; Bantal; Cermin; K. Mandi Dalam; Kloset Duduk; Ember mandi; Shower; WiFi; Jemuran; Parkir Mobil; Parkir Motor</t>
  </si>
  <si>
    <t>Kost Aquila AC Pamulang Tangerang Selatan</t>
  </si>
  <si>
    <t>4 x 4 meter; Termasuk listrik; AC; Kasur; Lemari Baju; Ventilasi; Bantal; Kloset Duduk; Kloset Jongkok; Ember mandi; Shower; WiFi; R. Cuci; Penjaga Kos; R. Tamu; R. Jemur; R. Makan; R. Santai; Dapur; Dispenser; CCTV; Parkir Mobil; Parkir Motor; Parkir Sepeda; Parkir Motor &amp; Sepeda</t>
  </si>
  <si>
    <t>Kost Eka Tipe S Ciputat Tangerang Selatan</t>
  </si>
  <si>
    <t>3 x 4 meter; Tidak termasuk listrik; Kasur; Bantal; Jendela; Kipas Angin; Kloset Jongkok; K. Mandi Luar; Ember mandi; R. Cuci; Penjaga Kos; R. Tamu; R. Jemur; R. Santai; Dapur; Dispenser; CCTV; Jemuran; Jual Makanan; Parkir Mobil; Parkir Motor; Parkir Sepeda</t>
  </si>
  <si>
    <t>Kost 21 Alam Sutera Tipe A Serpong Utara Tangerang Selatan</t>
  </si>
  <si>
    <t>2 x 3 meter; Termasuk listrik; AC; Kasur; Lemari Baju; Bantal; Cermin; Cleaning service; Kloset Duduk; K. Mandi Luar; Wastafel; Shower; WiFi; Kulkas; Laundry; Dapur; Dispenser; Pengurus Kos; Parkir Mobil; Parkir Motor; Parkir Sepeda; Parkir Motor &amp; Sepeda</t>
  </si>
  <si>
    <t>Kost Singgahsini RK Tipe B Pondok Aren Tangerang Selatan</t>
  </si>
  <si>
    <t>3 x 3 meter; Tidak termasuk listrik; AC; Kasur; Meja; TV; Lemari Baju; Ventilasi; Jendela; Bantal; K. Mandi Dalam; Kloset Jongkok; Ember mandi; Shower; WiFi; Kulkas; R. Tamu; R. Jemur; Dapur; CCTV; Balcon; Parkir Motor &amp; Sepeda</t>
  </si>
  <si>
    <t>Kost Mamah Beehome Pamulang Tangerang Selatan</t>
  </si>
  <si>
    <t>3 x 3 meter; Tidak termasuk listrik; AC; Kasur; Meja; Lemari Baju; Cermin; Jendela; Bantal; Guling; Kursi; Cleaning service; K. Mandi Dalam; Kloset Duduk; Wastafel; Shower; WiFi; Kulkas; R. Tamu; R. Jemur; R. Santai; Dapur; Pengurus Kos; K. Mandi Luar; Locker; CCTV; Parkir Motor; Parkir Sepeda</t>
  </si>
  <si>
    <t>Kost Ridwan I Ciputat Tangerang Selatan</t>
  </si>
  <si>
    <t>5 x 5 meter; Tidak termasuk listrik; AC; Kasur; Meja; Meja Rias; Lemari Baju; Kursi; K. Mandi Dalam; Kloset Duduk; Ember mandi; Shower; WiFi; Kulkas; R. Tamu; Mesin Cuci; R. Jemur; Dapur; Taman; Parkir Mobil; Parkir Motor; Parkir Sepeda</t>
  </si>
  <si>
    <t>Kost Hanaqa Pamulang Tangerang Selatan</t>
  </si>
  <si>
    <t>3 x 3 meter; Tidak termasuk listrik; AC; Kasur; Meja Rias; Lemari Baju; Ventilasi; Bantal; Cermin; Jendela; K. Mandi Dalam; Kloset Duduk; K. Mandi Luar; Shower; WiFi; Kulkas; Penjaga Kos; R. Jemur; R. Makan; Dapur; Dispenser; Jemuran; Parkir Mobil; Parkir Motor</t>
  </si>
  <si>
    <t>Kost Griya Mumtaz Tipe Eksekutif Ciputat Timur Tangerang Selatan</t>
  </si>
  <si>
    <t>3 x 6 meter; Tidak termasuk listrik; AC; Ventilasi; Jendela; Wastafel; K. Mandi Dalam; Kloset Duduk; Shower; R. Cuci; Mushola; R. Jemur; R. Makan; R. Santai; Dapur; Balcon; CCTV; Jemuran; R. Keluarga; Parkir Mobil; Parkir Motor; Parkir Sepeda</t>
  </si>
  <si>
    <t>Kost KamarKu Anggrek Loka Tipe Deluxe B Serpong Tangerang Selatan</t>
  </si>
  <si>
    <t>3 x 3.5 meter; Tidak termasuk listrik; AC; Kasur; Meja; Kulkas; Lemari Baju; Bantal; Cermin; Cleaning service; Guling; Jendela; K. Mandi Dalam; Kloset Duduk; Wastafel; Shower; Air panas; WiFi; R. Cuci; Mesin Cuci; Penjaga Kos; Laundry; R. Makan; R. Jemur; R. Santai; Dapur; Parkir Mobil; Parkir Motor; Parkir Sepeda</t>
  </si>
  <si>
    <t>Kost Bagus 2 Bsd Tipe Executive Serpong Tangerang Selatan</t>
  </si>
  <si>
    <t>3 x 3 meter; Tidak termasuk listrik; AC; Kasur; Meja; Kulkas; Lemari Baju; Ventilasi; Bantal; Cermin; Guling; Jendela; K. Mandi Dalam; Kloset Duduk; Ember mandi; Shower; WiFi; R. Cuci; R. Jemur; R. Makan; R. Santai; Dapur; Jemuran; Pengurus Kos; Rooftop; Parkir Motor; Parkir Sepeda; Parkir Motor &amp; Sepeda</t>
  </si>
  <si>
    <t>Rp1.150.001</t>
  </si>
  <si>
    <t>Kost Griya Widara Tipe AC Pondok Aren Tangerang Selatan</t>
  </si>
  <si>
    <t>3 x 4 meter; Termasuk listrik; AC; Kasur; Meja; Lemari Baju; Ventilasi; Bantal; Cermin; Guling; Jendela; K. Mandi Dalam; Kloset Duduk; Shower; WiFi; Kulkas; Penjaga Kos; R. Tamu; R. Jemur; Dapur; Dispenser; Balcon; Jemuran; Pengurus Kos; Parkir Motor; Parkir Sepeda</t>
  </si>
  <si>
    <t>Kost Apik Hijau Tipe A Ciputat Timur Tangerang Selatan</t>
  </si>
  <si>
    <t>5 x 5 meter; Tidak termasuk listrik; AC; Kasur; Meja Rias; Lemari Baju; Ventilasi; Kursi; Jendela; Bantal; Cermin; K. Mandi Dalam; Kloset Duduk; Ember mandi; Shower; Bathtub; WiFi; R. Cuci; Penjaga Kos; R. Tamu; Mesin Cuci; R. Makan; R. Jemur; Dapur; Dispenser; Parkir Motor &amp; Sepeda</t>
  </si>
  <si>
    <t>Rp2.003.000</t>
  </si>
  <si>
    <t>Diskon 172rb</t>
  </si>
  <si>
    <t>Kost Adinda Tipe Non Ac Serpong Tangerang Selatan</t>
  </si>
  <si>
    <t>3 x 4 meter; Tidak termasuk listrik; Kasur; Meja; Lemari Baju; Ventilasi; Bantal; Guling; Jendela; Kursi; K. Mandi Dalam; Kloset Duduk; Shower; WiFi; Kulkas; Laundry; Penjaga Kos; R. Tamu; R. Jemur; Dapur; CCTV; Jemuran; Jual Makanan; Parkir Mobil; Parkir Motor; Parkir Sepeda; Parkir Motor &amp; Sepeda</t>
  </si>
  <si>
    <t>Kost Mama Yuli Serpong Tangerang Selatan</t>
  </si>
  <si>
    <t>3 x 3 meter; Termasuk listrik; AC; Kasur; Bantal; Jendela; K. Mandi Luar; WiFi; Kulkas; Mesin Cuci; Penjaga Kos; R. Makan; R. Santai; Dapur; Dispenser; Balcon; Jemuran; Parkir Mobil; Parkir Motor; Parkir Sepeda</t>
  </si>
  <si>
    <t>Kost Rini Green Exclusive Serpong BSD Tipe R1 Serpong Tangerang Selatan</t>
  </si>
  <si>
    <t>3 x 5 meter; Tidak termasuk listrik; AC; Kasur; Meja; Lemari Baju; Ventilasi; Bantal; Cermin; Jendela; Kursi; K. Mandi Dalam; Kloset Duduk; Shower; Kulkas; R. Cuci; Laundry; Mesin Cuci; R. Jemur; R. Makan; Dapur; Balcon; CCTV; Jemuran; Parkir Mobil; Parkir Motor</t>
  </si>
  <si>
    <t>Kost Singgahsini Pondok Asri Tipe B Ciputat Timur Tangerang Selatan</t>
  </si>
  <si>
    <t>2.8 x 2.4 meter; Tidak termasuk listrik; AC; Kasur; Meja; Lemari Baju; Ventilasi; Kursi; Cermin; Kloset Duduk; K. Mandi Luar; Wastafel; Shower; WiFi; R. Cuci; Parkir Motor &amp; Sepeda</t>
  </si>
  <si>
    <t>Kost Zahra Puri Flamboyan Ciputat Timur Tangerang Selatan</t>
  </si>
  <si>
    <t>4 x 4 meter; Termasuk listrik; Kasur; Meja; Dispenser; Lemari Baju; Ventilasi; Kursi; Bantal; Guling; Jendela; Dapur Pribadi; K. Mandi Dalam; Kloset Duduk; K. Mandi Luar; Shower; WiFi; R. Cuci; R. Tamu; Mesin Cuci; Penjaga Kos; R. Jemur; R. Santai; Dapur; Balcon; Parkir Mobil; Parkir Motor; Parkir Sepeda</t>
  </si>
  <si>
    <t>Rp12.300.000</t>
  </si>
  <si>
    <t>Kost Apik Shafira Tipe A Pamulang Tangerang Selatan</t>
  </si>
  <si>
    <t>2.6 x 2.1 meter</t>
  </si>
  <si>
    <t>2.6 x 2.1 meter; Termasuk listrik; Kasur; Lemari Baju; Ventilasi; Kipas Angin; Bantal; Cermin; Jendela; Kloset Duduk; Kloset Jongkok; K. Mandi Luar; Ember mandi; Shower; WiFi; Kulkas; R. Tamu; Penjaga Kos; R. Jemur; Dapur; CCTV; Jemuran; Parkir Motor &amp; Sepeda</t>
  </si>
  <si>
    <t>Kost Nama Home Tipe A Pondok Aren Tangerang Selatan</t>
  </si>
  <si>
    <t>3 x 4 meter; Tidak termasuk listrik; AC; Kasur; Meja; Lemari Baju; Bantal; Jendela; Kursi; K. Mandi Dalam; Kloset Duduk; Shower; WiFi; Kulkas; R. Cuci; Penjaga Kos; R. Jemur; R. Makan; Dapur; Dispenser; CCTV; Jemuran; Parkir Motor; Parkir Sepeda</t>
  </si>
  <si>
    <t>Kost Apik Cera 42 Tipe A Pondok Aren Tangerang Selatan</t>
  </si>
  <si>
    <t>3 x 3 meter; Tidak termasuk listrik; Kasur; Meja; Lemari Baju; Ventilasi; Bantal; Jendela; K. Mandi Dalam; Kloset Jongkok; WiFi; Penjaga Kos; R. Jemur; Jemuran; Parkir Motor &amp; Sepeda</t>
  </si>
  <si>
    <t>Kost Tulip Tipe A Pondok Aren Tangerang Selatann</t>
  </si>
  <si>
    <t>3 x 4 meter; Tidak termasuk listrik; AC; Kasur; Meja; TV; Lemari Baju; Kulkas; Kursi; Bantal; Guling; Kloset Jongkok; K. Mandi Luar; Ember mandi; Bak mandi; R. Tamu; R. Jemur; R. Santai; Taman; Balcon; Jemuran; Parkir Mobil; Parkir Motor; Parkir Sepeda</t>
  </si>
  <si>
    <t>Kost KamarKu Griya Loka BSD Superior Serpong Tangerang Selatan</t>
  </si>
  <si>
    <t>4 x 4 meter; Tidak termasuk listrik; AC; Kasur; Meja; Kulkas; Lemari Baju; Ventilasi; Bantal; Cermin; Cleaning service; Jendela; K. Mandi Dalam; Kloset Duduk; Wastafel; Shower; Air panas; WiFi; Laundry; Penjaga Kos; R. Makan; R. Santai; Dapur; Dispenser; CCTV; Jemuran; Kartu Akses; Parkir Mobil; Parkir Motor; Parkir Motor &amp; Sepeda</t>
  </si>
  <si>
    <t>Kost Apik Afifah STAN Bintaro Tipe B Pondok Aren Tangerang Selatan</t>
  </si>
  <si>
    <t>3 x 3 meter; Tidak termasuk listrik; Kasur; Meja; Lemari Baju; Ventilasi; Kursi; Kipas Angin; Bantal; Cermin; Guling; Jendela; Kloset Jongkok; K. Mandi Luar; Ember mandi; WiFi; R. Cuci; R. Tamu; Penjaga Kos; R. Jemur; Dapur; CCTV; Jemuran; Parkir Motor &amp; Sepeda</t>
  </si>
  <si>
    <t>Kost Alma Ceger Pondok Aren Tangerang Selatan</t>
  </si>
  <si>
    <t>3 x 4 meter; Tidak termasuk listrik; AC; Kasur; Meja; Ventilasi; Bantal; Guling; Jendela; Kursi; K. Mandi Dalam; Kloset Duduk; Shower; Dapur; Balcon; Parkir Motor</t>
  </si>
  <si>
    <t>Kost Singgahsini STAN Bintaro Andalusia Tipe D Pondok Aren Tangerang Selatan</t>
  </si>
  <si>
    <t>3.8 x 2.4 meter</t>
  </si>
  <si>
    <t>3.8 x 2.4 meter; Tidak termasuk listrik; Kasur; Meja; Lemari Baju; Kursi; Bantal; Guling; Jendela; K. Mandi Dalam; Kloset Duduk; Ember mandi; WiFi; Kulkas; R. Jemur; Dapur; TV; K. Mandi Luar; Parkir Motor; Parkir Sepeda</t>
  </si>
  <si>
    <t>Kost Eka Jombang Tipe B Ciputat Tangerang Selatan</t>
  </si>
  <si>
    <t>3 x 4 meter; Tidak termasuk listrik; Kasur; Meja; Lemari Baju; Bantal; Cermin; Dapur Pribadi; Jendela; Kipas Angin; Kursi; K. Mandi Dalam; Shower; Bak mandi; R. Cuci; Laundry; Penjaga Kos; R. Tamu; R. Jemur; R. Makan; R. Santai; Dapur; Dispenser; Balcon; Parkir Mobil; Parkir Motor; Parkir Sepeda</t>
  </si>
  <si>
    <t>Rp1.004.999</t>
  </si>
  <si>
    <t>Kost Singgahsini Rumah Bundo Tipe A Ciputat Tangerang Selatan</t>
  </si>
  <si>
    <t>3.5 x 3 meter; Tidak termasuk listrik; AC; Kasur; Meja; Lemari Baju; Ventilasi; Kursi; Jendela; Cermin; K. Mandi Dalam; Kloset Duduk; Shower; WiFi; R. Cuci; R. Tamu; Penjaga Kos; R. Jemur; Dapur; CCTV; Parkir Mobil; Parkir Motor &amp; Sepeda</t>
  </si>
  <si>
    <t>Kost Griya A77 Tipe B Setu Tangerang Selatan</t>
  </si>
  <si>
    <t>3 x 3.5 meter; Tidak termasuk listrik; AC; Kasur; Meja; Lemari Baju; Ventilasi; Bantal; Guling; Jendela; Kursi; K. Mandi Dalam; Kloset Duduk; Shower; WiFi; Kulkas; Mesin Cuci; Penjaga Kos; R. Tamu; R. Makan; R. Santai; Dapur; Balcon; CCTV; Parkir Mobil; Parkir Motor; Parkir Sepeda; Parkir Motor &amp; Sepeda</t>
  </si>
  <si>
    <t>Kost Singgahsini Blessing House BSD Tipe B Serpong Tangerang Selatan</t>
  </si>
  <si>
    <t>3 x 3.1 meter</t>
  </si>
  <si>
    <t>3 x 3.1 meter; Tidak termasuk listrik; AC; Kasur; Lemari Baju; Ventilasi; Bantal; Cermin; Jendela; K. Mandi Dalam; Kloset Duduk; Shower; Air panas; WiFi; Kulkas; Penjaga Kos; R. Jemur; Dapur; Parkir Mobil; Parkir Motor &amp; Sepeda</t>
  </si>
  <si>
    <t>Kost Mawar 1 Pamulang Tangerang Selatan</t>
  </si>
  <si>
    <t>3 x 4 meter; Tidak termasuk listrik; AC; Kasur; Meja; TV; Kulkas; Lemari Baju; Ventilasi; Bantal; Cermin; Guling; Kloset Jongkok; K. Mandi Luar; Ember mandi; Wastafel; Bak mandi; WiFi; R. Cuci; R. Tamu; R. Jemur; R. Santai; Dapur; Dispenser; Balcon; Jemuran; Parkir Motor; Parkir Sepeda; Parkir Motor &amp; Sepeda</t>
  </si>
  <si>
    <t>Kost Teras Tipe A Pondok Aren Tangerang Selatan</t>
  </si>
  <si>
    <t>3 x 3 meter; Tidak termasuk listrik; AC; Kasur; Meja; Lemari Baju; Ventilasi; Bantal; Cermin; Guling; Wastafel; Kursi; K. Mandi Dalam; Kloset Duduk; Shower; WiFi; Kulkas; Penjaga Kos; R. Tamu; R. Makan; R. Jemur; Dapur; Dispenser; Balcon; CCTV; Parkir Motor</t>
  </si>
  <si>
    <t>Kost Apik Edozen Kedaung Tipe A Pamulang Tangerang Selatan</t>
  </si>
  <si>
    <t>5 x 3.2 meter</t>
  </si>
  <si>
    <t>5 x 3.2 meter; Termasuk listrik; Kasur; Meja; Lemari Baju; Kursi; Kipas Angin; Bantal; Cermin; Jendela; K. Mandi Dalam; Kloset Duduk; Wastafel; Shower; WiFi; R. Tamu; R. Jemur; Dapur; Dispenser; Rooftop; Parkir Mobil; Parkir Motor &amp; Sepeda</t>
  </si>
  <si>
    <t>Kost Apik Shafira Tipe B Pamulang Tangerang Selatan</t>
  </si>
  <si>
    <t>1.9 x 2.7 meter</t>
  </si>
  <si>
    <t>1.9 x 2.7 meter; Termasuk listrik; Kasur; Lemari Baju; Ventilasi; Kipas Angin; Bantal; Cermin; Jendela; Kloset Duduk; Kloset Jongkok; K. Mandi Luar; Ember mandi; WiFi; Kulkas; R. Tamu; Penjaga Kos; R. Jemur; Dapur; CCTV; Jemuran; Parkir Motor &amp; Sepeda</t>
  </si>
  <si>
    <t>Rp853.000</t>
  </si>
  <si>
    <t>Kost Singgahsini Sepintu Rawa Buntu Tipe B Serpong Tangerang Selatan</t>
  </si>
  <si>
    <t>2.5 x 3 meter; Tidak termasuk listrik; AC; Kasur; Meja; Lemari Baju; Kursi; Bantal; Jendela; K. Mandi Dalam; Kloset Duduk; Wastafel; Shower; WiFi; R. Tamu; Penjaga Kos; R. Makan; R. Jemur; Dapur; CCTV; Rice Cooker; Jemuran; Parkir Mobil; Parkir Motor; Parkir Sepeda</t>
  </si>
  <si>
    <t>Kost Apik Griya Jasmine Tipe A Pamulang Tangerang Selatan</t>
  </si>
  <si>
    <t>3.7 x 2.5 meter; Tidak termasuk listrik; Kasur; Lemari Baju; Ventilasi; Kipas Angin; Bantal; Cermin; Jendela; K. Mandi Dalam; Kloset Jongkok; Ember mandi; WiFi; Kulkas; Penjaga Kos; R. Makan; R. Jemur; Dapur; K. Mandi Luar; Rice Cooker; Jemuran; Parkir Motor &amp; Sepeda</t>
  </si>
  <si>
    <t>Kost Apik Matari Nagara Tipe A Ciputat Tangerang Selatan</t>
  </si>
  <si>
    <t>7 x 3 meter; Tidak termasuk listrik; Kasur; Lemari Baju; Ventilasi; Dapur Pribadi; Jendela; Bantal; Wastafel; K. Mandi Dalam; Kloset Jongkok; WiFi; Penjaga Kos; R. Jemur; Parkir Motor &amp; Sepeda</t>
  </si>
  <si>
    <t>Kost Apik Cuba 10 Tipe C Serpong Tangerang Selatan</t>
  </si>
  <si>
    <t>3.2 x 2.8 meter; Tidak termasuk listrik; Kasur; Meja; Lemari Baju; Ventilasi; Kursi; Kipas Angin; Bantal; Guling; Jendela; Kloset Duduk; K. Mandi Luar; Ember mandi; Shower; WiFi; Kulkas; R. Tamu; Penjaga Kos; R. Jemur; Dapur; CCTV; Rice Cooker; Jemuran; Parkir Motor; Parkir Sepeda</t>
  </si>
  <si>
    <t>Kost KamarKu Anggrek Loka Tipe Superior A Serpong Tangerang Selatan</t>
  </si>
  <si>
    <t>3 x 4 meter; Tidak termasuk listrik; AC; Kasur; Meja; Kulkas; Lemari Baju; Bantal; Cermin; Cleaning service; Guling; Jendela; K. Mandi Dalam; Kloset Duduk; Wastafel; Shower; Air panas; WiFi; R. Cuci; Mesin Cuci; Penjaga Kos; Laundry; R. Makan; R. Jemur; R. Santai; Dapur; Parkir Mobil; Parkir Motor; Parkir Sepeda</t>
  </si>
  <si>
    <t>Kost Ero Residence Ciputat Timur Tangerang Selatan</t>
  </si>
  <si>
    <t>3 x 3 meter; Tidak termasuk listrik; AC; Kasur; Meja; Dispenser; TV; Meja Rias; Lemari Baju; Kulkas; Ventilasi; Kursi; K. Mandi Dalam; Kloset Duduk; Shower; Air panas; WiFi; R. Cuci; R. Tamu; Mesin Cuci; R. Makan; R. Jemur; R. Santai; Dapur; Parkir Motor; Parkir Sepeda</t>
  </si>
  <si>
    <t>Kost Marina Home Tipe VIP B Pondok Aren Tangerang Selatan</t>
  </si>
  <si>
    <t>3 x 3.5 meter; Tidak termasuk listrik; AC; Kasur; Meja; Lemari Baju; Ventilasi; Bantal; Cermin; Guling; Kursi; K. Mandi Dalam; Kloset Duduk; K. Mandi Luar; Shower; WiFi; Kulkas; R. Cuci; R. Jemur; R. Santai; Dapur; Jemuran; Pengurus Kos; R. Keluarga; Rooftop; Parkir Motor</t>
  </si>
  <si>
    <t>Kost Omahku Pondok Aren Tangerang Selatan</t>
  </si>
  <si>
    <t>3 x 3 meter; Tidak termasuk listrik; AC; Kasur; Meja; Lemari Baju; Kursi; Bantal; Cermin; Guling; Jendela; Meja makan; Kloset Duduk; K. Mandi Luar; Shower; WiFi; Kulkas; R. Cuci; R. Tamu; R. Makan; R. Jemur; R. Santai; Dapur; Balcon; Parkir Motor</t>
  </si>
  <si>
    <t>Kost Singgahsini MR PKN STAN Tipe C Pondok Aren Tangerang Selatan</t>
  </si>
  <si>
    <t>2.3 x 2.5 meter; Tidak termasuk listrik; Kasur; Meja; Lemari Baju; Kursi; Bantal; Cermin; Guling; Jendela; Kloset Jongkok; K. Mandi Luar; Ember mandi; WiFi; Kulkas; R. Tamu; Penjaga Kos; R. Jemur; Dapur; Jemuran; Parkir Mobil; Parkir Motor; Parkir Sepeda</t>
  </si>
  <si>
    <t>Kost Apik Hijau Tipe B Ciputat Timur Tangerang Selatan</t>
  </si>
  <si>
    <t>4 x 3 meter; Tidak termasuk listrik; AC; Kasur; Lemari Baju; Ventilasi; Jendela; Bantal; Guling; Kloset Duduk; K. Mandi Luar; Ember mandi; Shower; WiFi; R. Cuci; Penjaga Kos; R. Tamu; Mesin Cuci; R. Makan; R. Jemur; Dapur; Dispenser; Parkir Motor &amp; Sepeda</t>
  </si>
  <si>
    <t>Kost Viveka Residence Bintaro Premium Pondok Aren Tangerang Selatan</t>
  </si>
  <si>
    <t>3 x 2.5 meter; Tidak termasuk listrik; AC; Kasur; Meja; TV; Lemari Baju; Kulkas; Bantal; Guling; Jendela; Kursi; K. Mandi Dalam; Kloset Duduk; Shower; Air panas; WiFi; Laundry; Penjaga Kos; R. Tamu; R. Makan; Dapur; Dispenser; CCTV; Kartu Akses; Parkir Motor; Parkir Sepeda; Parkir Motor &amp; Sepeda</t>
  </si>
  <si>
    <t>Kost Apik Hijau Tipe D Ciputat Timur Tangerang Selatan</t>
  </si>
  <si>
    <t>2.7 x 2.7 meter; Tidak termasuk listrik; AC; Kasur; Lemari Baju; Bantal; Kloset Duduk; K. Mandi Luar; Ember mandi; Shower; WiFi; R. Cuci; Penjaga Kos; R. Tamu; Mesin Cuci; R. Makan; R. Jemur; Dapur; Dispenser; Parkir Motor &amp; Sepeda</t>
  </si>
  <si>
    <t>Kost Arga Wilis Tipe B Pondok Aren Tangerang Selatan</t>
  </si>
  <si>
    <t>3 x 3 meter; Termasuk listrik; AC; Kasur; Lemari Baju; Bantal; Jendela; K. Mandi Dalam; Kloset Duduk; Shower; WiFi; Kulkas; R. Cuci; Penjaga Kos; R. Jemur; R. Makan; R. Santai; Dapur; Jemuran; R. Keluarga; Parkir Motor &amp; Sepeda</t>
  </si>
  <si>
    <t>Kost Nikros Coliving BSD Tipe A Serpong Tangerang Selatan</t>
  </si>
  <si>
    <t>3 x 4 meter; Tidak termasuk listrik; AC; Kasur; Meja; TV; Lemari Baju; Jendela; Kursi; Wastafel; K. Mandi Dalam; Kloset Duduk; Shower; Air panas; WiFi; Kulkas; R. Tamu; R. Makan; Dapur; Balcon; CCTV; Parkir Mobil; Parkir Motor; Parkir Sepeda; Parkir Motor &amp; Sepeda</t>
  </si>
  <si>
    <t>Kost Fahrani Ciputat Tangerang Selatan</t>
  </si>
  <si>
    <t>3 x 3 meter; Tidak termasuk listrik; AC; Kipas Angin; K. Mandi Dalam; WiFi; TV</t>
  </si>
  <si>
    <t>Kost Komplek Batan Indah Tipe C Setu Tangerang Selata</t>
  </si>
  <si>
    <t>3 x 3 meter; Termasuk listrik; AC; Kasur; Meja; Lemari Baju; Ventilasi; Bantal; Guling; Jendela; Kursi; Kloset Jongkok; K. Mandi Luar; Ember mandi; Shower; Bak mandi; WiFi; Kulkas; R. Cuci; R. Tamu; R. Jemur; Dapur; Balcon; CCTV; Jemuran; Pengurus Kos; Parkir Motor &amp; Sepeda</t>
  </si>
  <si>
    <t>Kost Joppa Residence Villa Melati Mas BSD Double Bed Serpong Utara Tangerang Selatan</t>
  </si>
  <si>
    <t>3 x 4 meter; Tidak termasuk listrik; AC; Kasur; Meja; TV; Lemari Baju; Ventilasi; Kursi; Wastafel; Meja makan; Bantal; K. Mandi Dalam; Kloset Duduk; Shower; Air panas; WiFi; Kulkas; R. Tamu; Penjaga Kos; R. Makan; R. Jemur; R. Santai; Dapur; Dispenser; Parkir Mobil; Parkir Motor; Parkir Sepeda</t>
  </si>
  <si>
    <t>Kost Talas 107 Tipe B Pamulang Tangerang Selatan</t>
  </si>
  <si>
    <t>3 x 6 meter; Termasuk listrik; Kasur; Meja; K. Mandi Dalam; Kloset Jongkok; WiFi</t>
  </si>
  <si>
    <t>Kost Singgahsini BSD Anggrek Loka AR15 Tipe B Serpong Tangerang Selatan</t>
  </si>
  <si>
    <t>3.8 x 2.7 meter; Tidak termasuk listrik; AC; Kasur; Meja; TV; Lemari Baju; Kursi; Bantal; Guling; Jendela; Kloset Duduk; K. Mandi Luar; Shower; WiFi; Kulkas; R. Tamu; Mesin Cuci; Dapur; Dispenser; Rice Cooker; Parkir Mobil; Parkir Motor; Parkir Sepeda</t>
  </si>
  <si>
    <t>Rp1.701.000</t>
  </si>
  <si>
    <t>Kost Singgahsini Alamanda BSD Tipe B Serpong Tangerang Selatan</t>
  </si>
  <si>
    <t>2.5 x 3.6 meter; Tidak termasuk listrik; AC; Kasur; Jendela; Bantal; Kloset Duduk; K. Mandi Luar; Shower; WiFi; Mesin Cuci; Penjaga Kos; R. Jemur; R. Makan; Dapur; Jemuran; Parkir Motor &amp; Sepeda</t>
  </si>
  <si>
    <t>Kost Chandra Kirana Pondok Aren Tangerang Selatan</t>
  </si>
  <si>
    <t>3 x 3 meter; Tidak termasuk listrik; Kasur; Meja; Lemari Baju; Bantal; Cermin; Guling; Kloset Duduk; K. Mandi Luar; Ember mandi; Wastafel; Shower; WiFi; Kulkas; Penjaga Kos; Dapur; Dispenser; Balcon; CCTV; Jemuran; TV; Parkir Motor; Parkir Sepeda; Parkir Motor &amp; Sepeda</t>
  </si>
  <si>
    <t>Kost AIIIR Residence Tipe Ekonomi Serpong Tangerang Selatan</t>
  </si>
  <si>
    <t>3 x 4 meter; Tidak termasuk listrik; AC; Kasur; Meja; Lemari Baju; Ventilasi; Kursi; Bantal; Cermin; Jendela; K. Mandi Dalam; Kloset Duduk; Ember mandi; Shower; WiFi; Kulkas; R. Tamu; Penjaga Kos; Laundry; R. Makan; R. Jemur; Mushola; R. Santai; Dapur; Parkir Motor; Parkir Sepeda</t>
  </si>
  <si>
    <t>Kost Mimos Tipe B Ciputat Timur Tangerang Selatan</t>
  </si>
  <si>
    <t>3 x 4 meter; Termasuk listrik; AC; Kasur; Meja; Lemari Baju; Bantal; Cermin; Guling; Jendela; Kursi; Kloset Duduk; K. Mandi Luar; Wastafel; Shower; Air panas; WiFi; R. Cuci; Kulkas; R. Jemur; R. Santai; Dapur; Dispenser; Balcon; CCTV; Jemuran; Parkir Mobil; Parkir Motor; Parkir Sepeda; Parkir Motor &amp; Sepeda</t>
  </si>
  <si>
    <t>Kost Rosela Tipe B Serpong Utara Tangerang Selatan</t>
  </si>
  <si>
    <t>3 x 3 meter; Tidak termasuk listrik; AC; Kasur; Meja; Lemari Baju; Ventilasi; Kursi; Bantal; Guling; Jendela; Cermin; K. Mandi Dalam; Kloset Duduk; K. Mandi Luar; Ember mandi; Wastafel; Shower; Air panas; WiFi; R. Cuci; Kulkas; R. Tamu; R. Makan; R. Jemur; Dapur; Jemuran; Parkir Mobil; Parkir Motor; Parkir Sepeda</t>
  </si>
  <si>
    <t>Kost Marina Home Tipe Double Pondok Aren Tangerang Selatan</t>
  </si>
  <si>
    <t>3 x 4 meter; Tidak termasuk listrik; AC; Kasur; Meja; Lemari Baju; Bantal; Cermin; Guling; Jendela; Kursi; K. Mandi Dalam; Kloset Duduk; K. Mandi Luar; Shower; WiFi; Kulkas; R. Cuci; R. Jemur; R. Santai; Dapur; Jemuran; Pengurus Kos; R. Keluarga; Rooftop; Parkir Motor</t>
  </si>
  <si>
    <t>Kost Villa Melati Mas Tipe B Serpong Utara Tangerang Selatan</t>
  </si>
  <si>
    <t>3 x 3.5 meter; Termasuk listrik; AC; Kasur; Meja; Lemari Baju; Kursi; Kloset Duduk; K. Mandi Luar; Shower; Air panas; WiFi; R. Cuci; Kulkas; R. Tamu; R. Makan; R. Jemur; Dapur; Dispenser; TV; Parkir Mobil; Parkir Motor; Parkir Sepeda</t>
  </si>
  <si>
    <t>Kost Apik Cherry Tipe A Pondok Aren Tangerang Selatan</t>
  </si>
  <si>
    <t>2.7 x 2.6 meter</t>
  </si>
  <si>
    <t>2.7 x 2.6 meter; Tidak termasuk listrik; Kasur; Meja; Lemari Baju; Ventilasi; Kursi; Bantal; Cermin; Guling; Jendela; Kloset Duduk; K. Mandi Luar; Ember mandi; Shower; Air panas; WiFi; Kulkas; R. Tamu; Penjaga Kos; R. Jemur; Dapur; TV; Jemuran; Parkir Motor &amp; Sepeda</t>
  </si>
  <si>
    <t>Kost Tjek Ma Tipe A Pondok Aren Tangerang Selatan</t>
  </si>
  <si>
    <t>3 x 3 meter; Tidak termasuk listrik; AC; Kasur; Lemari Baju; Cleaning service; Bantal; Guling; Jendela; Kloset Duduk; K. Mandi Luar; Shower; WiFi; R. Tamu; Penjaga Kos; R. Jemur; R. Santai; Dapur; Pengurus Kos; Parkir Mobil; Parkir Motor; Parkir Sepeda</t>
  </si>
  <si>
    <t>Kost Apik Griya Tentrem Bintaro Tipe C Pondok Aren Tangerang Selatan</t>
  </si>
  <si>
    <t>4.3 x 2.4 meter</t>
  </si>
  <si>
    <t>4.3 x 2.4 meter; Termasuk listrik; Kasur; Meja; TV; Lemari Baju; Ventilasi; Kursi; Kipas Angin; Bantal; Jendela; Kloset Jongkok; K. Mandi Luar; Ember mandi; WiFi; R. Tamu; Penjaga Kos; R. Makan; R. Jemur; Dapur; Parkir Mobil; Parkir Motor; Parkir Sepeda</t>
  </si>
  <si>
    <t>Kost Bintaro Sektor 9 Tangerang Selatan</t>
  </si>
  <si>
    <t>3 x 4 meter; Tidak termasuk listrik; AC; Kasur; Meja; TV; Ventilasi; Jendela; K. Mandi Dalam; Shower; Air panas; WiFi; Penjaga Kos; Dapur; CCTV; Pengurus Kos; Parkir Mobil; Parkir Motor</t>
  </si>
  <si>
    <t>Kost Wish Choice Tipe Non AC Serpong Utara Tangerang Selatan</t>
  </si>
  <si>
    <t>3 x 3 meter; Termasuk listrik; Kasur; Dispenser; Meja; Kulkas; Lemari Baju; Ventilasi; Bantal; Guling; Jendela; Kipas Angin; K. Mandi Dalam; Kloset Jongkok; K. Mandi Luar; Ember mandi; WiFi; Penjaga Kos; R. Tamu; R. Jemur; Dapur; CCTV; Jemuran; Pengurus Kos; Parkir Motor &amp; Sepeda</t>
  </si>
  <si>
    <t>Kost Marina Home Tipe VIP A Pondok Aren Tangerang Selatan</t>
  </si>
  <si>
    <t>3 x 3 meter; Tidak termasuk listrik; AC; Kasur; Meja; Lemari Baju; Bantal; Jendela; Kursi; K. Mandi Dalam; Kloset Duduk; K. Mandi Luar; Shower; WiFi; Kulkas; R. Cuci; R. Jemur; R. Santai; Dapur; Jemuran; Pengurus Kos; R. Keluarga; Rooftop; Parkir Motor</t>
  </si>
  <si>
    <t>Kost Omah Tentrem Serpong Tangerang Selatan</t>
  </si>
  <si>
    <t>3 x 4 meter; Tidak termasuk listrik; AC; Kasur; Meja; Lemari Baju; Bantal; Cermin; Jendela; Kursi; K. Mandi Dalam; Kloset Duduk; Wastafel; Shower; WiFi; CCTV; Jemuran; Parkir Mobil; Parkir Motor; Parkir Sepeda; Parkir Motor &amp; Sepeda</t>
  </si>
  <si>
    <t>Kost Tjek Ma Tipe C Pondok Aren Tangerang Selatan</t>
  </si>
  <si>
    <t>5 x 3 meter; Tidak termasuk listrik; AC; Kasur; Lemari Baju; Cleaning service; Bantal; Guling; Jendela; Kloset Duduk; K. Mandi Luar; Shower; WiFi; R. Tamu; Penjaga Kos; R. Jemur; R. Santai; Dapur; Pengurus Kos; Parkir Mobil; Parkir Motor; Parkir Sepeda</t>
  </si>
  <si>
    <t>Kost Singgahsini Alamanda BSD Tipe C Serpong Tangerang Selatan</t>
  </si>
  <si>
    <t>2.5 x 3.6 meter; Tidak termasuk listrik; Kasur; Lemari Baju; Bantal; K. Mandi Dalam; Kloset Duduk; Bak mandi; WiFi; Mesin Cuci; Penjaga Kos; R. Jemur; R. Makan; Dapur; Jemuran; Parkir Motor &amp; Sepeda</t>
  </si>
  <si>
    <t>Kost Singgahsini Pondok Nuri Tipe B Tangerang Selatan</t>
  </si>
  <si>
    <t>4 x 3 meter; Tidak termasuk listrik; AC; Kasur; Meja; Lemari Baju; Ventilasi; Kursi; Jendela; Bantal; Kloset Duduk; K. Mandi Luar; Ember mandi; Shower; WiFi; R. Cuci; Kulkas; R. Tamu; Penjaga Kos; Mesin Cuci; R. Jemur; Dapur; CCTV; Jemuran; Parkir Motor &amp; Sepeda</t>
  </si>
  <si>
    <t>Kost Bumi Pelita Kencana Tipe B Pamulang Tangerang Selatan</t>
  </si>
  <si>
    <t>3 x 3 meter; Tidak termasuk listrik; Kasur; Lemari Baju; Kloset Jongkok; K. Mandi Luar; Ember mandi; Bak mandi; WiFi; R. Cuci; Mesin Cuci; R. Jemur; Dapur; Parkir Motor; Parkir Sepeda</t>
  </si>
  <si>
    <t>Kost Apik Bokis 1 Bintaro Tipe A Pondok Aren Tangerang Selatan</t>
  </si>
  <si>
    <t>Rp655.000</t>
  </si>
  <si>
    <t>3 x 2 meter; Tidak termasuk listrik; Kasur; Meja; Lemari Baju; Jendela; Kloset Duduk; K. Mandi Luar; WiFi; Kulkas; Parkir Motor &amp; Sepeda</t>
  </si>
  <si>
    <t>Rp623.500</t>
  </si>
  <si>
    <t>Diskon 32rb</t>
  </si>
  <si>
    <t>Kost D Amour Exclusive Ciputat Timur Tangerang Selatan</t>
  </si>
  <si>
    <t>4 x 4 meter; Tidak termasuk listrik; AC; Kasur; Meja; Meja Rias; Lemari Baju; Ventilasi; Bantal; Cermin; Guling; Jendela; K. Mandi Dalam; Kloset Duduk; Wastafel; Shower; Kulkas; R. Tamu; R. Jemur; R. Makan; Dapur; Taman; Jemuran; Parkir Mobil; Parkir Motor</t>
  </si>
  <si>
    <t>Kost KamarKu Anggrek Loka Tipe Superior B Serpong Tangerang Selatan</t>
  </si>
  <si>
    <t>3 x 4 meter; Tidak termasuk listrik; AC; Kasur; Meja; TV; Lemari Baju; Bantal; Cermin; Cleaning service; Guling; Jendela; K. Mandi Dalam; Kloset Duduk; Wastafel; Shower; Air panas; WiFi; R. Cuci; Kulkas; Mesin Cuci; Penjaga Kos; Laundry; R. Makan; R. Jemur; R. Santai; Dapur; Parkir Mobil; Parkir Motor; Parkir Sepeda</t>
  </si>
  <si>
    <t>Kost Griya Anggrek Tipe 1 Serpong Tangerang Selatan</t>
  </si>
  <si>
    <t>3 x 4 meter; Tidak termasuk listrik; AC; Kasur; Meja; Lemari Baju; Ventilasi; Bantal; Cermin; Guling; Jendela; Wastafel; K. Mandi Dalam; Kloset Duduk; Shower; Air panas; WiFi; Kulkas; R. Cuci; Laundry; Penjaga Kos; R. Tamu; R. Jemur; R. Makan; Dapur; Dispenser; Parkir Mobil; Parkir Motor; Parkir Sepeda; Parkir Motor &amp; Sepeda</t>
  </si>
  <si>
    <t>Kost Zuzu Tipe A Pamulang Tangerang Selatan</t>
  </si>
  <si>
    <t>3 x 3 meter; Termasuk listrik; Kasur; Lemari Baju; Bantal; Jendela; Kipas Angin; Kloset Duduk; K. Mandi Luar; Ember mandi; WiFi; R. Jemur; Jemuran; Parkir Motor &amp; Sepeda</t>
  </si>
  <si>
    <t>Kost Kenanga Tipe A Pondok Aren Tangerang Selatan</t>
  </si>
  <si>
    <t>3 x 3 meter; Tidak termasuk listrik; Kasur; Meja; Lemari Baju; Bantal; Guling; Jendela; Kursi; K. Mandi Dalam; Kloset Duduk; Shower; WiFi; Kulkas; R. Jemur; R. Santai; Dapur; Jemuran; K. Mandi Luar; Parkir Motor</t>
  </si>
  <si>
    <t>Kost Rafaelina Tipe A Pamulang Tangerang Selatan</t>
  </si>
  <si>
    <t>3 x 4 meter; Termasuk listrik; AC; Kasur; Meja; Lemari Baju; Ventilasi; Bantal; Cermin; Cleaning service; Guling; Jendela; K. Mandi Dalam; Kloset Duduk; Ember mandi; Wastafel; Shower; Air panas; WiFi; R. Jemur; Dapur; CCTV; Jemuran; Taman; Parkir Motor</t>
  </si>
  <si>
    <t>Kost NA Tipe AC Executive Pamulang Tangerang Selatan</t>
  </si>
  <si>
    <t>4 x 5 meter; Tidak termasuk listrik; AC; Kasur; Meja; Lemari Baju; Ventilasi; Bantal; Cermin; Jendela; Kursi; Wastafel; K. Mandi Dalam; Kloset Duduk; Shower; WiFi; Penjaga Kos; Mushola; Pengurus Kos; Jual Makanan; Rice Cooker; Parkir Mobil; Parkir Motor &amp; Sepeda</t>
  </si>
  <si>
    <t>Kost Versanda Homestay BSD City Tipe A Serpong Tangerang Selatan</t>
  </si>
  <si>
    <t>3 x 4 meter; Tidak termasuk listrik; AC; Kasur; Meja; Lemari Baju; Ventilasi; Bantal; Jendela; Kursi; Wastafel; Cermin; K. Mandi Dalam; Kloset Duduk; Shower; Air panas; WiFi; Kulkas; Penjaga Kos; Dapur; CCTV; Pengurus Kos; Parkir Mobil; Parkir Motor; Parkir Sepeda</t>
  </si>
  <si>
    <t>Kost Apik Garuda Utama Tipe B Pondok Cabe Tangerang Selatan</t>
  </si>
  <si>
    <t>Rp475.000</t>
  </si>
  <si>
    <t>2 x 3 meter; Tidak termasuk listrik; Kasur; Meja; Lemari Baju; Ventilasi; Kursi; Kipas Angin; Bantal; Guling; Jendela; Kloset Jongkok; K. Mandi Luar; Ember mandi; Bak mandi; WiFi; R. Tamu; Mesin Cuci; Penjaga Kos; R. Jemur; Dapur; Dispenser; TV; CCTV; Jemuran; Parkir Motor; Parkir Sepeda</t>
  </si>
  <si>
    <t>Rp439.000</t>
  </si>
  <si>
    <t>Kost Apik Tarigan Tipe A Setu Tangerang Selatan</t>
  </si>
  <si>
    <t>5 x 3 meter; Tidak termasuk listrik; Kasur; Lemari Baju; Bantal; Guling; Jendela; K. Mandi Dalam; Kloset Duduk; Shower; WiFi; Penjaga Kos; Parkir Motor &amp; Sepeda</t>
  </si>
  <si>
    <t>Kost Rindu II Executive Serpong Tangerang Selatan</t>
  </si>
  <si>
    <t>3 x 4 meter; Tidak termasuk listrik; AC; Kasur; Dispenser; Meja; Kulkas; Lemari Baju; Ventilasi; Bantal; Cermin; Guling; K. Mandi Dalam; Kloset Duduk; Ember mandi; Wastafel; Shower; WiFi; R. Jemur; Dapur; Balcon; Jemuran; Taman; Parkir Mobil; Parkir Motor; Parkir Sepeda; Parkir Motor &amp; Sepeda</t>
  </si>
  <si>
    <t>Kost KamarKu Griya Loka BSD Deluxe+ Serpong Tangerang Selatan</t>
  </si>
  <si>
    <t>3 x 3.5 meter; Tidak termasuk listrik; AC; Kasur; Meja; Kulkas; Lemari Baju; Ventilasi; Bantal; Cermin; Cleaning service; Jendela; K. Mandi Dalam; Kloset Duduk; Wastafel; Shower; Air panas; WiFi; Laundry; Penjaga Kos; R. Makan; R. Santai; Dapur; Dispenser; CCTV; Jemuran; Kartu Akses; Parkir Mobil; Parkir Motor; Parkir Motor &amp; Sepeda</t>
  </si>
  <si>
    <t>Kost Singgahsini Queen Tisli Tipe B Serpong Tangerang Selatan</t>
  </si>
  <si>
    <t>4 x 2.7 meter</t>
  </si>
  <si>
    <t>4 x 2.7 meter; Tidak termasuk listrik; AC; Kasur; Meja; Lemari Baju; Kursi; Bantal; Cermin; Guling; Jendela; K. Mandi Dalam; Kloset Duduk; Shower; Air panas; WiFi; Kulkas; R. Tamu; Penjaga Kos; R. Makan; R. Jemur; Dapur; Dispenser; K. Mandi Luar; CCTV; Parkir Mobil; Parkir Motor &amp; Sepeda</t>
  </si>
  <si>
    <t>Kost Apik Mahoni Tipe B Pondok Aren Tangerang Selatan</t>
  </si>
  <si>
    <t>Rp768.000</t>
  </si>
  <si>
    <t>2.4 x 2.3 meter; Tidak termasuk listrik; Kasur; Meja; Lemari Baju; Ventilasi; Kursi; Jendela; Bantal; K. Mandi Dalam; Kloset Jongkok; Ember mandi; WiFi; R. Tamu; R. Jemur; Dapur; CCTV; Balcon; Jemuran; Parkir Motor &amp; Sepeda</t>
  </si>
  <si>
    <t>Rp708.560</t>
  </si>
  <si>
    <t>Kost Bu Sekar Ciputat Tangerang Selatan</t>
  </si>
  <si>
    <t>2 x 3 meter; Termasuk listrik; Kasur; Lemari Baju; Ventilasi; Bantal; Cermin; Jendela; Kipas Angin; Kursi; Guling; Kloset Jongkok; K. Mandi Luar; Ember mandi; Wastafel; Shower; Bak mandi; WiFi; Kulkas; R. Cuci; R. Jemur; Dapur; CCTV; Jemuran; Gazebo; Rice Cooker; Rooftop; Parkir Mobil; Parkir Motor; Parkir Sepeda; Parkir Motor &amp; Sepeda</t>
  </si>
  <si>
    <t>Kost White Eksklusif Pamulang Tangerang Selatan</t>
  </si>
  <si>
    <t>3 x 3 meter; Tidak termasuk listrik; AC; Kasur; Meja; TV; Lemari Baju; Bantal; Cermin; Jendela; Kursi; K. Mandi Dalam; Kloset Duduk; Shower; WiFi; Kulkas; R. Cuci; Mesin Cuci; R. Jemur; Dapur; CCTV; Jemuran; Parkir Motor &amp; Sepeda</t>
  </si>
  <si>
    <t>Kost Surya Kencana Tipe A Pondok Aren Tangerang Selatan</t>
  </si>
  <si>
    <t>4 x 3.5 meter; Tidak termasuk listrik; AC; Kasur; Meja; Lemari Baju; Ventilasi; Kursi; Bantal; Cermin; Guling; Jendela; K. Mandi Dalam; Kloset Duduk; Ember mandi; Shower; WiFi; Kulkas; R. Tamu; Penjaga Kos; R. Jemur; R. Santai; Dapur; Dispenser; TV; Taman; Parkir Mobil; Parkir Motor; Parkir Sepeda</t>
  </si>
  <si>
    <t>Kost Singgahsini Kemuning Tipe A Pondok Aren Tangerang Selatan</t>
  </si>
  <si>
    <t>2.7 x 2.7 meter; Tidak termasuk listrik; AC; Kasur; Lemari Baju; Ventilasi; Bantal; Guling; Jendela; Kloset Duduk; K. Mandi Luar; Ember mandi; WiFi; R. Cuci; Penjaga Kos; CCTV; Parkir Mobil; Parkir Motor &amp; Sepeda</t>
  </si>
  <si>
    <t>Kost Apik Edozen Kedaung Tipe B Pamulang Tangerang Selatan</t>
  </si>
  <si>
    <t>3.2 x 3.2 meter; Termasuk listrik; Kasur; Meja; Lemari Baju; Bantal; K. Mandi Dalam; Kloset Duduk; Shower; WiFi; R. Tamu; R. Jemur; Dapur; Dispenser; Rooftop; Parkir Mobil; Parkir Motor &amp; Sepeda</t>
  </si>
  <si>
    <t>Kost 21 Alam Sutera Tipe B Serpong Utara Tangerang Selatan</t>
  </si>
  <si>
    <t>3 x 3 meter; Termasuk listrik; AC; Kasur; Meja; Lemari Baju; Bantal; Cermin; Jendela; Kursi; Kloset Duduk; K. Mandi Luar; Wastafel; Shower; WiFi; Kulkas; Laundry; Dapur; Dispenser; Pengurus Kos; Parkir Mobil; Parkir Motor; Parkir Sepeda; Parkir Motor &amp; Sepeda</t>
  </si>
  <si>
    <t>Kost AF II 2 Serpong Tangerang Selatan</t>
  </si>
  <si>
    <t>4 x 3.5 meter; Tidak termasuk listrik; AC; Kasur; Meja; Meja Rias; Lemari Baju; Ventilasi; Bantal; Cermin; Cleaning service; Guling; K. Mandi Dalam; Kloset Duduk; Shower; Air panas; WiFi; Laundry; Penjaga Kos; R. Tamu; R. Jemur; Dapur; Dispenser; CCTV; Jemuran; Pengurus Kos; Parkir Mobil; Parkir Motor; Parkir Sepeda</t>
  </si>
  <si>
    <t>Kost Ibu Lenny Tipe C Ciputat Timur Tangerang Selatan</t>
  </si>
  <si>
    <t>3 x 4 meter; Termasuk listrik; AC; Kasur; Meja; Lemari Baju; Bantal; Cermin; Jendela; Kursi; K. Mandi Dalam; Kloset Duduk; Ember mandi; Shower; R. Makan; Dapur; Jemuran; Parkir Motor; Parkir Sepeda</t>
  </si>
  <si>
    <t>Rp1.599.958</t>
  </si>
  <si>
    <t>Kost Bismillah Serpong Tangerang Selatan</t>
  </si>
  <si>
    <t>3 x 4 meter; Tidak termasuk listrik; Jendela; Dapur Pribadi; K. Mandi Dalam; Kloset Jongkok; Ember mandi; Bak mandi; Mushola; Dapur; Balcon; CCTV; Parkir Motor &amp; Sepeda</t>
  </si>
  <si>
    <t>Kost Perkici Apik Pondok Aren Tangerang Selatan</t>
  </si>
  <si>
    <t>3 x 4 meter; Tidak termasuk listrik; AC; Kasur; Meja; Lemari Baju; Bantal; Guling; Kursi; Kloset Duduk; K. Mandi Luar; Ember mandi; Shower; WiFi; Kulkas; R. Tamu; R. Jemur; Dapur; Balcon; Jemuran; Rice Cooker; TV; CCTV; Parkir Motor</t>
  </si>
  <si>
    <t>Kost Benosa Deluxe Serpong Tangerang Selatan</t>
  </si>
  <si>
    <t>3 x 3 meter; Tidak termasuk listrik; AC; Kasur; Meja; Lemari Baju; Bantal; Cermin; Jendela; Kipas Angin; Kursi; Kloset Duduk; K. Mandi Luar; Wastafel; Shower; WiFi; Penjaga Kos; R. Jemur; Jemuran; R. Keluarga; Taman; Parkir Mobil; Parkir Motor; Parkir Sepeda</t>
  </si>
  <si>
    <t>Kost Menteng Royale Standar Cikarang Selatan Bekasi</t>
  </si>
  <si>
    <t>4 x 5 meter; Tidak termasuk listrik; AC; Kasur; Dispenser; Meja; Meja Rias; TV; Kulkas; Lemari Baju; Ventilasi; Bantal; K. Mandi Dalam; Kloset Duduk; Wastafel; Shower; Air panas; Bak mandi; Bathtub; WiFi; R. Cuci; Laundry; Mesin Cuci; Penjaga Kos; R. Tamu; R. Jemur; R. Makan; R. Santai; Parkir Mobil; Parkir Motor; Parkir Sepeda; Parkir Motor &amp; Sepeda</t>
  </si>
  <si>
    <t>Cikarang Selatan</t>
  </si>
  <si>
    <t>Bekasi</t>
  </si>
  <si>
    <t>Kost C3 Adrian VVIP Cikarang Pusat Bekasi</t>
  </si>
  <si>
    <t>3 x 4 meter; Tidak termasuk listrik; AC; Kasur; Lemari Baju; Ventilasi; Bantal; Jendela; Wastafel; K. Mandi Dalam; Kloset Duduk; Shower; Air panas; WiFi; Kulkas; R. Cuci; Mesin Cuci; Dapur; Pengurus Kos; Taman; Parkir Mobil; Parkir Motor; Parkir Sepeda; Parkir Motor &amp; Sepeda</t>
  </si>
  <si>
    <t>Kecamatan Cikarang Pusat</t>
  </si>
  <si>
    <t>Kost C3 Verona VVIP Cikarang Pusat Bekasi</t>
  </si>
  <si>
    <t>3 x 4 meter; Tidak termasuk listrik; AC; Kasur; Lemari Baju; Ventilasi; Bantal; Wastafel; K. Mandi Dalam; Kloset Duduk; Shower; Air panas; WiFi; Kulkas; Mesin Cuci; Dapur; Pengurus Kos; Parkir Mobil; Parkir Motor</t>
  </si>
  <si>
    <t>Kost Pinus 3 11 Tipe Non AC Cikarang Selatan Bekasi</t>
  </si>
  <si>
    <t>3 x 3 meter; Tidak termasuk listrik; Kasur; Meja; Lemari Baju; Bantal; Guling; Jendela; Kipas Angin; K. Mandi Dalam; Kloset Duduk; Shower; WiFi; R. Cuci; Kulkas; Mesin Cuci; Laundry; R. Makan; R. Jemur; R. Santai; Dapur; Parkir Mobil</t>
  </si>
  <si>
    <t>Kost Lermanmora Tipe C Cikarang Selatan</t>
  </si>
  <si>
    <t>2.5 x 2.4 meter; Tidak termasuk listrik; AC; Kasur; Lemari Baju; K. Mandi Dalam; Kloset Duduk; Ember mandi; Shower; WiFi; R. Cuci; Kulkas; R. Tamu; R. Makan; R. Jemur; R. Santai; Dapur; TV; R. Keluarga; Parkir Mobil; Parkir Motor; Parkir Sepeda</t>
  </si>
  <si>
    <t>Kost Graha Indonesia Tipe VVIP Cikarang Pusat Bekasi</t>
  </si>
  <si>
    <t>3 x 4 meter; Tidak termasuk listrik; AC; Kasur; Lemari Baju; Ventilasi; Bantal; Guling; Jendela; K. Mandi Dalam; Kloset Duduk; Wastafel; Shower; Air panas; WiFi; Kulkas; R. Cuci; Mesin Cuci; R. Tamu; R. Jemur; Dapur; Jemuran; Pengurus Kos; R. Keluarga; Parkir Mobil; Parkir Motor; Parkir Motor &amp; Sepeda</t>
  </si>
  <si>
    <t>Kost Wisma Torina Cikarang Pusat Bekasi</t>
  </si>
  <si>
    <t>3 x 4 meter; Tidak termasuk listrik; AC; Kasur; Lemari Baju; Ventilasi; Bantal; Cermin; Dapur Pribadi; Guling; Jendela; Wastafel; K. Mandi Dalam; Kloset Duduk; Shower; WiFi; Penjaga Kos; CCTV; Pengurus Kos; Parkir Mobil; Parkir Motor; Parkir Sepeda; Parkir Motor &amp; Sepeda</t>
  </si>
  <si>
    <t>Cikarang Pusat</t>
  </si>
  <si>
    <t>Kost Omahku Villa Mutiara Executive Cikarang Selatan Bekasi</t>
  </si>
  <si>
    <t>3 x 3 meter; Tidak termasuk listrik; AC; Kasur; Meja; Lemari Baju; Bantal; Cermin; Guling; Jendela; Kursi; K. Mandi Dalam; Kloset Duduk; Shower; Air panas; WiFi; Kulkas; R. Jemur; Dapur; CCTV; Jemuran; Pengurus Kos; Rooftop; Parkir Motor; Parkir Sepeda</t>
  </si>
  <si>
    <t>Kost Mora 1 Cikarang Utara Bekasi</t>
  </si>
  <si>
    <t>3 x 4 meter; Tidak termasuk listrik; AC; Kasur; Lemari Baju; Ventilasi; Jendela; Bantal; K. Mandi Dalam; Kloset Jongkok; Ember mandi; WiFi; Penjaga Kos; Jemuran; CCTV; Jual Makanan; Parkir Mobil; Parkir Motor; Parkir Sepeda</t>
  </si>
  <si>
    <t>Kecamatan Cikarang Utara</t>
  </si>
  <si>
    <t>Kost Family Tipe A Cikarang Pusat Bekasi</t>
  </si>
  <si>
    <t>3 x 4 meter; Tidak termasuk listrik; AC; Kasur; Lemari Baju; Ventilasi; Bantal; Jendela; Kipas Angin; K. Mandi Dalam; Kloset Jongkok; Ember mandi; Penjaga Kos; R. Jemur; Balcon; Jemuran; Pengurus Kos; CCTV; Parkir Motor; Parkir Sepeda; Parkir Motor &amp; Sepeda</t>
  </si>
  <si>
    <t>Kost Griya Pratama Tipe B Tambun Selatan Bekasi</t>
  </si>
  <si>
    <t>3 x 3 meter; Tidak termasuk listrik; AC; Dapur Pribadi; Jendela; K. Mandi Dalam; Kloset Jongkok; Wastafel; Ember mandi; WiFi; R. Tamu; R. Jemur; Mushola; Dapur; R. Keluarga; Jemuran; Parkir Mobil; Parkir Motor; Parkir Sepeda</t>
  </si>
  <si>
    <t>Kecamatan Tambun Selatan</t>
  </si>
  <si>
    <t>Kost Meadow Green Lippo Double Bed Cikarang Selatan Bekasi</t>
  </si>
  <si>
    <t>3 x 4 meter; Tidak termasuk listrik; AC; Kasur; Meja; TV; Lemari Baju; Ventilasi; Cleaning service; Jendela; Kursi; Bantal; K. Mandi Dalam; Kloset Duduk; Wastafel; Shower; Air panas; WiFi; Kulkas; Laundry; R. Tamu; R. Makan; R. Santai; Dapur; Dispenser; CCTV; Pengurus Kos; Parkir Mobil; Parkir Motor; Parkir Sepeda</t>
  </si>
  <si>
    <t>Kost Go Jababeka Tipe Eksekutif Cikarang Pusat Bekasi</t>
  </si>
  <si>
    <t>3 x 3 meter; Tidak termasuk listrik; AC; Kasur; Meja; Lemari Baju; Bantal; Cermin; Cleaning service; Guling; Jendela; Kursi; K. Mandi Dalam; Kloset Duduk; Shower; WiFi; Kulkas; Laundry; Penjaga Kos; R. Jemur; Dispenser; Dapur; CCTV; Jemuran; Kartu Akses; Parkir Motor; Parkir Sepeda</t>
  </si>
  <si>
    <t>Kost C3 Himalaya VVIP Cikarang Pusat Bekasi</t>
  </si>
  <si>
    <t>3 x 4 meter; Tidak termasuk listrik; AC; Kasur; Lemari Baju; Ventilasi; Bantal; Guling; Jendela; Wastafel; K. Mandi Dalam; Kloset Duduk; Shower; Air panas; WiFi; Kulkas; R. Cuci; Mesin Cuci; R. Tamu; R. Jemur; Dapur; CCTV; Jemuran; Jual Makanan; Parkir Mobil; Parkir Motor; Parkir Sepeda; Parkir Motor &amp; Sepeda</t>
  </si>
  <si>
    <t>Kost Gs Tipe A Tanjung Pandan Belitung</t>
  </si>
  <si>
    <t>3 x 4 meter; Tidak termasuk listrik; Kasur; Lemari Baju; Bantal; Dapur Pribadi; Guling; Jendela; K. Mandi Dalam; Kloset Duduk; Dapur; Parkir Mobil; Parkir Motor &amp; Sepeda</t>
  </si>
  <si>
    <t>Tanjung Pandan</t>
  </si>
  <si>
    <t>Kost Aurelia Tipe B Cikarang Selatan Bekasi</t>
  </si>
  <si>
    <t>3 x 3 meter; Termasuk listrik; AC; Kasur; Meja; Lemari Baju; Ventilasi; Bantal; Kursi; K. Mandi Dalam; Kloset Duduk; Shower; WiFi; Kulkas; Dapur; Parkir Mobil; Parkir Motor</t>
  </si>
  <si>
    <t>Kost Tuscany Garden 9 Tipe B Cikarang Selatan Bekasi</t>
  </si>
  <si>
    <t>3 x 4 meter; Tidak termasuk listrik; Kasur; Meja; Lemari Baju; K. Mandi Dalam; Kloset Duduk; WiFi; Parkir Mobil</t>
  </si>
  <si>
    <t>Kost C3 Rangga Langkawi VVIP Cikarang Pusat Bekasi</t>
  </si>
  <si>
    <t>3 x 4 meter; Tidak termasuk listrik; AC; Kasur; Lemari Baju; Ventilasi; Bantal; Jendela; Wastafel; K. Mandi Dalam; Kloset Duduk; Shower; Air panas; WiFi; Kulkas; R. Cuci; Mesin Cuci; R. Tamu; R. Makan; R. Santai; Dapur; Jemuran; Pengurus Kos; Parkir Mobil; Parkir Motor; Parkir Sepeda; Parkir Motor &amp; Sepeda</t>
  </si>
  <si>
    <t>Kost Dhea Nia Cikarang Pusat Bekasi</t>
  </si>
  <si>
    <t>3 x 3 meter; Tidak termasuk listrik; AC; Kasur; Meja; TV; Lemari Baju; Ventilasi; Bantal; Cermin; Guling; Jendela; Kloset Duduk; Shower; Air panas; WiFi; Kulkas; Laundry; Dapur; Dispenser; CCTV; Kartu Akses; Rice Cooker; Parkir Mobil; Parkir Motor; Parkir Sepeda; Parkir Motor &amp; Sepeda</t>
  </si>
  <si>
    <t>Kost Bvly Safehouse CoLiving Pet Friendly Deluxe Studio Cikarang Selatan Bekasi</t>
  </si>
  <si>
    <t>4 x 4 meter; Tidak termasuk listrik; AC; Kasur; Meja; TV; Lemari Baju; Kulkas; Bantal; Cermin; Dapur Pribadi; Jendela; K. Mandi Dalam; Kloset Duduk; Shower; Air panas; WiFi; Dispenser; CCTV; Taman; Locker; Parkir Mobil; Parkir Motor; Parkir Sepeda</t>
  </si>
  <si>
    <t>Kost Santoso Tipe B Tarumajaya Bekasi</t>
  </si>
  <si>
    <t>3 x 3 meter; Tidak termasuk listrik; AC; Kasur; Lemari Baju; Bantal; Cermin; K. Mandi Luar; Wastafel; Shower; Air panas; Kulkas; R. Cuci; R. Jemur; Dapur; Dispenser; Parkir Mobil; Parkir Motor</t>
  </si>
  <si>
    <t>Kecamatan Tarumajaya</t>
  </si>
  <si>
    <t>Kost Bumi 2 Executive Cikarang Selatan Bekasi</t>
  </si>
  <si>
    <t>3 x 4 meter; Tidak termasuk listrik; AC; Kasur; Meja; Lemari Baju; Ventilasi; Bantal; Cermin; Guling; Jendela; Kursi; K. Mandi Dalam; Kloset Duduk; Shower; WiFi; Kulkas; Penjaga Kos; R. Santai; Dapur; Balcon; CCTV; Jemuran; Parkir Mobil; Parkir Motor</t>
  </si>
  <si>
    <t>Kost Meadow Green Tipe AC Cikarang Selatan Bekasi</t>
  </si>
  <si>
    <t>3 x 4 meter; Termasuk listrik; AC; Kasur; Lemari Baju; Bantal; Jendela; Kloset Duduk; K. Mandi Luar; Ember mandi; Wastafel; Shower; WiFi; Kulkas; R. Cuci; Laundry; Mesin Cuci; R. Jemur; Dapur; Jemuran; Pengurus Kos; Parkir Motor</t>
  </si>
  <si>
    <t>Kost Ibu Eva Cikarang Timur Bekasi</t>
  </si>
  <si>
    <t>4 x 3 meter; Tidak termasuk listrik; AC; Kasur; Meja; Lemari Baju; Kursi; Bantal; Guling; Jendela; K. Mandi Dalam; Kloset Duduk; Shower; WiFi; Kulkas; R. Cuci; Penjaga Kos; R. Jemur; Dapur; Taman; Joglo; Pengurus Kos; Parkir Mobil; Parkir Motor</t>
  </si>
  <si>
    <t>Cikarang Timur</t>
  </si>
  <si>
    <t>Kost Taman Kebalen Tipe A Babelan Bekasi</t>
  </si>
  <si>
    <t>3 x 4 meter; Tidak termasuk listrik; AC; Kipas Angin; Kloset Duduk; Dapur; Parkir Mobil; Parkir Motor &amp; Sepeda</t>
  </si>
  <si>
    <t>Kecamatan Babelan</t>
  </si>
  <si>
    <t>Kost Meranti The Home Deluxe Cikarang Barat Bekasi</t>
  </si>
  <si>
    <t>3 x 3 meter; Tidak termasuk listrik; AC; Kasur; Meja; Lemari Baju; Ventilasi; Bantal; Cermin; Guling; Jendela; Kursi; K. Mandi Luar; Ember mandi; Wastafel; Shower; Bak mandi; WiFi; Kulkas; R. Cuci; R. Tamu; Mushola; R. Jemur; R. Makan; R. Santai; Dapur; Dispenser; Parkir Motor; Parkir Sepeda; Parkir Motor &amp; Sepeda</t>
  </si>
  <si>
    <t>Cikarang Barat</t>
  </si>
  <si>
    <t>Kost Tuscany Garden 17 Cikarang Selatan Bekasi</t>
  </si>
  <si>
    <t>3 x 4 meter; Tidak termasuk listrik; AC; Kasur; Meja; Lemari Baju; WiFi; Parkir Mobil</t>
  </si>
  <si>
    <t>Kost Lippo Cikarang Mm Tazko Tipe A Cikarang Selatan Bekasi</t>
  </si>
  <si>
    <t>3 x 4 meter; Tidak termasuk listrik; AC; Kasur; Meja Rias; Lemari Baju; Ventilasi; Bantal; Cermin; Guling; Jendela; Kursi; K. Mandi Dalam; Kloset Duduk; Ember mandi; WiFi; Kulkas; Mesin Cuci; R. Jemur; R. Makan; Dapur; Dispenser; Jemuran; Pengurus Kos; Rooftop; Parkir Mobil; Parkir Motor</t>
  </si>
  <si>
    <t>Kost Bvly Safehouse CoLiving Pet Friendly Double Bed Cikarang Selatan Bekasi</t>
  </si>
  <si>
    <t>4 x 4 meter; Tidak termasuk listrik; AC; Kasur; Meja; Lemari Baju; Kulkas; Bantal; Cermin; Dapur Pribadi; Jendela; Wastafel; K. Mandi Dalam; Kloset Duduk; Shower; Air panas; WiFi; CCTV; Taman; Locker; Parkir Mobil; Parkir Motor; Parkir Sepeda</t>
  </si>
  <si>
    <t>Kost Cemara Hijau 240 Tipe F 1 Cikarang Selatan Bekasi</t>
  </si>
  <si>
    <t>3 x 4 meter; Tidak termasuk listrik; AC; Kasur; TV; Lemari Baju; Ventilasi; Bantal; Jendela; TV Kabel; K. Mandi Dalam; Kloset Duduk; Shower; Air panas</t>
  </si>
  <si>
    <t>Kost Bapak Maman Cikarang Timur Bekasi</t>
  </si>
  <si>
    <t>3 x 7 meter; Tidak termasuk listrik; Kasur; Dapur Pribadi; K. Mandi Dalam; Kloset Jongkok; Ember mandi; R. Jemur; Gazebo; Parkir Mobil; Parkir Motor; Parkir Sepeda; Parkir Motor &amp; Sepeda</t>
  </si>
  <si>
    <t>Kost Aurelia 3 Tipe A Cikarang Selatan Bekasi</t>
  </si>
  <si>
    <t>3 x 3 meter; Termasuk listrik; AC; Kasur; Meja; Lemari Baju; Bantal; Jendela; Kursi; Kloset Duduk; Shower; WiFi; Kulkas; Laundry; R. Jemur; Dapur; K. Mandi Luar</t>
  </si>
  <si>
    <t>Kost Bvly Safehouse CoLiving Velvet Studio Cikarang Selatan Bekasi</t>
  </si>
  <si>
    <t>3 x 3 meter; Tidak termasuk listrik; AC; Kasur; Meja; TV; Kulkas; Cermin; Dapur Pribadi; Wastafel; Jendela; K. Mandi Dalam; Kloset Duduk; Shower; Air panas; WiFi; Dispenser; CCTV; Taman; Locker; Parkir Mobil; Parkir Motor; Parkir Sepeda</t>
  </si>
  <si>
    <t>Kost C3 Sinar Agung VVIP Cikarang Pusat Bekasi</t>
  </si>
  <si>
    <t>3 x 4 meter; Tidak termasuk listrik; AC; Kasur; Kulkas; Lemari Baju; Ventilasi; Jendela; Wastafel; K. Mandi Dalam; Kloset Duduk; Shower; Air panas; WiFi; R. Cuci; Mesin Cuci; Dapur; Jemuran; Pengurus Kos; Parkir Mobil; Parkir Motor; Parkir Motor &amp; Sepeda</t>
  </si>
  <si>
    <t>Kost Pelita Terang Bulan VVIP Cikarang Pusat Bekasi</t>
  </si>
  <si>
    <t>3 x 4 meter; Tidak termasuk listrik; AC; Kasur; Lemari Baju; Ventilasi; Jendela; Wastafel; K. Mandi Dalam; Kloset Duduk; Shower; Air panas; WiFi; Kulkas; R. Cuci; Mesin Cuci; R. Jemur; Dapur; Jemuran; Pengurus Kos; Parkir Mobil; Parkir Motor; Parkir Motor &amp; Sepeda</t>
  </si>
  <si>
    <t>Kost Aurelia 5 Tipe A Cikarang Selatan Bekasi</t>
  </si>
  <si>
    <t>3 x 3 meter; Tidak termasuk listrik; AC; Kasur; Meja; Lemari Baju; Ventilasi; Bantal; Jendela; Kursi; K. Mandi Dalam; Kloset Duduk; Wastafel; Shower; WiFi; Kulkas; Penjaga Kos; R. Jemur; Dapur; Parkir Mobil; Parkir Motor</t>
  </si>
  <si>
    <t>Kost Brother Tipe A Cikarang Barat Bekasi</t>
  </si>
  <si>
    <t>3 x 3 meter; Tidak termasuk listrik; AC; Kasur; Meja; Lemari Baju; Bantal; Kursi; Kloset Duduk; Ember mandi; Shower; WiFi; Kulkas; Dapur; Dispenser; CCTV; Jemuran; K. Mandi Luar; Parkir Motor</t>
  </si>
  <si>
    <t>Kecamatan Cikarang Barat</t>
  </si>
  <si>
    <t>Kost The Grey Barn Tipe B Cikarang Utara Bekasi</t>
  </si>
  <si>
    <t>3 x 4 meter; Tidak termasuk listrik; AC; Kasur; Meja; Lemari Baju; Bantal; Cermin; Cleaning service; Guling; Jendela; Kursi; K. Mandi Dalam; Kloset Duduk; Shower; WiFi; Kulkas; R. Cuci; Laundry; Mesin Cuci; Penjaga Kos; R. Tamu; R. Jemur; R. Makan; Dapur; Parkir Mobil; Parkir Motor</t>
  </si>
  <si>
    <t>Kost Bvly Safehouse CoLiving Tipe Pet Friendly Compact Studio Single Cikarang Selatan Bekasi</t>
  </si>
  <si>
    <t>2.2 x 4 meter</t>
  </si>
  <si>
    <t>2.2 x 4 meter; Tidak termasuk listrik; AC; Kasur; Meja; Lemari Baju; Bantal; Dapur Pribadi; Jendela; Kursi; Cermin; K. Mandi Dalam; Kloset Duduk; Shower; Air panas; WiFi; CCTV; Taman; Locker; Parkir Motor; Parkir Sepeda</t>
  </si>
  <si>
    <t>Kost Go Rusa Premium Tipe 1 Cikarang Timur Bekasi</t>
  </si>
  <si>
    <t>3 x 3 meter; Tidak termasuk listrik; AC; Kasur; Meja; TV; Lemari Baju; Bantal; Cermin; Guling; Jendela; Kursi; K. Mandi Dalam; Kloset Duduk; Shower; WiFi; Kulkas; Penjaga Kos; Dapur; Dispenser; CCTV; Kartu Akses; Parkir Motor</t>
  </si>
  <si>
    <t>Kost C3 Calgary Tipe A Cikarang Pusat Bekasi</t>
  </si>
  <si>
    <t>3 x 4 meter; Tidak termasuk listrik; AC; Kasur; Lemari Baju; Ventilasi; Bantal; Cermin; Jendela; Kloset Duduk; Shower; Air panas; WiFi; Kulkas; Mesin Cuci; R. Jemur; Dapur; Dispenser; Jemuran; K. Mandi Luar; Kartu Akses; Pengurus Kos; Parkir Mobil; Parkir Motor; Parkir Sepeda</t>
  </si>
  <si>
    <t>Kost C3 Mustika Langkawi VVIP Cikarang Pusat Bekasi</t>
  </si>
  <si>
    <t>3 x 4 meter; Tidak termasuk listrik; AC; Kasur; Lemari Baju; Ventilasi; Bantal; Guling; Jendela; Wastafel; K. Mandi Dalam; Kloset Duduk; Shower; Air panas; WiFi; Kulkas; R. Cuci; Mesin Cuci; R. Tamu; R. Jemur; R. Makan; Dapur; Jemuran; Pengurus Kos; Parkir Mobil; Parkir Motor; Parkir Sepeda</t>
  </si>
  <si>
    <t>Kost Living Plus Kasuari Cikarang Utara Bekasi</t>
  </si>
  <si>
    <t>3 x 4 meter; Tidak termasuk listrik; AC; Kasur; Meja; TV; Lemari Baju; Bantal; Cermin; Kursi; Guling; K. Mandi Dalam; Kloset Duduk; Shower; WiFi; Kulkas; R. Tamu; R. Jemur; Dapur; Dispenser; CCTV; Jemuran; Pengurus Kos; Parkir Motor; Parkir Sepeda; Parkir Motor &amp; Sepeda</t>
  </si>
  <si>
    <t>Kost Nadia 4 Tambun Utara Bekasi</t>
  </si>
  <si>
    <t>3 x 4 meter; Tidak termasuk listrik; Jendela; K. Mandi Dalam; Bak mandi; Jemuran; Parkir Motor &amp; Sepeda</t>
  </si>
  <si>
    <t>Kecamatan Tambun Utara</t>
  </si>
  <si>
    <t>Kost C3 Greenleaf Tipe A Cikarang Pusat Bekasi</t>
  </si>
  <si>
    <t>3 x 4 meter; Tidak termasuk listrik; AC; Kasur; Meja; Kulkas; Lemari Baju; Ventilasi; Jendela; Kloset Duduk; K. Mandi Luar; Wastafel; Shower; WiFi; Mesin Cuci; Jemuran; Pengurus Kos; Taman; Parkir Mobil; Parkir Motor; Parkir Sepeda</t>
  </si>
  <si>
    <t>Kost Mommy Cikarang Utara Bekasi</t>
  </si>
  <si>
    <t>3 x 3.5 meter; Tidak termasuk listrik; AC; Kasur; Meja; Lemari Baju; Ventilasi; Bantal; Guling; Jendela; Kursi; Cermin; K. Mandi Dalam; Kloset Duduk; Shower</t>
  </si>
  <si>
    <t>Kost Yani Exclusive Cikarang Barat Bekasi</t>
  </si>
  <si>
    <t>3 x 3 meter; Termasuk listrik; AC; Kasur; Meja; Lemari Baju; Ventilasi; Cermin; Jendela; Kloset Duduk; WiFi; Kulkas; Laundry; R. Makan; R. Santai; Dapur; Dispenser; Balcon; Jemuran; Jual Makanan; Parkir Motor</t>
  </si>
  <si>
    <t>Kost C3 Vero VVIP Cikarang Pusat Bekasi</t>
  </si>
  <si>
    <t>3 x 4 meter; Tidak termasuk listrik; AC; Kasur; Lemari Baju; Ventilasi; Bantal; Jendela; Wastafel; K. Mandi Dalam; Kloset Duduk; Shower; Air panas; WiFi; Kulkas; R. Cuci; Mesin Cuci; R. Jemur; Dapur; Jemuran; Pengurus Kos; R. Keluarga; Taman; Parkir Mobil; Parkir Motor; Parkir Sepeda; Parkir Motor &amp; Sepeda</t>
  </si>
  <si>
    <t>Kost Junita Executive Babelan Bekasi</t>
  </si>
  <si>
    <t>3 x 4 meter; Tidak termasuk listrik; Kasur; Dispenser; Meja; Lemari Baju; Ventilasi; Jendela; Kipas Angin; Kursi; Meja makan; Wastafel; K. Mandi Dalam; Kloset Duduk; K. Mandi Luar; Ember mandi; Shower; WiFi; Penjaga Kos; R. Tamu; R. Jemur; Dapur; Jemuran; Parkir Motor</t>
  </si>
  <si>
    <t>Babelan</t>
  </si>
  <si>
    <t>Kost C3 Fei Fei Excecutive Cikarang Pusat Bekasi</t>
  </si>
  <si>
    <t>3 x 4 meter; Tidak termasuk listrik; AC; Kasur; Lemari Baju; Ventilasi; Bantal; Guling; Jendela; K. Mandi Dalam; Kloset Duduk; Shower; Air panas; WiFi; Kulkas; R. Cuci; Mesin Cuci; R. Jemur; Dapur; Balcon; Jemuran; Kartu Akses; Pengurus Kos; Parkir Mobil; Parkir Motor; Parkir Sepeda; Parkir Motor &amp; Sepeda</t>
  </si>
  <si>
    <t>Kost C3 VVIP Syariah Cikarang Selatan Bekasi</t>
  </si>
  <si>
    <t>3 x 6 meter; Tidak termasuk listrik; AC; Kasur; Lemari Baju; Ventilasi; Bantal; Cermin; Guling; Jendela; K. Mandi Dalam; Kloset Duduk; Shower; Air panas; WiFi; Kulkas; Mesin Cuci; Dapur; Dispenser; Parkir Mobil; Parkir Motor</t>
  </si>
  <si>
    <t>Kost Takwa Tipe B1 Cikarang Selatan Bekasi</t>
  </si>
  <si>
    <t>2 x 4 meter; Tidak termasuk listrik; AC; Kasur; Lemari Baju; Ventilasi; Bantal; Guling; Jendela; Kloset Duduk; K. Mandi Luar; Ember mandi; WiFi; Kulkas; R. Cuci; Laundry; R. Jemur; R. Santai; Dapur; Jemuran; Joglo; Pengurus Kos; Parkir Motor; Parkir Sepeda; Parkir Motor &amp; Sepeda</t>
  </si>
  <si>
    <t>Kost C3 Aegis VVIP Executive Cikarang Selatan Bekasi</t>
  </si>
  <si>
    <t>4 x 4 meter; Tidak termasuk listrik; AC; Kasur; Lemari Baju; Ventilasi; Bantal; Jendela; Wastafel; K. Mandi Dalam; Kloset Duduk; Shower; Air panas</t>
  </si>
  <si>
    <t>Kost Meutia Tipe B Babelan Bekasi</t>
  </si>
  <si>
    <t>3 x 4 meter; Tidak termasuk listrik; AC; Kasur; Meja Rias; Kulkas; Lemari Baju; Bantal; Guling; K. Mandi Dalam; Kloset Jongkok; Shower; Laundry; Parkir Motor</t>
  </si>
  <si>
    <t>Kost Cemara Hijau 240 Tipe C Cikarang Selatan Bekasi</t>
  </si>
  <si>
    <t>3 x 3 meter; Tidak termasuk listrik; AC; Kasur; TV; Lemari Baju; Bantal; Cermin; TV Kabel; K. Mandi Dalam; Kloset Duduk; Shower; Air panas; WiFi; Kulkas; Laundry; Mesin Cuci; Dapur; CCTV; Jemuran; Locker; Pengurus Kos; Parkir Mobil; Parkir Motor; Parkir Motor &amp; Sepeda</t>
  </si>
  <si>
    <t>Kost Go Kancil 2 Cikarang Jababeka Cikarang Timur Bekasi</t>
  </si>
  <si>
    <t>3 x 4 meter; Tidak termasuk listrik; AC; Kasur; Meja; TV; Lemari Baju; Bantal; Cermin; Guling; Jendela; Kursi; K. Mandi Dalam; Kloset Duduk; Shower; WiFi; Kulkas; Laundry; Penjaga Kos; Dapur; Dispenser; Parkir Motor</t>
  </si>
  <si>
    <t>Kecamatan Cikarang Timur</t>
  </si>
  <si>
    <t>Kost Cemara Hijau 240 Tipe A Cikarang Selatan Bekasi</t>
  </si>
  <si>
    <t>3 x 4 meter; Tidak termasuk listrik; AC; Kasur; Lemari Baju; Bantal; Cermin; TV Kabel; K. Mandi Dalam; Kloset Duduk; Shower; Air panas; WiFi; Kulkas; Laundry; Dapur; CCTV; Jemuran; Pengurus Kos; TV; Parkir Mobil; Parkir Motor; Parkir Motor &amp; Sepeda</t>
  </si>
  <si>
    <t>Kost Wie Tipe A Cikarang Selatan Bekasi</t>
  </si>
  <si>
    <t>3 x 3 meter; Tidak termasuk listrik; AC; Kasur; Lemari Baju; Ventilasi; Bantal; Wastafel; K. Mandi Dalam; Kloset Duduk; Shower; WiFi; Kulkas; R. Tamu; R. Jemur; R. Santai; Dapur; Jemuran; K. Mandi Luar; Pengurus Kos; Parkir Mobil; Parkir Motor</t>
  </si>
  <si>
    <t>Kost Lippo Meadow Green Tipe A Cikarang Selatan Bekasi</t>
  </si>
  <si>
    <t>3 x 2.5 meter; Tidak termasuk listrik; Dispenser; K. Mandi Luar; R. Cuci; R. Tamu; R. Jemur; R. Santai; Dapur; CCTV; Pengurus Kos; Parkir Mobil; Parkir Motor</t>
  </si>
  <si>
    <t>Kost Pavilion Grande Jababeka 2 Tipe B Cikarang Utara Bekasi</t>
  </si>
  <si>
    <t>3 x 4 meter; Tidak termasuk listrik; AC; Kasur; Meja; TV; Lemari Baju; Ventilasi; Bantal; Cermin; Cleaning service; Guling; K. Mandi Dalam; Kloset Duduk; Wastafel; Shower; Air panas; WiFi; Kulkas; R. Cuci; Laundry; Mesin Cuci; Penjaga Kos; R. Tamu; R. Jemur; R. Makan; R. Santai; Parkir Mobil</t>
  </si>
  <si>
    <t>Cikarang Utara</t>
  </si>
  <si>
    <t>Kost C3 Pipin Executive Cikarang Pusat Bekasi</t>
  </si>
  <si>
    <t>3 x 4 meter; Tidak termasuk listrik; AC; Kasur; Lemari Baju; Ventilasi; Jendela; Wastafel; K. Mandi Dalam; Kloset Duduk; Shower; Air panas; WiFi; Kulkas; Mesin Cuci; R. Tamu; R. Jemur; R. Santai; Dapur; Balcon; Jemuran; Pengurus Kos; Parkir Mobil; Parkir Motor; Parkir Sepeda</t>
  </si>
  <si>
    <t>Kost Ku Cikarang Selatan Bekasi</t>
  </si>
  <si>
    <t>3 x 4 meter; Tidak termasuk listrik; AC; Kasur; Meja; Meja Rias; Ventilasi; Bantal; Cermin; Dapur Pribadi; Guling; Jendela; K. Mandi Dalam; Kloset Duduk; Ember mandi; Shower; WiFi; Kulkas; R. Tamu; R. Jemur; R. Makan; R. Santai; Balcon; CCTV; Jemuran; Kartu Akses; Parkir Mobil; Parkir Motor</t>
  </si>
  <si>
    <t>Kost Ibu Komih Cikarang Barat Bekasi</t>
  </si>
  <si>
    <t>3 x 3 meter; Tidak termasuk listrik; Ventilasi; Jendela; K. Mandi Dalam; Kloset Jongkok; Ember mandi; R. Tamu; Jemuran</t>
  </si>
  <si>
    <t>Kost Gilimanuk Tipe Paviliun Cikarang Selatan Bekasi</t>
  </si>
  <si>
    <t>3 x 3 meter; Tidak termasuk listrik; AC; Kasur; Meja; Lemari Baju; Ventilasi; Bantal; Guling; Jendela; Kursi; K. Mandi Dalam; Kloset Duduk; Shower; WiFi; Jemuran; CCTV; Parkir Mobil; Parkir Motor</t>
  </si>
  <si>
    <t>Rumah Kontrakan Mustika Tambelang Bekasi</t>
  </si>
  <si>
    <t>3 x 4 meter; Tidak termasuk listrik; Jendela; Dapur Pribadi; Kloset Jongkok; Ember mandi; Shower; R. Tamu; Dapur; Parkir Mobil; Parkir Motor; Parkir Sepeda; Parkir Motor &amp; Sepeda</t>
  </si>
  <si>
    <t>Tambelang</t>
  </si>
  <si>
    <t>Kost Waikiki 2 Cikarang Pusat Bekasi</t>
  </si>
  <si>
    <t>3 x 3 meter; Tidak termasuk listrik; AC; Kasur; Meja; Lemari Baju; Bantal; Cermin; K. Mandi Dalam; Kloset Duduk; Shower; WiFi; Kulkas; R. Makan; Dapur; Dispenser; Parkir Mobil; Parkir Motor</t>
  </si>
  <si>
    <t>Kost Omahe Arfasya Tambun Selatan Bekasi</t>
  </si>
  <si>
    <t>3 x 3 meter; Termasuk listrik; AC; Kasur; Meja; Lemari Baju; Ventilasi; Bantal; Cermin; Cleaning service; Guling; Jendela; K. Mandi Dalam; Kloset Duduk; Shower; Air panas; WiFi; Kulkas; R. Cuci; Laundry; Mesin Cuci; Penjaga Kos; R. Tamu; R. Jemur; R. Makan; Dapur; Parkir Mobil; Parkir Motor</t>
  </si>
  <si>
    <t>Kost Ibu Yadi I Cikarang Barat Bekasi</t>
  </si>
  <si>
    <t>3 x 4 meter; Tidak termasuk listrik; AC; Kasur; Meja; Lemari Baju; Bantal; Guling; Jendela; Kloset Duduk; K. Mandi Luar; Ember mandi; Wastafel; Shower; Bak mandi; WiFi; Kulkas; Penjaga Kos; R. Tamu; R. Santai; Dapur; CCTV; Pengurus Kos; R. Keluarga; Locker; Parkir Mobil; Parkir Motor; Parkir Sepeda</t>
  </si>
  <si>
    <t>Kost Adit Aster Cikarang Barat Bekasi</t>
  </si>
  <si>
    <t>3 x 3 meter; Tidak termasuk listrik; AC; Kasur; Meja; Lemari Baju; Ventilasi; Bantal; Guling; Jendela; Kursi; Cermin; K. Mandi Dalam; Kloset Jongkok; Ember mandi; WiFi; Balcon; Pengurus Kos; CCTV; Jemuran; Parkir Mobil; Parkir Motor; Parkir Sepeda; Parkir Motor &amp; Sepeda</t>
  </si>
  <si>
    <t>Kost Danyshom Backpaker Lippo Cikarang Selatan Bekasi</t>
  </si>
  <si>
    <t>2.5 x 3.5 meter; Termasuk listrik; AC; Kasur; Meja; TV; Lemari Baju; Kursi; Bantal; Cermin; Guling; Jendela; K. Mandi Dalam; Kloset Duduk; Wastafel; Shower; WiFi; Kulkas; R. Tamu; Mesin Cuci; R. Jemur; Dapur; Dispenser; Balcon; CCTV; Jemuran</t>
  </si>
  <si>
    <t>Kost Pondok Damai Lippo Cikarang Selatan Bekasi</t>
  </si>
  <si>
    <t>3 x 3 meter; Tidak termasuk listrik; AC; Kasur; Meja; Lemari Baju; Ventilasi; Kursi; Cleaning service; microwave; Bantal; Cermin; Kloset Duduk; K. Mandi Luar; Wastafel; Ember mandi; Shower; Air panas; WiFi; Kulkas; R. Cuci; Mesin Cuci; Penjaga Kos; Laundry; R. Makan; R. Jemur; Dapur; Dispenser; Parkir Mobil; Parkir Motor; Parkir Sepeda</t>
  </si>
  <si>
    <t>Kost Griya Eyangtie Tipe A Cikarang Selatan Bekasi</t>
  </si>
  <si>
    <t>3 x 3 meter; Termasuk listrik; AC; Kasur; Meja; Dispenser; Lemari Baju; Bantal; Guling; K. Mandi Dalam; Kloset Duduk</t>
  </si>
  <si>
    <t>Kost Gabriela Tipe L Cikarang Selatan Bekasi</t>
  </si>
  <si>
    <t>3 x 4 meter; Tidak termasuk listrik; AC; Kasur; Meja; Lemari Baju; Ventilasi; Bantal; Cermin; Guling; Kursi; Cleaning service; K. Mandi Dalam; Kloset Duduk; Shower; Air panas</t>
  </si>
  <si>
    <t>Kost Kaca Gang Aman Bekasi Utara</t>
  </si>
  <si>
    <t>3 x 6 meter; Tidak termasuk listrik; Ventilasi; K. Mandi Dalam; Kloset Jongkok; Dapur; Parkir Mobil; Parkir Motor</t>
  </si>
  <si>
    <t>Tambun Utara</t>
  </si>
  <si>
    <t>Kost Cibiru Cikarang Selatan Bekasi</t>
  </si>
  <si>
    <t>3 x 3 meter; Termasuk listrik; Kasur; Meja; Lemari Baju; Bantal; Cermin; Guling; Jendela; Kloset Jongkok; K. Mandi Luar; Ember mandi; Shower; WiFi; Penjaga Kos; R. Jemur; Dapur; Jemuran; Parkir Mobil; Parkir Motor; Parkir Sepeda</t>
  </si>
  <si>
    <t>Kost Rizki Santen Tipe A Cikarang Utara Bekasi</t>
  </si>
  <si>
    <t>3 x 3 meter; Termasuk listrik; Kasur; Lemari Baju; Kipas Angin; Kloset Jongkok; K. Mandi Luar; Mesin Cuci; Dapur; Parkir Motor; Parkir Sepeda</t>
  </si>
  <si>
    <t>Rumah Kontrakan Alantoti Serang Baru Bekasi</t>
  </si>
  <si>
    <t>30 x 60 meter</t>
  </si>
  <si>
    <t>30 x 60 meter; Tidak termasuk listrik; Ventilasi; Dapur Pribadi; Jendela; Wastafel; Kloset Jongkok; K. Mandi Luar; Ember mandi; Bak mandi; Penjaga Kos; R. Tamu; R. Santai; Dapur; R. Keluarga; Parkir Mobil; Parkir Motor; Parkir Sepeda; Parkir Motor &amp; Sepeda</t>
  </si>
  <si>
    <t>Kecamatan Serang Baru</t>
  </si>
  <si>
    <t>Kost Cemara 411A Standard Cikarang Selatan Bekasi</t>
  </si>
  <si>
    <t>3 x 3 meter; Termasuk listrik; Kasur; Lemari Baju; Kipas Angin; Kloset Duduk; Kloset Jongkok; K. Mandi Luar; Wastafel; Shower; WiFi; R. Cuci; Kulkas; R. Tamu; Mesin Cuci; Penjaga Kos; Laundry; R. Jemur; Dapur; Parkir Mobil; Parkir Motor; Parkir Sepeda</t>
  </si>
  <si>
    <t>Kost Bintang Tipe A Cikarang Selatan Bekasi</t>
  </si>
  <si>
    <t>3 x 4 meter; Termasuk listrik; Kasur; Kulkas; Bantal; Kipas Angin; K. Mandi Dalam; Kloset Jongkok; Ember mandi; WiFi; R. Jemur; R. Santai; Dapur; Jemuran; Jual Makanan; Pengurus Kos; Parkir Mobil; Parkir Motor</t>
  </si>
  <si>
    <t>Kost Meikarta Tipe C Cikarang Selatan Bekasi</t>
  </si>
  <si>
    <t>2 x 2 meter; Termasuk listrik; AC; Kasur; Meja; Lemari Baju; Bantal; Cermin; Jendela; Kursi; Kloset Duduk; K. Mandi Luar; Wastafel; Shower; WiFi; R. Tamu; Dapur; Balcon; Parkir Mobil; Parkir Motor; Parkir Sepeda</t>
  </si>
  <si>
    <t>Kost Mamah Dedeh Type B Cikarang Pusat Bekasi</t>
  </si>
  <si>
    <t>3 x 8 meter; Tidak termasuk listrik; AC; Kasur; Meja; TV; Kulkas; Lemari Baju; Ventilasi; Bantal; Guling; Jendela; K. Mandi Dalam; Kloset Duduk; Shower; WiFi; Penjaga Kos; R. Tamu; R. Jemur; R. Makan; R. Santai; Dapur; Dispenser; Balcon; Parkir Mobil; Parkir Motor; Parkir Sepeda</t>
  </si>
  <si>
    <t>Kost Legenda Tipe B Cikarang Utara Bekasi</t>
  </si>
  <si>
    <t>3 x 4 meter; Tidak termasuk listrik; AC; Kasur; Meja; Lemari Baju; Bantal; Jendela; Kursi; K. Mandi Dalam; Kloset Jongkok; Ember mandi; Shower; WiFi; Kulkas; R. Cuci; Mesin Cuci; R. Jemur; R. Makan; Dapur; CCTV; Jemuran; Parkir Motor; Parkir Sepeda; Parkir Motor &amp; Sepeda</t>
  </si>
  <si>
    <t>Kost Hoki Tipe A Cikarang Selatan Bekasi</t>
  </si>
  <si>
    <t>3 x 4 meter; Tidak termasuk listrik; AC; Kasur; Meja; TV; Lemari Baju; Ventilasi; Kursi; Wastafel; Cleaning service; Bantal; K. Mandi Dalam; Kloset Duduk; Shower; Air panas; WiFi; R. Cuci; Kulkas; Mesin Cuci; Penjaga Kos; R. Makan; R. Jemur; R. Santai; Dapur; Parkir Mobil; Parkir Motor</t>
  </si>
  <si>
    <t>Kost Laris Mulya Babelan Bekasi</t>
  </si>
  <si>
    <t>5 x 4 meter; Tidak termasuk listrik; Ventilasi; Jendela; K. Mandi Dalam; R. Jemur; Jemuran; Parkir Motor</t>
  </si>
  <si>
    <t>Kost Puchay 2 Cikarang Utara Bekasi</t>
  </si>
  <si>
    <t>3 x 3.5 meter; Tidak termasuk listrik; AC; Kasur; Meja; TV; Lemari Baju; Bantal; Cermin; Cleaning service; Jendela; Kursi; K. Mandi Dalam; Kloset Duduk; Shower; WiFi; Kulkas; R. Cuci; Laundry; R. Tamu; R. Jemur; R. Santai; Dapur; Balcon; CCTV; Parkir Mobil; Parkir Motor; Parkir Sepeda</t>
  </si>
  <si>
    <t>Kost Meadow Green Lippo Single Bed Cikarang Selatan Bekasi</t>
  </si>
  <si>
    <t>3 x 4 meter; Tidak termasuk listrik; AC; Kasur; Meja; TV; Lemari Baju; Ventilasi; Bantal; Cleaning service; Jendela; Kursi; K. Mandi Dalam; Kloset Duduk; K. Mandi Luar; Wastafel; Shower; Air panas; WiFi; Kulkas; Laundry; R. Tamu; R. Makan; R. Santai; Dapur; Dispenser; CCTV; Pengurus Kos; Parkir Mobil; Parkir Motor; Parkir Sepeda</t>
  </si>
  <si>
    <t>Kost Cemara I Komplek Meadow Green Lippo Cikarang Selatan Bekasi</t>
  </si>
  <si>
    <t>3 x 4 meter; Termasuk listrik; AC; Kasur; Meja; Meja Rias; Lemari Baju; Kulkas; Wastafel; TV Kabel; K. Mandi Dalam; Kloset Duduk; K. Mandi Luar; Shower; Air panas; WiFi; R. Cuci; R. Tamu; Mesin Cuci; Laundry; R. Makan; R. Jemur; Dapur; TV; Parkir Mobil; Parkir Motor; Parkir Sepeda</t>
  </si>
  <si>
    <t>Rp1.880.000</t>
  </si>
  <si>
    <t>Kost Pavilion Jababeka A1 Cikarang Utara Bekasi</t>
  </si>
  <si>
    <t>3 x 4 meter; Termasuk listrik; AC; Kasur; Meja; TV; Lemari Baju; Bantal; Cermin; Cleaning service; Guling; Kursi; K. Mandi Dalam; Kloset Duduk; Ember mandi; Shower; WiFi; Kulkas; R. Cuci; Laundry; Mesin Cuci; Penjaga Kos; R. Tamu; R. Jemur; R. Makan; R. Santai; Parkir Mobil; Parkir Motor; Parkir Sepeda</t>
  </si>
  <si>
    <t>Kost Mamah Tambun Selatan Bekasi</t>
  </si>
  <si>
    <t>3 x 4 meter; Tidak termasuk listrik; Kasur; Lemari Baju; Ventilasi; Bantal; Jendela; Guling; K. Mandi Dalam; Kloset Jongkok; K. Mandi Luar; Ember mandi; Bak mandi; WiFi; R. Tamu; R. Jemur; R. Santai; Balcon; CCTV; Jemuran; Pengurus Kos; Parkir Motor</t>
  </si>
  <si>
    <t>Kost Casa De Louvre 9 Tipe A Cikarang Selatan Bekasi</t>
  </si>
  <si>
    <t>2.5 x 3 meter; Tidak termasuk listrik; AC; Kasur; Meja; Meja Rias; TV; Lemari Baju; Ventilasi; Bantal; Cermin; Cleaning service; Kloset Duduk; K. Mandi Luar; Wastafel; Shower; Air panas; WiFi; Kulkas; Laundry; Mesin Cuci; Penjaga Kos; R. Jemur; Dapur; Dispenser; CCTV; Jemuran; Parkir Mobil; Parkir Motor; Parkir Sepeda</t>
  </si>
  <si>
    <t>Kost Wisma Dewa Ruci Premium Cikarang Utara Bekasi</t>
  </si>
  <si>
    <t>8 x 4 meter; Tidak termasuk listrik; AC; Kasur; Meja; TV; Kulkas; Lemari Baju; Bantal; Cermin; Jendela; Kursi; K. Mandi Dalam; Kloset Duduk; Wastafel; Shower; WiFi; Penjaga Kos; Mushola; R. Jemur; R. Makan; Dapur; CCTV; Jemuran; Jual Makanan; K. Mandi Luar; Parkir Mobil; Parkir Motor</t>
  </si>
  <si>
    <t>Kost Pavilion Jababeka Tipe A Cikarang Utara Bekasi</t>
  </si>
  <si>
    <t>3 x 4 meter; Termasuk listrik; AC; Kasur; Meja; TV; Lemari Baju; Ventilasi; Kursi; Cleaning service; Guling; Jendela; K. Mandi Dalam; Kloset Duduk; Shower; WiFi; R. Cuci; Kulkas; R. Tamu; Penjaga Kos; R. Makan; R. Jemur; R. Santai; Dapur; Dispenser; Parkir Mobil; Parkir Motor; Parkir Sepeda</t>
  </si>
  <si>
    <t>Kost Dewa Ruci TIpe Business D Cikarang Utara Bekasi</t>
  </si>
  <si>
    <t>3 x 5 meter; Tidak termasuk listrik; AC; Kasur; Dispenser; Meja; TV; Lemari Baju; Ventilasi; Bantal; Guling; Jendela; K. Mandi Dalam; Kloset Duduk; Wastafel; Shower; WiFi; Penjaga Kos; Mushola; CCTV; Jemuran; Jual Makanan; K. Mandi Luar; Pengurus Kos; Parkir Mobil; Parkir Motor</t>
  </si>
  <si>
    <t>Kost Nama Coliving Cikarang Utara Bekasi</t>
  </si>
  <si>
    <t>3 x 4 meter; Tidak termasuk listrik; AC; Kasur; Meja; Lemari Baju; Bantal; Jendela; Kursi; Cermin; Cleaning service; Guling; K. Mandi Dalam; Kloset Duduk; Shower; WiFi; Kulkas; Laundry; R. Makan; R. Santai; Dapur; Dispenser; CCTV; Kartu Akses; Rice Cooker; Parkir Mobil; Parkir Motor; Parkir Motor &amp; Sepeda</t>
  </si>
  <si>
    <t>Kost Jl Durian Tipe A Tambun Selatan Bekasi</t>
  </si>
  <si>
    <t>3 x 3 meter; Tidak termasuk listrik; Kasur; Dispenser; Lemari Baju; Kulkas; Cleaning service; Kloset Duduk; Kloset Jongkok; Wastafel; Shower; Bak mandi; WiFi; R. Cuci; Laundry; R. Jemur; Dapur; Taman; Balcon; K. Mandi Luar; Parkir Mobil; Parkir Motor</t>
  </si>
  <si>
    <t>Tambun Selatan</t>
  </si>
  <si>
    <t>Kost Meadows Green Cemara 1 Tipe AC Cikarang Selatan Bekasi</t>
  </si>
  <si>
    <t>3 x 4 meter; Termasuk listrik; AC; Kasur; Meja; Lemari Baju; Bantal; Cermin; Jendela; K. Mandi Dalam; Kloset Duduk; Ember mandi; Shower; WiFi; Kulkas; Laundry; Mesin Cuci; Penjaga Kos; R. Santai; Dapur; Locker; Taman; Jemuran; Parkir Mobil; Parkir Motor; Parkir Sepeda; Parkir Motor &amp; Sepeda</t>
  </si>
  <si>
    <t>Kost Talitha Homie Tipe B Cikarang Pusat Bekasi</t>
  </si>
  <si>
    <t>3 x 4 meter; Tidak termasuk listrik; AC; Kasur; TV; Lemari Baju; Bantal; Guling; Jendela; K. Mandi Dalam; Kloset Jongkok; Shower; WiFi; Kulkas; R. Jemur; Dapur; Jemuran; Parkir Motor; Parkir Sepeda</t>
  </si>
  <si>
    <t>Kost Jordan MM2100 Tipe A Cikarang Barat Bekasi</t>
  </si>
  <si>
    <t>3 x 4 meter; Tidak termasuk listrik; Kasur; Dispenser; Meja; TV; Lemari Baju; Ventilasi; Kursi; Kipas Angin; Bantal; Cermin; K. Mandi Dalam; Kloset Jongkok; Ember mandi; Shower; WiFi; Penjaga Kos; R. Jemur; Balcon; CCTV; Jemuran; Parkir Motor</t>
  </si>
  <si>
    <t>Kost Dpeak Cikarang Utara Bekasi</t>
  </si>
  <si>
    <t>3 x 3 meter; Tidak termasuk listrik; AC; Kasur; Lemari Baju; Ventilasi; Bantal; Cermin; Jendela; K. Mandi Dalam; Kloset Jongkok; Shower; WiFi; Kulkas; R. Cuci; R. Jemur; Dapur; Balcon; CCTV; Jemuran; Pengurus Kos; Parkir Motor; Parkir Sepeda</t>
  </si>
  <si>
    <t>Kost Pondok Bahagia Gg Ki Pelo Cikarang Utara Bekasi</t>
  </si>
  <si>
    <t>3 x 3 meter; Termasuk listrik; Ventilasi; Dapur Pribadi; Jendela; K. Mandi Dalam; Kloset Jongkok; Ember mandi; R. Cuci; Penjaga Kos; R. Jemur; Balcon; Jemuran; Jual Makanan; Pengurus Kos; Parkir Motor</t>
  </si>
  <si>
    <t>Rp610.000</t>
  </si>
  <si>
    <t>Kost Pondok Midini 2 Cikarang Selatan Bekasi</t>
  </si>
  <si>
    <t>3.2 x 8 meter</t>
  </si>
  <si>
    <t>3.2 x 8 meter; Tidak termasuk listrik; AC; Kasur; TV; Lemari Baju; Dapur Pribadi; K. Mandi Dalam; Kloset Duduk; R. Jemur; Parkir Motor</t>
  </si>
  <si>
    <t>Kost Ruko Cikarang Selatan Bekasi</t>
  </si>
  <si>
    <t>3 x 4 meter; Tidak termasuk listrik; Kasur; Lemari Baju; Bantal; Kipas Angin; Kloset Duduk; K. Mandi Luar; Wastafel; Ember mandi; Shower; WiFi; Kulkas; Penjaga Kos; Laundry; Mesin Cuci; R. Makan; Mushola; R. Jemur; R. Santai; Dapur; Parkir Mobil; Parkir Motor; Parkir Sepeda; Parkir Motor &amp; Sepeda</t>
  </si>
  <si>
    <t>Rp609.999</t>
  </si>
  <si>
    <t>Kost Jababeka Cikarang Utara Bekasi</t>
  </si>
  <si>
    <t>3 x 4 meter; Tidak termasuk listrik; AC; Kasur; Meja; Lemari Baju; Ventilasi; Bantal; Guling; Jendela; K. Mandi Dalam; Kloset Jongkok; WiFi; R. Cuci; Kulkas; R. Jemur; Dapur; Balcon; Pengurus Kos; Jemuran; Parkir Mobil; Parkir Motor; Parkir Sepeda</t>
  </si>
  <si>
    <t>Kost Cortes Tipe Atas Cikarang Utara Bekasi</t>
  </si>
  <si>
    <t>3 x 3 meter; Tidak termasuk listrik; AC; Kasur; Meja; Lemari Baju; Ventilasi; Bantal; Cermin; Jendela; Kursi; Kloset Duduk; K. Mandi Luar; Shower; WiFi; R. Cuci; R. Jemur; Jual Makanan; Jemuran; Balcon; Parkir Mobil; Parkir Motor; Parkir Sepeda; Parkir Motor &amp; Sepeda</t>
  </si>
  <si>
    <t>Kost Menteng Royale Standart Cikarang Selatan Bekasi</t>
  </si>
  <si>
    <t>4 x 5 meter; Tidak termasuk listrik; AC; Kasur; Dispenser; Meja; Meja Rias; TV; Kulkas; Lemari Baju; Ventilasi; Bantal; K. Mandi Dalam; Kloset Duduk; Wastafel; Shower; Air panas; Bak mandi; Bathtub</t>
  </si>
  <si>
    <t>Kost Kostzy Meadow Green Lippo Cikarang Selatan Bekasi</t>
  </si>
  <si>
    <t>3.5 x 2.6 meter; Tidak termasuk listrik; AC; Kasur; Meja; Meja Rias; Lemari Baju; Bantal; Cermin; Kursi; microwave; K. Mandi Dalam; Kloset Duduk; Shower; WiFi; Kulkas; R. Jemur; R. Santai; Dapur; CCTV; Balcon; Pengurus Kos; Jemuran; Parkir Motor; Parkir Motor &amp; Sepeda</t>
  </si>
  <si>
    <t>Kost Wisma Kedurang Cikarang Utara Bekasi</t>
  </si>
  <si>
    <t>3 x 3 meter; Tidak termasuk listrik; Ventilasi; Dapur Pribadi; K. Mandi Dalam; Kloset Jongkok; R. Jemur; Jemuran; Jual Makanan; CCTV; Parkir Motor</t>
  </si>
  <si>
    <t>Rp515.000</t>
  </si>
  <si>
    <t>Kost Pundara Cikarang Selatan Bekasi</t>
  </si>
  <si>
    <t>3 x 4.5 meter; Termasuk listrik; Kasur; Lemari Baju; Ventilasi; Bantal; Cermin; Guling; Jendela; Kipas Angin; K. Mandi Dalam; Kloset Duduk; Kloset Jongkok; Ember mandi; WiFi; Penjaga Kos; R. Jemur; R. Santai; Taman; Pengurus Kos; Jemuran; Parkir Mobil; Parkir Motor &amp; Sepeda</t>
  </si>
  <si>
    <t>Kost Me Cikarang Selatan Bekasi</t>
  </si>
  <si>
    <t>3 x 4 meter; Tidak termasuk listrik; AC; Kasur; Meja; Lemari Baju; Bantal; Cermin; Guling; Jendela; Kursi; Wastafel; K. Mandi Dalam; Kloset Duduk; Shower; Air panas; WiFi; Kulkas; Laundry; R. Santai; Dapur; Dispenser; TV; Jemuran; K. Mandi Luar; Pengurus Kos; Parkir Mobil; Parkir Motor; Parkir Sepeda</t>
  </si>
  <si>
    <t>Kost Puri Elok Cikarang Pusat Bekasi</t>
  </si>
  <si>
    <t>3 x 4 meter; Tidak termasuk listrik; AC; Kasur; Meja; Lemari Baju; Ventilasi; Bantal; Guling; Jendela; Kursi; K. Mandi Dalam; Kloset Duduk; Shower</t>
  </si>
  <si>
    <t>Kost J&amp;J Cikarang Timur Bekasi</t>
  </si>
  <si>
    <t>3 x 3 meter; Tidak termasuk listrik; Kasur; Lemari Baju; Ventilasi; Bantal; Cermin; Guling; Jendela; Kloset Jongkok; K. Mandi Luar; Ember mandi; Bak mandi; WiFi; Kulkas; R. Cuci; R. Jemur; Dapur; Jemuran; Parkir Motor; Parkir Sepeda</t>
  </si>
  <si>
    <t>Kost Sweet Home Tambun Selatan Bekasi</t>
  </si>
  <si>
    <t>4.5 x 3 meter; Tidak termasuk listrik; AC; Kasur; Meja; TV; Lemari Baju; Ventilasi; Bantal; Cermin; Guling; Jendela; K. Mandi Dalam; Kloset Duduk; Ember mandi; Shower; WiFi; Kulkas; Penjaga Kos; Dapur; Dispenser; CCTV; Jemuran; Taman; Parkir Motor</t>
  </si>
  <si>
    <t>Kost Qta Tipe A Cikarang Selatan Bekasi</t>
  </si>
  <si>
    <t>3 x 3 meter; Termasuk listrik; AC; Kasur; Meja; Lemari Baju; Ventilasi; Bantal; Jendela; Kipas Angin; K. Mandi Dalam; Kloset Duduk; Kloset Jongkok; K. Mandi Luar; Ember mandi; Shower; WiFi; Kulkas; R. Jemur; Dapur; Jemuran; Parkir Mobil; Parkir Motor; Parkir Sepeda; Parkir Motor &amp; Sepeda</t>
  </si>
  <si>
    <t>Kost Ibu Melin Bekasi Utara Bekasi</t>
  </si>
  <si>
    <t>3 x 10 meter</t>
  </si>
  <si>
    <t>3 x 10 meter; Tidak termasuk listrik; AC; Kasur; Lemari Baju; Dapur Pribadi; Jendela; K. Mandi Dalam; Kloset Jongkok; Ember mandi; Wastafel; Dapur; CCTV; Jemuran; Parkir Motor</t>
  </si>
  <si>
    <t>Bekasi Utara</t>
  </si>
  <si>
    <t>Kost Mutiara Kedasih I Cikarang Utara Bekasi</t>
  </si>
  <si>
    <t>3 x 3 meter; Termasuk listrik; Kasur; Lemari Baju; Kipas Angin; Bantal; Cermin; Kloset Jongkok; K. Mandi Luar; Ember mandi; WiFi; Kulkas; R. Cuci; R. Jemur; R. Makan; R. Santai; Dapur; Dispenser; CCTV; Jemuran; Parkir Motor; Parkir Sepeda</t>
  </si>
  <si>
    <t>Kost April House Tipe A Cikarang Selatan Bekasi</t>
  </si>
  <si>
    <t>4 x 4 meter; Tidak termasuk listrik; AC; Kasur; Meja; Dispenser; Lemari Baju; Bantal; Guling; Jendela; Kloset Duduk; Kloset Jongkok; Ember mandi; Wastafel; Shower; WiFi; R. Cuci; Kulkas; R. Jemur; R. Makan; R. Santai; Dapur; Balcon; Jemuran; TV; Parkir Mobil; Parkir Motor; Parkir Sepeda</t>
  </si>
  <si>
    <t>Kost Thekos Cikarang Pusat Bekasi</t>
  </si>
  <si>
    <t>7 x 5 meter</t>
  </si>
  <si>
    <t>7 x 5 meter; Tidak termasuk listrik; AC; Kasur; Lemari Baju; Ventilasi; Dapur Pribadi; Wastafel; Bantal; Cleaning service; Jendela; K. Mandi Dalam; Kloset Jongkok; Ember mandi; Shower; WiFi; CCTV; Jemuran; Parkir Mobil; Parkir Motor; Parkir Sepeda</t>
  </si>
  <si>
    <t>Kost Kartika Dewi Cikarang Utara Bekasi</t>
  </si>
  <si>
    <t>3 x 3 meter; Termasuk listrik; Kasur; Lemari Baju; Ventilasi; Kipas Angin; Meja makan; Bantal; Cermin; Jendela; K. Mandi Dalam; Kloset Jongkok; K. Mandi Luar; Ember mandi; Shower; Air panas; WiFi; R. Tamu; R. Jemur; Dapur; TV; Pengurus Kos; Jemuran; Parkir Motor</t>
  </si>
  <si>
    <t>Kost Nugroho Tipe A Cikarang Pusat Bekasi</t>
  </si>
  <si>
    <t>3 x 5 meter; Tidak termasuk listrik; Kasur; Lemari Baju; Jendela; Bantal; K. Mandi Dalam; Kloset Jongkok; Ember mandi; WiFi; Penjaga Kos; R. Jemur; Jemuran; Balcon; Pengurus Kos; CCTV; Parkir Motor; Parkir Motor &amp; Sepeda</t>
  </si>
  <si>
    <t>Kost Ara Mahasiswa Karyawan Cikarang Utara Bekasi</t>
  </si>
  <si>
    <t>3 x 3 meter; Tidak termasuk listrik; AC; Kasur; Meja; Lemari Baju; Jendela; K. Mandi Dalam; Kloset Duduk; Shower; WiFi; Penjaga Kos; Parkir Motor</t>
  </si>
  <si>
    <t>Kost GWK Pondok Ungu Permai Tipe A Babelan Bekasi Utara</t>
  </si>
  <si>
    <t>3 x 4 meter; Termasuk listrik; Kasur; Lemari Baju; Ventilasi; Kipas Angin; Bantal; Guling; Jendela; K. Mandi Dalam; Kloset Jongkok; Ember mandi; WiFi; Kulkas; R. Cuci; R. Tamu; R. Makan; R. Jemur; Dapur; Balcon; CCTV; Jemuran; Parkir Motor; Parkir Sepeda</t>
  </si>
  <si>
    <t>Kost Griya Tosca Tipe A Cikarang Selatan Bekasi</t>
  </si>
  <si>
    <t>4 x 4 meter; Termasuk listrik; Kasur; Lemari Baju; Ventilasi; Kursi; Bantal; Jendela; K. Mandi Dalam; Kloset Jongkok; Ember mandi; Shower; WiFi; R. Cuci; Kulkas; R. Tamu; Penjaga Kos; R. Jemur; R. Santai; Dapur; Dispenser; TV</t>
  </si>
  <si>
    <t>Rp960.000</t>
  </si>
  <si>
    <t>Kost Legenda Tipe C Cikarang Utara Bekasi</t>
  </si>
  <si>
    <t>3 x 4 meter; Tidak termasuk listrik; Kasur; Meja; Lemari Baju; Bantal; Cermin; Guling; Jendela; Kipas Angin; Kursi; K. Mandi Dalam; Kloset Jongkok; Ember mandi; Shower; WiFi; Kulkas; R. Cuci; Mesin Cuci; R. Jemur; R. Makan; Dapur; CCTV; Jemuran; Parkir Motor; Parkir Sepeda; Parkir Motor &amp; Sepeda</t>
  </si>
  <si>
    <t>Kost Durian 35 Tipe B Tambun Selatan Bekasi</t>
  </si>
  <si>
    <t>3 x 3 meter; Tidak termasuk listrik; AC; Kasur; Dispenser; Lemari Baju; Kulkas; Cleaning service; Kloset Duduk; Kloset Jongkok; Wastafel; Ember mandi; Shower; Bak mandi; WiFi; R. Cuci; Laundry; R. Jemur; Dapur; Taman; K. Mandi Luar; Parkir Mobil; Parkir Motor</t>
  </si>
  <si>
    <t>Kost Suari Executive Water Heater Cikarang Utara Bekasi</t>
  </si>
  <si>
    <t>4.5 x 2.5 meter; Tidak termasuk listrik; AC; Kasur; Meja; TV; Lemari Baju; Ventilasi; Bantal; Cermin; Guling; Jendela; K. Mandi Dalam; Kloset Duduk; Shower; Air panas; WiFi; Kulkas; Dapur; CCTV; Pengurus Kos; Parkir Motor; Parkir Sepeda</t>
  </si>
  <si>
    <t>Kost Go Panda 4 Jababeka Cikarang Pusat Bekasi</t>
  </si>
  <si>
    <t>3 x 4 meter; Tidak termasuk listrik; AC; Meja; Lemari Baju; Bantal; Cermin; Kursi; TV Kabel; K. Mandi Dalam; WiFi; Laundry; Parkir Motor</t>
  </si>
  <si>
    <t>Kost Tinto Tipe C Cikarang Selatan Bekasi</t>
  </si>
  <si>
    <t>3 x 4 meter; Tidak termasuk listrik; AC; Kasur; Meja; Lemari Baju; Ventilasi; Bantal; Cermin; Cleaning service; Guling; Jendela; K. Mandi Dalam; Kloset Duduk; Ember mandi; Shower; WiFi; Kulkas; Penjaga Kos; R. Tamu; R. Jemur; R. Makan; R. Santai; Dapur; Balcon; CCTV; Parkir Mobil; Parkir Motor; Parkir Sepeda; Parkir Motor &amp; Sepeda</t>
  </si>
  <si>
    <t>Rp1.330.000</t>
  </si>
  <si>
    <t>Kost Just Me 2 Cikarang Selatan Bekasi</t>
  </si>
  <si>
    <t>3 x 2.5 meter; Tidak termasuk listrik; AC; Kasur; Meja; Lemari Baju; Ventilasi; Cermin; Bantal; Cleaning service; Guling; Jendela; K. Mandi Dalam; Kloset Duduk; Wastafel; Shower; Air panas; WiFi; Kulkas; R. Cuci; Laundry; Mesin Cuci; Penjaga Kos; R. Tamu; R. Jemur; R. Makan; R. Santai; Parkir Mobil; Parkir Motor; Parkir Sepeda; Parkir Motor &amp; Sepeda</t>
  </si>
  <si>
    <t>Kost Lilyk Sugito Tipe Standart Cikarang Selatan Bekasi</t>
  </si>
  <si>
    <t>3 x 3 meter; Tidak termasuk listrik; AC; Kasur; Lemari Baju; Kulkas; Cleaning service; K. Mandi Dalam; Kloset Duduk; Shower; WiFi; Laundry; Balcon; Parkir Mobil; Parkir Motor; Parkir Sepeda</t>
  </si>
  <si>
    <t>Kost Infinity Jababeka Tipe Standar Non AC Cikarang Utara Bekasi</t>
  </si>
  <si>
    <t>3 x 3 meter; Termasuk listrik; Kasur; Lemari Baju; Ventilasi; Bantal; Jendela; Kloset Duduk; Ember mandi; Shower; Bak mandi; WiFi; Kulkas; R. Cuci; Penjaga Kos; R. Tamu; R. Jemur; R. Makan; R. Santai; Dapur; Balcon; Parkir Motor</t>
  </si>
  <si>
    <t>Kost Sr Tipe VIP Cikarang Barat Bekasi</t>
  </si>
  <si>
    <t>3 x 3 meter; Tidak termasuk listrik; AC; Kasur; Lemari Baju; Ventilasi; Jendela; Cermin; Wastafel; K. Mandi Dalam; Kloset Jongkok; Ember mandi; WiFi; Penjaga Kos; Dapur; Balcon; Jemuran; Parkir Motor; Parkir Sepeda</t>
  </si>
  <si>
    <t>Kost Elisabet Cikarang Selatan Bekasi</t>
  </si>
  <si>
    <t>3 x 2.5 meter; Tidak termasuk listrik; AC; Kasur; Meja; TV; Lemari Baju; Ventilasi; Bantal; Cermin; Cleaning service; Guling; K. Mandi Dalam; Kloset Duduk; Wastafel; Shower; Air panas; WiFi; Kulkas; R. Cuci; Laundry; Penjaga Kos; R. Tamu; R. Jemur; R. Makan; R. Santai; Dapur; Parkir Mobil; Parkir Motor; Parkir Sepeda; Parkir Motor &amp; Sepeda</t>
  </si>
  <si>
    <t>Kost Rumah Marshall Tipe A Cikarang Utara Bekasi</t>
  </si>
  <si>
    <t>3 x 4 meter; Tidak termasuk listrik; AC; Kasur; Meja; Lemari Baju; Ventilasi; Bantal; Jendela; K. Mandi Dalam; Kloset Duduk; Shower; WiFi; Kulkas; Laundry; Dapur; Dispenser; Parkir Motor</t>
  </si>
  <si>
    <t>Kost Dahlia Tipe A Cikarang Utara Bekasi</t>
  </si>
  <si>
    <t>3 x 4.5 meter; Tidak termasuk listrik; AC; Kasur; Meja; Lemari Baju; Bantal; Jendela; Kursi; Wastafel; K. Mandi Dalam; Kloset Duduk; Ember mandi; Shower; WiFi; Dapur; CCTV; Pengurus Kos; Parkir Motor &amp; Sepeda</t>
  </si>
  <si>
    <t>Kost Dhome Tipe B Cikarang Utara Bekasi</t>
  </si>
  <si>
    <t>3 x 3 meter; Tidak termasuk listrik; Kasur; Lemari Baju; Ventilasi; Bantal; Cermin; Jendela; Kipas Angin; Kloset Jongkok; K. Mandi Luar; Wastafel; Shower; WiFi; Kulkas; R. Jemur; Dapur; Balcon; Jemuran; Parkir Motor; Parkir Sepeda</t>
  </si>
  <si>
    <t>Rp780.000</t>
  </si>
  <si>
    <t>Kost Grace House Taman Beverly Cikarang Selatan Bekasi</t>
  </si>
  <si>
    <t>4 x 5 meter; Tidak termasuk listrik; AC; Kasur; Meja; Dispenser; TV; Meja Rias; Lemari Baju; Kulkas; Kursi; Wastafel; K. Mandi Dalam; Kloset Duduk; Shower; Air panas; WiFi; R. Cuci; Laundry; R. Jemur; Dapur; Balcon; K. Mandi Luar; Parkir Mobil; Parkir Motor; Parkir Sepeda</t>
  </si>
  <si>
    <t>Kost Alinoo Cikarang Selatan Bekasi</t>
  </si>
  <si>
    <t>3 x 3 meter; Tidak termasuk listrik; AC; Kasur; Meja; Lemari Baju; Bantal; Cermin; Jendela; Kursi; Sofa; K. Mandi Dalam; Kloset Duduk; Shower; WiFi; Kulkas; R. Cuci; Penjaga Kos; R. Tamu; Mesin Cuci; R. Jemur; R. Santai; Dapur; Dispenser; Parkir Mobil; Parkir Motor; Parkir Sepeda</t>
  </si>
  <si>
    <t>Kost C280 Tipe B Cikarang Selatan Bekasi</t>
  </si>
  <si>
    <t>3 x 4 meter; Termasuk listrik; AC; Kasur; Meja; TV; Lemari Baju; Ventilasi; Kursi; Cleaning service; TV Kabel; Bantal; K. Mandi Dalam; Kloset Duduk; Shower; WiFi; R. Cuci; Kulkas; R. Tamu; R. Makan; R. Jemur; R. Santai; Dapur; Dispenser; Parkir Mobil; Parkir Motor; Parkir Sepeda</t>
  </si>
  <si>
    <t>Kost Verena I Tipe AC Cikarang Selatan Bekasi</t>
  </si>
  <si>
    <t>3 x 4 meter; Termasuk listrik; AC; Kasur; Meja Rias; Lemari Baju; Ventilasi; Bantal; Cermin; Guling; Jendela; Wastafel; K. Mandi Dalam; Kloset Duduk; Ember mandi; Bak mandi; WiFi; Penjaga Kos; R. Jemur; R. Makan; R. Santai; Dapur; Dispenser; Balcon; CCTV; Jemuran; Parkir Mobil; Parkir Motor; Parkir Sepeda; Parkir Motor &amp; Sepeda</t>
  </si>
  <si>
    <t>Kost Cemara House Kedasih Jababeka Tipe A Cikarang Utara Bekasi</t>
  </si>
  <si>
    <t>3 x 4 meter; Termasuk listrik; Kasur; Lemari Baju; Jendela; K. Mandi Dalam; Kloset Jongkok; Ember mandi; Kulkas; R. Santai; Dapur; TV; Balcon; K. Mandi Luar; Pengurus Kos; Jemuran; Parkir Motor</t>
  </si>
  <si>
    <t>Kost Puri Yosefa 3 Cikarang Selatan Bekasi</t>
  </si>
  <si>
    <t>3 x 4 meter; Tidak termasuk listrik; AC; Kasur; Lemari Baju; Ventilasi; Bantal; Cermin; Jendela; K. Mandi Dalam; Kloset Jongkok; Ember mandi; WiFi; Penjaga Kos; R. Santai; Dapur; Pengurus Kos; Jemuran; Balcon; Parkir Motor</t>
  </si>
  <si>
    <t>Kost Bpk Entong Tambun Selatan Bekasi</t>
  </si>
  <si>
    <t>3 x 3 meter; Tidak termasuk listrik; Dapur Pribadi; K. Mandi Dalam; Kloset Jongkok; Bak mandi; R. Tamu; R. Keluarga; Parkir Motor</t>
  </si>
  <si>
    <t>Kost ZAHIRA 2 Tipe B Cikarang Utara Bekasi</t>
  </si>
  <si>
    <t>3 x 4 meter; Termasuk listrik; Ventilasi; Kloset Jongkok; R. Jemur; Dapur; Balcon; Jemuran; Kartu Akses; Parkir Motor; Parkir Sepeda; Parkir Motor &amp; Sepeda</t>
  </si>
  <si>
    <t>Rp485.000</t>
  </si>
  <si>
    <t>Kost Putih 02 Cikarang Utara Bekasi</t>
  </si>
  <si>
    <t>3 x 4 meter; Tidak termasuk listrik; AC; Kasur; Lemari Baju; Bantal; Cermin; Guling; Jendela; K. Mandi Dalam; Kloset Jongkok; Shower; WiFi; Penjaga Kos; Dapur; Balcon; CCTV; Jemuran; Pengurus Kos; Rooftop; Parkir Motor; Parkir Sepeda; Parkir Motor &amp; Sepeda</t>
  </si>
  <si>
    <t>Kost Bumi Executive Cikarang Selatan Bekasi</t>
  </si>
  <si>
    <t>3 x 4 meter; Tidak termasuk listrik; AC; Kasur; Meja; Lemari Baju; Bantal; Cermin; Guling; Jendela; Kursi; K. Mandi Dalam; Kloset Duduk; Ember mandi; Shower; WiFi; Kulkas; Penjaga Kos; R. Santai; Dapur; Balcon; CCTV; Jual Makanan; Pengurus Kos; Rooftop; Parkir Mobil; Parkir Motor</t>
  </si>
  <si>
    <t>Kost Ethan Cikarang Utara Bekasi</t>
  </si>
  <si>
    <t>3 x 3 meter; Termasuk listrik; Kasur; Lemari Baju; Bantal; Jendela; Kloset Jongkok; K. Mandi Luar; Ember mandi; WiFi; R. Jemur; Jemuran; Pengurus Kos; Parkir Motor; Parkir Sepeda; Parkir Motor &amp; Sepeda</t>
  </si>
  <si>
    <t>Kost Tinto Tipe A Cikarang Selatan Bekasi</t>
  </si>
  <si>
    <t>3 x 3 meter; Tidak termasuk listrik; AC; Kasur; Meja; Lemari Baju; Ventilasi; Bantal; Cermin; Cleaning service; Guling; Jendela; K. Mandi Dalam; Kloset Duduk; Ember mandi; Shower; WiFi; Kulkas; Penjaga Kos; R. Tamu; R. Jemur; R. Makan; R. Santai; Dapur; Balcon; CCTV; Parkir Mobil; Parkir Motor; Parkir Sepeda; Parkir Motor &amp; Sepeda</t>
  </si>
  <si>
    <t>Kost Amarta Merak Cikarang Utara Bekasi</t>
  </si>
  <si>
    <t>2.8 x 4 meter; Tidak termasuk listrik; AC; Kasur; Meja; Lemari Baju; Bantal; Guling; Jendela; Kursi; Wastafel; K. Mandi Dalam; Kloset Duduk; Shower; WiFi; Penjaga Kos; Dapur; Balcon; CCTV; Jemuran; Parkir Motor; Parkir Sepeda</t>
  </si>
  <si>
    <t>Kost Pinus 7 Tipe B Cikarang Selatan Bekasi</t>
  </si>
  <si>
    <t>3 x 3 meter; Tidak termasuk listrik; AC; Kasur; Meja; Dispenser; TV; Lemari Baju; Kulkas; Ventilasi; Wastafel; Cleaning service; K. Mandi Dalam; Kloset Duduk; Shower; Air panas; WiFi; R. Cuci; R. Tamu; Mesin Cuci; Penjaga Kos; Laundry; R. Jemur; Dapur; Parkir Mobil; Parkir Motor</t>
  </si>
  <si>
    <t>Kost Kimber Tipe A Cikarang Selatan Bekasi</t>
  </si>
  <si>
    <t>3 x 4 meter; Tidak termasuk listrik; Kasur; Lemari Baju; Kipas Angin; Jendela; Guling; Bantal; Cleaning service; Kloset Jongkok; K. Mandi Luar; Ember mandi; Bak mandi; WiFi; Penjaga Kos; R. Santai; Dapur; Balcon; Pengurus Kos; Jemuran; CCTV; Taman; Parkir Mobil; Parkir Motor; Parkir Sepeda</t>
  </si>
  <si>
    <t>Kost Puri Chayankoe Cikarang Barat Bekasi</t>
  </si>
  <si>
    <t>3 x 4 meter; Tidak termasuk listrik; AC; Kasur; Lemari Baju; TV Kabel; K. Mandi Dalam; Kloset Duduk; Shower; WiFi; Laundry; Dapur; Parkir Mobil; Parkir Motor</t>
  </si>
  <si>
    <t>Kost Ruma Residence Tipe B Cikarang Utara Bekasi</t>
  </si>
  <si>
    <t>3 x 4 meter; Tidak termasuk listrik; AC; Kasur; Lemari Baju; Ventilasi; Bantal; Guling; Jendela; K. Mandi Dalam; Kloset Duduk; Ember mandi; Shower; WiFi; Penjaga Kos; R. Jemur; Dapur; Balcon; CCTV; Jemuran; Jual Makanan; Pengurus Kos; Parkir Motor; Parkir Sepeda</t>
  </si>
  <si>
    <t>Kost C280 Tipe A Cikarang Selatan Bekasi</t>
  </si>
  <si>
    <t>3 x 3 meter; Tidak termasuk listrik; AC; Kasur; Meja; Lemari Baju; Ventilasi; Kursi; Cleaning service; Bantal; Cermin; Guling; K. Mandi Dalam; Kloset Duduk; Ember mandi; Shower; WiFi; R. Cuci; Kulkas; R. Tamu; Laundry; Penjaga Kos; R. Makan; R. Jemur; R. Santai; Dapur; Parkir Mobil; Parkir Motor; Parkir Sepeda; Parkir Motor &amp; Sepeda</t>
  </si>
  <si>
    <t>Kost Pavilion Grande Jababeka 2 Tipe A Cikarang Utara Bekasi</t>
  </si>
  <si>
    <t>Kost Pondok Midini Tipe A Cikarang Selatan Bekasi</t>
  </si>
  <si>
    <t>3 x 7 meter; Tidak termasuk listrik; AC; Kasur; TV; Lemari Baju; Bantal; Dapur Pribadi; Guling; Jendela; K. Mandi Dalam; Kloset Duduk; Jemuran; Pengurus Kos; Parkir Mobil; Parkir Motor</t>
  </si>
  <si>
    <t>Kost Amerta 1000 Tipe A1 Cikarang Utara Bekasi</t>
  </si>
  <si>
    <t>3 x 4 meter; Tidak termasuk listrik; AC; Kasur; Meja; Lemari Baju; Ventilasi; Bantal; Guling; Jendela; Kipas Angin; Kursi; K. Mandi Dalam; Kloset Duduk; Ember mandi; Shower; WiFi; Pengurus Kos; Parkir Motor &amp; Sepeda</t>
  </si>
  <si>
    <t>Kost Puri Yosefa 2 Tipe A Cikarang Utara Bekasi</t>
  </si>
  <si>
    <t>3 x 4 meter; Tidak termasuk listrik; AC; Kasur; Meja; Lemari Baju; Ventilasi; Kursi; Cleaning service; Bantal; Cermin; Guling; K. Mandi Dalam; Kloset Duduk; Ember mandi; Shower; WiFi; Penjaga Kos; Pengurus Kos; Jemuran; Parkir Motor; Parkir Sepeda</t>
  </si>
  <si>
    <t>Kost PHT27 Cikarang Selatan Bekasi</t>
  </si>
  <si>
    <t>3 x 2.8 meter; Tidak termasuk listrik; AC; Kasur; TV; Lemari Baju; Bantal; Cermin; Cleaning service; Guling; Jendela; K. Mandi Dalam; Kloset Duduk; Shower; Air panas; WiFi; Kulkas; Laundry; Mesin Cuci; Penjaga Kos; R. Tamu; R. Jemur; R. Santai; Dapur; Dispenser; Parkir Mobil; Parkir Motor</t>
  </si>
  <si>
    <t>Kost Bpk Boin Tipe A Cikarang Barat Bekasi</t>
  </si>
  <si>
    <t>3 x 6 meter; Tidak termasuk listrik; Jendela; K. Mandi Dalam; Kloset Jongkok; Ember mandi; Bak mandi; Penjaga Kos; R. Jemur; CCTV; Parkir Mobil; Parkir Motor; Parkir Sepeda</t>
  </si>
  <si>
    <t>Kost Exclusive Pavilion Tipe A Cikarang Utara Bekasi</t>
  </si>
  <si>
    <t>3 x 3 meter; Tidak termasuk listrik; AC; Kasur; Meja; TV; Lemari Baju; Bantal; Cermin; Guling; Kursi; Wastafel; K. Mandi Dalam; Kloset Duduk; Air panas; WiFi; Kulkas; Penjaga Kos; R. Tamu; R. Makan; R. Santai; Dispenser; Dapur; Jemuran; Parkir Mobil; Parkir Motor</t>
  </si>
  <si>
    <t>Kost Kanaka Allana Tipe A Cikarang</t>
  </si>
  <si>
    <t>3 x 3 meter; Termasuk listrik; AC; Kasur; Meja; TV; Lemari Baju; Kursi; Cleaning service; K. Mandi Dalam; Kloset Duduk; Shower; WiFi; R. Cuci; Kulkas; R. Tamu; Mesin Cuci; Penjaga Kos; Laundry; R. Makan; R. Jemur; Mushola; Parkir Mobil; Parkir Motor; Parkir Sepeda</t>
  </si>
  <si>
    <t>Kost Ruma Residence Deltamas Cikarang Pusat Bekasi</t>
  </si>
  <si>
    <t>2.7 x 5.5 meter</t>
  </si>
  <si>
    <t>2.7 x 5.5 meter; Tidak termasuk listrik; AC; Kasur; Meja; Lemari Baju; Ventilasi; Bantal; Dapur Pribadi; Guling; Jendela; Kursi; K. Mandi Dalam; Kloset Duduk; Kloset Jongkok; Ember mandi; Shower; WiFi; Penjaga Kos; R. Jemur; Dapur; Balcon; CCTV; Pengurus Kos; Parkir Motor; Parkir Sepeda</t>
  </si>
  <si>
    <t>Kost Asrama Brigif Harja Mekar Cikarang Utara Bekasi</t>
  </si>
  <si>
    <t>3 x 3 meter; Tidak termasuk listrik; Kasur; Lemari Baju; K. Mandi Dalam; Kloset Jongkok; Ember mandi; Parkir Motor</t>
  </si>
  <si>
    <t>Kost Puspa Residence 2 Tipe B Cikarang Utara Bekasi</t>
  </si>
  <si>
    <t>3 x 4 meter; Tidak termasuk listrik; AC; Kasur; Meja; Lemari Baju; Kursi; Cleaning service; Bantal; Cermin; Guling; K. Mandi Dalam; Kloset Duduk; Wastafel; Ember mandi; Shower; WiFi; Kulkas; R. Tamu; R. Makan; R. Jemur; R. Santai; Dapur; Taman; CCTV; Jemuran; Parkir Mobil; Parkir Motor; Parkir Sepeda</t>
  </si>
  <si>
    <t>Kost Pamahan Tipe A Cikarang Timur Bekasi</t>
  </si>
  <si>
    <t>3 x 4 meter; Tidak termasuk listrik; Kasur; Meja; Lemari Baju; Jendela; K. Mandi Dalam; Kloset Duduk; R. Jemur; Pengurus Kos; Jemuran; Parkir Motor; Parkir Sepeda</t>
  </si>
  <si>
    <t>Kost Meadow Green Lippo Executive Cikarang Selatan Bekasi</t>
  </si>
  <si>
    <t>3 x 3 meter; Tidak termasuk listrik; AC; Kasur; Meja; Lemari Baju; Bantal; Guling; Jendela; Wastafel; Kursi; K. Mandi Dalam; Kloset Duduk; Shower; Air panas; WiFi; Kulkas; R. Cuci; Laundry; Mesin Cuci; R. Jemur; Dapur; Balcon; Jemuran; Jual Makanan; Parkir Mobil; Parkir Motor; Parkir Sepeda</t>
  </si>
  <si>
    <t>Kost D Orenji Jababeka Cikarang Utara Bekasi</t>
  </si>
  <si>
    <t>3 x 3 meter; Tidak termasuk listrik; AC; Kasur; Lemari Baju; K. Mandi Dalam; Kloset Duduk; Shower; WiFi; Kulkas; Mesin Cuci; R. Jemur; R. Santai; Dapur; Jemuran; CCTV; Parkir Motor</t>
  </si>
  <si>
    <t>Kost Bu Bambang II Cibitung Bekasi</t>
  </si>
  <si>
    <t>4 x 3 meter; Tidak termasuk listrik; Kasur; Lemari Baju; Kipas Angin; K. Mandi Dalam; Kloset Jongkok; Ember mandi; R. Jemur; Parkir Motor</t>
  </si>
  <si>
    <t>Cibitung</t>
  </si>
  <si>
    <t>Kost Hoki 39 Tipe A Cikarang Selatan Bekasi</t>
  </si>
  <si>
    <t>3 x 4 meter; Tidak termasuk listrik; AC; Kasur; Meja; TV; Lemari Baju; Ventilasi; Bantal; Cermin; Cleaning service; Guling; K. Mandi Dalam; Kloset Duduk; Wastafel; Shower; Air panas; WiFi; Kulkas; Penjaga Kos; R. Tamu; R. Jemur; R. Makan; R. Santai; Dapur; Dispenser; Balcon; Parkir Mobil; Parkir Motor; Parkir Sepeda</t>
  </si>
  <si>
    <t>Kost L 2 VVIP Cikarang Pusat Bekasi</t>
  </si>
  <si>
    <t>3 x 7 meter; Tidak termasuk listrik; AC; Kasur; Lemari Baju; Ventilasi; Bantal; Dapur Pribadi; Guling; Jendela; K. Mandi Dalam; Kloset Duduk; Shower; Air panas; WiFi; R. Cuci; Mesin Cuci; R. Jemur; R. Santai; Balcon; Jemuran; Pengurus Kos; Parkir Mobil; Parkir Motor; Parkir Sepeda</t>
  </si>
  <si>
    <t>Kost Pondok Dewa Cikarang Utara Bekasi</t>
  </si>
  <si>
    <t>3 x 5 meter; Tidak termasuk listrik; AC; Kasur; Meja; Lemari Baju; Ventilasi; Jendela; Bantal; Guling; K. Mandi Dalam; Kloset Jongkok; Ember mandi; WiFi; Kulkas; R. Cuci; R. Jemur; Pengurus Kos; Jemuran; Balcon; Parkir Motor; Parkir Sepeda</t>
  </si>
  <si>
    <t>Kost Sati 2 Cikarang Pusat Bekasi</t>
  </si>
  <si>
    <t>3 x 3 meter; Tidak termasuk listrik; AC; Kasur; Lemari Baju; Ventilasi; Bantal; Jendela; K. Mandi Dalam; Kloset Jongkok; Ember mandi; WiFi; Kartu Akses; Jual Makanan; Parkir Motor</t>
  </si>
  <si>
    <t>Kost Pinus 6 Cikarang Selatan Bekasi</t>
  </si>
  <si>
    <t>3 x 3 meter; Termasuk listrik; AC; Kasur; Meja; TV; Lemari Baju; Kursi; Cleaning service; TV Kabel; Bantal; Guling; K. Mandi Dalam; Kloset Duduk; Shower; Air panas; WiFi; R. Cuci; Kulkas; Mesin Cuci; Penjaga Kos; Laundry; R. Jemur; R. Makan; R. Santai; Dapur; Parkir Mobil; Parkir Motor; Parkir Sepeda</t>
  </si>
  <si>
    <t>Kost DKos Eklusive Tipe A Tambun Selatan Bekasi</t>
  </si>
  <si>
    <t>2.5 x 5 meter; Tidak termasuk listrik; AC; Kasur; Lemari Baju; Ventilasi; Bantal; Jendela; Wastafel; K. Mandi Dalam; Kloset Jongkok; Ember mandi; WiFi; Kulkas; R. Jemur; Dapur; Balcon; CCTV; Jemuran; TV; Parkir Motor</t>
  </si>
  <si>
    <t>Kost Sendy Cibatu Cikarang Selatan Bekasi</t>
  </si>
  <si>
    <t>3 x 3 meter; Termasuk listrik; Kasur; Lemari Baju; Kulkas; Kipas Angin; TV Kabel; K. Mandi Dalam; WiFi; Laundry; Dapur; Parkir Mobil</t>
  </si>
  <si>
    <t>Kost Syariah Asri Hijau Cikarang Selatan Bekasi</t>
  </si>
  <si>
    <t>3 x 4 meter; Tidak termasuk listrik; Kasur; Lemari Baju; Ventilasi; Dapur Pribadi; Jendela; Kipas Angin; Wastafel; K. Mandi Dalam; Kloset Duduk; Kloset Jongkok; Shower; Bak mandi; Penjaga Kos; Dapur; CCTV; Gazebo; Pengurus Kos; Taman; Jemuran; Joglo; Parkir Motor; Parkir Sepeda; Parkir Motor &amp; Sepeda</t>
  </si>
  <si>
    <t>Kost Pasir Gombong Tipe A di Pasir Gombong Cikarang</t>
  </si>
  <si>
    <t>3 x 4 meter; Tidak termasuk listrik; Kasur; Lemari Baju; Kipas Angin; K. Mandi Dalam; Kloset Jongkok; WiFi; Dapur; Gazebo; Parkir Motor; Parkir Sepeda</t>
  </si>
  <si>
    <t>Kost Sakura Tipe A Cikarang Selatan Bekasi</t>
  </si>
  <si>
    <t>3 x 4 meter; Tidak termasuk listrik; AC; Kasur; Dispenser; Lemari Baju; K. Mandi Dalam; Kloset Duduk; Shower; Air panas; WiFi; R. Cuci; Kulkas; R. Tamu; Mesin Cuci; Laundry; R. Makan; R. Jemur; R. Santai; Dapur; Parkir Mobil; Parkir Motor; Parkir Sepeda</t>
  </si>
  <si>
    <t>Kost Wisma Adika Ibu Sulis Tipe A Cikarang Utara Bekasi</t>
  </si>
  <si>
    <t>3 x 3 meter; Termasuk listrik; Kasur; Meja; Lemari Baju; Ventilasi; Bantal; Jendela; Kursi; K. Mandi Dalam; Kloset Jongkok; Ember mandi; WiFi; Dispenser; Balcon; CCTV; Jemuran; Pengurus Kos; Parkir Motor &amp; Sepeda</t>
  </si>
  <si>
    <t>Kost Pak Yanto Tipe A Cibitung Bekasi</t>
  </si>
  <si>
    <t>3 x 4 meter; Tidak termasuk listrik; Kasur; Lemari Baju; Ventilasi; Bantal; Jendela; K. Mandi Dalam; Kloset Jongkok; Ember mandi; WiFi; R. Jemur; Taman; Parkir Motor; Parkir Sepeda</t>
  </si>
  <si>
    <t>Kost Bersih Nyaman Tipe A Cikarang Pusat Bekasi</t>
  </si>
  <si>
    <t>3 x 3 meter; Tidak termasuk listrik; AC; Kasur; Meja; Kulkas; Lemari Baju; Ventilasi; Bantal; Cermin; Jendela; Kursi; K. Mandi Dalam; Kloset Duduk; Ember mandi; Wastafel; Shower; WiFi; R. Cuci; Penjaga Kos; R. Jemur; Dapur; Dispenser; Jemuran; Pengurus Kos; Parkir Mobil; Parkir Motor</t>
  </si>
  <si>
    <t>Kost Bu Ulfa Tambun Selatan Bekasi</t>
  </si>
  <si>
    <t>3 x 5 meter; Tidak termasuk listrik; AC; Kasur; Wastafel; K. Mandi Dalam; Kloset Jongkok; Ember mandi; Penjaga Kos; R. Jemur; Taman; Parkir Mobil; Parkir Motor; Parkir Sepeda</t>
  </si>
  <si>
    <t>Kost C280 Tipe D Cikarang Selatan Bekasi</t>
  </si>
  <si>
    <t>3 x 3 meter; Tidak termasuk listrik; AC; Kasur; Meja; Lemari Baju; Ventilasi; Bantal; Cermin; Jendela; Kursi; K. Mandi Dalam; Kloset Duduk; Ember mandi; Shower; WiFi; Kulkas; R. Cuci; Penjaga Kos; R. Tamu; Laundry; R. Jemur; R. Makan; R. Santai; Dapur; Parkir Mobil; Parkir Motor; Parkir Sepeda; Parkir Motor &amp; Sepeda</t>
  </si>
  <si>
    <t>Kost Asya Cikarang Utara Bekasi</t>
  </si>
  <si>
    <t>3 x 4 meter; Tidak termasuk listrik; AC; Kasur; Meja; Meja Rias; TV; Lemari Baju; Jendela; Kursi; K. Mandi Dalam; Kloset Duduk; Ember mandi; WiFi; Laundry; Mesin Cuci; R. Jemur; Dapur; CCTV; Jemuran; Jual Makanan; Parkir Motor &amp; Sepeda</t>
  </si>
  <si>
    <t>Kost Aster Cikarang Barat</t>
  </si>
  <si>
    <t>3 x 3 meter; Termasuk listrik; AC; Kasur; Kloset Duduk; K. Mandi Luar; Wastafel; Shower; Air panas; WiFi; R. Cuci; R. Tamu; R. Makan; R. Jemur; R. Santai; Dapur; Dispenser; TV; Taman; Parkir Mobil; Parkir Motor</t>
  </si>
  <si>
    <t>Kost Wisma Adirama Cikarang Selatan Bekasi</t>
  </si>
  <si>
    <t>3 x 3 meter; Termasuk listrik; Kasur; Meja; Lemari Baju; Ventilasi; Bantal; Jendela; Kursi; Kloset Jongkok; K. Mandi Luar; Ember mandi; Shower; WiFi; Mushola; R. Jemur; Dispenser; CCTV; Jemuran; Pengurus Kos; Parkir Motor &amp; Sepeda</t>
  </si>
  <si>
    <t>Kost Flower Tipe B Tambun Selatan Bekasi</t>
  </si>
  <si>
    <t>3 x 4 meter; Tidak termasuk listrik; AC; Kasur; Meja; TV; Lemari Baju; Ventilasi; Kursi; Wastafel; Sofa; Bantal; K. Mandi Dalam; Kloset Jongkok; Ember mandi; WiFi; R. Cuci; R. Tamu; R. Jemur; Dapur; R. Keluarga; CCTV; Pengurus Kos; Jemuran; Parkir Motor; Parkir Sepeda</t>
  </si>
  <si>
    <t>Kost Eksklusif In Meadow Green Lippo Tipe A Cikarang Selatan Bekasi</t>
  </si>
  <si>
    <t>3 x 3 meter; Tidak termasuk listrik; AC; Kasur; Meja; Dispenser; Lemari Baju; Ventilasi; Bantal; Cermin; Guling; Jendela; K. Mandi Dalam; Kloset Duduk; Shower; Air panas; WiFi; Kulkas; Penjaga Kos; Dapur; CCTV; Pengurus Kos; Parkir Mobil; Parkir Motor; Parkir Sepeda; Parkir Motor &amp; Sepeda</t>
  </si>
  <si>
    <t>Kost Ariosjo Jaya Cikarang Selatan Bekasi</t>
  </si>
  <si>
    <t>3 x 3 meter; Tidak termasuk listrik; AC; Kasur; Meja; Lemari Baju; Bantal; Kloset Duduk; Ember mandi; Shower; WiFi; Kulkas; R. Cuci; Mesin Cuci; R. Jemur; Dapur; CCTV; Jemuran; Kartu Akses; Balcon; Parkir Motor; Parkir Motor &amp; Sepeda</t>
  </si>
  <si>
    <t>Kost Hoki Tipe Executive Cikarang Selatan Bekasi</t>
  </si>
  <si>
    <t>4 x 5 meter; Tidak termasuk listrik; AC; Kasur; Meja; TV; Lemari Baju; Kulkas; Ventilasi; Bantal; Cermin; Cleaning service; K. Mandi Dalam; Kloset Duduk; Wastafel; Shower; Air panas; Parkir Mobil; Parkir Motor</t>
  </si>
  <si>
    <t>Kost C3 Beverly Cikarang Selatan Bekasi</t>
  </si>
  <si>
    <t>3 x 4.5 meter; Tidak termasuk listrik; AC; Kasur; Lemari Baju; Ventilasi; Bantal; Guling; Jendela; Kloset Duduk; Kloset Jongkok; K. Mandi Luar; Shower; Air panas; WiFi; Kulkas; R. Cuci; Mesin Cuci; R. Tamu; R. Jemur; Dapur; Jemuran; Pengurus Kos; Parkir Mobil; Parkir Motor; Parkir Sepeda</t>
  </si>
  <si>
    <t>Kost Mutiara Kedasih II Cikarang Utara Bekasi</t>
  </si>
  <si>
    <t>3 x 3 meter; Termasuk listrik; Kasur; Meja; Lemari Baju; Ventilasi; Bantal; Cermin; Jendela; Kipas Angin; Kloset Jongkok; K. Mandi Luar; Ember mandi; Parkir Motor; Parkir Sepeda</t>
  </si>
  <si>
    <t>Kost Puri Elok Jababeka Cikarang Pusat Bekasi</t>
  </si>
  <si>
    <t>3 x 4 meter; Tidak termasuk listrik; AC; Kasur; Meja; Lemari Baju; Ventilasi; Bantal; Guling; Jendela; Kursi; K. Mandi Dalam; Kloset Duduk; Shower; WiFi; Kulkas; R. Tamu; R. Jemur; Dapur; Dispenser; CCTV; Jemuran; TV; K. Mandi Luar; Parkir Mobil; Parkir Motor; Parkir Sepeda</t>
  </si>
  <si>
    <t>Kost Cazaduma Tipe B Cikarang Utara Bekasi</t>
  </si>
  <si>
    <t>3 x 3 meter; Tidak termasuk listrik; AC; Kasur; Meja; Lemari Baju; Ventilasi; Cleaning service; Cermin; Jendela; Bantal; K. Mandi Dalam; Kloset Duduk; Ember mandi; Shower; WiFi; Kulkas; R. Cuci; R. Tamu; R. Jemur; Dapur; Dispenser; TV; Balcon; K. Mandi Luar; Parkir Motor; Parkir Sepeda</t>
  </si>
  <si>
    <t>Kost Editha Cibitung Bekasi</t>
  </si>
  <si>
    <t>3 x 4 meter; Tidak termasuk listrik; Kasur; Lemari Baju; Bantal; K. Mandi Dalam; Kloset Jongkok; Ember mandi; Shower; WiFi; Balcon; CCTV; Jemuran; Jual Makanan; Pengurus Kos; Parkir Motor</t>
  </si>
  <si>
    <t>Kost Pak Is Ph6 Cikarang Selatan Bekasi</t>
  </si>
  <si>
    <t>3 x 2 meter; Termasuk listrik; AC; Kasur; Lemari Baju; Kulkas; Ventilasi; Bantal; Guling; Jendela; Kloset Duduk; K. Mandi Luar; Shower; WiFi; R. Cuci; Mesin Cuci; Laundry; R. Jemur; Dapur; Balcon; Jemuran; Parkir Mobil; Parkir Motor; Parkir Sepeda</t>
  </si>
  <si>
    <t>Kost D Orenji Cikarang Utara Bekasi</t>
  </si>
  <si>
    <t>3 x 3 meter; Tidak termasuk listrik; AC; Kasur; Meja; Lemari Baju; Ventilasi; Bantal; Cermin; Jendela; Kursi; K. Mandi Dalam; Kloset Jongkok; Shower; WiFi; Kulkas; R. Jemur; R. Makan; R. Santai; Dapur; Balcon; CCTV; Jemuran; Pengurus Kos; Parkir Motor; Parkir Sepeda</t>
  </si>
  <si>
    <t>Kost Ruma Residence Tipe A Cikarang Utara Bekasi</t>
  </si>
  <si>
    <t>3 x 4 meter; Tidak termasuk listrik; AC; Kasur; Lemari Baju; Bantal; Guling; Jendela; K. Mandi Dalam; Kloset Duduk; Ember mandi; Shower; WiFi; Penjaga Kos; R. Jemur; Dapur; Balcon; CCTV; Jemuran; Jual Makanan; Pengurus Kos</t>
  </si>
  <si>
    <t>Kost Cinta Single B With Bed Cikarang Barat Bekasi</t>
  </si>
  <si>
    <t>3 x 3 meter; Tidak termasuk listrik; Kasur; Bantal; Guling; Jendela; K. Mandi Dalam; Kloset Jongkok; Ember mandi; WiFi; R. Jemur; CCTV; Jemuran; Parkir Motor; Parkir Sepeda</t>
  </si>
  <si>
    <t>Kost Cazaduma Tipe A Cikarang Utara Bekasi</t>
  </si>
  <si>
    <t>3 x 3 meter; Tidak termasuk listrik; AC; Kasur; Lemari Baju; Jendela; Cleaning service; Cermin; K. Mandi Dalam; Kloset Jongkok; Shower; WiFi; Kulkas; R. Cuci; R. Tamu; R. Jemur; Dapur; CCTV; K. Mandi Luar; TV; Jemuran; Parkir Mobil; Parkir Motor</t>
  </si>
  <si>
    <t>Kost Ibu Kirana Cikarang Utara Bekasi</t>
  </si>
  <si>
    <t>3 x 4 meter; Termasuk listrik; Kasur; Lemari Baju; Ventilasi; Bantal; Cermin; Jendela; K. Mandi Dalam; Kloset Jongkok; Ember mandi; Shower; WiFi; Kulkas; R. Jemur; Dapur; Jemuran; Parkir Motor; Parkir Sepeda</t>
  </si>
  <si>
    <t>Kost Puspa Residence 1 Cikarang Utara Bekasi</t>
  </si>
  <si>
    <t>3 x 4 meter; Tidak termasuk listrik; AC; Kasur; Meja Rias; Lemari Baju; Kursi; Cleaning service; Bantal; Cermin; Guling; Jendela; K. Mandi Dalam; Kloset Duduk; Kloset Jongkok; K. Mandi Luar; Wastafel; Ember mandi; Shower; WiFi; Kulkas; R. Tamu; R. Makan; R. Jemur; R. Santai; Dapur; Taman; CCTV; Jemuran; Parkir Mobil; Parkir Motor; Parkir Sepeda</t>
  </si>
  <si>
    <t>Kost Anne AC VIP Cikarang Selatan Bekasi</t>
  </si>
  <si>
    <t>3.5 x 5 meter; Tidak termasuk listrik; AC; Kasur; Lemari Baju; Ventilasi; Bantal; Jendela; Sofa; Cermin; K. Mandi Dalam; Kloset Duduk; Ember mandi; Shower; WiFi; Kulkas; R. Jemur; Dapur; Dispenser; CCTV; Balcon; Jemuran; Rooftop; Parkir Motor; Parkir Sepeda; Parkir Motor &amp; Sepeda</t>
  </si>
  <si>
    <t>Kost Wisma Mandiri Tipe A Tambun Selatan Bekasi</t>
  </si>
  <si>
    <t>3 x 3 meter; Termasuk listrik; AC; Meja; Lemari Baju; Bantal; Cermin; Guling; Kursi; K. Mandi Dalam; Kloset Duduk; K. Mandi Luar; Ember mandi; Shower; Air panas; WiFi; Kulkas; R. Cuci; Laundry; Mesin Cuci; Penjaga Kos; R. Tamu; R. Jemur; R. Makan; R. Santai; Parkir Mobil; Parkir Motor</t>
  </si>
  <si>
    <t>Kost Kimberly House Babelan Bekasi</t>
  </si>
  <si>
    <t>3 x 4 meter; Tidak termasuk listrik; Kasur; Meja; Lemari Baju; Ventilasi; Guling; Bantal; Cermin; Kipas Angin; Kursi; Wastafel; Kloset Jongkok; K. Mandi Luar; Ember mandi; Bak mandi; WiFi; Kulkas; R. Cuci; R. Tamu; Mushola; R. Jemur; R. Makan; R. Santai; Dapur; Dispenser; Parkir Mobil; Parkir Motor; Parkir Sepeda; Parkir Motor &amp; Sepeda</t>
  </si>
  <si>
    <t>Kost Green Leaf Deltamas Tipe A Cikarang Pusat Bekasi</t>
  </si>
  <si>
    <t>3 x 3 meter; Tidak termasuk listrik; AC; Kasur; Kulkas; Lemari Baju; Bantal; Cermin; Kipas Angin; Kursi; microwave; Kloset Duduk; K. Mandi Luar; Wastafel; Shower; WiFi; Mesin Cuci; Dapur; CCTV; Jemuran; Parkir Mobil; Parkir Motor; Parkir Sepeda; Parkir Motor &amp; Sepeda</t>
  </si>
  <si>
    <t>Kost Omah 37 Tipe B Cikarang Barat Bekasi</t>
  </si>
  <si>
    <t>4.5 x 5.5 meter</t>
  </si>
  <si>
    <t>4.5 x 5.5 meter; Tidak termasuk listrik; Kasur; Lemari Baju; Jendela; Bantal; K. Mandi Dalam; Kloset Jongkok; Jemuran; Parkir Motor</t>
  </si>
  <si>
    <t>Kost Keisha Tipe B Cikarang Timur Bekasi</t>
  </si>
  <si>
    <t>3 x 3 meter; Tidak termasuk listrik; AC; Ventilasi; Jendela; K. Mandi Dalam; Kloset Jongkok; Wastafel; Shower; WiFi; CCTV; Pengurus Kos; Jemuran; Parkir Motor</t>
  </si>
  <si>
    <t>Kost Bu Emmy Tipe I Cikarang Timur Bekasi</t>
  </si>
  <si>
    <t>3 x 3.5 meter; Termasuk listrik; AC; Kasur; Meja; Lemari Baju; Ventilasi; Cermin; Cleaning service; Jendela; Kursi; Bantal; K. Mandi Dalam; Kloset Duduk; Wastafel; Shower; WiFi; Kulkas; R. Jemur; R. Makan; Dapur; Dispenser; Jemuran; Pengurus Kos; Taman; Parkir Mobil; Parkir Motor; Parkir Sepeda</t>
  </si>
  <si>
    <t>Kost Nakula 1 Tipe A Cikarang Selatan Bekasi</t>
  </si>
  <si>
    <t>3 x 3 meter; Tidak termasuk listrik; AC; Kasur; Meja; Lemari Baju; Ventilasi; Bantal; Cermin; Guling; Jendela; Kursi; K. Mandi Dalam; Kloset Duduk; Ember mandi; Shower; WiFi; Kulkas; R. Cuci; Mesin Cuci; R. Jemur; Dapur; Dispenser; Jemuran; CCTV; Parkir Mobil; Parkir Motor; Parkir Sepeda</t>
  </si>
  <si>
    <t>Kost Rayka Tipe A Cikarang Pusat Bekasi</t>
  </si>
  <si>
    <t>3 x 4 meter; Tidak termasuk listrik; AC; Kasur; Meja; Lemari Baju; Bantal; Cermin; Guling; Jendela; Kipas Angin; Kursi; K. Mandi Dalam; Kloset Jongkok; K. Mandi Luar; Ember mandi; Shower; WiFi; Kulkas; R. Cuci; R. Tamu; Penjaga Kos; Mushola; R. Jemur; R. Santai; Dapur; Balcon; Parkir Mobil; Parkir Motor</t>
  </si>
  <si>
    <t>Kost Rimba Homestay Tipe Large Deluxe Tambun Selatan Bekasi</t>
  </si>
  <si>
    <t>5 x 5 meter; Termasuk listrik; Kasur; Dispenser; Meja; Lemari Baju; Ventilasi; Bantal; Dapur Pribadi; Guling; Jendela; Kipas Angin; K. Mandi Dalam; Kloset Duduk; Ember mandi; Shower; WiFi; R. Jemur; CCTV; Jemuran; Pengurus Kos; Parkir Mobil; Parkir Motor; Parkir Sepeda; Parkir Motor &amp; Sepeda</t>
  </si>
  <si>
    <t>Rumah Kontrakan Anastra Village Cibitung Bekasi</t>
  </si>
  <si>
    <t>6 x 10 meter</t>
  </si>
  <si>
    <t>6 x 10 meter; Tidak termasuk listrik; Dapur Pribadi; Jendela; K. Mandi Dalam; Kloset Jongkok; Ember mandi; Bak mandi; R. Cuci; R. Tamu; Mushola; R. Jemur; R. Santai; Dapur; Balcon; Gazebo; Jemuran; Joglo; Parkir Mobil; Parkir Motor; Parkir Sepeda; Parkir Motor &amp; Sepeda</t>
  </si>
  <si>
    <t>Kost Nur Residance Telajung Executive Cikarang Barat Bekasi</t>
  </si>
  <si>
    <t>2.6 x 6.5 meter</t>
  </si>
  <si>
    <t>2.6 x 6.5 meter; Tidak termasuk listrik; AC; Kasur; Jendela; K. Mandi Dalam; Kloset Jongkok; Ember mandi; Parkir Mobil; Parkir Motor &amp; Sepeda</t>
  </si>
  <si>
    <t>Kost Nur Residance Cicau Tipe A Cikarang Pusat Bekasi</t>
  </si>
  <si>
    <t>2.6 x 6.5 meter; Tidak termasuk listrik; AC; Kasur; Ventilasi; Dapur Pribadi; Jendela; Wastafel; K. Mandi Dalam; Kloset Jongkok; Ember mandi; WiFi; Penjaga Kos; Mushola; Dapur; CCTV; Jemuran; Pengurus Kos; Parkir Mobil; Parkir Motor &amp; Sepeda</t>
  </si>
  <si>
    <t>Kost Nur Residance Mekarwangi Executive Cikarang Barat Bekasi</t>
  </si>
  <si>
    <t>2.6 x 6.5 meter; Tidak termasuk listrik; AC; Kasur; Ventilasi; Jendela; Wastafel; K. Mandi Dalam; Kloset Jongkok; Ember mandi; WiFi; Penjaga Kos; R. Jemur; Balcon; CCTV; Jemuran; Jual Makanan; Pengurus Kos; Taman; Parkir Mobil; Parkir Motor &amp; Sepeda</t>
  </si>
  <si>
    <t>Kost Legenda Tipe A Cikarang Utara Bekasi</t>
  </si>
  <si>
    <t>6 x 8 meter</t>
  </si>
  <si>
    <t>6 x 8 meter; Tidak termasuk listrik; AC; Kasur; Meja; Lemari Baju; Bantal; Cermin; Jendela; Kursi; K. Mandi Dalam; Kloset Jongkok; Ember mandi; Shower; WiFi; Kulkas; R. Cuci; Mesin Cuci; R. Jemur; R. Makan; Dapur; CCTV; Jemuran; Parkir Motor; Parkir Sepeda; Parkir Motor &amp; Sepeda</t>
  </si>
  <si>
    <t>Kost GWK Tipe B Babelan Bekasi</t>
  </si>
  <si>
    <t>3 x 9 meter; Tidak termasuk listrik; AC; Dapur Pribadi; K. Mandi Dalam; Kloset Jongkok; Parkir Motor</t>
  </si>
  <si>
    <t>Kost C280 Tipe C Cikarang Selatan Bekasi</t>
  </si>
  <si>
    <t>4 x 5 meter; Tidak termasuk listrik; AC; Kasur; Meja; Dispenser; Lemari Baju; Ventilasi; Kursi; Cleaning service; TV Kabel; Bantal; K. Mandi Dalam; Kloset Duduk; Ember mandi; Shower; WiFi; R. Cuci; Kulkas; R. Tamu; Laundry; Penjaga Kos; R. Makan; R. Jemur; R. Santai; Dapur; Parkir Mobil; Parkir Motor; Parkir Sepeda</t>
  </si>
  <si>
    <t>Kost Delta Murah Tipe Eco Cikarang Selatan Bekasi</t>
  </si>
  <si>
    <t>3 x 3 meter; Termasuk listrik; Kloset Duduk; Kloset Jongkok; K. Mandi Luar; Ember mandi; Shower; R. Cuci; R. Tamu; R. Jemur; R. Makan; R. Santai; Dapur; Dispenser; CCTV; Jemuran; Joglo; Parkir Mobil; Parkir Motor; Parkir Sepeda; Parkir Motor &amp; Sepeda</t>
  </si>
  <si>
    <t>Kost Bidan Enung Nurjanah Tipe A Tambun Selatan Bekasi</t>
  </si>
  <si>
    <t>3.5 x 4 meter; Termasuk listrik; Kasur; Meja; Lemari Baju; Ventilasi; Bantal; Cermin; Guling; Jendela; Kipas Angin; Kursi; K. Mandi Dalam; Kloset Jongkok; Ember mandi; WiFi; Penjaga Kos; R. Jemur; Balcon; CCTV; Jemuran; Jual Makanan; Parkir Motor</t>
  </si>
  <si>
    <t>Kost Cemara House Kedasih Jababeka Tipe B Cikarang Selatan Bekasi</t>
  </si>
  <si>
    <t>3 x 3 meter; Termasuk listrik; Kasur; Lemari Baju; K. Mandi Dalam; Kloset Jongkok; K. Mandi Luar; Ember mandi; Kulkas; R. Tamu; R. Jemur; Dapur; TV; Parkir Motor</t>
  </si>
  <si>
    <t>Rp1.120.000</t>
  </si>
  <si>
    <t>Kost Ruma Cemara CH4 Meadow Green C Cikarang Selatan Bekasi</t>
  </si>
  <si>
    <t>3 x 3 meter; Tidak termasuk listrik; AC; Kasur; Dispenser; Meja; TV; Lemari Baju; Bantal; Cermin; Cleaning service; Guling; K. Mandi Dalam; Kloset Duduk; Wastafel; Shower; Air panas; WiFi; Kulkas; Laundry; R. Tamu; R. Makan; R. Santai; Dapur; CCTV; Pengurus Kos; Parkir Mobil; Parkir Motor &amp; Sepeda</t>
  </si>
  <si>
    <t>Kost Cosmo Home 2 Tipe A Cikarang Selatan Bekasi</t>
  </si>
  <si>
    <t>2.5 x 3 meter; Tidak termasuk listrik; AC; Kasur; Meja; Meja Rias; Kulkas; Lemari Baju; Ventilasi; Bantal; Cleaning service; Guling; K. Mandi Dalam; Kloset Duduk; Wastafel; Shower; Air panas; WiFi; R. Cuci; Laundry; Mesin Cuci; Penjaga Kos; R. Tamu; R. Jemur; Dapur; Dispenser; Parkir Mobil; Parkir Motor; Parkir Sepeda; Parkir Motor &amp; Sepeda</t>
  </si>
  <si>
    <t>Kost Dewa Ruci Business D6 Cikarang Utara Bekasi</t>
  </si>
  <si>
    <t>3 x 4 meter; Tidak termasuk listrik; AC; Kasur; Meja; TV; Lemari Baju; Cermin; Jendela; Wastafel; K. Mandi Dalam; Kloset Duduk; WiFi; Penjaga Kos; Mushola; CCTV; Jemuran; Jual Makanan; K. Mandi Luar; Pengurus Kos; Parkir Mobil; Parkir Motor</t>
  </si>
  <si>
    <t>Kost Infinity Residence Tipe Standart Cikarang Utara Bekasi</t>
  </si>
  <si>
    <t>3 x 3 meter; Tidak termasuk listrik; Kasur; Lemari Baju; Jendela; Kloset Jongkok; Shower; Bak mandi; WiFi; Kulkas; R. Tamu; R. Jemur; R. Santai; Dapur; CCTV; Gazebo; Jemuran; Pengurus Kos; Parkir Motor</t>
  </si>
  <si>
    <t>Rp615.000</t>
  </si>
  <si>
    <t>Kost Zahira 4 Executive Cikarang Barat Bekasi</t>
  </si>
  <si>
    <t>3 x 3 meter; Tidak termasuk listrik; AC; Kasur; Meja; Lemari Baju; Bantal; Cermin; Guling; Jendela; Kursi; K. Mandi Dalam; Kloset Duduk; Ember mandi; Shower; WiFi; Laundry; Penjaga Kos; R. Jemur; Dispenser; Balcon; CCTV; Jemuran; Pengurus Kos; Parkir Motor; Parkir Sepeda</t>
  </si>
  <si>
    <t>Kost Tinto Tipe 2 Cikarang Selatan Bekasi</t>
  </si>
  <si>
    <t>2.9 x 2.9 meter</t>
  </si>
  <si>
    <t>2.9 x 2.9 meter; Tidak termasuk listrik; AC; Kasur; Meja; Lemari Baju; Ventilasi; Bantal; Cermin; Cleaning service; Guling; Jendela; K. Mandi Dalam; Kloset Duduk; Ember mandi; Shower; WiFi; Kulkas; Penjaga Kos; R. Tamu; R. Jemur; R. Makan; R. Santai; Dapur; Balcon; CCTV; Parkir Mobil; Parkir Motor; Parkir Sepeda; Parkir Motor &amp; Sepeda</t>
  </si>
  <si>
    <t>Kost Griya Barokah IV Cikarang TImur Bekasi</t>
  </si>
  <si>
    <t>5 x 5 meter; Tidak termasuk listrik; AC; Kasur; Meja; TV; Lemari Baju; Kulkas; Kursi; Wastafel; TV Kabel; Bantal; K. Mandi Dalam; Kloset Duduk; Shower; Air panas; WiFi; Penjaga Kos; R. Jemur; R. Santai; Dapur; Dispenser; Kartu Akses; Taman; Gazebo; Parkir Mobil; Parkir Motor; Parkir Sepeda</t>
  </si>
  <si>
    <t>Kost Ruma Cemara VVIP Cikarang Selatan Bekasi</t>
  </si>
  <si>
    <t>3.5 x 5 meter; Tidak termasuk listrik; AC; Kasur; Meja; TV; Lemari Baju; Bantal; Cermin; Cleaning service; Guling; Jendela; K. Mandi Dalam; Kloset Duduk; Wastafel; Shower; Air panas; WiFi; Kulkas; Laundry; R. Tamu; R. Makan; R. Santai; Dapur; Dispenser; CCTV; R. Keluarga; Parkir Mobil</t>
  </si>
  <si>
    <t>Kost Dhome Tipe A Cikarang Utara Bekasi</t>
  </si>
  <si>
    <t>3 x 3 meter; Tidak termasuk listrik; AC; Kasur; Bantal; Cermin; Jendela; K. Mandi Dalam; Kloset Jongkok; Ember mandi; Shower; WiFi; Kulkas; R. Jemur; Dapur; Balcon; Jemuran; Pengurus Kos; Parkir Motor</t>
  </si>
  <si>
    <t>3 x 3 meter; Termasuk listrik; Kasur; Lemari Baju; K. Mandi Dalam; Kloset Jongkok; K. Mandi Luar; Ember mandi</t>
  </si>
  <si>
    <t>3 x 3 meter; Tidak termasuk listrik; AC; Kasur; Dispenser; Meja; TV; Lemari Baju; Bantal; Cermin; Cleaning service; Guling; K. Mandi Dalam; Kloset Duduk; Wastafel; Shower; Air panas</t>
  </si>
  <si>
    <t>5 x 5 meter; Tidak termasuk listrik; AC; Kasur; Meja; TV; Lemari Baju; Kulkas; Kursi; Wastafel; TV Kabel; Bantal; K. Mandi Dalam; Kloset Duduk; Shower; Air panas; WiFi; Penjaga Kos; R. Jemur; R. Santai; Dapur; Dispenser; Kartu Akses; Taman; Gazebo</t>
  </si>
  <si>
    <t>3 x 3 meter; Tidak termasuk listrik; AC; Kasur; Bantal; Cermin; Jendela; K. Mandi Dalam; Kloset Jongkok; Ember mandi; Shower; WiFi; Kulkas; R. Jemur; Dapur; Balcon; Jemuran; Pengurus Kos</t>
  </si>
  <si>
    <t>Kost Melati Tipe A Cikarang Selatan Bekasi</t>
  </si>
  <si>
    <t>3 x 3 meter; Tidak termasuk listrik; AC; Kasur; Meja; Lemari Baju; Bantal; Cermin; Guling; Kursi; Kloset Duduk; K. Mandi Luar; Shower</t>
  </si>
  <si>
    <t>Kost Eksklusif Bidan Nurjanah Tambun Selatan Bekasi</t>
  </si>
  <si>
    <t>3.6 x 6 meter</t>
  </si>
  <si>
    <t>3.6 x 6 meter; Termasuk listrik; AC; Kasur; Meja; Meja Rias; Lemari Baju; Ventilasi; Bantal; Cermin; Guling; Jendela; K. Mandi Dalam; Ember mandi; WiFi; Penjaga Kos; R. Jemur; CCTV; Gazebo; Jemuran; Jual Makanan; Taman; Parkir Motor</t>
  </si>
  <si>
    <t>2.6 x 6.5 meter; Tidak termasuk listrik; AC; Kasur; Ventilasi; Jendela; Wastafel; WiFi; Penjaga Kos; R. Jemur; Balcon; CCTV; Jemuran; Jual Makanan; Pengurus Kos; Taman; Parkir Mobil; Parkir Motor &amp; Sepeda</t>
  </si>
  <si>
    <t>4 x 5 meter; Tidak termasuk listrik; AC; Kasur; Meja; Dispenser; Lemari Baju; Ventilasi; Kursi; Cleaning service; TV Kabel; Bantal; K. Mandi Dalam; Kloset Duduk; Ember mandi; Shower</t>
  </si>
  <si>
    <t>3 x 3 meter; Termasuk listrik; Kasur; Lemari Baju; Kulkas; R. Tamu; R. Jemur; Dapur; TV; K. Mandi Luar; Parkir Motor</t>
  </si>
  <si>
    <t>3 x 4 meter; Tidak termasuk listrik; AC; Kasur; Meja; TV; Lemari Baju; Cermin; Jendela; Wastafel; K. Mandi Dalam; Kloset Duduk; WiFi; Penjaga Kos; Mushola; CCTV; Jemuran; Jual Makanan; K. Mandi Luar; Pengurus Kos</t>
  </si>
  <si>
    <t>3 x 3 meter; Tidak termasuk listrik; Kasur; Lemari Baju; Jendela</t>
  </si>
  <si>
    <t>3 x 3 meter; Tidak termasuk listrik; AC; Kasur; Meja; Lemari Baju; Bantal; Cermin; Guling; Jendela; Kursi; Parkir Motor; Parkir Sepeda</t>
  </si>
  <si>
    <t>2.9 x 2.9 meter; Tidak termasuk listrik; AC; Kasur; Meja; Lemari Baju; Ventilasi; Bantal; Cermin; Cleaning service; Guling; Jendela; K. Mandi Dalam; Kloset Duduk; Ember mandi; Shower; Parkir Mobil; Parkir Motor; Parkir Sepeda; Parkir Motor &amp; Sepeda</t>
  </si>
  <si>
    <t>3.5 x 5 meter; Tidak termasuk listrik; AC; Kasur; Meja; TV; Lemari Baju; Bantal; Cermin; Cleaning service; Guling; Jendela; K. Mandi Dalam; Kloset Duduk; Wastafel; Shower; Air panas; Parkir Mobil</t>
  </si>
  <si>
    <t>3 x 3 meter; Tidak termasuk listrik; AC; Kasur; Meja; Lemari Baju; Bantal; Cermin; Guling; Kursi; Kloset Duduk; K. Mandi Luar; Shower; WiFi; Kulkas; R. Jemur; R. Makan; Dapur; Dispenser; CCTV; Jemuran; Parkir Mobil; Parkir Motor</t>
  </si>
  <si>
    <t>3 x 3 meter; Tidak termasuk listrik; AC; Kasur; Dispenser; Meja; TV; Lemari Baju; Bantal; Cermin; Cleaning service; Guling</t>
  </si>
  <si>
    <t>3 x 3 meter; Tidak termasuk listrik; AC; Kasur; Bantal; Cermin; Jendela; K. Mandi Dalam; Kloset Jongkok; Ember mandi; Shower; Parkir Motor</t>
  </si>
  <si>
    <t>3 x 3 meter; Tidak termasuk listrik; Kloset Jongkok; Shower; Bak mandi; WiFi; Kulkas; R. Tamu; R. Jemur; R. Santai; Dapur; CCTV; Gazebo; Jemuran; Pengurus Kos</t>
  </si>
  <si>
    <t>3 x 3 meter; Tidak termasuk listrik; AC; Kasur; Bantal; Cermin; Jendela; K. Mandi Dalam; Kloset Jongkok; Ember mandi; Shower</t>
  </si>
  <si>
    <t>Kost IPA Ciracas Jakarta Timur</t>
  </si>
  <si>
    <t>3 x 3 meter; Tidak termasuk listrik; AC; Kasur; Lemari Baju; Ventilasi; Bantal; Cermin; Jendela; Kipas Angin; K. Mandi Dalam; Kloset Duduk; Ember mandi; Shower; WiFi; Kulkas; Penjaga Kos; R. Tamu; R. Jemur; Dapur; Dispenser; Balcon; CCTV; Jemuran; Parkir Mobil; Parkir Motor; Parkir Sepeda; Parkir Motor &amp; Sepeda</t>
  </si>
  <si>
    <t>Ciracas</t>
  </si>
  <si>
    <t>Kost Singgahsini Rumah Adel Tipe C Makasar Jakarta Timur</t>
  </si>
  <si>
    <t>3.9 x 2.2 meter</t>
  </si>
  <si>
    <t>3.9 x 2.2 meter; Tidak termasuk listrik; AC; Kasur; Meja; Lemari Baju; Bantal; Guling; Jendela; Kloset Duduk; K. Mandi Luar; WiFi; R. Jemur; Parkir Motor; Parkir Sepeda</t>
  </si>
  <si>
    <t>Makasar</t>
  </si>
  <si>
    <t>Kost Singgahsini Paus Residence Tipe A Pulo Gadung Jakarta Timur</t>
  </si>
  <si>
    <t>4 x 4 meter; Tidak termasuk listrik; AC; Kasur; TV; Lemari Baju; Jendela; Bantal; K. Mandi Dalam; Kloset Duduk; Wastafel; Shower; Air panas; WiFi; Penjaga Kos; Dapur; Taman; CCTV; Parkir Mobil; Parkir Motor &amp; Sepeda</t>
  </si>
  <si>
    <t>Rp2.739.000</t>
  </si>
  <si>
    <t>Pulo Gadung</t>
  </si>
  <si>
    <t>Kost Singgahsini Gang Kelinci 13 Tipe A Kramat Jati Jakarta Timur</t>
  </si>
  <si>
    <t>2.5 x 3.5 meter; Tidak termasuk listrik; AC; Kasur; Meja; TV; Lemari Baju; Ventilasi; Kursi; Bantal; Guling; Jendela; K. Mandi Dalam; Kloset Duduk; Shower; WiFi; R. Cuci; Penjaga Kos; R. Jemur; Dispenser; Jemuran; Rooftop; Parkir Motor &amp; Sepeda</t>
  </si>
  <si>
    <t>Kramat Jati</t>
  </si>
  <si>
    <t>Kost Singgahsini Hajiten 2 Tipe A Pulo Gadung Jakarta Timur</t>
  </si>
  <si>
    <t>3 x 4 meter; Tidak termasuk listrik; AC; Kasur; Meja; TV; Lemari Baju; Kursi; Bantal; Cermin; Guling; Jendela; K. Mandi Dalam; Kloset Duduk; Shower; Air panas; WiFi; Kulkas; Penjaga Kos; R. Jemur; Dapur; Dispenser; CCTV; Jemuran; Rooftop; Parkir Motor &amp; Sepeda</t>
  </si>
  <si>
    <t>Kost Singgahsini Rumah Adel Tipe B Makasar Jakarta Timur</t>
  </si>
  <si>
    <t>3.9 x 2.2 meter; Tidak termasuk listrik; AC; Kasur; Meja; Lemari Baju; Kursi; Bantal; Guling; Jendela; Kloset Duduk; K. Mandi Luar; WiFi; R. Jemur; Parkir Motor; Parkir Sepeda</t>
  </si>
  <si>
    <t>Kost Singgahsini Eshan Kayu Manis Tipe A Matraman Jakarta Timur</t>
  </si>
  <si>
    <t>2.8 x 3.4 meter</t>
  </si>
  <si>
    <t>2.8 x 3.4 meter; Tidak termasuk listrik; AC; Kasur; Meja; TV; Lemari Baju; Ventilasi; Kursi; Bantal; Cermin; Guling; K. Mandi Dalam; Kloset Duduk; Shower; WiFi; Kulkas; R. Tamu; Penjaga Kos; R. Jemur; Mushola; Dapur; Gazebo; CCTV; Parkir Mobil; Parkir Motor &amp; Sepeda</t>
  </si>
  <si>
    <t>Matraman</t>
  </si>
  <si>
    <t>Kost Singgahsini Rumah Adel Tipe A Makasar Jakarta Timur</t>
  </si>
  <si>
    <t>5.5 x 4 meter</t>
  </si>
  <si>
    <t>5.5 x 4 meter; Tidak termasuk listrik; AC; Kasur; Meja; Lemari Baju; Kipas Angin; Sofa; Bantal; K. Mandi Dalam; Kloset Duduk; WiFi; R. Jemur; Dapur; Parkir Motor; Parkir Sepeda</t>
  </si>
  <si>
    <t>Kost Singgahsini Rumah Adel Tipe D Makasar Jakarta Timur</t>
  </si>
  <si>
    <t>2.9 x 2.2 meter</t>
  </si>
  <si>
    <t>2.9 x 2.2 meter; Tidak termasuk listrik; Kasur; Meja; Lemari Baju; Kipas Angin; Bantal; Guling; Jendela; Kloset Duduk; K. Mandi Luar; WiFi; R. Jemur; Parkir Motor; Parkir Sepeda</t>
  </si>
  <si>
    <t>Kost Singgahsini Az Zahro Batu Alam Tipe B Kramatjati Jakarta Timur</t>
  </si>
  <si>
    <t>3 x 6 meter; Tidak termasuk listrik; AC; Kasur; Meja; Dispenser; Lemari Baju; Kursi; Wastafel; Sofa; Bantal; Cermin; K. Mandi Dalam; Kloset Duduk; Shower; Air panas; WiFi; Dapur; Locker; CCTV; Parkir Mobil; Parkir Motor; Parkir Sepeda</t>
  </si>
  <si>
    <t>Kost Singgahsini Sari Raden Inten Tipe B Jakarta Timur</t>
  </si>
  <si>
    <t>Kecamatan Duren Sawit</t>
  </si>
  <si>
    <t>Kost Singgahsini Malahayati 10 Tipe B Jatinegara Jakarta Timur</t>
  </si>
  <si>
    <t>3 x 3.5 meter; Tidak termasuk listrik; AC; Kasur; Lemari Baju; Ventilasi; Kursi; Bantal; Jendela; K. Mandi Dalam; Kloset Duduk; Kloset Jongkok; Ember mandi; WiFi; R. Cuci; Penjaga Kos; R. Makan; R. Jemur; Dapur; CCTV; Jemuran; Parkir Mobil; Parkir Motor; Parkir Sepeda</t>
  </si>
  <si>
    <t>Jatinegara</t>
  </si>
  <si>
    <t>Kost Singgahsini Malahayati 10 Tipe A Jatinegara Jakarta Timur</t>
  </si>
  <si>
    <t>3 x 3.5 meter; Tidak termasuk listrik; AC; Kasur; Lemari Baju; Kursi; Bantal; K. Mandi Dalam; Kloset Duduk; Shower; WiFi; R. Cuci; Penjaga Kos; R. Makan; R. Jemur; Dapur; CCTV; Jemuran; Parkir Mobil; Parkir Motor; Parkir Sepeda</t>
  </si>
  <si>
    <t>Rp1.763.500</t>
  </si>
  <si>
    <t>Kost Singgahsini Balaira Tipe D Duren Sawit Jakarta Timur</t>
  </si>
  <si>
    <t>3 x 3 meter; Tidak termasuk listrik; AC; Kasur; Meja; Lemari Baju; Ventilasi; Kursi; Bantal; Cermin; Jendela; K. Mandi Dalam; Kloset Duduk; Shower; WiFi; Kulkas; Penjaga Kos; R. Jemur; Dapur; Gazebo; CCTV; Jemuran; Parkir Mobil; Parkir Motor &amp; Sepeda</t>
  </si>
  <si>
    <t>Duren Sawit</t>
  </si>
  <si>
    <t>Kost Singgahsini Amelia Condet Tipe B Kramatjati Jakarta Timur</t>
  </si>
  <si>
    <t>4 x 3 meter; Tidak termasuk listrik; AC; Kasur; Meja; Lemari Baju; Kursi; Bantal; Guling; Jendela; K. Mandi Dalam; Kloset Duduk; K. Mandi Luar; Shower; WiFi; Kulkas; R. Tamu; R. Jemur; R. Santai; Dapur; Dispenser; Gazebo; CCTV; Parkir Mobil; Parkir Motor</t>
  </si>
  <si>
    <t>Kost Singgahsini Balaira Tipe A Duren Sawit Jakarta Timur</t>
  </si>
  <si>
    <t>2.7 x 5 meter</t>
  </si>
  <si>
    <t>2.7 x 5 meter; Tidak termasuk listrik; AC; Kasur; Meja; Lemari Baju; Kursi; Bantal; Cermin; Jendela; K. Mandi Dalam; Kloset Duduk; Shower; WiFi; Kulkas; Penjaga Kos; R. Jemur; Dapur; Gazebo; CCTV; Jemuran; Parkir Mobil; Parkir Motor; Parkir Sepeda</t>
  </si>
  <si>
    <t>Kost Singgahsini Tawes 23 Rawamangun Tipe B Pulo Gadung Jakarta Timur</t>
  </si>
  <si>
    <t>3 x 3.5 meter; Tidak termasuk listrik; AC; Kasur; Meja; TV; Lemari Baju; Kursi; K. Mandi Dalam; Kloset Duduk; Shower; Air panas; WiFi; R. Tamu; Penjaga Kos; R. Jemur; Parkir Mobil; Parkir Motor &amp; Sepeda</t>
  </si>
  <si>
    <t>Kost Singgahsini Bambang Tipe C Makasar Jakarta Timur</t>
  </si>
  <si>
    <t>2.5 x 3 meter; Termasuk listrik; AC; Kasur; Meja; Lemari Baju; Ventilasi; Kursi; Bantal; Cermin; Jendela; K. Mandi Dalam; Kloset Jongkok; Ember mandi; Shower; WiFi; R. Tamu; R. Makan; R. Jemur; Jemuran; Parkir Mobil; Parkir Motor &amp; Sepeda</t>
  </si>
  <si>
    <t>Kost Singgahsini Griya Gading Bricelle Tipe A Pulo Gadung Jakarta Timur</t>
  </si>
  <si>
    <t>3 x 3.5 meter; Termasuk listrik; AC; Kasur; Meja; Lemari Baju; Kursi; Bantal; Cermin; Guling; Jendela; K. Mandi Dalam; Kloset Duduk; Ember mandi; Shower; WiFi; Kulkas; R. Tamu; Penjaga Kos; R. Jemur; R. Santai; Dapur; K. Mandi Luar; CCTV; Rice Cooker; Parkir Motor; Parkir Sepeda</t>
  </si>
  <si>
    <t>Kost Bless House Tipe Executive Duren Sawit Jakarta Timur</t>
  </si>
  <si>
    <t>2.5 x 3.5 meter; Tidak termasuk listrik; AC; Kasur; Meja; Lemari Baju; Kulkas; Ventilasi; Bantal; Jendela; Kursi; Wastafel; Kloset Duduk; K. Mandi Luar; Shower; WiFi; R. Tamu; R. Jemur; Dapur; Balcon; Rice Cooker; Jemuran; CCTV; Parkir Mobil; Parkir Motor</t>
  </si>
  <si>
    <t>Kost Singgahsini Mona Tipe A Duren Sawit Jakarta Timur</t>
  </si>
  <si>
    <t>3.5 x 2.5 meter; Tidak termasuk listrik; AC; Kasur; Meja; Lemari Baju; Ventilasi; Kursi; Kipas Angin; Bantal; Cermin; Guling; K. Mandi Dalam; Kloset Duduk; Shower; WiFi; Kulkas; R. Tamu; R. Makan; Dapur; Parkir Motor &amp; Sepeda</t>
  </si>
  <si>
    <t>Rp1.543.000</t>
  </si>
  <si>
    <t>Diskon 132rb</t>
  </si>
  <si>
    <t>Kost Singgahsini Milo Residence Tipe B Kramat Jati Jakarta Timur</t>
  </si>
  <si>
    <t>4 x 3 meter; Tidak termasuk listrik; AC; Kasur; Meja; TV; Lemari Baju; Kulkas; Ventilasi; Kursi; Bantal; Cermin; K. Mandi Dalam; Kloset Duduk; Shower; Air panas; WiFi; R. Jemur; Dapur; CCTV; Parkir Motor &amp; Sepeda</t>
  </si>
  <si>
    <t>Kost Singgahsini Ada Lika Halim Perdana Kusuma Tipe C Makasar Jakarta Timur</t>
  </si>
  <si>
    <t>2.4 x 2.2 meter; Tidak termasuk listrik; Kasur; Meja; Lemari Baju; Kursi; Kipas Angin; Jendela; Kloset Duduk; Kloset Jongkok; K. Mandi Luar; Shower; WiFi; R. Tamu; R. Jemur; Dapur; CCTV; Parkir Mobil; Parkir Motor; Parkir Sepeda</t>
  </si>
  <si>
    <t>Kost Singgahsini Kartika Eka Paksi Tipe A Makasar Jakarta Timur</t>
  </si>
  <si>
    <t>4.5 x 3 meter; Tidak termasuk listrik; AC; Kasur; Meja; Lemari Baju; Ventilasi; Kursi; Bantal; Cermin; Guling; Jendela; K. Mandi Dalam; Kloset Duduk; Wastafel; Shower; WiFi; R. Cuci; Kulkas; Penjaga Kos; R. Jemur; Dapur; K. Mandi Luar; CCTV; Jemuran; Parkir Motor &amp; Sepeda</t>
  </si>
  <si>
    <t>Kost Mina Ciracas Jakarta Timur</t>
  </si>
  <si>
    <t>3 x 4 meter; Termasuk listrik; Kasur; Lemari Baju; Ventilasi; Bantal; Cermin; Guling; Jendela; K. Mandi Dalam; Kloset Jongkok; Ember mandi; WiFi; Dapur; CCTV; Parkir Motor</t>
  </si>
  <si>
    <t>Kost Tresidence Kramatjati Jakarta Timur</t>
  </si>
  <si>
    <t>3 x 7 meter; Tidak termasuk listrik; AC; Kasur; Meja; TV; Lemari Baju; Kursi; Wastafel; Cermin; Jendela; K. Mandi Dalam; Kloset Duduk; Shower; Air panas; WiFi; Penjaga Kos; Laundry; R. Jemur; CCTV; Pengurus Kos; Parkir Mobil; Parkir Motor; Parkir Sepeda</t>
  </si>
  <si>
    <t>Kramat jati</t>
  </si>
  <si>
    <t>Kost Apik Foryou Tipe B Duren Sawit Jakarta Timur</t>
  </si>
  <si>
    <t>2.1 x 2.7 meter</t>
  </si>
  <si>
    <t>2.1 x 2.7 meter; Termasuk listrik; Kasur; Meja; Lemari Baju; Ventilasi; Kursi; Kipas Angin; Bantal; Guling; Jendela; Kloset Jongkok; K. Mandi Luar; Ember mandi; WiFi; R. Tamu; Penjaga Kos; R. Jemur; Dapur; Parkir Mobil; Parkir Motor; Parkir Sepeda</t>
  </si>
  <si>
    <t>Kost Kita Cakung Jakarta Timur</t>
  </si>
  <si>
    <t>Kecamatan Cakung</t>
  </si>
  <si>
    <t>Kost Bawal Asri Tipe B Pulo Gadung Jakarta Timur</t>
  </si>
  <si>
    <t>2 x 1.5 meter</t>
  </si>
  <si>
    <t>2 x 1.5 meter; Termasuk listrik; AC; Kasur; Meja Rias; Lemari Baju; Bantal; Cermin; Guling; Kursi; Kloset Duduk; K. Mandi Luar; Ember mandi; Wastafel; Shower; Air panas; WiFi; Kulkas; R. Cuci; Laundry; Penjaga Kos; R. Tamu; R. Jemur; R. Makan; R. Santai; Dapur; Parkir Motor; Parkir Motor &amp; Sepeda</t>
  </si>
  <si>
    <t>Kecamatan Pulo Gadung</t>
  </si>
  <si>
    <t>Kost Singgahsini Arvani Tipe A Pulo Gadung Jakarta Timur</t>
  </si>
  <si>
    <t>4 x 2.7 meter; Tidak termasuk listrik; AC; Kasur; Meja; Lemari Baju; Kursi; Bantal; Cermin; Guling; Jendela; K. Mandi Dalam; Kloset Duduk; Shower; Air panas; WiFi; R. Cuci; Kulkas; R. Tamu; Mesin Cuci; Penjaga Kos; R. Jemur; Dapur; Dispenser; CCTV; Parkir Motor &amp; Sepeda</t>
  </si>
  <si>
    <t>Cakung</t>
  </si>
  <si>
    <t>Kost Apik Mustika Tipe A Pulo Gadung Jakarta Timur</t>
  </si>
  <si>
    <t>3.5 x 2.5 meter; Tidak termasuk listrik; Kasur; Lemari Baju; Ventilasi; Dapur Pribadi; Jendela; Bantal; Cermin; Guling; K. Mandi Dalam; Kloset Jongkok; Ember mandi; WiFi; R. Jemur; Parkir Motor &amp; Sepeda</t>
  </si>
  <si>
    <t>Kost Singgahsini Arkana Tipe B Pulo Gadung Jakarta Timur</t>
  </si>
  <si>
    <t>3.7 x 3.3 meter; Tidak termasuk listrik; AC; Kasur; Meja; Lemari Baju; Ventilasi; Kursi; Bantal; Cermin; Jendela; K. Mandi Dalam; Kloset Duduk; Shower; Air panas; WiFi; R. Cuci; Kulkas; R. Tamu; Mesin Cuci; Penjaga Kos; R. Makan; R. Jemur; Dapur; Dispenser; Parkir Mobil; Parkir Motor &amp; Sepeda</t>
  </si>
  <si>
    <t>Kost Edi Non AC Pulogadung Jakarta Timur</t>
  </si>
  <si>
    <t>3 x 4 meter; Tidak termasuk listrik; Kasur; Meja; Lemari Baju; Ventilasi; Kipas Angin; Jendela; Bantal; K. Mandi Dalam; Shower; WiFi; Laundry; Penjaga Kos; R. Tamu; Mushola; R. Jemur; R. Makan; R. Santai; Dapur; CCTV; Parkir Mobil; Parkir Motor; Parkir Sepeda</t>
  </si>
  <si>
    <t>Kost Singgahsini Condet Raya 3 Tipe D Kramat Jati Jakarta Timur</t>
  </si>
  <si>
    <t>2.5 x 3 meter; Termasuk listrik; Kasur; Meja; Kursi; Bantal; K. Mandi Dalam; Kloset Duduk; Kloset Jongkok; K. Mandi Luar; Ember mandi; Shower; WiFi; Kulkas; R. Tamu; Mesin Cuci; R. Makan; R. Jemur; Dapur; TV; CCTV; Parkir Mobil; Parkir Motor; Parkir Sepeda</t>
  </si>
  <si>
    <t>Kost Apik Utan Kayu 3 Tipe B Matraman Jakarta Timur</t>
  </si>
  <si>
    <t>Rp1.173.000</t>
  </si>
  <si>
    <t>2.5 x 3 meter; Tidak termasuk listrik; AC; Kasur; Meja; Lemari Baju; Ventilasi; Kursi; Kipas Angin; Bantal; Jendela; Kloset Duduk; Kloset Jongkok; K. Mandi Luar; Ember mandi; Shower; WiFi; R. Cuci; Penjaga Kos; R. Jemur; Jemuran; Parkir Mobil; Parkir Motor; Parkir Sepeda; Parkir Motor &amp; Sepeda</t>
  </si>
  <si>
    <t>Rp1.085.160</t>
  </si>
  <si>
    <t>Kost Singgahsini Tobasa 3 Tipe B Pulo Gadung Jakarta Timur</t>
  </si>
  <si>
    <t>3.6 x 3 meter; Termasuk listrik; AC; Kasur; Meja; Lemari Baju; Ventilasi; Bantal; Cermin; Jendela; K. Mandi Dalam; Kloset Duduk; Shower; WiFi; Kulkas; R. Tamu; Mesin Cuci; Penjaga Kos; Dapur; Dispenser; Parkir Motor &amp; Sepeda</t>
  </si>
  <si>
    <t>Kost Singgahsini Tutul 402 Pondok Bambu Tipe C Duren Sawit Jakarta Timur</t>
  </si>
  <si>
    <t>3 x 3 meter; Tidak termasuk listrik; AC; Kasur; Meja; Lemari Baju; Kursi; Bantal; Cermin; Jendela; K. Mandi Dalam; Kloset Duduk; Shower; WiFi; Kulkas; Penjaga Kos; R. Jemur; Dapur; Dispenser; Jemuran; Parkir Motor &amp; Sepeda</t>
  </si>
  <si>
    <t>Kost Singgahsini Arkana Tipe C Pulo Gadung Jakarta Timur</t>
  </si>
  <si>
    <t>3.7 x 3.3 meter; Tidak termasuk listrik; AC; Kasur; Meja; Lemari Baju; Ventilasi; Kursi; Bantal; Cermin; Jendela; K. Mandi Dalam; Kloset Duduk; Shower; WiFi; R. Cuci; Kulkas; R. Tamu; Mesin Cuci; Penjaga Kos; R. Makan; R. Jemur; Dapur; Dispenser; Parkir Mobil; Parkir Motor &amp; Sepeda</t>
  </si>
  <si>
    <t>Kost Turbo Space VIP Suite Duren Sawit Jakarta Timur</t>
  </si>
  <si>
    <t>8 x 5 meter</t>
  </si>
  <si>
    <t>8 x 5 meter; Tidak termasuk listrik; AC; Kasur; Dispenser; Meja; TV; Lemari Baju; Ventilasi; Bantal; Cermin; Guling; K. Mandi Dalam; Kloset Duduk; Wastafel; Shower; Air panas; WiFi; Kulkas; Penjaga Kos; R. Tamu; Laundry; R. Makan; R. Santai; Dapur; CCTV; Jual Makanan; Parkir Mobil; Parkir Motor; Parkir Sepeda</t>
  </si>
  <si>
    <t>Kost Pinky Tipe Executive Pulo Gadung Jakarta Timur</t>
  </si>
  <si>
    <t>3 x 3 meter; Tidak termasuk listrik; AC; Kasur; Meja; Lemari Baju; Bantal; Jendela; Kursi; K. Mandi Dalam; Kloset Duduk; Shower; WiFi; Kulkas; R. Cuci; Mesin Cuci; Penjaga Kos; R. Jemur; Dapur; CCTV; Jemuran; Parkir Motor; Parkir Sepeda</t>
  </si>
  <si>
    <t>Kost Singgahsini Fortune House Tipe B Cipayung Jakarta Timur</t>
  </si>
  <si>
    <t>3 x 3.9 meter</t>
  </si>
  <si>
    <t>3 x 3.9 meter; Tidak termasuk listrik; AC; Kasur; Meja; Lemari Baju; Jendela; Bantal; Cermin; K. Mandi Dalam; Kloset Duduk; Shower; WiFi; Penjaga Kos; R. Jemur; Parkir Motor &amp; Sepeda</t>
  </si>
  <si>
    <t>Kost Singgahsini D Nahuma Jatiwaringin Tipe B Makasar Jakarta Timur</t>
  </si>
  <si>
    <t>4 x 3 meter; Termasuk listrik; AC; Kasur; Meja; Lemari Baju; Kursi; Jendela; Bantal; K. Mandi Dalam; Kloset Duduk; Ember mandi; Shower; WiFi; R. Tamu; Penjaga Kos; Rooftop; Parkir Mobil; Parkir Motor &amp; Sepeda</t>
  </si>
  <si>
    <t>Kost Singgahsini Massma Tipe A Kramat Jati Jakarta Timur</t>
  </si>
  <si>
    <t>2.6 x 3.2 meter; Tidak termasuk listrik; AC; Kasur; Lemari Baju; Bantal; Jendela; K. Mandi Dalam; Kloset Duduk; Ember mandi; Shower; WiFi; Penjaga Kos; Balcon; Parkir Motor; Parkir Sepeda</t>
  </si>
  <si>
    <t>Kost Bertus 39 Tipe AC Pulo Gadung Jakarta Timur</t>
  </si>
  <si>
    <t>4 x 4 meter; Tidak termasuk listrik; Kasur; Meja; Lemari Baju; Ventilasi; Kursi; Kipas Angin; Bantal; Jendela; Guling; Cleaning service; K. Mandi Dalam; Kloset Jongkok; Ember mandi; Wastafel; WiFi; R. Tamu; R. Jemur; R. Santai; Dispenser; Jemuran; Balcon; Pengurus Kos; Locker; Parkir Motor; Parkir Sepeda</t>
  </si>
  <si>
    <t>Kost Singgahsini Sumie Dream Tipe B Duren Sawit Jakarta Timur</t>
  </si>
  <si>
    <t>3 x 3 meter; Tidak termasuk listrik; AC; Kasur; Lemari Baju; Bantal; Jendela; K. Mandi Dalam; Kloset Jongkok; Ember mandi; Shower; WiFi; R. Cuci; Kulkas; R. Tamu; Penjaga Kos; Laundry; Dapur; Dispenser; Parkir Mobil; Parkir Motor; Parkir Sepeda; Parkir Motor &amp; Sepeda</t>
  </si>
  <si>
    <t>Kost Apik Bahari Tipe A Cakung Jakarta Timur</t>
  </si>
  <si>
    <t>3 x 3 meter; Tidak termasuk listrik; Kasur; Ventilasi; Bantal; Dapur Pribadi; Jendela; K. Mandi Dalam; Kloset Jongkok; WiFi; Penjaga Kos; Parkir Motor &amp; Sepeda</t>
  </si>
  <si>
    <t>Kost Singgahsini Tin Pisangan Baru Timur Tipe A Matraman Jakarta Timur</t>
  </si>
  <si>
    <t>2.5 x 2.5 meter; Termasuk listrik; AC; Kasur; Meja; Lemari Baju; Bantal; Cermin; Jendela; K. Mandi Dalam; Kloset Duduk; WiFi; R. Jemur; Parkir Mobil; Parkir Motor; Parkir Sepeda; Parkir Motor &amp; Sepeda</t>
  </si>
  <si>
    <t>Kost Singgahsini Alena House Tipe C Duren Sawit Jakarta Timur</t>
  </si>
  <si>
    <t>2.5 x 2.5 meter; Tidak termasuk listrik; AC; Kasur; Meja; Lemari Baju; Ventilasi; Kursi; Bantal; Cermin; Guling; Jendela; Kloset Duduk; K. Mandi Luar; Shower; WiFi; R. Cuci; Kulkas; R. Tamu; Mesin Cuci; Penjaga Kos; R. Makan; R. Jemur; Dapur; Dispenser; Parkir Mobil; Parkir Motor &amp; Sepeda</t>
  </si>
  <si>
    <t>Kost Singgahsini J Residence Tipe B Pulo Gadung Jakarta Timur</t>
  </si>
  <si>
    <t>3 x 3 meter; Tidak termasuk listrik; AC; Kasur; Meja; Lemari Baju; Kursi; Bantal; K. Mandi Dalam; Kloset Duduk; Shower; Air panas; WiFi; R. Cuci; Mesin Cuci; Penjaga Kos; Laundry; R. Makan; R. Jemur; Dapur; CCTV; Jemuran; Parkir Mobil; Parkir Motor &amp; Sepeda</t>
  </si>
  <si>
    <t>Kost Apik Mustika Tipe B Pulo Gadung Jakarta Timur</t>
  </si>
  <si>
    <t>Kost Singgahsini Waru 15A Tipe A Pasar Rebo Jakarta Timur</t>
  </si>
  <si>
    <t>Pasar Rebo</t>
  </si>
  <si>
    <t>Kost Eksekutif Duren Sawit Jakarta Timur</t>
  </si>
  <si>
    <t>3 x 4 meter; Termasuk listrik; AC; Kasur; Meja; Lemari Baju; Ventilasi; Kursi; Bantal; Jendela; Kloset Duduk; Kloset Jongkok; Wastafel; Shower; Air panas; WiFi; R. Cuci; Kulkas; R. Tamu; Mesin Cuci; R. Makan; R. Jemur; R. Santai; Dapur; Dispenser; Parkir Mobil; Parkir Motor; Parkir Sepeda</t>
  </si>
  <si>
    <t>Kost Singgahsini Sumie Dream Tipe A Duren Sawit Jakarta Timur</t>
  </si>
  <si>
    <t>2.5 x 3 meter; Tidak termasuk listrik; AC; Kasur; Lemari Baju; Bantal; Jendela; K. Mandi Dalam; Kloset Jongkok; Ember mandi; Shower; WiFi; R. Cuci; Kulkas; R. Tamu; Penjaga Kos; Laundry; Dapur; Dispenser; Parkir Mobil; Parkir Motor; Parkir Sepeda; Parkir Motor &amp; Sepeda</t>
  </si>
  <si>
    <t>Kost Inplus Kramatjati Jakarta Timur</t>
  </si>
  <si>
    <t>3 x 3 meter; Tidak termasuk listrik; AC; Kasur; Lemari Baju; Ventilasi; Bantal; Guling; K. Mandi Dalam; Kloset Duduk; Ember mandi; Shower; WiFi; R. Cuci; Kulkas; Penjaga Kos; R. Jemur; R. Santai; Balcon; CCTV; Jual Makanan; Pengurus Kos; Parkir Motor</t>
  </si>
  <si>
    <t>Kecamatan Kramat jati</t>
  </si>
  <si>
    <t>Kost Singgahsini Da Quinta Kelapa Sawit Tipe A Duren Sawit Jakarta Timur</t>
  </si>
  <si>
    <t>3 x 4 meter; Tidak termasuk listrik; AC; Kasur; Meja; Lemari Baju; Kursi; Bantal; Jendela; K. Mandi Dalam; Kloset Duduk; Shower; WiFi; Kulkas; R. Tamu; R. Makan; R. Jemur; Dapur; Dispenser; Parkir Mobil; Parkir Motor; Parkir Sepeda</t>
  </si>
  <si>
    <t>Kost Singgahsini Ada Lika Halim Perdana Kusuma Tipe A Makasar Jakarta Timur</t>
  </si>
  <si>
    <t>Rp1.480.000</t>
  </si>
  <si>
    <t>2.4 x 2.2 meter; Tidak termasuk listrik; AC; Kasur; Meja; Lemari Baju; Ventilasi; Kursi; Bantal; Guling; K. Mandi Dalam; Kloset Duduk; Ember mandi; Shower; WiFi; R. Tamu; R. Jemur; Dapur; CCTV; Parkir Mobil; Parkir Motor; Parkir Sepeda</t>
  </si>
  <si>
    <t>Rp1.406.000</t>
  </si>
  <si>
    <t>Kost Apik Wisnar Delima III Tipe A Duren Sawit Jakarta Timur</t>
  </si>
  <si>
    <t>3 x 2.5 meter; Termasuk listrik; Kasur; Meja; Lemari Baju; Ventilasi; Kipas Angin; Bantal; Cermin; Jendela; Kloset Jongkok; K. Mandi Luar; Ember mandi; WiFi; Kulkas; R. Cuci; R. Jemur; Dapur; Jemuran; Parkir Motor &amp; Sepeda</t>
  </si>
  <si>
    <t>Rp855.000</t>
  </si>
  <si>
    <t>Kost Singgahsini Griya Gading Bricelle Tipe D Pulo Gadung Jakarta Timur</t>
  </si>
  <si>
    <t>3 x 3.5 meter; Termasuk listrik; Kasur; Meja; Lemari Baju; Kursi; Bantal; Jendela; Kloset Duduk; K. Mandi Luar; Shower; WiFi; Kulkas; R. Tamu; Penjaga Kos; R. Jemur; R. Santai; Dapur; CCTV; Rice Cooker; Parkir Motor; Parkir Sepeda</t>
  </si>
  <si>
    <t>Kost Apik Pengantin Ali Tipe A Ciracas Jakarta Timur</t>
  </si>
  <si>
    <t>3.1 x 3.7 meter; Termasuk listrik; AC; Kasur; Lemari Baju; Ventilasi; Kursi; Jendela; Bantal; Guling; Kloset Duduk; K. Mandi Luar; Ember mandi; WiFi; Penjaga Kos; R. Jemur; CCTV; Jemuran; Parkir Motor &amp; Sepeda</t>
  </si>
  <si>
    <t>Kost Singgahsini De 80s Tipe B Matraman Jakarta Timur</t>
  </si>
  <si>
    <t>3 x 2.7 meter; Tidak termasuk listrik; AC; Kasur; Meja; TV; Lemari Baju; Kursi; Bantal; Cermin; Jendela; K. Mandi Dalam; Kloset Duduk; Shower; Air panas; WiFi; Penjaga Kos; CCTV; Parkir Mobil; Parkir Motor &amp; Sepeda</t>
  </si>
  <si>
    <t>Kost Apik R &amp; R Condet Tipe B Pasar Rebo Jakarta Timur</t>
  </si>
  <si>
    <t>3 x 3 meter; Tidak termasuk listrik; AC; Kasur; Lemari Baju; Bantal; Cermin; Guling; Jendela; K. Mandi Dalam; Kloset Jongkok; Ember mandi; WiFi; Kulkas; R. Tamu; Penjaga Kos; R. Makan; R. Jemur; Dapur; K. Mandi Luar; CCTV; Parkir Motor; Parkir Sepeda</t>
  </si>
  <si>
    <t>Kost Apik Rawamangun 23A Tipe A Pulo Gadung Jakarta Timur</t>
  </si>
  <si>
    <t>5.1 x 2.6 meter</t>
  </si>
  <si>
    <t>5.1 x 2.6 meter; Tidak termasuk listrik; Kasur; Meja; Lemari Baju; K. Mandi Dalam; Kloset Jongkok; Ember mandi; WiFi; R. Cuci; R. Jemur; Dapur; CCTV; Jemuran; Parkir Motor &amp; Sepeda</t>
  </si>
  <si>
    <t>Kost Singgahsini Tawes 23 Rawamangun Tipe A Pulo Gadung Jakarta Timur</t>
  </si>
  <si>
    <t>2.8 x 4 meter; Tidak termasuk listrik; AC; Kasur; Meja; Lemari Baju; Ventilasi; Kursi; Jendela; Bantal; Cermin; Guling; K. Mandi Dalam; Kloset Duduk; Wastafel; Shower; WiFi; R. Tamu; Penjaga Kos; R. Jemur; TV; Parkir Mobil; Parkir Motor &amp; Sepeda</t>
  </si>
  <si>
    <t>Kost Singgahsini Kartika Eka Paksi Tipe B Makasar Jakarta Timur</t>
  </si>
  <si>
    <t>3 x 2.5 meter; Tidak termasuk listrik; Kasur; Lemari Baju; Ventilasi; Kipas Angin; Bantal; Cermin; Guling; Jendela; Kloset Duduk; K. Mandi Luar; WiFi; R. Cuci; Kulkas; Penjaga Kos; R. Jemur; Dapur; CCTV; Jemuran; Parkir Motor &amp; Sepeda</t>
  </si>
  <si>
    <t>Kost Singgahsini De 80s Tipe C Matraman Jakarta Timur</t>
  </si>
  <si>
    <t>Kost Apik Madani Tipe B Pulo Gadung Jakarta Timur</t>
  </si>
  <si>
    <t>2.7 x 2.5 meter; Tidak termasuk listrik; Kasur; Lemari Baju; Ventilasi; Jendela; Bantal; Cermin; Guling; Kloset Jongkok; K. Mandi Luar; Ember mandi; Shower; WiFi; Penjaga Kos; R. Jemur; Taman; Jemuran; Parkir Motor &amp; Sepeda</t>
  </si>
  <si>
    <t>Kost Singgahsini Arkana Tipe D Pulo Gadung Jakarta Timur</t>
  </si>
  <si>
    <t>Kost Singgahsini Bapusta Rawamangun Tipe A Pulo Gadung Jakarta Timur</t>
  </si>
  <si>
    <t>3.5 x 3.5 meter; Tidak termasuk listrik; AC; Kasur; Meja; Lemari Baju; Kursi; Jendela; Bantal; Guling; K. Mandi Dalam; Kloset Duduk; Wastafel; Shower; Air panas</t>
  </si>
  <si>
    <t>Rp2.463.000</t>
  </si>
  <si>
    <t>Diskon 212rb</t>
  </si>
  <si>
    <t>Kost Singgahsini Alena House Tipe B Duren Sawit Jakarta Timur</t>
  </si>
  <si>
    <t>3.6 x 2.5 meter; Tidak termasuk listrik; AC; Kasur; Meja; Lemari Baju; Ventilasi; Kursi; Bantal; Cermin; Guling; Jendela; K. Mandi Dalam; Kloset Duduk; Shower; WiFi; R. Cuci; Kulkas; R. Tamu; Mesin Cuci; Penjaga Kos; R. Makan; R. Jemur; Dapur; Dispenser; Parkir Mobil; Parkir Motor &amp; Sepeda</t>
  </si>
  <si>
    <t>Kost Apik Protein Otista Tipe B Jatinegara Jakarta Timur</t>
  </si>
  <si>
    <t>2 x 2.5 meter; Termasuk listrik; Kasur; Lemari Baju; Bantal; Guling; Jendela; K. Mandi Dalam; Kloset Jongkok; Shower; WiFi; Kulkas; R. Tamu; Penjaga Kos; R. Makan; R. Jemur; Dapur; Dispenser; TV; K. Mandi Luar; Parkir Motor; Parkir Sepeda</t>
  </si>
  <si>
    <t>Kost Griya Bangun Jaya Tipe Vip1 Duren Sawit Jakarta Timur</t>
  </si>
  <si>
    <t>3.5 x 5 meter; Termasuk listrik; AC; Kasur; Meja; TV; Bantal; Cermin; Guling; Jendela; K. Mandi Dalam; Kloset Jongkok; Ember mandi; Shower; Kulkas; R. Tamu; Penjaga Kos; R. Makan; R. Jemur; R. Santai; Dapur; Dispenser; Taman; Parkir Mobil; Parkir Motor; Parkir Sepeda</t>
  </si>
  <si>
    <t>Kost Singgahsini Balaira Tipe B Duren Sawit Jakarta Timur</t>
  </si>
  <si>
    <t>3 x 4 meter; Tidak termasuk listrik; AC; Kasur; Meja; Lemari Baju; Ventilasi; Kursi; Bantal; Cermin; Jendela; K. Mandi Dalam; Kloset Duduk; Shower; WiFi; Kulkas; Penjaga Kos; R. Jemur; Dapur; Gazebo; CCTV; Jemuran; Parkir Mobil; Parkir Motor &amp; Sepeda</t>
  </si>
  <si>
    <t>Kost Apik Utan Kayu 3 Tipe A Matraman Jakarta Timur</t>
  </si>
  <si>
    <t>2.5 x 3 meter; Tidak termasuk listrik; AC; Kasur; Meja; Lemari Baju; Ventilasi; Kursi; Bantal; Jendela; Kloset Duduk; Kloset Jongkok; K. Mandi Luar; Ember mandi; Shower; WiFi; R. Cuci; Penjaga Kos; R. Jemur; Jemuran; Parkir Mobil; Parkir Motor; Parkir Sepeda; Parkir Motor &amp; Sepeda</t>
  </si>
  <si>
    <t>Rp1.273.000</t>
  </si>
  <si>
    <t>Kost Kenanga Cipayung Jakarta Timur</t>
  </si>
  <si>
    <t>3 x 6 meter; Tidak termasuk listrik; AC; Kasur; Meja; Lemari Baju; Ventilasi; Bantal; Jendela; Dapur Pribadi; Kursi; Meja makan; K. Mandi Dalam; Kloset Duduk; Ember mandi; Shower; WiFi; Penjaga Kos; R. Jemur; Dapur; Taman; CCTV; Jemuran; Pengurus Kos; Parkir Mobil; Parkir Motor</t>
  </si>
  <si>
    <t>Kost Singgahsini Massma Tipe B Kramat Jati Jakarta Timur</t>
  </si>
  <si>
    <t>2.5 x 3 meter; Tidak termasuk listrik; AC; Kasur; Lemari Baju; Bantal; Jendela; K. Mandi Dalam; Kloset Duduk; Ember mandi; Shower; WiFi; Penjaga Kos; Balcon; Parkir Motor; Parkir Sepeda</t>
  </si>
  <si>
    <t>Kost Don Juan 1 Tipe A Cakung Jakarta Timur</t>
  </si>
  <si>
    <t>3 x 3 meter; Tidak termasuk listrik; AC; Kasur; Meja; TV; Lemari Baju; Ventilasi; Bantal; Cermin; Cleaning service; Kursi; K. Mandi Dalam; Kloset Duduk; Wastafel; Shower; WiFi; Kulkas; Laundry; Penjaga Kos; R. Tamu; R. Makan; R. Santai; Dapur; CCTV; Balcon; Parkir Motor</t>
  </si>
  <si>
    <t>Kost Singgahsini Pisangan Lama 2 Tipe A Pulo Gadung Jakarta Timur</t>
  </si>
  <si>
    <t>3.7 x 2.7 meter; Tidak termasuk listrik; AC; Kasur; Lemari Baju; K. Mandi Dalam; Kloset Duduk; Shower; WiFi; Penjaga Kos; Laundry; Parkir Mobil; Parkir Motor &amp; Sepeda</t>
  </si>
  <si>
    <t>Kost Puri G Hara Jatinegara Jakarta Timur</t>
  </si>
  <si>
    <t>2 x 3 meter; Termasuk listrik; Kasur; Meja; Lemari Baju; Ventilasi; Bantal; Guling; Jendela; Kursi; K. Mandi Dalam; Kloset Duduk; Ember mandi; Shower; WiFi; Penjaga Kos; R. Jemur; R. Santai; Dapur; Dispenser; Balcon; CCTV; Jemuran; Parkir Motor; Parkir Sepeda</t>
  </si>
  <si>
    <t>Kost Mami Jeje Cakung Jakarta Timur</t>
  </si>
  <si>
    <t>3 x 3 meter; Termasuk listrik; AC; Kasur; Meja; Lemari Baju; Ventilasi; Kursi; Kipas Angin; Bantal; Cermin; Guling; Kloset Duduk; Kloset Jongkok; K. Mandi Luar; Ember mandi; Shower; WiFi; R. Cuci; Kulkas; R. Tamu; Mesin Cuci; R. Makan; R. Jemur; Mushola; R. Santai; Dapur; Parkir Motor; Parkir Sepeda</t>
  </si>
  <si>
    <t>Kost Singgahsini Hajiten Rawamangun Tipe A Pulo Gadung Jakarta Timur</t>
  </si>
  <si>
    <t>3 x 3 meter; Tidak termasuk listrik; AC; Kasur; Meja; TV; Lemari Baju; Kursi; Bantal; Guling; K. Mandi Dalam; Kloset Duduk; Shower; WiFi; R. Cuci; R. Tamu; Penjaga Kos; Dapur; Dispenser; Parkir Mobil; Parkir Motor</t>
  </si>
  <si>
    <t>Kost Singgahsini Arti Peni Tipe B Matraman Jakarta Timur</t>
  </si>
  <si>
    <t>3 x 2.6 meter</t>
  </si>
  <si>
    <t>Rp1.605.000</t>
  </si>
  <si>
    <t>3 x 2.6 meter; Tidak termasuk listrik; AC; Kasur; Meja; Lemari Baju; Kursi; Jendela; Bantal; K. Mandi Dalam; Kloset Duduk; Ember mandi; Shower; WiFi; R. Tamu; Penjaga Kos; R. Jemur; Jemuran; K. Mandi Luar; Parkir Mobil; Parkir Motor &amp; Sepeda</t>
  </si>
  <si>
    <t>Rp1.526.000</t>
  </si>
  <si>
    <t>Diskon 79rb</t>
  </si>
  <si>
    <t>Kost Singgahsini Kivana Tipe D Matraman Jakarta Timur</t>
  </si>
  <si>
    <t>3.1 x 4.2 meter</t>
  </si>
  <si>
    <t>3.1 x 4.2 meter; Tidak termasuk listrik; AC; Kasur; Meja; Lemari Baju; Kursi; Jendela; K. Mandi Dalam; Kloset Duduk; Shower; Air panas; WiFi; R. Cuci; Kulkas; R. Tamu; Mesin Cuci; Penjaga Kos; R. Makan; R. Jemur; Dapur; Dispenser; Parkir Sepeda; Parkir Motor &amp; Sepeda</t>
  </si>
  <si>
    <t>Rp2.613.750</t>
  </si>
  <si>
    <t>Kost Singgahsini Condet Raya 3 Tipe A Kramat Jati Jakarta Timur</t>
  </si>
  <si>
    <t>2.5 x 3 meter; Termasuk listrik; AC; Kasur; Meja; Lemari Baju; Kursi; Bantal; Jendela; K. Mandi Dalam; Kloset Duduk; Kloset Jongkok; Shower; WiFi; Kulkas; R. Tamu; Mesin Cuci; R. Makan; R. Jemur; Dapur; TV; K. Mandi Luar; CCTV; Parkir Mobil; Parkir Motor; Parkir Sepeda</t>
  </si>
  <si>
    <t>Kost East 99 Residence Cakung Jakarta Timur</t>
  </si>
  <si>
    <t>3.5 x 6 meter; Tidak termasuk listrik; AC; Kasur; TV; Wastafel; Bantal; Cermin; Jendela; K. Mandi Dalam; Kloset Duduk; Shower; Air panas; WiFi; Penjaga Kos; Dapur; K. Mandi Luar; Kartu Akses; CCTV; Pengurus Kos; Parkir Mobil; Parkir Motor</t>
  </si>
  <si>
    <t>Kost Singgahsini Cipinang Baru Raya Tipe A Pulo Gadung Jakarta Timur</t>
  </si>
  <si>
    <t>3 x 3.5 meter; Tidak termasuk listrik; AC; Kasur; Lemari Baju; Bantal; Guling; Jendela; Kloset Duduk; Kloset Jongkok; K. Mandi Luar; Ember mandi; Shower; WiFi; R. Tamu; R. Jemur; Dapur; TV; Jemuran; Parkir Mobil; Parkir Motor; Parkir Sepeda</t>
  </si>
  <si>
    <t>Kost Apik Beringin 37 Tipe A Cipayung Jakarta Timur</t>
  </si>
  <si>
    <t>3.2 x 25 meter</t>
  </si>
  <si>
    <t>3.2 x 25 meter; Termasuk listrik; Kasur; Lemari Baju; Ventilasi; Bantal; Guling; Jendela; K. Mandi Dalam; Kloset Jongkok; Ember mandi; WiFi; Penjaga Kos; R. Jemur; Dapur; Jemuran; Parkir Motor &amp; Sepeda</t>
  </si>
  <si>
    <t>Kost Apik Utan Kayu 3 Tipe C Matraman Jakarta Timur</t>
  </si>
  <si>
    <t>2.5 x 2.5 meter; Tidak termasuk listrik; Kasur; Lemari Baju; Ventilasi; Kursi; Bantal; Jendela; Kloset Duduk; Kloset Jongkok; K. Mandi Luar; Ember mandi; Shower; WiFi; R. Cuci; Penjaga Kos; R. Jemur; Jemuran; Parkir Mobil; Parkir Motor; Parkir Sepeda; Parkir Motor &amp; Sepeda</t>
  </si>
  <si>
    <t>Rp974.000</t>
  </si>
  <si>
    <t>Kost Gorat Cipayung Jakarta Timur</t>
  </si>
  <si>
    <t>3 x 4 meter; Tidak termasuk listrik; AC; Kasur; Meja; TV; Lemari Baju; Wastafel; Kipas Angin; K. Mandi Dalam; Kloset Duduk; Shower; Kulkas; R. Tamu; Mesin Cuci; R. Jemur; R. Santai; Dapur; K. Mandi Luar; Parkir Mobil; Parkir Motor</t>
  </si>
  <si>
    <t>Kost Tri Tipe B Matraman Jakarta Timur</t>
  </si>
  <si>
    <t>3 x 4 meter; Termasuk listrik; AC; Kasur; Lemari Baju; Kursi; K. Mandi Dalam; Kloset Jongkok; Bak mandi; R. Cuci; R. Tamu; R. Jemur; R. Santai; Dapur; Balcon</t>
  </si>
  <si>
    <t>Kost Singgahsini SMAN 64 Tipe A Cipayung Jakarta Timur</t>
  </si>
  <si>
    <t>2.8 x 2.4 meter; Termasuk listrik; AC; Kasur; Meja; Lemari Baju; Kursi; Bantal; Cermin; Guling; Jendela; K. Mandi Dalam; Kloset Duduk; Shower; WiFi; Kulkas; R. Tamu; Dapur; CCTV; Rice Cooker; Parkir Mobil; Parkir Motor; Parkir Sepeda</t>
  </si>
  <si>
    <t>Kost Singgahsini Kivana Tipe C Matraman Jakarta Timur</t>
  </si>
  <si>
    <t>3 x 3 meter; Tidak termasuk listrik; AC; Kasur; Meja; Lemari Baju; Ventilasi; Kursi; Bantal; Cermin; Guling; Jendela; K. Mandi Dalam; Kloset Duduk; Shower; Air panas; WiFi; R. Cuci; Kulkas; R. Tamu; Mesin Cuci; Penjaga Kos; R. Makan; R. Jemur; Dapur; Dispenser; Parkir Sepeda; Parkir Motor &amp; Sepeda</t>
  </si>
  <si>
    <t>Kost Singgahsini Amanah Pondok Kelapa Tipe B Duren Sawit Jakarta Timur</t>
  </si>
  <si>
    <t>3.5 x 3 meter; Tidak termasuk listrik; AC; Kasur; Lemari Baju; Ventilasi; Bantal; Cermin; Guling; Jendela; K. Mandi Dalam; Kloset Jongkok; Ember mandi; Shower; WiFi; R. Tamu; Penjaga Kos; R. Makan; R. Jemur; Dapur; Jemuran; Parkir Motor &amp; Sepeda</t>
  </si>
  <si>
    <t>Kost Singgahsini Cynthia Duren Sawit Jakarta Timur</t>
  </si>
  <si>
    <t>4 x 3 meter; Tidak termasuk listrik; AC; Kasur; Meja; Lemari Baju; Kursi; Cermin; Jendela; K. Mandi Dalam; Kloset Duduk; Shower; WiFi; R. Cuci; R. Jemur; Dapur; Dispenser; Parkir Mobil; Parkir Motor; Parkir Sepeda; Parkir Motor &amp; Sepeda</t>
  </si>
  <si>
    <t>Kost Apik Protein Otista Tipe A Jatinegara Jakarta Timur</t>
  </si>
  <si>
    <t>3.5 x 2 meter; Termasuk listrik; AC; Kasur; Lemari Baju; Bantal; Guling; Jendela; K. Mandi Dalam; Kloset Jongkok; Ember mandi; Shower; WiFi; Kulkas; R. Tamu; Penjaga Kos; R. Makan; R. Jemur; Dapur; Dispenser; TV; K. Mandi Luar; Parkir Motor; Parkir Sepeda</t>
  </si>
  <si>
    <t>Kost Singgahsini Griya Gading Bricelle Tipe B Pulo Gadung Jakarta Timur</t>
  </si>
  <si>
    <t>3 x 3.5 meter; Termasuk listrik; AC; Kasur; Meja; Lemari Baju; Kursi; Bantal; Cermin; Guling; Jendela; Kloset Duduk; K. Mandi Luar; Ember mandi; Shower; WiFi; Kulkas; R. Tamu; Penjaga Kos; R. Jemur; R. Santai; Dapur; CCTV; Rice Cooker; Parkir Motor; Parkir Sepeda</t>
  </si>
  <si>
    <t>Kost Singgahsini Dwi Cempaka IX Tipe A Duren Sawit Jakarta Timur</t>
  </si>
  <si>
    <t>3.2 x 3.2 meter; Tidak termasuk listrik; AC; Kasur; Meja; Lemari Baju; Ventilasi; Kursi; Jendela; Bantal; Guling; Kloset Duduk; Kloset Jongkok; K. Mandi Luar; Ember mandi; Shower; Bak mandi; WiFi; R. Cuci; R. Tamu; R. Jemur; Mushola; Balcon; Parkir Mobil; Parkir Motor &amp; Sepeda</t>
  </si>
  <si>
    <t>Kost Apik R &amp; R Condet Tipe C Pasar Rebo Jakarta Timur</t>
  </si>
  <si>
    <t>2.8 x 2 meter</t>
  </si>
  <si>
    <t>2.8 x 2 meter; Tidak termasuk listrik; AC; Kasur; Lemari Baju; Bantal; Guling; Jendela; Kloset Jongkok; K. Mandi Luar; Ember mandi; WiFi; Kulkas; R. Tamu; Penjaga Kos; R. Makan; R. Jemur; Dapur; CCTV; Parkir Motor; Parkir Sepeda</t>
  </si>
  <si>
    <t>Kost Alisha Executive Pasar Rebo Jakarta Timur</t>
  </si>
  <si>
    <t>3 x 4 meter; Tidak termasuk listrik; AC; Kasur; Meja; Kulkas; Lemari Baju; Bantal; Cermin; Cleaning service; Jendela; Kursi; K. Mandi Dalam; Kloset Duduk; Shower; Air panas; WiFi; R. Cuci; Penjaga Kos; R. Tamu; R. Jemur; R. Makan; R. Santai; Dapur; Dispenser; Parkir Motor &amp; Sepeda</t>
  </si>
  <si>
    <t>Kost Singgahsini Tutul 402 Pondok Bambu Tipe B Duren Sawit Jakarta Timur</t>
  </si>
  <si>
    <t>3 x 3.5 meter; Tidak termasuk listrik; AC; Kasur; Meja; Lemari Baju; Kursi; Bantal; Cermin; Jendela; K. Mandi Dalam; Kloset Duduk; Shower; WiFi; Kulkas; Penjaga Kos; R. Jemur; Dapur; Dispenser; Jemuran; Parkir Motor &amp; Sepeda</t>
  </si>
  <si>
    <t>Kost Singgahsini Akifa Tipe A Pasar Rebo Jakarta Timur</t>
  </si>
  <si>
    <t>3.5 x 3.5 meter; Tidak termasuk listrik; AC; Kasur; Lemari Baju; Ventilasi; Jendela; Bantal; Cermin; Guling; Kloset Duduk; K. Mandi Luar; Ember mandi; WiFi; R. Cuci; Kulkas; Penjaga Kos; Dapur; Parkir Motor &amp; Sepeda</t>
  </si>
  <si>
    <t>Rp1.156.600</t>
  </si>
  <si>
    <t>Kost Apik Bu Tomo Tipe A Makasar Jakarta Timur</t>
  </si>
  <si>
    <t>Rp840.000</t>
  </si>
  <si>
    <t>2.5 x 2.5 meter; Termasuk listrik; Kasur; Meja; Lemari Baju; Ventilasi; Bantal; Jendela; Kloset Jongkok; K. Mandi Luar; Ember mandi; WiFi; R. Jemur; Dapur; Parkir Motor; Parkir Sepeda</t>
  </si>
  <si>
    <t>Rp799.250</t>
  </si>
  <si>
    <t>Diskon 41rb</t>
  </si>
  <si>
    <t>Kost WM Tipe A Cakung Jakarta Timur</t>
  </si>
  <si>
    <t>3 x 3 meter; Termasuk listrik; Lemari Baju; Bantal; Jendela; Kipas Angin; Kloset Duduk; Ember mandi; Shower; R. Cuci; Jemuran; K. Mandi Luar; CCTV; Parkir Motor; Parkir Sepeda</t>
  </si>
  <si>
    <t>Kost Joaliv 45 Pulo Gadung Jakarta Timur</t>
  </si>
  <si>
    <t>3 x 3 meter; Tidak termasuk listrik; AC; Kasur; Lemari Baju; Ventilasi; Bantal; Jendela; K. Mandi Dalam; Kloset Duduk; Shower; WiFi; Kulkas; Dapur; CCTV; Gazebo; Parkir Motor; Parkir Sepeda</t>
  </si>
  <si>
    <t>Kost Singgahsini Condet Raya 3 Tipe B Kramat Jati Jakarta Timur</t>
  </si>
  <si>
    <t>2.5 x 3 meter; Termasuk listrik; AC; Kasur; Meja; Lemari Baju; Kursi; Bantal; Jendela; K. Mandi Dalam; Kloset Duduk; Shower; WiFi; Kulkas; R. Tamu; Mesin Cuci; R. Makan; R. Jemur; Dapur; TV; K. Mandi Luar; CCTV; Parkir Mobil; Parkir Motor; Parkir Sepeda</t>
  </si>
  <si>
    <t>Kost Ellisabeth Tipe A Pulo Gadung Jakarta Timur</t>
  </si>
  <si>
    <t>3.5 x 3 meter; Termasuk listrik; Kasur; Lemari Baju; Ventilasi; Bantal; Kipas Angin; Guling; Kloset Jongkok; K. Mandi Luar; Ember mandi; R. Cuci; R. Tamu; R. Jemur; R. Santai; Jemuran; Balcon; Pengurus Kos; Jual Makanan; Parkir Motor; Parkir Sepeda</t>
  </si>
  <si>
    <t>Kost Singgahsini Da Quinta Kelapa Sawit Tipe B Duren Sawit Jakarta Timur</t>
  </si>
  <si>
    <t>3.5 x 4 meter; Termasuk listrik; AC; Kasur; Meja; Lemari Baju; Ventilasi; Kursi; Bantal; Cermin; Jendela; K. Mandi Dalam; Kloset Duduk; Shower; WiFi; Kulkas; R. Tamu; Mesin Cuci; Penjaga Kos; R. Makan; R. Jemur; Dapur; Dispenser; Parkir Mobil; Parkir Motor; Parkir Sepeda</t>
  </si>
  <si>
    <t>Kost Singgahsini De 80s Tipe A Matraman Jakarta Timur</t>
  </si>
  <si>
    <t>3 x 4 meter; Tidak termasuk listrik; AC; Kasur; Meja; TV; Lemari Baju; Kursi; Bantal; Jendela; K. Mandi Dalam; Kloset Duduk; Shower; Air panas; WiFi; Penjaga Kos; CCTV; Parkir Mobil; Parkir Motor &amp; Sepeda</t>
  </si>
  <si>
    <t>Kost Singgahsini Mona Tipe E Duren Sawit Jakarta Timur</t>
  </si>
  <si>
    <t>3 x 2 meter; Tidak termasuk listrik; AC; Kasur; Meja; Lemari Baju; Ventilasi; Kursi; Bantal; Cermin; Guling; Jendela; Kloset Duduk; K. Mandi Luar; Shower; WiFi; Kulkas; R. Tamu; R. Makan; Dapur; Parkir Motor &amp; Sepeda</t>
  </si>
  <si>
    <t>Kost Singgahsini Kiara 51 Tipe B Duren Sawit Jakarta Timur</t>
  </si>
  <si>
    <t>3 x 3 meter; Termasuk listrik; AC; Kasur; Meja; Lemari Baju; Kursi; Bantal; Cermin; Guling; Jendela; Kloset Duduk; K. Mandi Luar; Wastafel; Ember mandi; Shower; Air panas; WiFi; Kulkas; R. Tamu; R. Jemur; Dapur; Dispenser; TV; Jemuran; Parkir Mobil; Parkir Motor; Parkir Sepeda</t>
  </si>
  <si>
    <t>Kost Griya Mimi Residence Executive Cipayung Jakarta Timur</t>
  </si>
  <si>
    <t>3 x 4 meter; Tidak termasuk listrik; AC; Kasur; Meja; Meja Rias; TV; Lemari Baju; Ventilasi; Bantal; Cermin; Cleaning service; K. Mandi Dalam; Kloset Duduk; Shower; Air panas; WiFi; Penjaga Kos; Laundry; R. Tamu; R. Jemur; R. Santai; CCTV; Kartu Akses; Pengurus Kos; Rooftop; Parkir Mobil; Parkir Motor; Parkir Sepeda; Parkir Motor &amp; Sepeda</t>
  </si>
  <si>
    <t>Kost Singgahsini Hajiten Rawamangun Tipe B Pulo Gadung Jakarta Timur</t>
  </si>
  <si>
    <t>Rp1.765.000</t>
  </si>
  <si>
    <t>4 x 3 meter; Tidak termasuk listrik; AC; Kasur; Meja; TV; Lemari Baju; Kursi; Bantal; Guling; K. Mandi Dalam; Kloset Duduk; Shower; WiFi; R. Cuci; R. Tamu; Penjaga Kos; Dapur; Dispenser; Parkir Mobil; Parkir Motor</t>
  </si>
  <si>
    <t>Rp1.678.000</t>
  </si>
  <si>
    <t>Kost Alisha Tipe A Pasar Rebo Jakarta Timur</t>
  </si>
  <si>
    <t>Kost Singgahsini Amanah Pondok Kelapa Tipe A Duren Sawit Jakarta Timur</t>
  </si>
  <si>
    <t>4.4 x 4 meter; Tidak termasuk listrik; AC; Kasur; Meja; Lemari Baju; Ventilasi; Kursi; Bantal; Cermin; Guling; Jendela; K. Mandi Dalam; Kloset Duduk; Shower; WiFi; R. Tamu; Penjaga Kos; R. Makan; R. Jemur; Dapur; Jemuran; Parkir Motor &amp; Sepeda</t>
  </si>
  <si>
    <t>Kost Singgahsini D Nahuma Jatiwaringin Tipe A Makasar Jakarta Timur</t>
  </si>
  <si>
    <t>4 x 4 meter; Termasuk listrik; AC; Kasur; Meja; Meja Rias; Lemari Baju; Ventilasi; Kursi; Jendela; Wastafel; Bantal; K. Mandi Dalam; Kloset Duduk; Ember mandi; Shower; WiFi; R. Tamu; Penjaga Kos; Rooftop; Parkir Mobil; Parkir Motor &amp; Sepeda</t>
  </si>
  <si>
    <t>Kost Rafidah Bilqis Tipe A Kramatjati Jakarta Timur</t>
  </si>
  <si>
    <t>3 x 4 meter; Termasuk listrik; AC; Kasur; Lemari Baju; Bantal; Cermin; Guling; Jendela; K. Mandi Dalam; Kloset Jongkok; Ember mandi; WiFi; R. Jemur; Balcon; Jemuran; CCTV; Parkir Motor; Parkir Sepeda; Parkir Motor &amp; Sepeda</t>
  </si>
  <si>
    <t>Kost Singgahsini Alena House Tipe A Duren Sawit Jakarta Timur</t>
  </si>
  <si>
    <t>3 x 3.6 meter; Tidak termasuk listrik; AC; Kasur; Meja; Lemari Baju; Ventilasi; Kursi; Bantal; Cermin; Guling; Jendela; K. Mandi Dalam; Kloset Duduk; Shower; WiFi; R. Cuci; Kulkas; R. Tamu; Mesin Cuci; Penjaga Kos; R. Makan; R. Jemur; Dapur; Dispenser; Parkir Mobil; Parkir Motor &amp; Sepeda</t>
  </si>
  <si>
    <t>Kost Singgahsini Tobasa 3 Tipe D Pulo Gadung Jakarta Timur</t>
  </si>
  <si>
    <t>3.8 x 3.4 meter</t>
  </si>
  <si>
    <t>3.8 x 3.4 meter; Termasuk listrik; AC; Kasur; Meja; Lemari Baju; Ventilasi; Kursi; Bantal; Cermin; Jendela; K. Mandi Dalam; Kloset Duduk; Shower; WiFi; Kulkas; R. Tamu; Mesin Cuci; Penjaga Kos; Dapur; Dispenser; Parkir Motor &amp; Sepeda</t>
  </si>
  <si>
    <t>Kost Singgahsini Condet Raya 3 Tipe E Kramat Jati Jakarta Timur</t>
  </si>
  <si>
    <t>2.8 x 3 meter; Termasuk listrik; Kasur; Meja; Lemari Baju; Kursi; Bantal; Kloset Jongkok; K. Mandi Luar; Ember mandi; Shower; WiFi; Kulkas; R. Tamu; Mesin Cuci; R. Makan; R. Jemur; Dapur; TV; CCTV; Parkir Mobil; Parkir Motor; Parkir Sepeda</t>
  </si>
  <si>
    <t>Kost Metta Kramatjati Jakarta Timur</t>
  </si>
  <si>
    <t>3 x 3 meter; Tidak termasuk listrik; AC; Kasur; Meja; TV; Lemari Baju; Kulkas; Kursi; Wastafel; Cleaning service; Bantal; K. Mandi Dalam; Kloset Duduk; K. Mandi Luar; Shower; Air panas; WiFi; R. Tamu; R. Jemur; Dapur; Dispenser; Pengurus Kos; Jemuran; Parkir Motor; Parkir Sepeda</t>
  </si>
  <si>
    <t>Kost Singgahsini Fortune House Tipe D Cipayung Jakarta Timur</t>
  </si>
  <si>
    <t>3 x 3.9 meter; Tidak termasuk listrik; Kasur; Meja; Lemari Baju; Jendela; Bantal; Cermin; K. Mandi Dalam; Kloset Duduk; Shower; WiFi; Penjaga Kos; R. Jemur; Parkir Motor &amp; Sepeda</t>
  </si>
  <si>
    <t>Kost Pratama Tipe G2 Duren Sawit Jakarta Timur</t>
  </si>
  <si>
    <t>3 x 4 meter; Tidak termasuk listrik; AC; Kasur; Meja; Lemari Baju; Ventilasi; Kursi; Bantal; Jendela; K. Mandi Dalam; Kloset Duduk; Ember mandi; WiFi; R. Cuci; Kulkas; R. Tamu; Penjaga Kos; R. Jemur; R. Makan; R. Santai; Dapur; Balcon; Parkir Motor</t>
  </si>
  <si>
    <t>Kost Singgahsini Amelia Condet Tipe A Kramatjati Jakarta Timur</t>
  </si>
  <si>
    <t>3 x 3 meter; Tidak termasuk listrik; AC; Kasur; Meja; Lemari Baju; Kursi; Bantal; Guling; Jendela; K. Mandi Dalam; Kloset Duduk; Shower; WiFi; Kulkas; R. Tamu; R. Jemur; R. Santai; Dapur; Dispenser; Gazebo; CCTV; Parkir Mobil; Parkir Motor</t>
  </si>
  <si>
    <t>Kost Singgahsini Arti Peni Tipe C Matraman Jakarta Timur</t>
  </si>
  <si>
    <t>3 x 2.6 meter; Tidak termasuk listrik; AC; Kasur; Meja; Lemari Baju; Ventilasi; Kursi; Bantal; Kloset Duduk; K. Mandi Luar; Ember mandi; Shower; WiFi; R. Tamu; Penjaga Kos; R. Jemur; Jemuran; Parkir Mobil; Parkir Motor &amp; Sepeda</t>
  </si>
  <si>
    <t>Kost Singgahsini Amanah Pondok Kelapa Tipe C Duren Sawit Jakarta Timur</t>
  </si>
  <si>
    <t>Kost Singgahsini Arkana Tipe A Pulo Gadung Jakarta Timur</t>
  </si>
  <si>
    <t>4.6 x 3.3 meter</t>
  </si>
  <si>
    <t>4.6 x 3.3 meter; Tidak termasuk listrik; AC; Kasur; Meja; Lemari Baju; Ventilasi; Kursi; Bantal; Cermin; Jendela; K. Mandi Dalam; Kloset Duduk; Shower; Air panas; WiFi; R. Cuci; Kulkas; R. Tamu; Mesin Cuci; Penjaga Kos; R. Makan; R. Jemur; Dapur; Dispenser; Parkir Mobil; Parkir Motor &amp; Sepeda</t>
  </si>
  <si>
    <t>Kost Pertiwi Matraman Jakarta Timur</t>
  </si>
  <si>
    <t>3 x 3 meter; Tidak termasuk listrik; AC; Kasur; Meja; TV; Lemari Baju; Bantal; Guling; Jendela; Kursi; K. Mandi Dalam; Kloset Jongkok; Ember mandi; WiFi; Kulkas; R. Tamu; Penjaga Kos; R. Jemur; Dapur; Dispenser; CCTV; Parkir Motor; Parkir Sepeda</t>
  </si>
  <si>
    <t>Kost Cabin By Don Juan Cakung Jakarta Timur</t>
  </si>
  <si>
    <t>3 x 3 meter; Termasuk listrik; AC; Kasur; Meja; TV; Lemari Baju; Ventilasi; Bantal; Cermin; Cleaning service; Jendela; K. Mandi Dalam; Kloset Duduk; Shower; WiFi; Kulkas; Laundry; R. Tamu; R. Makan; Dapur; CCTV; Jemuran; Jual Makanan; Kartu Akses; Parkir Motor; Parkir Sepeda; Parkir Motor &amp; Sepeda</t>
  </si>
  <si>
    <t>Rp1.399.000</t>
  </si>
  <si>
    <t>Kost Singgahsini Anggrek Bulan Tipe A Matraman Jakarta Timur</t>
  </si>
  <si>
    <t>3 x 3 meter; Termasuk listrik; AC; Kasur; Lemari Baju; Bantal; Guling; Jendela; K. Mandi Dalam; Kloset Jongkok; Ember mandi; WiFi; Kulkas; R. Tamu; TV; Parkir Motor; Parkir Sepeda</t>
  </si>
  <si>
    <t>Kecamatan Matraman</t>
  </si>
  <si>
    <t>Kost Shabira Pulo Gadung Jakarta Timur</t>
  </si>
  <si>
    <t>3 x 4 meter; Tidak termasuk listrik; AC; Kasur; Meja; Lemari Baju; Bantal; Jendela; Guling; Kursi; K. Mandi Dalam; Kloset Duduk; Ember mandi; Shower; WiFi; Kulkas; Dapur; Jemuran; Kartu Akses; CCTV; Parkir Motor &amp; Sepeda</t>
  </si>
  <si>
    <t>Kost Dorayon Tipe Medium Cakung Jakarta Timur</t>
  </si>
  <si>
    <t>3 x 3 meter; Termasuk listrik; Kasur; Lemari Baju; Ventilasi; Bantal; Guling; Jendela; Kipas Angin; K. Mandi Dalam; Kloset Jongkok; WiFi; R. Cuci; Penjaga Kos; R. Jemur; CCTV; Jemuran; Parkir Motor; Parkir Sepeda; Parkir Motor &amp; Sepeda</t>
  </si>
  <si>
    <t>Kost Singgahsini Lowijen Residence Tipe B Duren Sawit Jakarta Timur</t>
  </si>
  <si>
    <t>3.5 x 2.7 meter; Tidak termasuk listrik; AC; Kasur; Meja; TV; Lemari Baju; Kursi; Bantal; Cermin; Guling; Jendela; K. Mandi Dalam; Kloset Duduk; Wastafel; Shower; Air panas; WiFi; Kulkas; R. Tamu; Penjaga Kos; R. Makan; Dapur; Dispenser; CCTV; Parkir Mobil; Parkir Motor &amp; Sepeda</t>
  </si>
  <si>
    <t>Kost Singgahsini Tin Pisangan Baru Timur Tipe B Matraman Jakarta Timur</t>
  </si>
  <si>
    <t>2.5 x 2.5 meter; Termasuk listrik; Kasur; Meja; Lemari Baju; Ventilasi; Kipas Angin; Bantal; K. Mandi Dalam; Kloset Duduk; WiFi; R. Jemur; Parkir Mobil; Parkir Motor; Parkir Sepeda; Parkir Motor &amp; Sepeda</t>
  </si>
  <si>
    <t>Kost Singgahsini Ada Lika Halim Perdana Kusuma Tipe B Makasar Jakarta Timur</t>
  </si>
  <si>
    <t>2.4 x 2.2 meter; Tidak termasuk listrik; AC; Kasur; Meja; Lemari Baju; Kursi; Bantal; Guling; Jendela; Kloset Duduk; Kloset Jongkok; K. Mandi Luar; Shower; WiFi; R. Tamu; R. Jemur; Dapur; CCTV; Parkir Mobil; Parkir Motor; Parkir Sepeda</t>
  </si>
  <si>
    <t>Rp1.282.500</t>
  </si>
  <si>
    <t>Kost Singgahsini Arvani Tipe B Pulo Gadung Jakarta Timur</t>
  </si>
  <si>
    <t>4 x 2.2 meter; Tidak termasuk listrik; AC; Kasur; Meja; Lemari Baju; Kursi; Bantal; Cermin; Guling; Jendela; K. Mandi Dalam; Kloset Duduk; Shower; Air panas; WiFi; R. Cuci; Kulkas; R. Tamu; Mesin Cuci; Penjaga Kos; R. Jemur; Dapur; Dispenser; CCTV; Parkir Motor &amp; Sepeda</t>
  </si>
  <si>
    <t>Kost Singgahsini J Residence Tipe A Pulo Gadung Jakarta Timur</t>
  </si>
  <si>
    <t>3 x 3 meter; Tidak termasuk listrik; AC; Kasur; Meja; Lemari Baju; Kursi; Bantal; Jendela; K. Mandi Dalam; Kloset Duduk; Shower; Air panas; WiFi; R. Cuci; Mesin Cuci; Penjaga Kos; Laundry; R. Makan; R. Jemur; Dapur; CCTV; Jemuran; Parkir Mobil; Parkir Motor &amp; Sepeda</t>
  </si>
  <si>
    <t>Kost Christine Cipinang Melayu Executive Makasar Jakarta Timur</t>
  </si>
  <si>
    <t>3 x 4 meter; Tidak termasuk listrik; AC; Kasur; Meja; Lemari Baju; Bantal; Guling; Jendela; Kursi; K. Mandi Dalam; Kloset Duduk; Ember mandi; WiFi; Kulkas; Penjaga Kos; R. Jemur; Dapur; Dispenser; CCTV; Jemuran; Parkir Motor</t>
  </si>
  <si>
    <t>Kost Apik Gultom Tipe A Jatinegara Jakarta Timur</t>
  </si>
  <si>
    <t>3.2 x 2.7 meter; Termasuk listrik; Kasur; Lemari Baju; Ventilasi; Jendela; Bantal; Kloset Jongkok; K. Mandi Luar; Ember mandi; WiFi; Penjaga Kos; Dapur; Parkir Motor &amp; Sepeda</t>
  </si>
  <si>
    <t>Kost Singgahsini Krupuk Tipe A Cipayung Jakarta Timur</t>
  </si>
  <si>
    <t>4.5 x 3 meter; Tidak termasuk listrik; AC; Kasur; Meja; Lemari Baju; Ventilasi; Kursi; Bantal; Jendela; Cermin; Guling; K. Mandi Dalam; Kloset Duduk; Shower; WiFi; Penjaga Kos; R. Makan; Dapur; Dispenser; Taman; CCTV; Parkir Mobil; Parkir Motor &amp; Sepeda</t>
  </si>
  <si>
    <t>Kost Singgahsini Kivana Tipe A Matraman Jakarta Timur</t>
  </si>
  <si>
    <t>4.5 x 3 meter; Tidak termasuk listrik; AC; Kasur; Meja; Lemari Baju; Ventilasi; Kursi; Bantal; Cermin; Guling; Jendela; K. Mandi Dalam; Kloset Duduk; Shower; Air panas; WiFi; R. Cuci; Kulkas; R. Tamu; Mesin Cuci; Penjaga Kos; R. Makan; R. Jemur; Dapur; Dispenser; Parkir Sepeda; Parkir Motor &amp; Sepeda</t>
  </si>
  <si>
    <t>Kost Apik Anis Tipe A Makasar Jakarta Timur</t>
  </si>
  <si>
    <t>Rp882.000</t>
  </si>
  <si>
    <t>3 x 3 meter; Termasuk listrik; Kasur; Lemari Baju; Ventilasi; Kipas Angin; Bantal; Kloset Jongkok; K. Mandi Luar; Bak mandi; WiFi; Kulkas; R. Tamu; Mesin Cuci; R. Jemur; Dapur; Jemuran; Parkir Motor &amp; Sepeda</t>
  </si>
  <si>
    <t>Rp811.440</t>
  </si>
  <si>
    <t>Diskon 71rb</t>
  </si>
  <si>
    <t>Kost MD 41 Residence Tipe A Jatinegara Jakarta Timur</t>
  </si>
  <si>
    <t>3 x 3 meter; Termasuk listrik; AC; Kasur; Meja; Lemari Baju; Ventilasi; Bantal; Cermin; Guling; Jendela; Kursi; K. Mandi Dalam; Kloset Duduk; Shower; WiFi; Penjaga Kos; R. Tamu; R. Jemur; R. Santai; Dapur; Dispenser; CCTV; Jemuran; Kartu Akses; Parkir Motor &amp; Sepeda</t>
  </si>
  <si>
    <t>Kost Singgahsini Green House Tipe C Pulo Gadung Jakarta Timur</t>
  </si>
  <si>
    <t>3 x 2.7 meter; Termasuk listrik; Kasur; Meja; Lemari Baju; Ventilasi; Kipas Angin; Bantal; Cermin; Guling; Jendela; Kloset Duduk; K. Mandi Luar; Ember mandi; Shower; WiFi; R. Cuci; Kulkas; R. Tamu; Penjaga Kos; R. Jemur; Dapur; TV; CCTV; Parkir Motor &amp; Sepeda</t>
  </si>
  <si>
    <t>Kost Tawes Residence Tipe Executive Pulo Gadung Jakarta Timur</t>
  </si>
  <si>
    <t>4 x 4 meter; Termasuk listrik; AC; Kasur; Meja; TV; Lemari Baju; Ventilasi; Kursi; Wastafel; Cleaning service; TV Kabel; K. Mandi Dalam; Kloset Duduk; Shower; Air panas; WiFi; R. Cuci; Kulkas; R. Tamu; Mesin Cuci; Penjaga Kos; Laundry; R. Makan; R. Jemur; R. Santai; Parkir Mobil; Parkir Motor; Parkir Sepeda</t>
  </si>
  <si>
    <t>Kost Singgahsini Griya Gading Bricelle Tipe C Pulo Gadung Jakarta Timur</t>
  </si>
  <si>
    <t>3 x 3.5 meter; Termasuk listrik; Kasur; Meja; Lemari Baju; Kursi; Bantal; Cermin; Guling; Jendela; K. Mandi Dalam; Kloset Duduk; Ember mandi; Shower; WiFi; Kulkas; R. Tamu; Penjaga Kos; R. Jemur; R. Santai; Dapur; K. Mandi Luar; CCTV; Rice Cooker; Parkir Motor; Parkir Sepeda</t>
  </si>
  <si>
    <t>Kost Apik Rawamangun 23A Tipe C Pulo Gadung Jakarta Timur</t>
  </si>
  <si>
    <t>3 x 3 meter; Tidak termasuk listrik; Kasur; Meja; Lemari Baju; Kloset Jongkok; K. Mandi Luar; Bak mandi; WiFi; R. Cuci; R. Jemur; Dapur; CCTV; Jemuran; Parkir Motor &amp; Sepeda</t>
  </si>
  <si>
    <t>Kost Singgahsini Zakiah Kelapa Hijau Tipe A Duren Sawit Jakarta Timur</t>
  </si>
  <si>
    <t>Kost Nicks Residence 1 Tipe Executive Pulo Gadung Jakarta Timur</t>
  </si>
  <si>
    <t>3 x 5 meter; Tidak termasuk listrik; AC; Kasur; Meja; Lemari Baju; Ventilasi; Cermin; Jendela; Kipas Angin; Bantal; Cleaning service; K. Mandi Dalam; Kloset Duduk; Wastafel; Shower; Air panas; WiFi; Kulkas; R. Cuci; Penjaga Kos; R. Tamu; R. Jemur; Dapur; CCTV; Jemuran; Jual Makanan; Parkir Mobil; Parkir Motor; Parkir Sepeda; Parkir Motor &amp; Sepeda</t>
  </si>
  <si>
    <t>Kost Singgahsini Griya Malabar Tipe D Duren Sawit Jakarta Timur</t>
  </si>
  <si>
    <t>3 x 2.7 meter; Termasuk listrik; Kasur; Lemari Baju; Ventilasi; Bantal; Cermin; Guling; Jendela; Kloset Duduk; K. Mandi Luar; Shower; WiFi; Kulkas; Penjaga Kos; R. Makan; R. Jemur; Dapur; Dispenser; CCTV; Rice Cooker; Parkir Mobil; Parkir Motor &amp; Sepeda</t>
  </si>
  <si>
    <t>Kost Elok Pavilion Tipe A Jatinegara Jakarta Timur</t>
  </si>
  <si>
    <t>3 x 6 meter; Tidak termasuk listrik; AC; Kasur; Meja; TV; Lemari Baju; Kulkas; Ventilasi; Kursi; Wastafel; Cermin; K. Mandi Dalam; Kloset Duduk; Shower; Air panas; WiFi; R. Cuci; R. Tamu; Penjaga Kos; R. Makan; R. Jemur; R. Santai; Dapur; Taman; Parkir Mobil; Parkir Motor; Parkir Sepeda</t>
  </si>
  <si>
    <t>Kost Armijo Tipe B Plus Pulo Gadung Jakarta Timur</t>
  </si>
  <si>
    <t>3 x 4 meter; Tidak termasuk listrik; AC; Kasur; Meja; Lemari Baju; Ventilasi; Bantal; Guling; Jendela; Wastafel; Kursi; K. Mandi Dalam; Kloset Duduk; K. Mandi Luar; Shower; Air panas; WiFi; Kulkas; R. Cuci; Mesin Cuci; Penjaga Kos; R. Tamu; R. Jemur; R. Makan; R. Santai; Dapur; Parkir Motor; Parkir Motor &amp; Sepeda</t>
  </si>
  <si>
    <t>Rp2.480.000</t>
  </si>
  <si>
    <t>Kost Kabin Kapsul Kayujati V Tipe B Pulo Gadung Jakarta Timur</t>
  </si>
  <si>
    <t>3 x 2 meter; Tidak termasuk listrik; AC; Kasur; Meja; Lemari Baju; Kursi; Kloset Duduk; Kloset Jongkok; K. Mandi Luar; Ember mandi; Shower; WiFi; R. Tamu; R. Jemur; Dapur; Parkir Motor</t>
  </si>
  <si>
    <t>Kost Pondok Muslimah Tipe B Gudep Jakarta Timur</t>
  </si>
  <si>
    <t>3 x 3 meter; Tidak termasuk listrik; Ventilasi; Kloset Duduk; R. Jemur; Dapur; Balcon</t>
  </si>
  <si>
    <t>Kost Apik Wisnar Delima III Tipe B Duren Sawit Jakarta Timur</t>
  </si>
  <si>
    <t>3.2 x 2.5 meter</t>
  </si>
  <si>
    <t>Rp1.282.000</t>
  </si>
  <si>
    <t>3.2 x 2.5 meter; Tidak termasuk listrik; AC; Kasur; Meja; Lemari Baju; Ventilasi; Bantal; Cermin; Jendela; Kloset Duduk; Kloset Jongkok; K. Mandi Luar; Ember mandi; WiFi; Kulkas; R. Cuci; R. Jemur; Dapur; Jemuran; Parkir Motor &amp; Sepeda</t>
  </si>
  <si>
    <t>Rp1.217.900</t>
  </si>
  <si>
    <t>Kost Apik 33 Al Wustho Tipe A Duren Sawit Jakarta Timur</t>
  </si>
  <si>
    <t>2.7 x 2.7 meter; Termasuk listrik; Kasur; Meja; Lemari Baju; Bantal; Guling; Kloset Duduk; Kloset Jongkok; K. Mandi Luar; Ember mandi; WiFi; R. Cuci; R. Tamu; Penjaga Kos; R. Makan; R. Jemur; Dapur; Dispenser; TV; Jemuran; Parkir Mobil; Parkir Motor &amp; Sepeda</t>
  </si>
  <si>
    <t>Kost Siti Marwah AC Pulo Gadung Jakarta Timur</t>
  </si>
  <si>
    <t>2 x 4 meter; Termasuk listrik; AC; Kasur; Meja; Lemari Baju; Ventilasi; Bantal; Guling; Jendela; Cermin; Kursi; Kloset Duduk; K. Mandi Luar; Bak mandi; WiFi; Kulkas; R. Cuci; Penjaga Kos; R. Jemur; R. Santai; Dapur; Jemuran; Parkir Motor; Parkir Sepeda; Parkir Motor &amp; Sepeda</t>
  </si>
  <si>
    <t>Kost Mami Eryda Tipe A Pulo Gadung Jakarta Timur</t>
  </si>
  <si>
    <t>3 x 4 meter; Tidak termasuk listrik; AC; Kasur; Lemari Baju; Ventilasi; Bantal; Cermin; Guling; Jendela; Kipas Angin; Kursi; Kloset Duduk; K. Mandi Luar; Ember mandi; Wastafel; Bak mandi; Kulkas; R. Tamu; R. Jemur; Dapur; Jemuran; Pengurus Kos; Taman; Parkir Motor; Parkir Sepeda</t>
  </si>
  <si>
    <t>Kost Apik H Norin Tipe B Cakung Jakarta Timur</t>
  </si>
  <si>
    <t>2.7 x 2.7 meter; Tidak termasuk listrik; Kasur; Lemari Baju; Bantal; Kipas Angin; K. Mandi Luar; Ember mandi; WiFi; Dapur; Parkir Motor &amp; Sepeda</t>
  </si>
  <si>
    <t>Kost Singgahsini Bambang Tipe B Makasar Jakarta Timur</t>
  </si>
  <si>
    <t>2.5 x 3 meter; Termasuk listrik; Kasur; Meja; Lemari Baju; Ventilasi; Kursi; Bantal; Cermin; Jendela; Kipas Angin; K. Mandi Dalam; Kloset Jongkok; Ember mandi; Shower; WiFi; R. Tamu; R. Makan; R. Jemur; Jemuran; Parkir Mobil; Parkir Motor &amp; Sepeda</t>
  </si>
  <si>
    <t>Kost Singgahsini Tin Pisangan Baru Timur Tipe C Matraman Jakarta Timur</t>
  </si>
  <si>
    <t>2.5 x 2.5 meter; Termasuk listrik; Kasur; Meja; Lemari Baju; Ventilasi; Kipas Angin; Bantal; Kloset Duduk; K. Mandi Luar; WiFi; R. Jemur; Parkir Mobil; Parkir Motor; Parkir Sepeda; Parkir Motor &amp; Sepeda</t>
  </si>
  <si>
    <t>Kost Griya Padma Tipe Single Pulo Gadung Jakarta Timur</t>
  </si>
  <si>
    <t>3 x 4 meter; Tidak termasuk listrik; AC; Kasur; Meja; Lemari Baju; Bantal; Guling; Jendela; K. Mandi Dalam; Kloset Duduk; Shower; WiFi; Kulkas; R. Cuci; Penjaga Kos; R. Tamu; Mesin Cuci; R. Jemur; R. Santai; Dapur; Dispenser; Parkir Mobil; Parkir Motor; Parkir Sepeda</t>
  </si>
  <si>
    <t>Kost Olin Tipe A Kramatjati Jakarta Timur</t>
  </si>
  <si>
    <t>3 x 7 meter; Tidak termasuk listrik; AC; Kasur; Lemari Baju; Ventilasi; Dapur Pribadi; Jendela; Wastafel; Bantal; Guling; K. Mandi Dalam; Kloset Jongkok; Ember mandi; R. Cuci; R. Jemur; Balcon; CCTV; Jemuran; Rooftop; Parkir Motor; Parkir Sepeda; Parkir Motor &amp; Sepeda</t>
  </si>
  <si>
    <t>Kost Ibu Farida Jatinegara Jakarta Timur</t>
  </si>
  <si>
    <t>3 x 3 meter; Tidak termasuk listrik; AC; Kasur; Meja; Dispenser; Kursi; Bantal; Jendela; K. Mandi Dalam; Kloset Duduk; Ember mandi; WiFi; R. Jemur; Jemuran; Parkir Mobil; Parkir Motor; Parkir Sepeda</t>
  </si>
  <si>
    <t>Kost Singgahsini Fortune House Tipe A Cipayung Jakarta Timur</t>
  </si>
  <si>
    <t>5 x 3 meter; Tidak termasuk listrik; AC; Kasur; Meja; Lemari Baju; Dapur Pribadi; Jendela; Bantal; Cermin; K. Mandi Dalam; Kloset Duduk; Shower; WiFi; Penjaga Kos; R. Jemur; Parkir Motor &amp; Sepeda</t>
  </si>
  <si>
    <t>Kost Piter Tipe B Pulo Gadung Jakarta Timur</t>
  </si>
  <si>
    <t>3 x 4 meter; Tidak termasuk listrik; AC; Kasur; Lemari Baju; Bantal; Cermin; Guling; K. Mandi Dalam; Kloset Duduk; Kloset Jongkok; K. Mandi Luar; Wastafel; Shower; WiFi; Kulkas; R. Cuci; R. Tamu; Laundry; Mesin Cuci; R. Jemur; Dapur; Dispenser; Balcon; Parkir Motor; Parkir Sepeda</t>
  </si>
  <si>
    <t>Kost Singgahsini Griya Malabar Tipe A Duren Sawit Jakarta Timur</t>
  </si>
  <si>
    <t>5 x 5 meter; Tidak termasuk listrik; AC; Kasur; Lemari Baju; Ventilasi; Bantal; Guling; Jendela; K. Mandi Dalam; Kloset Duduk; Wastafel; Shower; Bathtub; WiFi; Kulkas; Penjaga Kos; R. Makan; R. Jemur; Dapur; Dispenser; K. Mandi Luar; CCTV; Rice Cooker; Parkir Mobil; Parkir Motor &amp; Sepeda</t>
  </si>
  <si>
    <t>Kost Orange Tipe B Pulo Gadung Jakarta Timur</t>
  </si>
  <si>
    <t>2 x 3 meter; Tidak termasuk listrik; AC; Kasur; Lemari Baju; Bantal; Jendela; Kloset Duduk; K. Mandi Luar; Ember mandi; WiFi; Mesin Cuci; Dapur; Balcon; CCTV; Jemuran; Parkir Motor</t>
  </si>
  <si>
    <t>Rp1.005.000</t>
  </si>
  <si>
    <t>Kost Emmy Tipe A Duren Sawit Jakarta Timur</t>
  </si>
  <si>
    <t>3 x 4 meter; Tidak termasuk listrik; Ventilasi; Jendela; K. Mandi Dalam; Kloset Jongkok; WiFi; Penjaga Kos; R. Jemur; Taman; Parkir Mobil; Parkir Motor; Parkir Sepeda</t>
  </si>
  <si>
    <t>Kost Bu Andi Kramatjati Jakarta Timur</t>
  </si>
  <si>
    <t>2 x 2.7 meter</t>
  </si>
  <si>
    <t>2 x 2.7 meter; Tidak termasuk listrik; AC; Kasur; Meja; Kulkas; Lemari Baju; Ventilasi; Bantal; Cermin; Guling; Jendela; Kloset Duduk; K. Mandi Luar; Shower; WiFi; R. Cuci; R. Jemur; Dapur; CCTV; Jemuran; Pengurus Kos; Parkir Motor; Parkir Motor &amp; Sepeda</t>
  </si>
  <si>
    <t>Kost Living Plus 2 Pulo Gadung Jakarta Timur</t>
  </si>
  <si>
    <t>3 x 4 meter; Tidak termasuk listrik; AC; Kasur; Lemari Baju; Dapur Pribadi; Jendela; Wastafel; K. Mandi Dalam; Kloset Duduk; Shower; Dapur; Jemuran; CCTV; Parkir Motor &amp; Sepeda</t>
  </si>
  <si>
    <t>Kost Bisma Duren Sawit Jakarta Timur</t>
  </si>
  <si>
    <t>3 x 3 meter; Tidak termasuk listrik; AC; Kasur; Meja Rias; Lemari Baju; Bantal; Cermin; Guling; K. Mandi Dalam; Kloset Duduk; Ember mandi; Shower; WiFi; Kulkas; R. Santai; Dapur; Jemuran</t>
  </si>
  <si>
    <t>Kost Apik H Norin Tipe A Cakung Jakarta Timur</t>
  </si>
  <si>
    <t>2.7 x 2.7 meter; Tidak termasuk listrik; AC; Kasur; Lemari Baju; Bantal; Cermin; K. Mandi Luar; Ember mandi; WiFi; Dapur; Parkir Motor &amp; Sepeda</t>
  </si>
  <si>
    <t>Kost Nanda AC Exclusive Suite Plus Pulo Gadung Jakarta Timur</t>
  </si>
  <si>
    <t>5 x 4 meter; Tidak termasuk listrik; AC; Kasur; Dispenser; Meja; TV; Kulkas; Lemari Baju; Ventilasi; Bantal; Cermin; K. Mandi Dalam; Kloset Duduk; Ember mandi; Wastafel; Shower; Air panas; WiFi; R. Cuci; Penjaga Kos; R. Tamu; Mesin Cuci; R. Jemur; R. Makan; R. Santai; Dapur; Parkir Mobil; Parkir Motor; Parkir Sepeda</t>
  </si>
  <si>
    <t>Rp3.650.000</t>
  </si>
  <si>
    <t>Kost Singgahsini Fortune House Tipe C Cipayung Jakarta Timur</t>
  </si>
  <si>
    <t>5 x 3 meter; Tidak termasuk listrik; Kasur; Meja; Lemari Baju; Dapur Pribadi; Jendela; Bantal; Cermin; K. Mandi Dalam; Kloset Duduk; Shower; WiFi; Penjaga Kos; R. Jemur; Parkir Motor &amp; Sepeda</t>
  </si>
  <si>
    <t>Kost Rumah 4C Tipe C Pulogadung Jakarta Timur</t>
  </si>
  <si>
    <t>2.2 x 3.2 meter</t>
  </si>
  <si>
    <t>2.2 x 3.2 meter; Termasuk listrik; Kasur; Lemari Baju; Ventilasi; Jendela; K. Mandi Dalam; Kloset Jongkok; Shower; WiFi; Penjaga Kos; R. Santai; Dapur; Jemuran; K. Mandi Luar; Pengurus Kos; Parkir Mobil; Parkir Motor; Parkir Sepeda</t>
  </si>
  <si>
    <t>Kost Kayu Jati 10 Residence Tipe VIP Pulo Gadung Jakarta Timur</t>
  </si>
  <si>
    <t>3 x 4 meter; Tidak termasuk listrik; AC; Kasur; TV; Meja Rias; Lemari Baju; Bantal; Guling; Jendela; K. Mandi Dalam; Kloset Duduk; Kloset Jongkok; Shower; Air panas; WiFi; Kulkas; Laundry; Penjaga Kos; R. Tamu; R. Makan; R. Santai; Dapur; CCTV; Jual Makanan; Parkir Mobil; Parkir Motor; Parkir Sepeda; Parkir Motor &amp; Sepeda</t>
  </si>
  <si>
    <t>Kost Amanah Pak Reza Tipe A Pulo Gadung Jakarta Timur</t>
  </si>
  <si>
    <t>4.5 x 3 meter; Tidak termasuk listrik; AC; Kasur; Lemari Baju; K. Mandi Dalam; Kloset Duduk; Ember mandi; Shower; R. Jemur; Dispenser; Balcon; Jemuran; Parkir Motor</t>
  </si>
  <si>
    <t>Kost Pak RT Cipayung Jakarta Timur</t>
  </si>
  <si>
    <t>3 x 4 meter; Tidak termasuk listrik; Kasur; Lemari Baju; Guling; Kipas Angin; Bantal; K. Mandi Dalam; Kloset Jongkok; WiFi; Parkir Motor &amp; Sepeda</t>
  </si>
  <si>
    <t>Kecamatan Cipayung</t>
  </si>
  <si>
    <t>Kost Apik Wisnar Delima III Tipe C Duren Sawit Jakarta Timur</t>
  </si>
  <si>
    <t>Rp1.327.000</t>
  </si>
  <si>
    <t>3.2 x 2.5 meter; Tidak termasuk listrik; AC; Kasur; Meja; Lemari Baju; Ventilasi; Bantal; Cermin; Jendela; K. Mandi Dalam; Kloset Jongkok; Ember mandi; WiFi; Kulkas; R. Cuci; R. Jemur; Dapur; Jemuran; Parkir Motor &amp; Sepeda</t>
  </si>
  <si>
    <t>Rp1.220.840</t>
  </si>
  <si>
    <t>Kost Singgahsini Tin Pisangan Baru Timur Tipe D Matraman Jakarta Timur</t>
  </si>
  <si>
    <t>3 x 4 meter; Termasuk listrik; AC; Kasur; Meja; Lemari Baju; Bantal; Cermin; Jendela; K. Mandi Dalam; Kloset Duduk; WiFi; R. Jemur; Parkir Motor &amp; Sepeda</t>
  </si>
  <si>
    <t>Kost Kanguru 33 A Tipe Standard Plus Pasar Rebo Jakarta Timur</t>
  </si>
  <si>
    <t>3 x 4 meter; Tidak termasuk listrik; AC; Kasur; Dispenser; Meja; TV; Bantal; Guling; Jendela; K. Mandi Dalam; Kloset Duduk; Ember mandi; Shower; WiFi; R. Cuci; Kulkas; R. Tamu; Mesin Cuci; R. Jemur; R. Santai; Dapur; Parkir Mobil; Parkir Motor; Parkir Sepeda</t>
  </si>
  <si>
    <t>Kecamatan Pasar Rebo</t>
  </si>
  <si>
    <t>Kost Singgahsini Az Zahro Batu Alam Tipe C Kramatjati Jakarta Timur</t>
  </si>
  <si>
    <t>4 x 2 meter; Tidak termasuk listrik; AC; Kasur; Lemari Baju; Ventilasi; Kursi; Bantal; Cermin; Jendela; K. Mandi Dalam; Kloset Duduk; Shower; Air panas; WiFi; Locker; CCTV; Parkir Mobil; Parkir Motor &amp; Sepeda</t>
  </si>
  <si>
    <t>Kost Singgahsini Bapusta Rawamangun Tipe B Pulo Gadung Jakarta Timur</t>
  </si>
  <si>
    <t>3.5 x 3.5 meter; Tidak termasuk listrik; AC; Kasur; Meja; Lemari Baju; Kursi; Jendela; Bantal; Guling; K. Mandi Dalam; Kloset Duduk; Wastafel; Shower; Air panas; WiFi; Kulkas; R. Tamu; Penjaga Kos; Laundry; R. Jemur; Dapur; Dispenser; Kartu Akses; CCTV; Parkir Mobil; Parkir Motor &amp; Sepeda</t>
  </si>
  <si>
    <t>Kost Griya Sribudi 1 Tipe A Pasar Rebo Jakarta Timur</t>
  </si>
  <si>
    <t>4 x 5 meter; Tidak termasuk listrik; Kasur; Lemari Baju; Ventilasi; Wastafel; Guling; Jendela; K. Mandi Dalam; Kloset Jongkok; Ember mandi; Bak mandi; WiFi; Penjaga Kos; Balcon; CCTV; Pengurus Kos; Jemuran; Parkir Motor; Parkir Sepeda</t>
  </si>
  <si>
    <t>Rp1.020.000</t>
  </si>
  <si>
    <t>Kost Singgahsini Tobasa 3 Tipe F Pulo Gadung Jakarta Timur</t>
  </si>
  <si>
    <t>3.6 x 3 meter; Termasuk listrik; AC; Kasur; Meja; Lemari Baju; Kursi; Bantal; Guling; Jendela; K. Mandi Dalam; Kloset Duduk; Shower; WiFi; Kulkas; R. Tamu; Mesin Cuci; Penjaga Kos; Dapur; Dispenser; Parkir Motor &amp; Sepeda</t>
  </si>
  <si>
    <t>Kost Singgahsini Tobasa 3 Tipe E Pulo Gadung Jakarta Timur</t>
  </si>
  <si>
    <t>3.6 x 3 meter; Tidak termasuk listrik; AC; Kasur; Meja; Lemari Baju; Ventilasi; Kursi; Bantal; K. Mandi Dalam; Kloset Duduk; Shower; WiFi; Kulkas; R. Tamu; Mesin Cuci; Penjaga Kos; Dapur; Dispenser; Parkir Motor &amp; Sepeda</t>
  </si>
  <si>
    <t>Kost Singgahsini Pandji Tipe A Pulo Gadung Jakarta Timur</t>
  </si>
  <si>
    <t>2.4 x 2.6 meter</t>
  </si>
  <si>
    <t>2.4 x 2.6 meter; Termasuk listrik; AC; Kasur; Meja; Lemari Baju; Ventilasi; Kursi; Bantal; Cermin; Guling; Kloset Duduk; K. Mandi Luar; Shower; WiFi; R. Cuci; Kulkas; Penjaga Kos; R. Jemur; Dapur; Dispenser; CCTV; Jemuran; Parkir Motor &amp; Sepeda</t>
  </si>
  <si>
    <t>Kost Apik Foryou Tipe C Duren Sawit Jakarta Timur</t>
  </si>
  <si>
    <t>3 x 3 meter; Termasuk listrik; Kasur; Lemari Baju; Wastafel; Kipas Angin; Bantal; Guling; K. Mandi Dalam; Kloset Jongkok; Ember mandi; WiFi; R. Tamu; Penjaga Kos; R. Jemur; Dapur; K. Mandi Luar; CCTV; Parkir Mobil; Parkir Sepeda; Parkir Motor &amp; Sepeda</t>
  </si>
  <si>
    <t>Kost Simbah Non AC Kramatjati Jakarta Timur</t>
  </si>
  <si>
    <t>3 x 3 meter; Tidak termasuk listrik; Kasur; Lemari Baju; Jendela; Kloset Jongkok; Shower; Bak mandi; WiFi; R. Jemur; Dapur; Balcon; Jemuran; Taman; Parkir Motor</t>
  </si>
  <si>
    <t>Kost Singgahsini Oemah Waringin Tipe A Makasar Jakarta Timur</t>
  </si>
  <si>
    <t>3.2 x 3.2 meter; Tidak termasuk listrik; AC; Kasur; Lemari Baju; Bantal; Cermin; Guling; Jendela; Kloset Duduk; K. Mandi Luar; Ember mandi; WiFi; R. Cuci; Kulkas; R. Tamu; R. Makan; R. Jemur; Dapur; CCTV; Parkir Mobil; Parkir Motor &amp; Sepeda</t>
  </si>
  <si>
    <t>Kost Roa Duren Sawit Jakarta Timur</t>
  </si>
  <si>
    <t>5 x 5 meter; Tidak termasuk listrik; AC; Kasur; Meja; TV; Lemari Baju; Bantal; Dapur Pribadi; Guling; Jendela; Kursi; K. Mandi Dalam; Kloset Duduk; Ember mandi; Shower; WiFi; Dapur; Balcon; CCTV; Jemuran; Parkir Motor</t>
  </si>
  <si>
    <t>Kost Armande Moncokerto 13 Matraman Jakarta Timur</t>
  </si>
  <si>
    <t>6 x 3.5 meter; Tidak termasuk listrik; Ventilasi; Dapur Pribadi; Jendela; Wastafel; K. Mandi Dalam; Kloset Jongkok; Shower; Penjaga Kos; R. Tamu; R. Jemur; Dapur; Jemuran; Pengurus Kos; R. Keluarga; Rooftop; Parkir Motor; Parkir Sepeda</t>
  </si>
  <si>
    <t>Kost Olga Astrid Puspita Tipe A Kramatjati Jakarta Timur</t>
  </si>
  <si>
    <t>2.5 x 3 meter; Tidak termasuk listrik; Kasur; Wastafel; Kipas Angin; K. Mandi Dalam; Kloset Jongkok; WiFi; R. Jemur; Dapur; Parkir Motor; Parkir Sepeda</t>
  </si>
  <si>
    <t>Kost Pondok Tipe Menengah Pulo Gadung Jakarta Timur</t>
  </si>
  <si>
    <t>3 x 3 meter; Termasuk listrik; Kasur; Meja; Ventilasi; Bantal; Jendela; Kipas Angin; K. Mandi Dalam; Kloset Jongkok; K. Mandi Luar; Bak mandi; WiFi; Kulkas; R. Cuci; R. Jemur; R. Santai; Jemuran; Pengurus Kos; TV; Parkir Sepeda; Parkir Motor</t>
  </si>
  <si>
    <t>Kost Apik Utan Kayu 3 Tipe D Matraman Jakarta Timur</t>
  </si>
  <si>
    <t>2.5 x 2.5 meter; Tidak termasuk listrik; Kasur; Kursi; Kloset Duduk; Shower; WiFi; R. Cuci; Penjaga Kos; R. Jemur; Jemuran; Parkir Mobil; Parkir Sepeda; Parkir Motor &amp; Sepeda</t>
  </si>
  <si>
    <t>Rp674.000</t>
  </si>
  <si>
    <t>Kost Gaps House 2 Tipe A Cipayung Jakarta Timur</t>
  </si>
  <si>
    <t>3 x 4 meter; Tidak termasuk listrik; AC; Kasur; Lemari Baju; Cermin; Dapur Pribadi; Jendela; Kloset Duduk; Shower; WiFi; Kulkas; R. Cuci; Penjaga Kos; R. Tamu; R. Jemur; R. Makan; R. Santai; Dapur; Dispenser; Parkir Mobil; Parkir Motor; Parkir Sepeda; Parkir Motor &amp; Sepeda</t>
  </si>
  <si>
    <t>Kost Karen Pulomas Executive Pulo Gadung Jakarta Timur</t>
  </si>
  <si>
    <t>3 x 4 meter; Tidak termasuk listrik; AC; Kasur; Meja; Lemari Baju; Bantal; Cermin; Jendela; Kursi; K. Mandi Dalam; Kloset Jongkok; Ember mandi; WiFi; Kulkas; Penjaga Kos; R. Jemur; Dapur; Balcon; Jemuran; TV; Parkir Motor; Parkir Sepeda</t>
  </si>
  <si>
    <t>Kost Qosanque Cakung Jakarta Timur</t>
  </si>
  <si>
    <t>2 x 2.5 meter; Termasuk listrik; Kasur; Meja; TV; Lemari Baju; Ventilasi; Jendela; Kipas Angin; Kursi; Bantal; Kloset Jongkok; K. Mandi Luar; Ember mandi; Shower; WiFi; R. Tamu; R. Jemur; R. Santai; Dapur; CCTV; Jemuran; Pengurus Kos; Parkir Motor</t>
  </si>
  <si>
    <t>Kost Singgahsini Tobasa 3 Tipe C Pulo Gadung Jakarta Timur</t>
  </si>
  <si>
    <t>3.6 x 3 meter; Tidak termasuk listrik; AC; Kasur; Meja; Lemari Baju; Ventilasi; Kursi; Bantal; Jendela; K. Mandi Dalam; Kloset Duduk; Shower; WiFi; Kulkas; R. Tamu; Mesin Cuci; Penjaga Kos; Dapur; Dispenser; Parkir Motor &amp; Sepeda</t>
  </si>
  <si>
    <t>Rp1.620.000</t>
  </si>
  <si>
    <t>Kost Casa Standart Pasar Rebo Jakarta Timur</t>
  </si>
  <si>
    <t>3 x 4 meter; Tidak termasuk listrik; AC; Kasur; Meja; Lemari Baju; Bantal; Cermin; Guling; Jendela; Kursi; K. Mandi Dalam; Kloset Duduk; Shower; WiFi; Kulkas; R. Cuci; R. Tamu; R. Jemur; Dapur; Dispenser; Balcon; CCTV; Jemuran; Parkir Motor</t>
  </si>
  <si>
    <t>Kost Singgahsini Latifa Jatinegara Indah Tipe A Cakung Jakarta Timur</t>
  </si>
  <si>
    <t>3 x 3.5 meter; Termasuk listrik; AC; Kasur; Meja; Lemari Baju; Ventilasi; Kursi; Bantal; Cermin; Guling; Jendela; Kloset Duduk; K. Mandi Luar; Shower; WiFi; Kulkas; R. Cuci; R. Tamu; Mesin Cuci; Penjaga Kos; R. Makan; R. Jemur; Dapur; Dispenser; Parkir Mobil; Parkir Motor &amp; Sepeda</t>
  </si>
  <si>
    <t>Kost Singgahsini Casa De Salam Tipe A Kramat Jati Jakarta Timur</t>
  </si>
  <si>
    <t>3.5 x 3 meter; Tidak termasuk listrik; AC; Kasur; Meja; Lemari Baju; Ventilasi; Kursi; Bantal; Jendela; K. Mandi Dalam; Kloset Duduk; Shower; WiFi; Penjaga Kos; CCTV; Parkir Mobil; Parkir Motor &amp; Sepeda</t>
  </si>
  <si>
    <t>Kost Apik R &amp; R Condet Tipe A Pasar Rebo Jakarta Timur</t>
  </si>
  <si>
    <t>3 x 2 meter; Tidak termasuk listrik; AC; Kasur; Lemari Baju; Bantal; Guling; Jendela; Kloset Jongkok; K. Mandi Luar; Ember mandi; WiFi; Kulkas; R. Tamu; Penjaga Kos; R. Makan; R. Jemur; Dapur; CCTV; Parkir Motor; Parkir Sepeda</t>
  </si>
  <si>
    <t>Kost Sister Tipe A Pulo Gadung Jakarta Timur</t>
  </si>
  <si>
    <t>3 x 4 meter; Termasuk listrik; Kasur; Meja; Meja Rias; Lemari Baju; Ventilasi; Bantal; Cermin; Jendela; Kursi; Kloset Duduk; K. Mandi Luar; Bak mandi; WiFi; Kulkas; R. Tamu; R. Jemur; R. Makan; R. Santai; Dapur; Jemuran; R. Keluarga; Parkir Motor</t>
  </si>
  <si>
    <t>Kost Amanah Pak Reza Tipe B Pulo Gadung Jakarta Timur</t>
  </si>
  <si>
    <t>3 x 3 meter; Tidak termasuk listrik; AC; Kasur; Ventilasi; Bantal; K. Mandi Dalam; Kloset Duduk; Shower; WiFi; Penjaga Kos; R. Jemur; Balcon; Jemuran; Parkir Motor</t>
  </si>
  <si>
    <t>Kost Raden Tipe A Pulo Gadung Jakarta Timur</t>
  </si>
  <si>
    <t>2.5 x 5.5 meter</t>
  </si>
  <si>
    <t>2.5 x 5.5 meter; Tidak termasuk listrik; Kasur; Bantal; Dapur Pribadi; K. Mandi Dalam; Kloset Jongkok; Ember mandi; WiFi; Dapur; Jemuran; Parkir Motor</t>
  </si>
  <si>
    <t>Kost Apik Acp Unindra 1 Tipe C Pasar Rebo Jakarta Timur</t>
  </si>
  <si>
    <t>4 x 2.5 meter; Tidak termasuk listrik; AC; Kasur; Lemari Baju; Bantal; Cermin; Jendela; K. Mandi Dalam; Kloset Duduk; Shower; WiFi; Penjaga Kos; Parkir Motor &amp; Sepeda</t>
  </si>
  <si>
    <t>Kost Singgahsini Green House Tipe A Pulo Gadung Jakarta Timur</t>
  </si>
  <si>
    <t>1.8 x 4.4 meter</t>
  </si>
  <si>
    <t>1.8 x 4.4 meter; Termasuk listrik; AC; Kasur; Meja; Lemari Baju; Ventilasi; Bantal; Cermin; Guling; Jendela; Kloset Duduk; K. Mandi Luar; Ember mandi; Shower; WiFi; R. Cuci; Kulkas; R. Tamu; Penjaga Kos; R. Jemur; Dapur; TV; CCTV; Parkir Motor &amp; Sepeda</t>
  </si>
  <si>
    <t>Kost Bulak Raya Tipe A Duren Sawit Jakarta Timur</t>
  </si>
  <si>
    <t>3 x 3 meter; Tidak termasuk listrik; AC; Kulkas; Lemari Baju; Bantal; Jendela; Kipas Angin; Kursi; Kloset Duduk; Ember mandi; Shower; R. Cuci; Penjaga Kos; R. Jemur; Dapur; Dispenser; Jemuran; K. Mandi Luar; Parkir Motor</t>
  </si>
  <si>
    <t>Kost JNI Tipe A Cakung Jakarta Timur</t>
  </si>
  <si>
    <t>3 x 3 meter; Tidak termasuk listrik; AC; Kasur; Meja; Lemari Baju; Jendela; Kursi; Bantal; Guling; K. Mandi Dalam; Kloset Duduk; Shower; WiFi; Kulkas; R. Jemur; Dapur; Jemuran; Rooftop; Parkir Motor</t>
  </si>
  <si>
    <t>Kost Sun Kostel Duren Sawit Jakarta Timur</t>
  </si>
  <si>
    <t>3 x 6 meter; Tidak termasuk listrik; AC; Kasur; Meja; TV; Lemari Baju; Ventilasi; Kursi; Wastafel; Kipas Angin; Bantal; K. Mandi Dalam; Kloset Jongkok; R. Cuci; R. Jemur; Parkir Motor; Parkir Sepeda</t>
  </si>
  <si>
    <t>Kost Casa De Shira 1 Tipe A Pulo Gadung Jakarta Timur</t>
  </si>
  <si>
    <t>3 x 4 meter; Tidak termasuk listrik; AC; Kasur; Meja Rias; Kulkas; Lemari Baju; Ventilasi; Bantal; Cermin; Guling; Jendela; K. Mandi Dalam; Kloset Duduk; Shower; WiFi; R. Cuci; Penjaga Kos; R. Jemur; R. Makan; R. Santai; Dapur; CCTV; Gazebo; Parkir Motor</t>
  </si>
  <si>
    <t>Kost Tri Irianto 1 Pulo Gadung Jakarta Timur</t>
  </si>
  <si>
    <t>3 x 4 meter; Tidak termasuk listrik; Kasur; Meja; Lemari Baju; Guling; Jendela; Kipas Angin; Kursi; K. Mandi Dalam; Kloset Jongkok; Ember mandi; Shower; WiFi; Kulkas; Dapur; TV; Parkir Motor</t>
  </si>
  <si>
    <t>Kost Anindya Ciracas Jakarta Timur</t>
  </si>
  <si>
    <t>3 x 4 meter; Tidak termasuk listrik; AC; Kasur; Meja; TV; Lemari Baju; Ventilasi; Bantal; Cermin; Guling; Jendela; K. Mandi Dalam; Kloset Duduk; Shower; WiFi; Kulkas; R. Tamu; R. Jemur; R. Santai; Balcon; CCTV; Jemuran; Parkir Motor; Parkir Sepeda</t>
  </si>
  <si>
    <t>Kost Pulo Asem Utara 3 Standard Pulo Gadung Jakarta Timur</t>
  </si>
  <si>
    <t>3 x 3 meter; Termasuk listrik; AC; Kasur; Meja Rias; Lemari Baju; Bantal; Kipas Angin; Jendela; Kloset Duduk; Kloset Jongkok; Ember mandi; Bak mandi; WiFi; Kulkas; R. Cuci; R. Tamu; R. Jemur; R. Makan; Dapur; CCTV; Balcon; Jemuran; Parkir Motor; Parkir Motor &amp; Sepeda</t>
  </si>
  <si>
    <t>Kost Pratama Tipe B3 Duren Sawit Jakarta Timur</t>
  </si>
  <si>
    <t>2.5 x 6 meter; Tidak termasuk listrik; AC; Kasur; Meja; Lemari Baju; Ventilasi; Bantal; Jendela; Kursi; K. Mandi Dalam; Kloset Duduk; Ember mandi; WiFi; Kulkas; R. Cuci; R. Tamu; Penjaga Kos; R. Jemur; R. Makan; R. Santai; Dapur; Balcon; Parkir Motor</t>
  </si>
  <si>
    <t>Kost Exclusive Mumtaz Sufya 16F Matraman Jakarta Timur</t>
  </si>
  <si>
    <t>6 x 5 meter; Tidak termasuk listrik; AC; Kasur; Dispenser; Meja; TV; Kulkas; Lemari Baju; Ventilasi; Bantal; Cermin; K. Mandi Dalam; Kloset Duduk; Wastafel; Shower; Air panas; WiFi; Penjaga Kos; R. Tamu; R. Makan; R. Santai; Dapur; Balcon; CCTV; Parkir Mobil; Parkir Motor; Parkir Sepeda</t>
  </si>
  <si>
    <t>Kost Singgahsini Griya Malabar Tipe C Duren Sawit Jakarta Timur</t>
  </si>
  <si>
    <t>4 x 3.5 meter; Tidak termasuk listrik; AC; Kasur; Lemari Baju; Ventilasi; Bantal; Cermin; Guling; Jendela; Kloset Duduk; K. Mandi Luar; Shower; WiFi; Kulkas; Penjaga Kos; R. Makan; R. Jemur; Dapur; Dispenser; CCTV; Rice Cooker; Parkir Mobil; Parkir Motor &amp; Sepeda</t>
  </si>
  <si>
    <t>Kost Alesha Ceger Cipayung Jakarta Timur</t>
  </si>
  <si>
    <t>3 x 4 meter; Tidak termasuk listrik; AC; Kasur; Meja; Lemari Baju; Kursi; K. Mandi Dalam; Kloset Jongkok; R. Cuci; R. Jemur; Parkir Motor; Parkir Sepeda</t>
  </si>
  <si>
    <t>Kost Bu Nova Kramatjati Jakarta Timur</t>
  </si>
  <si>
    <t>2.8 x 5.6 meter</t>
  </si>
  <si>
    <t>2.8 x 5.6 meter; Tidak termasuk listrik; Ventilasi; Jendela; Wastafel; K. Mandi Dalam; Kloset Jongkok; Ember mandi; Air panas; Penjaga Kos; Dapur; Balcon; Jemuran; Parkir Sepeda; Parkir Motor</t>
  </si>
  <si>
    <t>Kost Singgahsini Tutul 402 Pondok Bambu Tipe A Duren Sawit Jakarta Timur</t>
  </si>
  <si>
    <t>4 x 4 meter; Tidak termasuk listrik; AC; Kasur; Meja; Lemari Baju; Kursi; Bantal; Cermin; Jendela; K. Mandi Dalam; Kloset Duduk; Shower; WiFi; Kulkas; Penjaga Kos; R. Jemur; Dapur; Dispenser; Jemuran; Parkir Motor &amp; Sepeda</t>
  </si>
  <si>
    <t>Kost Singgahsini Taman Malaka 21 Tipe A Duren Sawit Jakarta Timur</t>
  </si>
  <si>
    <t>3.5 x 2.5 meter; Tidak termasuk listrik; AC; Kasur; Meja; Lemari Baju; Kursi; Bantal; Jendela; K. Mandi Dalam; Kloset Duduk; Shower; WiFi; R. Cuci; R. Makan; R. Jemur; Dapur; CCTV; Parkir Motor &amp; Sepeda</t>
  </si>
  <si>
    <t>Rp1.656.000</t>
  </si>
  <si>
    <t>Kost Apik Muara Tipe A Jatinegara Jakarta Timur</t>
  </si>
  <si>
    <t>3.5 x 1.7 meter</t>
  </si>
  <si>
    <t>3.5 x 1.7 meter; Tidak termasuk listrik; AC; Kasur; Lemari Baju; Jendela; Bantal; Cermin; Guling; K. Mandi Dalam; Kloset Duduk; WiFi; Penjaga Kos; R. Jemur; Dapur; CCTV; Rooftop; Balcon; Parkir Motor &amp; Sepeda</t>
  </si>
  <si>
    <t>Kost Apik Az Zahra Tipe A Kramat Jati Jakarta Timur</t>
  </si>
  <si>
    <t>2.2 x 4 meter; Tidak termasuk listrik; Kasur; Meja; Lemari Baju; Kursi; Bantal; Jendela; Kipas Angin; Kloset Duduk; K. Mandi Luar; Bak mandi; WiFi; R. Cuci; R. Tamu; Penjaga Kos; R. Jemur; Dapur; Jemuran; Parkir Motor &amp; Sepeda</t>
  </si>
  <si>
    <t>Kost JGC Tipe B Cakung Jakarta Timur</t>
  </si>
  <si>
    <t>2 x 2 meter; Tidak termasuk listrik; AC; Kulkas; Ventilasi; Bantal; Guling; Jendela; Kloset Duduk; K. Mandi Luar; Ember mandi; Shower; R. Cuci; R. Tamu; R. Jemur; R. Makan; Dapur; CCTV; Jemuran; Taman; Parkir Mobil; Parkir Motor; Parkir Sepeda</t>
  </si>
  <si>
    <t>Jakarta Timur</t>
  </si>
  <si>
    <t>price_clean</t>
  </si>
  <si>
    <t>1732</t>
  </si>
  <si>
    <t>beforediscount_clean</t>
  </si>
  <si>
    <t>room sizem^2</t>
  </si>
  <si>
    <t>rating_clean</t>
  </si>
  <si>
    <t>rating_clean_2</t>
  </si>
  <si>
    <t>discount_clean</t>
  </si>
  <si>
    <t>Row Labels</t>
  </si>
  <si>
    <t>Grand Total</t>
  </si>
  <si>
    <t>Count of region</t>
  </si>
  <si>
    <t>average</t>
  </si>
  <si>
    <t>min</t>
  </si>
  <si>
    <t>max</t>
  </si>
  <si>
    <t>Count of price_clean</t>
  </si>
  <si>
    <t>Average of price_clean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</si>
</sst>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  <xf numFmtId="0" fontId="1" fillId="2" borderId="0" xfId="0" applyFont="1" applyFill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[Mamikos Jabodetabek Data1.xlsx]jawaban 1!PivotTable2</c:name>
    <c:fmtId val="0"/>
  </c:pivotSource>
  <c:chart>
    <c:title>
      <c:tx>
        <c:rich>
          <a:bodyPr/>
          <a:lstStyle/>
          <a:p>
            <a:pPr>
              <a:defRPr sz="1200"/>
            </a:pPr>
            <a:r>
              <a:rPr lang="id-ID" sz="1200" b="1" i="0" baseline="0">
                <a:effectLst/>
                <a:latin typeface="Times New Roman" pitchFamily="18" charset="0"/>
                <a:cs typeface="Times New Roman" pitchFamily="18" charset="0"/>
              </a:rPr>
              <a:t>Number of Kost Listings by Region</a:t>
            </a:r>
            <a:endParaRPr lang="id-ID" sz="1200">
              <a:effectLst/>
              <a:latin typeface="Times New Roman" pitchFamily="18" charset="0"/>
              <a:cs typeface="Times New Roman" pitchFamily="18" charset="0"/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'jawaban 1'!$B$3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'jawaban 1'!$A$4:$A$14</c:f>
              <c:strCache>
                <c:ptCount val="10"/>
                <c:pt idx="0">
                  <c:v>Bekasi</c:v>
                </c:pt>
                <c:pt idx="1">
                  <c:v>Bogor</c:v>
                </c:pt>
                <c:pt idx="2">
                  <c:v>Depok</c:v>
                </c:pt>
                <c:pt idx="3">
                  <c:v>Jakarta Barat</c:v>
                </c:pt>
                <c:pt idx="4">
                  <c:v>Jakarta Pusat</c:v>
                </c:pt>
                <c:pt idx="5">
                  <c:v>Jakarta Selatan</c:v>
                </c:pt>
                <c:pt idx="6">
                  <c:v>Jakarta Timur</c:v>
                </c:pt>
                <c:pt idx="7">
                  <c:v>Jakarta Utara</c:v>
                </c:pt>
                <c:pt idx="8">
                  <c:v>Tangerang</c:v>
                </c:pt>
                <c:pt idx="9">
                  <c:v>Tangerang Selatan</c:v>
                </c:pt>
              </c:strCache>
            </c:strRef>
          </c:cat>
          <c:val>
            <c:numRef>
              <c:f>'jawaban 1'!$B$4:$B$14</c:f>
              <c:numCache>
                <c:formatCode>General</c:formatCode>
                <c:ptCount val="10"/>
                <c:pt idx="0">
                  <c:v>253</c:v>
                </c:pt>
                <c:pt idx="1">
                  <c:v>234</c:v>
                </c:pt>
                <c:pt idx="2">
                  <c:v>238</c:v>
                </c:pt>
                <c:pt idx="3">
                  <c:v>231</c:v>
                </c:pt>
                <c:pt idx="4">
                  <c:v>229</c:v>
                </c:pt>
                <c:pt idx="5">
                  <c:v>241</c:v>
                </c:pt>
                <c:pt idx="6">
                  <c:v>228</c:v>
                </c:pt>
                <c:pt idx="7">
                  <c:v>234</c:v>
                </c:pt>
                <c:pt idx="8">
                  <c:v>234</c:v>
                </c:pt>
                <c:pt idx="9">
                  <c:v>231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925504"/>
        <c:axId val="193927040"/>
      </c:barChart>
      <c:catAx>
        <c:axId val="1939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193927040"/>
        <c:crosses val="autoZero"/>
        <c:auto val="1"/>
        <c:lblAlgn val="ctr"/>
        <c:lblOffset val="100"/>
        <c:noMultiLvlLbl val="0"/>
      </c:catAx>
      <c:valAx>
        <c:axId val="193927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3925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[Mamikos Jabodetabek Data1.xlsx]no.4!PivotTable3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  <a:latin typeface="Times New Roman" pitchFamily="18" charset="0"/>
                <a:cs typeface="Times New Roman" pitchFamily="18" charset="0"/>
              </a:rPr>
              <a:t>Average Rental Price by Region</a:t>
            </a:r>
            <a:endParaRPr lang="id-ID" sz="1200">
              <a:effectLst/>
              <a:latin typeface="Times New Roman" pitchFamily="18" charset="0"/>
              <a:cs typeface="Times New Roman" pitchFamily="18" charset="0"/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no.4!$B$3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no.4!$A$4:$A$14</c:f>
              <c:strCache>
                <c:ptCount val="10"/>
                <c:pt idx="0">
                  <c:v>Bekasi</c:v>
                </c:pt>
                <c:pt idx="1">
                  <c:v>Bogor</c:v>
                </c:pt>
                <c:pt idx="2">
                  <c:v>Depok</c:v>
                </c:pt>
                <c:pt idx="3">
                  <c:v>Jakarta Barat</c:v>
                </c:pt>
                <c:pt idx="4">
                  <c:v>Jakarta Pusat</c:v>
                </c:pt>
                <c:pt idx="5">
                  <c:v>Jakarta Selatan</c:v>
                </c:pt>
                <c:pt idx="6">
                  <c:v>Jakarta Timur</c:v>
                </c:pt>
                <c:pt idx="7">
                  <c:v>Jakarta Utara</c:v>
                </c:pt>
                <c:pt idx="8">
                  <c:v>Tangerang</c:v>
                </c:pt>
                <c:pt idx="9">
                  <c:v>Tangerang Selatan</c:v>
                </c:pt>
              </c:strCache>
            </c:strRef>
          </c:cat>
          <c:val>
            <c:numRef>
              <c:f>no.4!$B$4:$B$14</c:f>
              <c:numCache>
                <c:formatCode>General</c:formatCode>
                <c:ptCount val="10"/>
                <c:pt idx="0">
                  <c:v>1359387.3478260869</c:v>
                </c:pt>
                <c:pt idx="1">
                  <c:v>1175012.8205128205</c:v>
                </c:pt>
                <c:pt idx="2">
                  <c:v>1341289.705882353</c:v>
                </c:pt>
                <c:pt idx="3">
                  <c:v>2041154.9740259741</c:v>
                </c:pt>
                <c:pt idx="4">
                  <c:v>2054337.7729257641</c:v>
                </c:pt>
                <c:pt idx="5">
                  <c:v>2337112.0331950206</c:v>
                </c:pt>
                <c:pt idx="6">
                  <c:v>1543872.5438596492</c:v>
                </c:pt>
                <c:pt idx="7">
                  <c:v>1705611.1025641025</c:v>
                </c:pt>
                <c:pt idx="8">
                  <c:v>1456322.6495726495</c:v>
                </c:pt>
                <c:pt idx="9">
                  <c:v>1477885.5324675324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865984"/>
        <c:axId val="193871872"/>
      </c:barChart>
      <c:catAx>
        <c:axId val="193865984"/>
        <c:scaling>
          <c:orientation val="minMax"/>
        </c:scaling>
        <c:delete val="0"/>
        <c:axPos val="b"/>
        <c:majorTickMark val="out"/>
        <c:minorTickMark val="none"/>
        <c:tickLblPos val="nextTo"/>
        <c:crossAx val="193871872"/>
        <c:crosses val="autoZero"/>
        <c:auto val="1"/>
        <c:lblAlgn val="ctr"/>
        <c:lblOffset val="100"/>
        <c:noMultiLvlLbl val="0"/>
      </c:catAx>
      <c:valAx>
        <c:axId val="193871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3865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[Mamikos Jabodetabek Data1.xlsx]no.5!PivotTable4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 sz="1200" b="1">
                <a:effectLst/>
                <a:latin typeface="Times New Roman" pitchFamily="18" charset="0"/>
                <a:cs typeface="Times New Roman" pitchFamily="18" charset="0"/>
              </a:rPr>
              <a:t>Average Rental Price by Kost Type</a:t>
            </a:r>
            <a:endParaRPr lang="id-ID" sz="1200">
              <a:effectLst/>
              <a:latin typeface="Times New Roman" pitchFamily="18" charset="0"/>
              <a:cs typeface="Times New Roman" pitchFamily="18" charset="0"/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no.5!$B$3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no.5!$A$4:$A$7</c:f>
              <c:strCache>
                <c:ptCount val="3"/>
                <c:pt idx="0">
                  <c:v>Kos Campur</c:v>
                </c:pt>
                <c:pt idx="1">
                  <c:v>Kos Putra</c:v>
                </c:pt>
                <c:pt idx="2">
                  <c:v>Kos Putri</c:v>
                </c:pt>
              </c:strCache>
            </c:strRef>
          </c:cat>
          <c:val>
            <c:numRef>
              <c:f>no.5!$B$4:$B$7</c:f>
              <c:numCache>
                <c:formatCode>General</c:formatCode>
                <c:ptCount val="3"/>
                <c:pt idx="0">
                  <c:v>1787935.1121914734</c:v>
                </c:pt>
                <c:pt idx="1">
                  <c:v>1237755.50390625</c:v>
                </c:pt>
                <c:pt idx="2">
                  <c:v>1538488.7368421052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72960"/>
        <c:axId val="194074496"/>
      </c:barChart>
      <c:catAx>
        <c:axId val="194072960"/>
        <c:scaling>
          <c:orientation val="minMax"/>
        </c:scaling>
        <c:delete val="0"/>
        <c:axPos val="b"/>
        <c:majorTickMark val="out"/>
        <c:minorTickMark val="none"/>
        <c:tickLblPos val="nextTo"/>
        <c:crossAx val="194074496"/>
        <c:crosses val="autoZero"/>
        <c:auto val="1"/>
        <c:lblAlgn val="ctr"/>
        <c:lblOffset val="100"/>
        <c:noMultiLvlLbl val="0"/>
      </c:catAx>
      <c:valAx>
        <c:axId val="194074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072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[Mamikos Jabodetabek Data1.xlsx]Sheet5!PivotTable5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  <a:latin typeface="Times New Roman" pitchFamily="18" charset="0"/>
                <a:cs typeface="Times New Roman" pitchFamily="18" charset="0"/>
              </a:rPr>
              <a:t>Number of Kost Listings by Kost Type</a:t>
            </a:r>
            <a:endParaRPr lang="id-ID" sz="1200">
              <a:effectLst/>
              <a:latin typeface="Times New Roman" pitchFamily="18" charset="0"/>
              <a:cs typeface="Times New Roman" pitchFamily="18" charset="0"/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Sheet5!$A$4:$A$7</c:f>
              <c:strCache>
                <c:ptCount val="3"/>
                <c:pt idx="0">
                  <c:v>Kos Campur</c:v>
                </c:pt>
                <c:pt idx="1">
                  <c:v>Kos Putra</c:v>
                </c:pt>
                <c:pt idx="2">
                  <c:v>Kos Putri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1337</c:v>
                </c:pt>
                <c:pt idx="1">
                  <c:v>256</c:v>
                </c:pt>
                <c:pt idx="2">
                  <c:v>760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164992"/>
        <c:axId val="194170880"/>
      </c:barChart>
      <c:catAx>
        <c:axId val="194164992"/>
        <c:scaling>
          <c:orientation val="minMax"/>
        </c:scaling>
        <c:delete val="0"/>
        <c:axPos val="b"/>
        <c:majorTickMark val="out"/>
        <c:minorTickMark val="none"/>
        <c:tickLblPos val="nextTo"/>
        <c:crossAx val="194170880"/>
        <c:crosses val="autoZero"/>
        <c:auto val="1"/>
        <c:lblAlgn val="ctr"/>
        <c:lblOffset val="100"/>
        <c:noMultiLvlLbl val="0"/>
      </c:catAx>
      <c:valAx>
        <c:axId val="194170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164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217833</xdr:colOff>
      <xdr:row>2</xdr:row>
      <xdr:rowOff>156128</xdr:rowOff>
    </xdr:from>
    <xdr:to>
      <xdr:col>10</xdr:col>
      <xdr:colOff>522633</xdr:colOff>
      <xdr:row>17</xdr:row>
      <xdr:rowOff>41828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876300</xdr:colOff>
      <xdr:row>6</xdr:row>
      <xdr:rowOff>28575</xdr:rowOff>
    </xdr:from>
    <xdr:to>
      <xdr:col>10</xdr:col>
      <xdr:colOff>190500</xdr:colOff>
      <xdr:row>20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285749</xdr:colOff>
      <xdr:row>2</xdr:row>
      <xdr:rowOff>85725</xdr:rowOff>
    </xdr:from>
    <xdr:to>
      <xdr:col>13</xdr:col>
      <xdr:colOff>342900</xdr:colOff>
      <xdr:row>20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95250</xdr:rowOff>
    </xdr:from>
    <xdr:to>
      <xdr:col>12</xdr:col>
      <xdr:colOff>381000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Z" refreshedDate="46292.533306712961" createdVersion="4" refreshedVersion="4" minRefreshableVersion="3" recordCount="2355">
  <cacheSource type="worksheet">
    <worksheetSource ref="A1:P2356" sheet="Jabodetabek"/>
  </cacheSource>
  <cacheFields count="16">
    <cacheField name="room_name" numFmtId="0">
      <sharedItems containsBlank="1"/>
    </cacheField>
    <cacheField name="region" numFmtId="0">
      <sharedItems containsBlank="1" count="11">
        <s v="Bogor"/>
        <s v="Depok"/>
        <s v="Tangerang Selatan"/>
        <s v="Jakarta Barat"/>
        <s v="Jakarta Utara"/>
        <s v="Jakarta Selatan"/>
        <s v="Tangerang"/>
        <s v="Bekasi"/>
        <s v="Jakarta Timur"/>
        <s v="Jakarta Pusat"/>
        <m/>
      </sharedItems>
    </cacheField>
    <cacheField name="location" numFmtId="0">
      <sharedItems containsBlank="1" count="202">
        <s v="Babakan Madang"/>
        <s v="Cinere"/>
        <s v="Kecamatan Pondok Aren"/>
        <s v="Kecamatan Serpong Utara"/>
        <s v="Palmerah"/>
        <s v="Tanjung Priok"/>
        <s v="Kebayoran Baru"/>
        <s v="Cilandak"/>
        <s v="Kecamatan Ciputat Timur"/>
        <s v="Limo"/>
        <s v="Kecamatan Tanjung Priok"/>
        <s v="Bojongsari"/>
        <s v="Penjaringan"/>
        <s v="Grogol Petamburan"/>
        <s v="Kebon Jeruk"/>
        <s v="Beji"/>
        <s v="Kecamatan Beji"/>
        <s v="Kecamatan Pinang"/>
        <s v="Serpong"/>
        <s v="Cikarang Barat"/>
        <s v="Cisauk"/>
        <s v="Kecamatan Setu"/>
        <s v="Tangerang"/>
        <s v="Kecamatan Dramaga"/>
        <s v="Benda"/>
        <s v="Cipayung"/>
        <s v="Karang Tengah"/>
        <s v="Cikarang Selatan"/>
        <s v="Pasar Rebo"/>
        <s v="Pondok Aren"/>
        <s v="Kecamatan Caringin"/>
        <s v="Cileungsi"/>
        <s v="Pulo Gadung"/>
        <s v="Kecamatan Cikarang Utara"/>
        <s v="Kecamatan Neglasari"/>
        <s v="Cibinong"/>
        <s v="Kecamatan Koja"/>
        <s v="Ciracas"/>
        <s v="Kemayoran"/>
        <s v="Duren Sawit"/>
        <s v="Jagakarsa"/>
        <s v="Senen"/>
        <s v="Tanah Abang"/>
        <s v="Pasar Minggu"/>
        <s v="SETIA BUDI"/>
        <s v="Makasar"/>
        <s v="Cimanggis"/>
        <s v="Kramat Jati"/>
        <s v="Cakung"/>
        <s v="Cilincing"/>
        <s v="Johar Baru"/>
        <s v="Cempaka Putih"/>
        <s v="Ciputat Timur"/>
        <s v="Cengkareng"/>
        <s v="Pamulang"/>
        <s v="Pancoran"/>
        <s v="Kecamatan Kemayoran"/>
        <s v="Kebayoran Lama"/>
        <s v="Jatinegara"/>
        <s v="Sawah Besar"/>
        <s v="Jati Uwung"/>
        <s v="Kecamatan Kebon Jeruk"/>
        <s v="Gambir"/>
        <s v="Jakarta"/>
        <s v="Kecamatan Tebet"/>
        <s v="Ciputat"/>
        <s v="Kecamatan Cempaka Putih"/>
        <s v="Mampang Prapatan"/>
        <s v="Kecamatan Senen"/>
        <s v="Kecamatan Jagakarsa"/>
        <s v="Setu"/>
        <s v="Kembangan"/>
        <s v="Matraman"/>
        <s v="Dramaga"/>
        <s v="Larangan"/>
        <s v="Kecamatan Ciawi"/>
        <s v="Ciawi"/>
        <s v="Kecamatan Pamulang"/>
        <s v="Cikarang Utara"/>
        <s v="Kecamatan Kelapa Gading"/>
        <s v="Kecamatan Babakan Madang"/>
        <s v="Periuk"/>
        <s v="Kecamatan Grogol Petamburan"/>
        <s v="Kecamatan Matraman"/>
        <s v="Kecamatan Sukmajaya"/>
        <s v="Kecamatan Ciampea"/>
        <s v="Jatisampurna"/>
        <s v="Kecamatan Larangan"/>
        <s v="Pademangan"/>
        <s v="Kecamatan Gunung Putri"/>
        <s v="Kecamatan Tangerang"/>
        <s v="Cikarang Timur"/>
        <s v="Cibodas"/>
        <s v="Koja"/>
        <s v="Kecamatan Pulo Gadung"/>
        <s v="Gunung Putri"/>
        <s v="Kecamatan Cibinong"/>
        <s v="Cipondoh"/>
        <s v="Kecamatan Cipondoh"/>
        <s v="Kecamatan Tapos"/>
        <s v="Kecamatan Cikarang Pusat"/>
        <s v="Kecamatan Tambun Selatan"/>
        <s v="Bojong Gede"/>
        <s v="Kecamatan Ciputat"/>
        <s v="Kecamatan Palmerah"/>
        <s v="Pinang"/>
        <s v="Kecamatan Serpong"/>
        <s v="Sukaraja"/>
        <s v="Kecamatan Cikarang Barat"/>
        <s v="Citeureup"/>
        <s v="Cibitung"/>
        <s v="Kelapa Gading"/>
        <s v="Kecamatan Cikarang Timur"/>
        <s v="Tambun Selatan"/>
        <s v="Kecamatan Cimanggis"/>
        <s v="Kecamatan Duren Sawit"/>
        <s v="Karawaci"/>
        <s v="Ciampea"/>
        <s v="Cikarang Pusat"/>
        <s v="Kecamatan Cakung"/>
        <s v="Cibungbulang"/>
        <s v="Kecamatan Karang Tengah"/>
        <s v="Kecamatan Benda"/>
        <s v="Kecamatan Pasar Rebo"/>
        <s v="Kecamatan Cinere"/>
        <s v="Menteng"/>
        <s v="Kecamatan Gunung Sindur"/>
        <s v="Kecamatan Menteng"/>
        <s v="Kecamatan Cileungsi"/>
        <s v="Kecamatan Cibodas"/>
        <s v="Kalideres"/>
        <s v="Kecamatan Kalideres"/>
        <s v="Sukma Jaya"/>
        <s v="Kecamatan Kembangan"/>
        <s v="Karangtengah"/>
        <s v="Kecamatan Gambir"/>
        <s v="Kecamatan Taman Sari"/>
        <s v="Kemang"/>
        <s v="Kecamatan Limo"/>
        <s v="Kecamatan Parung Panjang"/>
        <s v="Kecamatan Ciledug"/>
        <s v="Kecamatan Karawaci"/>
        <s v="Ciomas"/>
        <s v="Sukmajaya"/>
        <s v="Neglasari"/>
        <s v="Kecamatan Cilincing"/>
        <s v="Pedurungan"/>
        <s v="Ciledug"/>
        <s v="Kecamatan Bojonggede"/>
        <s v="Taman Sari"/>
        <s v="Cilodong"/>
        <s v="Tajur Halang"/>
        <s v="Kecamatan Periuk"/>
        <s v="Tapos"/>
        <s v="Tanjung Pandan"/>
        <s v="Babelan"/>
        <s v="Kecamatan Penjaringan"/>
        <s v="Kecamatan Batuceper"/>
        <s v="Kecamatan Pademangan"/>
        <s v="Gunung Sindur"/>
        <s v="Bekasi Utara"/>
        <s v="Kecamatan Citeureup"/>
        <s v="Kecamatan Sawah Besar"/>
        <s v="Kecamatan Kramat jati"/>
        <s v="Kecamatan Sukaraja"/>
        <s v="Batuceper"/>
        <s v="Kecamatan Pesanggrahan"/>
        <s v="Tambun Utara"/>
        <s v="Kecamatan Tenjo"/>
        <s v="Kecamatan Cengkareng"/>
        <s v="Pancoran Mas"/>
        <s v="Kecamatan Pancoran Mas"/>
        <s v="Kecamatan Cilandak"/>
        <s v="Kecamatan Bojong Gede"/>
        <s v="Kecamatan Jatiuwung"/>
        <s v="Kecamatan Tambun Utara"/>
        <s v="Kecamatan Cipayung"/>
        <s v="Parung"/>
        <s v="Kecamatan Mampang Prapatan"/>
        <s v="Sawangan"/>
        <s v="Kecamatan Johar Baru"/>
        <s v="Serpong Utara"/>
        <s v="Kecamatan Kebayoran Baru"/>
        <s v="Kecamatan Tarumajaya"/>
        <s v="Kali Deres"/>
        <s v="Kecamatan Setiabudi"/>
        <s v="Kecamatan Tanah Abang"/>
        <s v="Pesanggrahan"/>
        <s v="Kecamatan Kebayoran Lama"/>
        <s v="Tebet"/>
        <s v="Kecamatan Pancoran"/>
        <s v="Tambora"/>
        <s v="Setiabudi"/>
        <s v="Parung Panjang"/>
        <s v="Kelapa Dua"/>
        <s v="Kecamatan Babelan"/>
        <s v="Kecamatan Bojongsari"/>
        <s v="Kecamatan Serang Baru"/>
        <s v="Tamansari"/>
        <s v="Jonggol"/>
        <s v="Tambelang"/>
        <m/>
      </sharedItems>
    </cacheField>
    <cacheField name="room sizem^2" numFmtId="0">
      <sharedItems containsBlank="1" containsMixedTypes="1" containsNumber="1" minValue="1.5" maxValue="2326"/>
    </cacheField>
    <cacheField name="room_size" numFmtId="0">
      <sharedItems containsBlank="1"/>
    </cacheField>
    <cacheField name="is_electricity_included" numFmtId="0">
      <sharedItems containsBlank="1"/>
    </cacheField>
    <cacheField name="beforediscount_clean" numFmtId="0">
      <sharedItems containsBlank="1" containsMixedTypes="1" containsNumber="1" containsInteger="1" minValue="621" maxValue="4525000"/>
    </cacheField>
    <cacheField name="price_before_discount_bs" numFmtId="0">
      <sharedItems containsBlank="1"/>
    </cacheField>
    <cacheField name="all_facilities_bs" numFmtId="0">
      <sharedItems containsBlank="1" longText="1"/>
    </cacheField>
    <cacheField name="price_clean" numFmtId="0">
      <sharedItems containsMixedTypes="1" containsNumber="1" containsInteger="1" minValue="2353" maxValue="12300000"/>
    </cacheField>
    <cacheField name="price" numFmtId="0">
      <sharedItems containsMixedTypes="1" containsNumber="1" containsInteger="1" minValue="0" maxValue="0"/>
    </cacheField>
    <cacheField name="rating_clean" numFmtId="0">
      <sharedItems containsString="0" containsBlank="1" containsNumber="1" minValue="0" maxValue="0.20833333333333334"/>
    </cacheField>
    <cacheField name="rating" numFmtId="0">
      <sharedItems containsDate="1" containsBlank="1" containsMixedTypes="1" minDate="1899-12-30T01:00:00" maxDate="1899-12-30T05:00:00"/>
    </cacheField>
    <cacheField name="tipe_kos" numFmtId="0">
      <sharedItems containsBlank="1"/>
    </cacheField>
    <cacheField name="discount_clean" numFmtId="0">
      <sharedItems containsNonDate="0" containsString="0" containsBlank="1"/>
    </cacheField>
    <cacheField name="discount_amou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NZ" refreshedDate="46292.550442939813" createdVersion="4" refreshedVersion="4" minRefreshableVersion="3" recordCount="2358">
  <cacheSource type="worksheet">
    <worksheetSource ref="A1:P2359" sheet="Jabodetabek"/>
  </cacheSource>
  <cacheFields count="16">
    <cacheField name="room_name" numFmtId="0">
      <sharedItems containsBlank="1"/>
    </cacheField>
    <cacheField name="region" numFmtId="0">
      <sharedItems containsBlank="1" count="11">
        <s v="Bogor"/>
        <s v="Depok"/>
        <s v="Tangerang Selatan"/>
        <s v="Jakarta Barat"/>
        <s v="Jakarta Utara"/>
        <s v="Jakarta Selatan"/>
        <s v="Tangerang"/>
        <s v="Bekasi"/>
        <s v="Jakarta Timur"/>
        <s v="Jakarta Pusat"/>
        <m/>
      </sharedItems>
    </cacheField>
    <cacheField name="location" numFmtId="0">
      <sharedItems containsBlank="1"/>
    </cacheField>
    <cacheField name="room sizem^2" numFmtId="0">
      <sharedItems containsBlank="1" containsMixedTypes="1" containsNumber="1" minValue="1.5" maxValue="2326"/>
    </cacheField>
    <cacheField name="room_size" numFmtId="0">
      <sharedItems containsBlank="1"/>
    </cacheField>
    <cacheField name="is_electricity_included" numFmtId="0">
      <sharedItems containsBlank="1"/>
    </cacheField>
    <cacheField name="beforediscount_clean" numFmtId="0">
      <sharedItems containsBlank="1" containsMixedTypes="1" containsNumber="1" containsInteger="1" minValue="621" maxValue="4525000"/>
    </cacheField>
    <cacheField name="price_before_discount_bs" numFmtId="0">
      <sharedItems containsBlank="1"/>
    </cacheField>
    <cacheField name="all_facilities_bs" numFmtId="0">
      <sharedItems containsBlank="1" longText="1"/>
    </cacheField>
    <cacheField name="price_clean" numFmtId="0">
      <sharedItems containsMixedTypes="1" containsNumber="1" minValue="2353" maxValue="12300000" count="492">
        <n v="950000"/>
        <n v="1100000"/>
        <n v="700000"/>
        <n v="1500000"/>
        <n v="2200000"/>
        <n v="1350000"/>
        <n v="3100000"/>
        <n v="3500000"/>
        <n v="3800000"/>
        <n v="4000000"/>
        <n v="750000"/>
        <n v="1400000"/>
        <n v="850000"/>
        <n v="1600000"/>
        <n v="800000"/>
        <n v="2180000"/>
        <n v="880000"/>
        <n v="650000"/>
        <n v="1300000"/>
        <n v="1800000"/>
        <n v="1250000"/>
        <n v="1450000"/>
        <n v="2500000"/>
        <n v="1200000"/>
        <n v="1495000"/>
        <n v="1850000"/>
        <n v="2100000"/>
        <n v="2000000"/>
        <n v="1000000"/>
        <n v="500000"/>
        <n v="1150000"/>
        <n v="600000"/>
        <n v="2600000"/>
        <n v="2400000"/>
        <n v="1325000"/>
        <n v="855000"/>
        <n v="1235000"/>
        <n v="1140000"/>
        <n v="760000"/>
        <n v="927500"/>
        <n v="1083000"/>
        <n v="1037000"/>
        <n v="975000"/>
        <n v="925000"/>
        <n v="1725000"/>
        <n v="825000"/>
        <n v="1355000"/>
        <n v="650600"/>
        <n v="1380000"/>
        <n v="1196000"/>
        <n v="1279000"/>
        <n v="2025000"/>
        <n v="1875000"/>
        <n v="1681000"/>
        <n v="1375000"/>
        <n v="811440"/>
        <n v="1225000"/>
        <n v="693000"/>
        <n v="1525000"/>
        <n v="970000"/>
        <n v="835000"/>
        <n v="853000"/>
        <n v="745000"/>
        <n v="1275000"/>
        <n v="1615000"/>
        <n v="1012000"/>
        <n v="775000"/>
        <n v="1070000"/>
        <n v="1307500"/>
        <n v="623500"/>
        <n v="1313000"/>
        <n v="991000"/>
        <n v="799250"/>
        <n v="1212500"/>
        <n v="875000"/>
        <n v="807000"/>
        <n v="785000"/>
        <n v="709000"/>
        <n v="1625000"/>
        <n v="1175000"/>
        <n v="1075000"/>
        <n v="1221000"/>
        <n v="945000"/>
        <n v="2605000"/>
        <n v="1129000"/>
        <n v="1345000"/>
        <n v="1165000"/>
        <n v="577000"/>
        <n v="439000"/>
        <n v="1900000"/>
        <n v="1650000"/>
        <n v="1187500"/>
        <n v="1405000"/>
        <n v="952000"/>
        <n v="725000"/>
        <n v="899000"/>
        <n v="1105000"/>
        <n v="2003000"/>
        <n v="1022500"/>
        <n v="900000"/>
        <n v="1025000"/>
        <n v="669000"/>
        <n v="1475000"/>
        <n v="1640000"/>
        <n v="1865000"/>
        <n v="954000"/>
        <n v="920000"/>
        <n v="966000"/>
        <n v="1451000"/>
        <n v="870500"/>
        <n v="805000"/>
        <n v="1975000"/>
        <n v="1690000"/>
        <n v="1357500"/>
        <n v="826000"/>
        <n v="1492000"/>
        <n v="1195000"/>
        <n v="1045000"/>
        <n v="1710000"/>
        <n v="902500"/>
        <n v="1757500"/>
        <n v="708560"/>
        <n v="1440000"/>
        <n v="1288000"/>
        <n v="1170000"/>
        <n v="1125000"/>
        <n v="1425000"/>
        <n v="1252000"/>
        <n v="707640"/>
        <n v="1015000"/>
        <n v="565000"/>
        <n v="1060000"/>
        <n v="1203000"/>
        <n v="1298000"/>
        <n v="1535500"/>
        <n v="1583000"/>
        <n v="810000"/>
        <n v="1733100"/>
        <n v="1323000"/>
        <n v="923000"/>
        <n v="810700"/>
        <n v="2685000"/>
        <n v="1830000"/>
        <n v="1735000"/>
        <n v="1117500"/>
        <n v="807500"/>
        <n v="712500"/>
        <n v="1260000"/>
        <n v="1155000"/>
        <n v="761000"/>
        <n v="738000"/>
        <n v="1315000"/>
        <n v="1635000"/>
        <n v="2125000"/>
        <n v="1825000"/>
        <n v="1273000"/>
        <n v="1085160"/>
        <n v="974000"/>
        <n v="674000"/>
        <n v="612000"/>
        <n v="623000"/>
        <n v="1217900"/>
        <n v="1220840"/>
        <n v="1700000"/>
        <n v="2480000"/>
        <n v="2150000"/>
        <n v="1750000"/>
        <n v="1550000"/>
        <n v="1150001"/>
        <n v="2550000"/>
        <n v="2250000"/>
        <n v="1430000"/>
        <n v="1980000"/>
        <n v="3400000"/>
        <n v="2499000"/>
        <n v="610000"/>
        <n v="2300000"/>
        <n v="550000"/>
        <n v="1950000"/>
        <n v="2599999"/>
        <n v="2800000"/>
        <n v="1399000"/>
        <n v="2900000"/>
        <n v="1230000"/>
        <n v="1120000"/>
        <n v="1880000"/>
        <n v="3000000"/>
        <n v="535000"/>
        <n v="525000"/>
        <n v="2350000"/>
        <n v="1050000"/>
        <n v="1435000"/>
        <n v="3750000"/>
        <n v="4250000"/>
        <n v="2750000"/>
        <n v="4500000"/>
        <n v="4400000"/>
        <n v="3250000"/>
        <n v="4100000"/>
        <n v="2700000"/>
        <n v="3700000"/>
        <n v="2070000"/>
        <n v="1760000"/>
        <n v="1960000"/>
        <n v="2650000"/>
        <n v="780000"/>
        <n v="1004999"/>
        <n v="3001500"/>
        <n v="2399000"/>
        <n v="1699000"/>
        <n v="2450000"/>
        <n v="3200000"/>
        <n v="2850000"/>
        <n v="860000"/>
        <n v="1020000"/>
        <n v="960000"/>
        <n v="1490000"/>
        <n v="450000"/>
        <n v="895000"/>
        <n v="1770000"/>
        <n v="2945000"/>
        <n v="2470000"/>
        <n v="2755000"/>
        <n v="1110000"/>
        <n v="1599958"/>
        <n v="670000"/>
        <n v="615000"/>
        <n v="3300000"/>
        <n v="1925000"/>
        <n v="2370000"/>
        <n v="2380000"/>
        <n v="885000"/>
        <n v="2225000"/>
        <n v="2325000"/>
        <n v="695000"/>
        <n v="1370000"/>
        <n v="965000"/>
        <n v="2999000"/>
        <n v="2050000"/>
        <n v="6499000"/>
        <n v="865000"/>
        <n v="4700000"/>
        <n v="3650000"/>
        <n v="1675000"/>
        <n v="1035000"/>
        <n v="1040000"/>
        <n v="1399999"/>
        <n v="1005000"/>
        <n v="898000"/>
        <n v="1065000"/>
        <n v="1507500"/>
        <n v="560000"/>
        <n v="710000"/>
        <n v="820000"/>
        <n v="609999"/>
        <n v="4200000"/>
        <n v="495000"/>
        <n v="2233000"/>
        <n v="1957000"/>
        <n v="1727000"/>
        <n v="2525000"/>
        <n v="1911000"/>
        <n v="1652500"/>
        <n v="1406000"/>
        <n v="1282500"/>
        <n v="2141000"/>
        <n v="1156600"/>
        <n v="1240000"/>
        <n v="1402500"/>
        <n v="1995000"/>
        <n v="1393000"/>
        <n v="1267000"/>
        <n v="1621000"/>
        <n v="1222000"/>
        <n v="1303000"/>
        <n v="1915000"/>
        <n v="1545000"/>
        <n v="3025000"/>
        <n v="2725000"/>
        <n v="2575000"/>
        <n v="2495000"/>
        <n v="2375000"/>
        <n v="2162500"/>
        <n v="2067500"/>
        <n v="3350000"/>
        <n v="1526000"/>
        <n v="2175000"/>
        <n v="1080000"/>
        <n v="1622500"/>
        <n v="1510000"/>
        <n v="1953500"/>
        <n v="2020000"/>
        <n v="2590000"/>
        <n v="2995000"/>
        <n v="1078000"/>
        <n v="790000"/>
        <n v="3365000"/>
        <n v="2463000"/>
        <n v="2775000"/>
        <n v="1948750"/>
        <n v="2425000"/>
        <n v="2257500"/>
        <n v="2509000"/>
        <n v="2055000"/>
        <n v="2455000"/>
        <n v="2875000"/>
        <n v="1972500"/>
        <n v="1104000"/>
        <n v="1877500"/>
        <n v="3245000"/>
        <n v="2075000"/>
        <n v="2115000"/>
        <n v="1775000"/>
        <n v="1701000"/>
        <n v="1445000"/>
        <n v="1805000"/>
        <n v="2248000"/>
        <n v="1395000"/>
        <n v="1255000"/>
        <n v="3153000"/>
        <n v="2675000"/>
        <n v="3825000"/>
        <n v="3525000"/>
        <n v="3225000"/>
        <n v="4165000"/>
        <n v="2845000"/>
        <n v="3682500"/>
        <n v="3625000"/>
        <n v="1592500"/>
        <n v="1842000"/>
        <n v="1906000"/>
        <n v="2691000"/>
        <n v="3312000"/>
        <n v="2992500"/>
        <n v="1589000"/>
        <n v="4075000"/>
        <n v="2187000"/>
        <n v="2305000"/>
        <n v="2275000"/>
        <n v="2293000"/>
        <n v="3160000"/>
        <n v="2210000"/>
        <n v="1782500"/>
        <n v="1465000"/>
        <n v="3325000"/>
        <n v="1895000"/>
        <n v="1591250"/>
        <n v="2113750"/>
        <n v="2921250"/>
        <n v="2369000"/>
        <n v="3266000"/>
        <n v="1687500"/>
        <n v="1497500"/>
        <n v="2072500"/>
        <n v="2405000"/>
        <n v="2630000"/>
        <n v="2730000"/>
        <n v="3680000"/>
        <n v="1855000"/>
        <n v="2944000"/>
        <n v="2760000"/>
        <n v="3375000"/>
        <n v="3175000"/>
        <n v="2825000"/>
        <n v="1402000"/>
        <n v="2545000"/>
        <n v="1645000"/>
        <n v="2647000"/>
        <n v="916000"/>
        <n v="2959800"/>
        <n v="2705000"/>
        <n v="2827500"/>
        <n v="3425000"/>
        <n v="1678000"/>
        <n v="1184200"/>
        <n v="1215000"/>
        <n v="3775000"/>
        <n v="1432600"/>
        <n v="1771000"/>
        <n v="2770000"/>
        <n v="2135000"/>
        <n v="3065000"/>
        <n v="3445000"/>
        <n v="2095000"/>
        <n v="2877000"/>
        <n v="2732500"/>
        <n v="1773000"/>
        <n v="1359000"/>
        <n v="1610000"/>
        <n v="1426000"/>
        <n v="3587500"/>
        <n v="2780000"/>
        <n v="3875000"/>
        <n v="3675000"/>
        <n v="3255000"/>
        <n v="2417000"/>
        <n v="2613750"/>
        <n v="2785000"/>
        <n v="1331400"/>
        <n v="1763500"/>
        <n v="1809800"/>
        <n v="1792000"/>
        <n v="1456000"/>
        <n v="1379500"/>
        <n v="2049000"/>
        <n v="2475000"/>
        <n v="3085000"/>
        <n v="2185000"/>
        <n v="1575000"/>
        <n v="2232500"/>
        <n v="2090000"/>
        <n v="1543000"/>
        <n v="2285000"/>
        <n v="1497000"/>
        <n v="2365000"/>
        <n v="2905000"/>
        <n v="2637500"/>
        <n v="1420000"/>
        <n v="1555000"/>
        <n v="3274000"/>
        <n v="2739000"/>
        <n v="2159400"/>
        <n v="1564000"/>
        <n v="1386600"/>
        <n v="1636000"/>
        <n v="1991500"/>
        <n v="1285000"/>
        <n v="2925000"/>
        <n v="2258000"/>
        <n v="2352500"/>
        <n v="2542500"/>
        <n v="1820500"/>
        <n v="1940200"/>
        <n v="1185000"/>
        <n v="1839500"/>
        <n v="1754000"/>
        <n v="3105000"/>
        <n v="2985000"/>
        <n v="3505000"/>
        <n v="3815000"/>
        <n v="2447500"/>
        <n v="4205000"/>
        <n v="3530500"/>
        <n v="2360000"/>
        <n v="1585000"/>
        <n v="1595000"/>
        <n v="1384000"/>
        <n v="2635000"/>
        <n v="3575000"/>
        <n v="1556800"/>
        <n v="1391200"/>
        <n v="1530000"/>
        <n v="1656000"/>
        <n v="1745400"/>
        <n v="2005000"/>
        <n v="3135000"/>
        <n v="2422500"/>
        <n v="2130000"/>
        <n v="1520000"/>
        <n v="1945000"/>
        <n v="1751000"/>
        <n v="1620000"/>
        <n v="1807000"/>
        <n v="1421500"/>
        <n v="3150000"/>
        <n v="3205000"/>
        <n v="3095000"/>
        <n v="2722500"/>
        <n v="2610000"/>
        <n v="2295000"/>
        <n v="2116000"/>
        <n v="2969000"/>
        <n v="2693000"/>
        <n v="2582600"/>
        <n v="1999000"/>
        <n v="1899000"/>
        <n v="3850000"/>
        <n v="1330000"/>
        <n v="703250"/>
        <n v="715000"/>
        <n v="3050000"/>
        <n v="1499999"/>
        <n v="3600000"/>
        <n v="675000"/>
        <n v="515000"/>
        <n v="6800000"/>
        <n v="485000"/>
        <n v="12300000"/>
        <n v="4600000"/>
        <b v="1"/>
        <n v="2353"/>
        <n v="1647238.8269970098"/>
      </sharedItems>
    </cacheField>
    <cacheField name="price" numFmtId="0">
      <sharedItems containsBlank="1" containsMixedTypes="1" containsNumber="1" containsInteger="1" minValue="0" maxValue="0"/>
    </cacheField>
    <cacheField name="rating_clean" numFmtId="0">
      <sharedItems containsString="0" containsBlank="1" containsNumber="1" minValue="0" maxValue="0.20833333333333334" count="28">
        <n v="0"/>
        <n v="4.1666666666666664E-2"/>
        <n v="0.17222222222222225"/>
        <n v="0.20833333333333334"/>
        <n v="0.1673611111111111"/>
        <n v="0.16666666666666666"/>
        <n v="0.17083333333333331"/>
        <n v="0.12916666666666668"/>
        <n v="0.17291666666666669"/>
        <n v="0.1277777777777778"/>
        <n v="0.17013888888888887"/>
        <n v="0.13055555555555556"/>
        <n v="0.16944444444444443"/>
        <n v="0.16874999999999998"/>
        <n v="0.12847222222222224"/>
        <n v="0.12569444444444444"/>
        <n v="8.6805555555555566E-2"/>
        <n v="0.13125000000000001"/>
        <n v="4.7916666666666663E-2"/>
        <n v="8.9583333333333334E-2"/>
        <n v="8.4027777777777771E-2"/>
        <n v="8.3333333333333329E-2"/>
        <n v="4.5138888888888888E-2"/>
        <n v="4.3750000000000004E-2"/>
        <n v="0.125"/>
        <n v="0.12708333333333333"/>
        <n v="4.4444444444444446E-2"/>
        <m/>
      </sharedItems>
    </cacheField>
    <cacheField name="rating" numFmtId="0">
      <sharedItems containsDate="1" containsBlank="1" containsMixedTypes="1" minDate="1899-12-30T01:00:00" maxDate="1899-12-30T05:00:00"/>
    </cacheField>
    <cacheField name="tipe_kos" numFmtId="0">
      <sharedItems containsBlank="1" count="4">
        <s v="Kos Campur"/>
        <s v="Kos Putra"/>
        <s v="Kos Putri"/>
        <m/>
      </sharedItems>
    </cacheField>
    <cacheField name="discount_clean" numFmtId="0">
      <sharedItems containsNonDate="0" containsString="0" containsBlank="1"/>
    </cacheField>
    <cacheField name="discount_amou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55">
  <r>
    <s v="Kost 0088 Tipe A Babakan Madang Bogor"/>
    <x v="0"/>
    <x v="0"/>
    <n v="12"/>
    <s v="3 x 4 meter"/>
    <s v="Termasuk listrik (implied)"/>
    <s v=""/>
    <s v="N/A"/>
    <s v="3 x 4 meter; Termasuk listrik; Kasur; Bantal; Guling; Jendela; K. Mandi Dalam; Kloset Duduk; Ember mandi; Shower; Dapur; Dispenser; Balcon; CCTV; Taman; Parkir Mobil; Parkir Motor; Parkir Sepeda; Parkir Motor &amp; Sepeda"/>
    <n v="950000"/>
    <s v="Rp950.000"/>
    <n v="0"/>
    <m/>
    <s v="Kos Campur"/>
    <m/>
    <m/>
  </r>
  <r>
    <s v="Kost 121 Cinere Depok"/>
    <x v="1"/>
    <x v="1"/>
    <n v="12"/>
    <s v="4 x 3 meter"/>
    <s v="Tidak termasuk listrik"/>
    <s v=""/>
    <s v="N/A"/>
    <s v="4 x 3 meter; Tidak termasuk listrik; AC; Kasur; Lemari Baju; Bantal; Cermin; K. Mandi Dalam; Kloset Duduk; Kloset Jongkok; Ember mandi; WiFi; R. Jemur; Balcon; CCTV; Jemuran; Pengurus Kos; Parkir Motor; Parkir Sepeda"/>
    <n v="1100000"/>
    <s v="Rp1.100.000"/>
    <n v="0"/>
    <m/>
    <s v="Kos Putra"/>
    <m/>
    <m/>
  </r>
  <r>
    <s v="Kost 126 Pondok Aren Tangerang Selatan"/>
    <x v="2"/>
    <x v="2"/>
    <n v="9"/>
    <s v="3 x 3 meter"/>
    <s v="Tidak termasuk listrik"/>
    <s v=""/>
    <s v="N/A"/>
    <s v="3 x 3 meter; Tidak termasuk listrik; AC; Kasur; Meja; Lemari Baju; Bantal; Jendela; K. Mandi Dalam; Kloset Jongkok; Ember mandi; WiFi; R. Jemur; Dispenser; Balcon; CCTV; Jemuran; Gazebo; Jual Makanan; Taman; Parkir Mobil; Parkir Motor"/>
    <n v="1100000"/>
    <s v="Rp1.100.000"/>
    <n v="0"/>
    <m/>
    <s v="Kos Putra"/>
    <m/>
    <m/>
  </r>
  <r>
    <s v="Kost 20088 Babakan Madang Bogor"/>
    <x v="0"/>
    <x v="0"/>
    <n v="12"/>
    <s v="3 x 4 meter"/>
    <s v="Termasuk listrik (implied)"/>
    <s v=""/>
    <s v="N/A"/>
    <s v="3 x 4 meter; Termasuk listrik; Kasur; Lemari Baju; Ventilasi; Bantal; Guling; Jendela; K. Mandi Dalam; Kloset Duduk; K. Mandi Luar; Ember mandi; Shower; R. Tamu; R. Jemur; R. Makan; R. Santai; Dispenser; CCTV; Jemuran; Pengurus Kos; Kartu Akses; Parkir Motor"/>
    <n v="700000"/>
    <s v="Rp700.000"/>
    <n v="0"/>
    <m/>
    <s v="Kos Campur"/>
    <m/>
    <m/>
  </r>
  <r>
    <s v="Kost 21 Alam Sutera Tipe A Serpong Utara Tangerang Selatan"/>
    <x v="2"/>
    <x v="3"/>
    <n v="6"/>
    <s v="2 x 3 meter"/>
    <s v="Termasuk listrik (implied)"/>
    <s v=""/>
    <s v="N/A"/>
    <s v="2 x 3 meter; Termasuk listrik; AC; Kasur; Lemari Baju; Bantal; Cermin; Cleaning service; Kloset Duduk; K. Mandi Luar; Wastafel; Shower; WiFi; Kulkas; Laundry; Dapur; Dispenser; Pengurus Kos; Parkir Mobil; Parkir Motor; Parkir Sepeda; Parkir Motor &amp; Sepeda"/>
    <n v="1500000"/>
    <s v="Rp1.500.000"/>
    <n v="4.1666666666666664E-2"/>
    <d v="1899-12-30T01:00:00"/>
    <s v="Kos Putra"/>
    <m/>
    <m/>
  </r>
  <r>
    <s v="Kost 21 Alam Sutera Tipe B Serpong Utara Tangerang Selatan"/>
    <x v="2"/>
    <x v="3"/>
    <n v="9"/>
    <s v="3 x 3 meter"/>
    <s v="Termasuk listrik (implied)"/>
    <s v=""/>
    <s v="N/A"/>
    <s v="3 x 3 meter; Termasuk listrik; AC; Kasur; Meja; Lemari Baju; Bantal; Cermin; Jendela; Kursi; Kloset Duduk; K. Mandi Luar; Wastafel; Shower; WiFi; Kulkas; Laundry; Dapur; Dispenser; Pengurus Kos; Parkir Mobil; Parkir Motor; Parkir Sepeda; Parkir Motor &amp; Sepeda"/>
    <n v="2200000"/>
    <s v="Rp2.200.000"/>
    <n v="0.17222222222222225"/>
    <d v="1899-12-30T04:08:00"/>
    <s v="Kos Putra"/>
    <m/>
    <m/>
  </r>
  <r>
    <s v="Kost 28 Pondoklabu Cinere Depok"/>
    <x v="1"/>
    <x v="1"/>
    <n v="16"/>
    <s v="4 x 4 meter"/>
    <s v="Tidak termasuk listrik"/>
    <s v=""/>
    <s v="N/A"/>
    <s v="4 x 4 meter; Tidak termasuk listrik; AC; Kasur; Meja; Lemari Baju; Bantal; Cermin; Guling; Jendela; K. Mandi Dalam; Kloset Duduk; Shower; WiFi; Penjaga Kos; R. Jemur; Dapur; CCTV; Jemuran; Parkir Motor; Parkir Sepeda"/>
    <n v="1350000"/>
    <s v="Rp1.350.000"/>
    <n v="0"/>
    <m/>
    <s v="Kos Putri"/>
    <m/>
    <m/>
  </r>
  <r>
    <s v="Kost 2nd Home Tipe Executive Palmerah Jakarta Barat"/>
    <x v="3"/>
    <x v="4"/>
    <n v="12"/>
    <s v="4 x 3 meter"/>
    <s v="Tidak termasuk listrik"/>
    <s v=""/>
    <s v="N/A"/>
    <s v="4 x 3 meter; Tidak termasuk listrik; AC; Kasur; Meja; Meja Rias; TV; Lemari Baju; Ventilasi; Bantal; Cermin; Cleaning service; K. Mandi Dalam; Kloset Duduk; Shower; Air panas; WiFi; Kulkas; Penjaga Kos; R. Jemur; R. Makan; R. Santai; Dapur; Dispenser; Balcon; CCTV; Parkir Motor; Parkir Motor &amp; Sepeda"/>
    <n v="3100000"/>
    <s v="Rp3.100.000"/>
    <n v="0.20833333333333334"/>
    <d v="1899-12-30T05:00:00"/>
    <s v="Kos Campur"/>
    <m/>
    <s v="Diskon 256rb"/>
  </r>
  <r>
    <s v="Kost 38 Lt3 Tanjung Priok Jakarta Utara"/>
    <x v="4"/>
    <x v="5"/>
    <n v="9"/>
    <s v="3 x 3 meter"/>
    <s v="Termasuk listrik (implied)"/>
    <s v=""/>
    <s v="N/A"/>
    <s v="3 x 3 meter; Termasuk listrik; Kasur; Meja; Kulkas; Lemari Baju; Ventilasi; Bantal; Cermin; Cleaning service; Jendela; Kipas Angin; Kloset Jongkok; K. Mandi Luar; Penjaga Kos; R. Jemur; Dapur; CCTV; Jemuran; Pengurus Kos"/>
    <n v="700000"/>
    <s v="Rp700.000"/>
    <n v="0.1673611111111111"/>
    <d v="1899-12-30T04:01:00"/>
    <s v="Kos Putra"/>
    <m/>
    <m/>
  </r>
  <r>
    <s v="Kost 3tranches Home SCBD Tipe A Kebayoran Baru Jakarta Selatan"/>
    <x v="5"/>
    <x v="6"/>
    <n v="15"/>
    <s v="3 x 5 meter"/>
    <s v="Tidak termasuk listrik"/>
    <s v=""/>
    <s v="N/A"/>
    <s v="3 x 5 meter; Tidak termasuk listrik; AC; Kasur; Meja; TV; Lemari Baju; Kursi; TV Kabel; Bantal; Cermin; Guling; K. Mandi Dalam; Kloset Duduk; Wastafel; Shower; Air panas; WiFi; Kulkas; R. Tamu; Laundry; R. Jemur; Dapur; Dispenser; CCTV; Pengurus Kos; Parkir Motor; Parkir Sepeda"/>
    <n v="3500000"/>
    <s v="Rp3.500.000"/>
    <n v="0.16666666666666666"/>
    <d v="1899-12-30T04:00:00"/>
    <s v="Kos Campur"/>
    <m/>
    <m/>
  </r>
  <r>
    <s v="Kost 3tranches Home Senopati Kebayoran Baru Jakarta Selatan"/>
    <x v="5"/>
    <x v="6"/>
    <n v="16"/>
    <s v="4 x 4 meter"/>
    <s v="Tidak termasuk listrik"/>
    <s v=""/>
    <s v="N/A"/>
    <s v="4 x 4 meter; Tidak termasuk listrik; AC; Kasur; TV; Kulkas; Lemari Baju; Bantal; Cermin; Guling; Jendela; Wastafel; K. Mandi Dalam; Shower; Air panas; WiFi; Dapur; Dispenser; CCTV; Pengurus Kos; Parkir Motor"/>
    <n v="3800000"/>
    <s v="Rp3.800.000"/>
    <n v="0.17083333333333331"/>
    <d v="1899-12-30T04:06:00"/>
    <s v="Kos Campur"/>
    <m/>
    <s v="Diskon 304rb"/>
  </r>
  <r>
    <s v="Kost 3tranches Home Tipe D Cilandak Jakarta Selatan"/>
    <x v="5"/>
    <x v="7"/>
    <n v="27.599999999999998"/>
    <s v="4.6 x 6 meter"/>
    <s v="Tidak termasuk listrik"/>
    <s v=""/>
    <s v="N/A"/>
    <s v="4.6 x 6 meter; Tidak termasuk listrik; AC; Kasur; Meja; TV; Lemari Baju; Bantal; Cermin; Dapur Pribadi; Guling; Jendela; K. Mandi Dalam; Kloset Duduk; Wastafel; Shower; Air panas; WiFi; Kulkas; R. Tamu; Penjaga Kos; Laundry; R. Jemur; R. Santai; Dapur; Dispenser; CCTV; Parkir Mobil; Parkir Motor; Parkir Sepeda"/>
    <n v="4000000"/>
    <s v="Rp4.000.000"/>
    <n v="0.12916666666666668"/>
    <d v="1899-12-30T03:06:00"/>
    <s v="Kos Campur"/>
    <m/>
    <s v="Diskon 193rb"/>
  </r>
  <r>
    <s v="Kost 44 Ciputat Timur Tangerang Selatan"/>
    <x v="2"/>
    <x v="8"/>
    <n v="9"/>
    <s v="3 x 3 meter"/>
    <s v="Termasuk listrik (implied)"/>
    <s v=""/>
    <s v="N/A"/>
    <s v="3 x 3 meter; Termasuk listrik; Kasur; Lemari Baju; Ventilasi; Bantal; Jendela; Kipas Angin; Kloset Jongkok; K. Mandi Luar; Ember mandi; WiFi; R. Tamu; R. Jemur; Dapur; CCTV; Jemuran; TV; Parkir Motor"/>
    <n v="750000"/>
    <s v="Rp750.000"/>
    <n v="0.20833333333333334"/>
    <d v="1899-12-30T05:00:00"/>
    <s v="Kos Putra"/>
    <m/>
    <m/>
  </r>
  <r>
    <s v="Kost 50 Tipe A Limo Depok"/>
    <x v="1"/>
    <x v="9"/>
    <n v="12"/>
    <s v="3 x 4 meter"/>
    <s v="Tidak termasuk listrik"/>
    <s v=""/>
    <s v="N/A"/>
    <s v="3 x 4 meter; Tidak termasuk listrik; AC; Kasur; Meja; Lemari Baju; Ventilasi; Kursi; Bantal; Guling; Jendela; Cermin; K. Mandi Dalam; Kloset Duduk; Ember mandi; Shower; WiFi; R. Cuci; Kulkas; R. Tamu; Mesin Cuci; Penjaga Kos; R. Makan; R. Jemur; R. Santai; Dapur; Parkir Mobil; Parkir Motor; Parkir Sepeda"/>
    <n v="1400000"/>
    <s v="Rp1.400.000"/>
    <n v="0"/>
    <m/>
    <s v="Kos Putri"/>
    <m/>
    <m/>
  </r>
  <r>
    <s v="Kost 93 Suites Primier Tanjung Priok Jakarta Utara"/>
    <x v="4"/>
    <x v="10"/>
    <n v="20"/>
    <s v="4 x 5 meter"/>
    <s v="Tidak termasuk listrik"/>
    <s v=""/>
    <s v="N/A"/>
    <s v="4 x 5 meter; Tidak termasuk listrik; AC; Kasur; Meja; TV; Meja Rias; Kulkas; Lemari Baju; Ventilasi; Bantal; Cermin; K. Mandi Dalam; Kloset Duduk; Wastafel; Shower; Air panas; WiFi; R. Tamu; Penjaga Kos; R. Makan; Dapur; Dispenser; CCTV; Kartu Akses; Pengurus Kos; Parkir Motor"/>
    <n v="3500000"/>
    <s v="Rp3.500.000"/>
    <n v="0"/>
    <m/>
    <s v="Kos Campur"/>
    <m/>
    <m/>
  </r>
  <r>
    <s v="Kost 93 Suites Standart 2 Tanjung Priok Jakarta Utara"/>
    <x v="4"/>
    <x v="10"/>
    <n v="12"/>
    <s v="3 x 4 meter"/>
    <s v="Tidak termasuk listrik"/>
    <s v=""/>
    <s v="N/A"/>
    <s v="3 x 4 meter; Tidak termasuk listrik; AC; Kasur; Meja; Lemari Baju; Bantal; Cermin; Guling; Jendela; Kursi; K. Mandi Dalam; Kloset Duduk; Wastafel; Shower; WiFi; Kulkas; R. Tamu; R. Makan; Dapur; Dispenser; CCTV; Kartu Akses; Pengurus Kos; Parkir Motor"/>
    <n v="2200000"/>
    <s v="Rp2.200.000"/>
    <n v="0.20833333333333334"/>
    <d v="1899-12-30T05:00:00"/>
    <s v="Kos Campur"/>
    <m/>
    <m/>
  </r>
  <r>
    <s v="Kost 99 Tipe B Pondok Aren Tangerang Selatan"/>
    <x v="2"/>
    <x v="2"/>
    <n v="10"/>
    <s v="2.5 x 4 meter"/>
    <s v="Tidak termasuk listrik"/>
    <s v=""/>
    <s v="N/A"/>
    <s v="2.5 x 4 meter; Tidak termasuk listrik; Kasur; Meja; Lemari Baju; Bantal; Jendela; Kursi; K. Mandi Dalam; Kloset Duduk; Ember mandi; WiFi; Kulkas; R. Tamu; R. Jemur; R. Makan; R. Santai; Dapur; Balcon; CCTV; Pengurus Kos; Parkir Motor"/>
    <n v="850000"/>
    <s v="Rp850.000"/>
    <n v="0.17291666666666669"/>
    <d v="1899-12-30T04:09:00"/>
    <s v="Kos Putra"/>
    <m/>
    <m/>
  </r>
  <r>
    <s v="Kost A21 Pondoklabu Cinere Depok"/>
    <x v="1"/>
    <x v="1"/>
    <n v="16"/>
    <s v="4 x 4 meter"/>
    <s v="Tidak termasuk listrik"/>
    <s v=""/>
    <s v="N/A"/>
    <s v="4 x 4 meter; Tidak termasuk listrik; AC; Kasur; Meja; Lemari Baju; Bantal; Guling; Jendela; Cermin; K. Mandi Dalam; Kloset Duduk; Shower; WiFi; Kulkas; R. Jemur; Dapur; Pengurus Kos; Jemuran; CCTV; Parkir Mobil; Parkir Motor; Parkir Sepeda"/>
    <n v="1600000"/>
    <s v="Rp1.600.000"/>
    <n v="0"/>
    <m/>
    <s v="Kos Putri"/>
    <m/>
    <m/>
  </r>
  <r>
    <s v="Kost Aamodini Tipe A Bojongsari Depok"/>
    <x v="1"/>
    <x v="11"/>
    <n v="12"/>
    <s v="3 x 4 meter"/>
    <s v="Termasuk listrik (implied)"/>
    <s v=""/>
    <s v="N/A"/>
    <s v="3 x 4 meter; Termasuk listrik; Kasur; Meja; Lemari Baju; Bantal; Cermin; Guling; Jendela; Kipas Angin; K. Mandi Dalam; Kloset Duduk; Kloset Jongkok; K. Mandi Luar; Bak mandi; WiFi; Kulkas; Mesin Cuci; R. Tamu; Mushola; R. Makan; R. Santai; Dapur; Balcon; CCTV; Parkir Mobil; Parkir Motor; Parkir Sepeda"/>
    <n v="700000"/>
    <s v="Rp700.000"/>
    <n v="0"/>
    <m/>
    <s v="Kos Campur"/>
    <m/>
    <m/>
  </r>
  <r>
    <s v="Kost Abah Penjaringan Jakarta Utara"/>
    <x v="4"/>
    <x v="12"/>
    <n v="6"/>
    <s v="3 x 2 meter"/>
    <s v="Termasuk listrik (implied)"/>
    <s v=""/>
    <s v="N/A"/>
    <s v="3 x 2 meter; Termasuk listrik; Lemari Baju; Kipas Angin; Ember mandi"/>
    <n v="800000"/>
    <s v="Rp800.000"/>
    <n v="0.1277777777777778"/>
    <d v="1899-12-30T03:04:00"/>
    <s v="Kos Campur"/>
    <m/>
    <m/>
  </r>
  <r>
    <s v="Kost Abas Babakan Madang Bogor"/>
    <x v="0"/>
    <x v="0"/>
    <n v="12"/>
    <s v="3 x 4 meter"/>
    <s v="Tidak termasuk listrik"/>
    <s v=""/>
    <s v="N/A"/>
    <s v="3 x 4 meter; Tidak termasuk listrik; AC; Kasur; Lemari Baju; Bantal; Jendela; Kloset Duduk; K. Mandi Luar; Ember mandi; Laundry; R. Jemur; Dispenser"/>
    <n v="700000"/>
    <s v="Rp700.000"/>
    <n v="0"/>
    <m/>
    <s v="Kos Putra"/>
    <m/>
    <m/>
  </r>
  <r>
    <s v="Kost Abdi Muwardi Residence Tipe A Grogol Petamburan Jakarta Barat"/>
    <x v="3"/>
    <x v="13"/>
    <n v="8"/>
    <s v="2 x 4 meter"/>
    <s v="Tidak termasuk listrik"/>
    <s v=""/>
    <s v="N/A"/>
    <s v="2 x 4 meter; Tidak termasuk listrik; AC; Kasur; Meja; Lemari Baju; Kursi; Cermin; Bantal; Cleaning service; Guling; Wastafel; K. Mandi Dalam; Kloset Duduk; Ember mandi; Shower; Air panas; WiFi; Kulkas; R. Tamu; Penjaga Kos; Laundry; R. Jemur; R. Makan; Dapur; Dispenser; CCTV; Parkir Motor; Parkir Sepeda"/>
    <n v="2180000"/>
    <s v="Rp2.180.000"/>
    <n v="0.17083333333333331"/>
    <d v="1899-12-30T04:06:00"/>
    <s v="Kos Campur"/>
    <m/>
    <s v="Diskon 113rb"/>
  </r>
  <r>
    <s v="Kost Abigail VVIP Kebon Jeruk Jakarta Barat"/>
    <x v="3"/>
    <x v="14"/>
    <n v="12"/>
    <s v="3 x 4 meter"/>
    <s v="Tidak termasuk listrik"/>
    <s v=""/>
    <s v="N/A"/>
    <s v="3 x 4 meter; Tidak termasuk listrik; Kasur; Lemari Baju; Kipas Angin; K. Mandi Dalam; Kloset Jongkok; Ember mandi; WiFi; R. Tamu; R. Jemur; R. Santai; Dapur; Jemuran; R. Keluarga; Parkir Motor"/>
    <n v="880000"/>
    <s v="Rp880.000"/>
    <n v="0.17013888888888887"/>
    <d v="1899-12-30T04:05:00"/>
    <s v="Kos Putri"/>
    <m/>
    <m/>
  </r>
  <r>
    <s v="Kost Abu Beji Depok"/>
    <x v="1"/>
    <x v="15"/>
    <n v="9"/>
    <s v="3 x 3 meter"/>
    <s v="Termasuk listrik (implied)"/>
    <s v=""/>
    <s v="N/A"/>
    <s v="3 x 3 meter; Termasuk listrik; Kasur; Lemari Baju; Ventilasi; Bantal; Jendela; Kloset Jongkok; K. Mandi Luar; Ember mandi; WiFi; Kulkas; R. Tamu; R. Makan; R. Jemur; R. Santai; Dapur; Balcon; CCTV; Parkir Motor; Parkir Sepeda"/>
    <n v="800000"/>
    <s v="Rp800.000"/>
    <n v="0.13055555555555556"/>
    <d v="1899-12-30T03:08:00"/>
    <s v="Kos Putri"/>
    <m/>
    <s v="Diskon 90rb"/>
  </r>
  <r>
    <s v="Kost Abun Tipe A Beji Depok"/>
    <x v="1"/>
    <x v="16"/>
    <n v="12"/>
    <s v="3 x 4 meter"/>
    <s v="Termasuk listrik (implied)"/>
    <s v=""/>
    <s v="N/A"/>
    <s v="3 x 4 meter; Termasuk listrik; Kasur; Lemari Baju; Ventilasi; Bantal; Jendela; K. Mandi Dalam; Kloset Jongkok; Ember mandi; WiFi; Kulkas; R. Jemur; Dapur; Balcon; Jemuran; Pengurus Kos; Parkir Motor; Parkir Sepeda"/>
    <n v="650000"/>
    <s v="Rp650.000"/>
    <n v="0.17222222222222225"/>
    <d v="1899-12-30T04:08:00"/>
    <s v="Kos Putri"/>
    <m/>
    <m/>
  </r>
  <r>
    <s v="Kost Abun Tipe A Beji Depok"/>
    <x v="1"/>
    <x v="16"/>
    <n v="12"/>
    <s v="3 x 4 meter"/>
    <s v="Termasuk listrik (implied)"/>
    <s v=""/>
    <s v="N/A"/>
    <s v="3 x 4 meter; Termasuk listrik; Kasur; Lemari Baju; Ventilasi; Bantal; Jendela; K. Mandi Dalam; Kloset Jongkok; Ember mandi; Parkir Motor; Parkir Sepeda"/>
    <n v="650000"/>
    <s v="Rp650.000"/>
    <n v="0.17222222222222225"/>
    <d v="1899-12-30T04:08:00"/>
    <s v="Kos Putri"/>
    <m/>
    <m/>
  </r>
  <r>
    <s v="Kost Adhiraka Tipe C Pinang Tangerang"/>
    <x v="6"/>
    <x v="17"/>
    <n v="12"/>
    <s v="3 x 4 meter"/>
    <s v="Tidak termasuk listrik"/>
    <s v=""/>
    <s v="N/A"/>
    <s v="3 x 4 meter; Tidak termasuk listrik; AC; Kasur; Bantal; Jendela; K. Mandi Dalam; Kloset Duduk; Ember mandi; R. Jemur; Balcon; Rooftop; Parkir Motor; Parkir Motor &amp; Sepeda"/>
    <n v="1300000"/>
    <s v="Rp1.300.000"/>
    <n v="0.20833333333333334"/>
    <d v="1899-12-30T05:00:00"/>
    <s v="Kos Putri"/>
    <m/>
    <m/>
  </r>
  <r>
    <s v="Kost Adinda Tipe Non Ac Serpong Tangerang Selatan"/>
    <x v="2"/>
    <x v="18"/>
    <n v="12"/>
    <s v="3 x 4 meter"/>
    <s v="Tidak termasuk listrik"/>
    <s v=""/>
    <s v="N/A"/>
    <s v="3 x 4 meter; Tidak termasuk listrik; Kasur; Meja; Lemari Baju; Ventilasi; Bantal; Guling; Jendela; Kursi; K. Mandi Dalam; Kloset Duduk; Shower; WiFi; Kulkas; Laundry; Penjaga Kos; R. Tamu; R. Jemur; Dapur; CCTV; Jemuran; Jual Makanan; Parkir Mobil; Parkir Motor; Parkir Sepeda; Parkir Motor &amp; Sepeda"/>
    <n v="1100000"/>
    <s v="Rp1.100.000"/>
    <n v="0"/>
    <m/>
    <s v="Kos Campur"/>
    <m/>
    <m/>
  </r>
  <r>
    <s v="Kost Adit Aster Cikarang Barat Bekasi"/>
    <x v="7"/>
    <x v="19"/>
    <n v="9"/>
    <s v="3 x 3 meter"/>
    <s v="Tidak termasuk listrik"/>
    <s v=""/>
    <s v="N/A"/>
    <s v="3 x 3 meter; Tidak termasuk listrik; AC; Kasur; Meja; Lemari Baju; Ventilasi; Bantal; Guling; Jendela; Kursi; Cermin; K. Mandi Dalam; Kloset Jongkok; Ember mandi; WiFi; Balcon; Pengurus Kos; CCTV; Jemuran; Parkir Mobil; Parkir Motor; Parkir Sepeda; Parkir Motor &amp; Sepeda"/>
    <n v="1400000"/>
    <s v="Rp1.400.000"/>
    <n v="0"/>
    <m/>
    <s v="Kos Putra"/>
    <m/>
    <m/>
  </r>
  <r>
    <s v="Kost Aeon Bsd Tipe Executive Cisauk Tangerang"/>
    <x v="0"/>
    <x v="20"/>
    <n v="16"/>
    <s v="4 x 4 meter"/>
    <s v="Tidak termasuk listrik"/>
    <s v=""/>
    <s v="N/A"/>
    <s v="4 x 4 meter; Tidak termasuk listrik; AC; TV; Lemari Baju; Ventilasi; Wastafel; Dapur Pribadi; TV Kabel; Jendela; K. Mandi Dalam; Kloset Jongkok; Ember mandi; WiFi; R. Tamu; Mushola; R. Jemur; R. Makan; R. Santai; Dapur; CCTV; Jemuran; R. Keluarga; Parkir Mobil; Parkir Motor; Parkir Sepeda; Parkir Motor &amp; Sepeda"/>
    <n v="1300000"/>
    <s v="Rp1.300.000"/>
    <n v="0"/>
    <m/>
    <s v="Kos Campur"/>
    <m/>
    <m/>
  </r>
  <r>
    <s v="Kost Aeon BSD Tipe Supreme Cisauk Tangerang"/>
    <x v="0"/>
    <x v="20"/>
    <n v="30"/>
    <s v="5 x 6 meter"/>
    <s v="Tidak termasuk listrik"/>
    <s v=""/>
    <s v="N/A"/>
    <s v="5 x 6 meter; Tidak termasuk listrik; AC; TV; Lemari Baju; Ventilasi; Jendela; Wastafel; Dapur Pribadi; K. Mandi Dalam; Kloset Jongkok; Ember mandi; WiFi; R. Cuci; R. Tamu; R. Jemur; R. Makan; R. Santai; CCTV; R. Keluarga; Parkir Mobil; Parkir Motor; Parkir Sepeda; Parkir Motor &amp; Sepeda"/>
    <n v="1500000"/>
    <s v="Rp1.500.000"/>
    <n v="0"/>
    <m/>
    <s v="Kos Campur"/>
    <m/>
    <m/>
  </r>
  <r>
    <s v="Kost AF II 2 Serpong Tangerang Selatan"/>
    <x v="2"/>
    <x v="18"/>
    <n v="14"/>
    <s v="4 x 3.5 meter"/>
    <s v="Tidak termasuk listrik"/>
    <s v=""/>
    <s v="N/A"/>
    <s v="4 x 3.5 meter; Tidak termasuk listrik; AC; Kasur; Meja; Meja Rias; Lemari Baju; Ventilasi; Bantal; Cermin; Cleaning service; Guling; K. Mandi Dalam; Kloset Duduk; Shower; Air panas; WiFi; Laundry; Penjaga Kos; R. Tamu; R. Jemur; Dapur; Dispenser; CCTV; Jemuran; Pengurus Kos; Parkir Mobil; Parkir Motor; Parkir Sepeda"/>
    <n v="1800000"/>
    <s v="Rp1.800.000"/>
    <n v="0.20833333333333334"/>
    <d v="1899-12-30T05:00:00"/>
    <s v="Kos Putri"/>
    <m/>
    <m/>
  </r>
  <r>
    <s v="Kost Agung Utara Tanjung Priok Jakarta Utara"/>
    <x v="4"/>
    <x v="5"/>
    <n v="12"/>
    <s v="3 x 4 meter"/>
    <s v="Tidak termasuk listrik"/>
    <s v=""/>
    <s v="N/A"/>
    <s v="3 x 4 meter; Tidak termasuk listrik; AC; Kasur; Meja Rias; Lemari Baju; Ventilasi; Jendela; K. Mandi Dalam; Kloset Duduk; Shower; WiFi; R. Cuci; Kulkas; R. Tamu; Mesin Cuci; Penjaga Kos; Laundry; R. Makan; R. Jemur; Mushola; Parkir Motor; Parkir Sepeda"/>
    <n v="1600000"/>
    <s v="Rp1.600.000"/>
    <n v="0.1673611111111111"/>
    <d v="1899-12-30T04:01:00"/>
    <s v="Kos Putri"/>
    <m/>
    <m/>
  </r>
  <r>
    <s v="Kost Agustin Tipe B Kado Limo Depok"/>
    <x v="1"/>
    <x v="9"/>
    <n v="12"/>
    <s v="3 x 4 meter"/>
    <s v="Tidak termasuk listrik"/>
    <s v=""/>
    <s v="N/A"/>
    <s v="3 x 4 meter; Tidak termasuk listrik; AC; Kasur; Lemari Baju; Bantal; Cermin; Guling; Jendela; K. Mandi Dalam; Kloset Duduk; Ember mandi; WiFi; R. Jemur; Dapur; Taman; Balcon; Pengurus Kos; Jemuran; CCTV; Parkir Mobil; Parkir Motor; Parkir Sepeda"/>
    <n v="1250000"/>
    <s v="Rp1.250.000"/>
    <n v="0"/>
    <m/>
    <s v="Kos Putri"/>
    <m/>
    <m/>
  </r>
  <r>
    <s v="Kost AIIIR Residence Tipe Ekonomi Serpong Tangerang Selatan"/>
    <x v="2"/>
    <x v="18"/>
    <n v="12"/>
    <s v="3 x 4 meter"/>
    <s v="Tidak termasuk listrik"/>
    <s v=""/>
    <s v="N/A"/>
    <s v="3 x 4 meter; Tidak termasuk listrik; AC; Kasur; Meja; Lemari Baju; Ventilasi; Kursi; Bantal; Cermin; Jendela; K. Mandi Dalam; Kloset Duduk; Ember mandi; Shower; WiFi; Kulkas; R. Tamu; Penjaga Kos; Laundry; R. Makan; R. Jemur; Mushola; R. Santai; Dapur; Parkir Motor; Parkir Sepeda"/>
    <n v="1300000"/>
    <s v="Rp1.300.000"/>
    <n v="0.17222222222222225"/>
    <d v="1899-12-30T04:08:00"/>
    <s v="Kos Putri"/>
    <m/>
    <m/>
  </r>
  <r>
    <s v="Kost Aisyah 2 Setu Tangerang Selatan"/>
    <x v="2"/>
    <x v="21"/>
    <n v="6.7600000000000007"/>
    <s v="2.6 x 2.6 meter"/>
    <s v="Tidak termasuk listrik"/>
    <s v=""/>
    <s v="N/A"/>
    <s v="2.6 x 2.6 meter; Tidak termasuk listrik; Kasur; Meja; Lemari Baju; Kursi; K. Mandi Dalam; Ember mandi; Shower; WiFi; Kulkas; R. Tamu; R. Jemur; Dapur; Balcon; CCTV; Jemuran; Pengurus Kos; Rooftop; Parkir Motor"/>
    <n v="950000"/>
    <s v="Rp950.000"/>
    <n v="0"/>
    <m/>
    <s v="Kos Putri"/>
    <m/>
    <m/>
  </r>
  <r>
    <s v="Kost Akim Tipe C Tanjung Priok Jakarta Utara"/>
    <x v="4"/>
    <x v="5"/>
    <n v="12"/>
    <s v="4 x 3 meter"/>
    <s v="Termasuk listrik (implied)"/>
    <s v=""/>
    <s v="N/A"/>
    <s v="4 x 3 meter; Termasuk listrik; AC; Kasur; Lemari Baju; Kloset Jongkok; K. Mandi Luar; Ember mandi; Shower; Kulkas; R. Tamu; Dapur; Parkir Mobil; Parkir Motor; Parkir Sepeda"/>
    <n v="1450000"/>
    <s v="Rp1.450.000"/>
    <n v="0.17222222222222225"/>
    <d v="1899-12-30T04:08:00"/>
    <s v="Kos Campur"/>
    <m/>
    <s v="Diskon 78rb"/>
  </r>
  <r>
    <s v="Kost Al Fazza Tangerang"/>
    <x v="6"/>
    <x v="22"/>
    <n v="16"/>
    <s v="4 x 4 meter"/>
    <s v="Tidak termasuk listrik"/>
    <s v=""/>
    <s v="N/A"/>
    <s v="4 x 4 meter; Tidak termasuk listrik; AC; Kasur; Meja; Lemari Baju; Ventilasi; Bantal; Cermin; Guling; Jendela; Cleaning service; K. Mandi Dalam; Kloset Duduk; Ember mandi; Wastafel; Shower; Bathtub; WiFi; Kulkas; R. Cuci; R. Tamu; Penjaga Kos; R. Jemur; R. Makan; R. Santai; Dapur; Jemuran; Parkir Motor; Parkir Sepeda; Parkir Motor &amp; Sepeda"/>
    <n v="1300000"/>
    <s v="Rp1.300.000"/>
    <n v="0"/>
    <m/>
    <s v="Kos Putri"/>
    <m/>
    <m/>
  </r>
  <r>
    <s v="Kost Al Musafir Bogor Co Living VIP MEZZO Dramaga Bogor"/>
    <x v="0"/>
    <x v="23"/>
    <n v="18"/>
    <s v="3 x 6 meter"/>
    <s v="Tidak termasuk listrik"/>
    <s v=""/>
    <s v="N/A"/>
    <s v="3 x 6 meter; Tidak termasuk listrik; AC; Kasur; Meja; Lemari Baju; Ventilasi; Bantal; Jendela; Kursi; K. Mandi Dalam; Kloset Duduk; Ember mandi; Shower; WiFi; Kulkas; Penjaga Kos; R. Tamu; Mushola; R. Jemur; R. Makan; R. Santai; Dapur; Dispenser; Parkir Mobil; Parkir Motor; Parkir Sepeda; Parkir Motor &amp; Sepeda"/>
    <n v="2500000"/>
    <s v="Rp2.500.000"/>
    <n v="0"/>
    <m/>
    <s v="Kos Putri"/>
    <m/>
    <m/>
  </r>
  <r>
    <s v="Kost Alam Pesona Sentul City Cluster Babakan Madang Bogor"/>
    <x v="0"/>
    <x v="0"/>
    <n v="9"/>
    <s v="3 x 3 meter"/>
    <s v="Tidak termasuk listrik"/>
    <s v=""/>
    <s v="N/A"/>
    <s v="3 x 3 meter; Tidak termasuk listrik; AC; Kasur; Meja; Lemari Baju; Ventilasi; Kursi; Cleaning service; Bantal; Cermin; Guling; Kloset Duduk; K. Mandi Luar; Wastafel; Ember mandi; Shower; WiFi; Kulkas; R. Tamu; R. Makan; R. Jemur; R. Santai; Dapur; TV; Taman; R. Keluarga; Parkir Mobil; Parkir Motor"/>
    <n v="1200000"/>
    <s v="Rp1.200.000"/>
    <n v="0"/>
    <m/>
    <s v="Kos Campur"/>
    <m/>
    <m/>
  </r>
  <r>
    <s v="Kost Alam Raya Bandara Tipe C Benda Tangerang"/>
    <x v="6"/>
    <x v="24"/>
    <n v="9"/>
    <s v="3 x 3 meter"/>
    <s v="Termasuk listrik (implied)"/>
    <s v=""/>
    <s v="N/A"/>
    <s v="3 x 3 meter; Termasuk listrik; AC; Kasur; Meja Rias; Lemari Baju; Jendela; Kloset Duduk; K. Mandi Luar; Ember mandi; Shower; WiFi; R. Cuci; Kulkas; R. Tamu; R. Makan; R. Jemur; R. Santai; Dapur; Dispenser; TV; Parkir Mobil; Parkir Motor"/>
    <n v="1500000"/>
    <s v="Rp1.500.000"/>
    <n v="0.20833333333333334"/>
    <d v="1899-12-30T05:00:00"/>
    <s v="Kos Campur"/>
    <m/>
    <m/>
  </r>
  <r>
    <s v="Kost Alesha Ceger Cipayung Jakarta Timur"/>
    <x v="8"/>
    <x v="25"/>
    <n v="12"/>
    <s v="3 x 4 meter"/>
    <s v="Tidak termasuk listrik"/>
    <s v=""/>
    <s v="N/A"/>
    <s v="3 x 4 meter; Tidak termasuk listrik; AC; Kasur; Meja; Lemari Baju; Kursi; K. Mandi Dalam; Kloset Jongkok; R. Cuci; R. Jemur; Parkir Motor; Parkir Sepeda"/>
    <n v="1400000"/>
    <s v="Rp1.400.000"/>
    <n v="0"/>
    <m/>
    <s v="Kos Putri"/>
    <m/>
    <m/>
  </r>
  <r>
    <s v="Kost Alia CBD Karang Tengah Tangerang"/>
    <x v="6"/>
    <x v="26"/>
    <n v="9"/>
    <s v="3 x 3 meter"/>
    <s v="Tidak termasuk listrik"/>
    <s v=""/>
    <s v="N/A"/>
    <s v="3 x 3 meter; Tidak termasuk listrik; Kasur; Meja; Lemari Baju; Bantal; Jendela; Kursi; K. Mandi Dalam; Kloset Duduk; Shower; Penjaga Kos; Balcon; Parkir Motor; Parkir Sepeda"/>
    <n v="750000"/>
    <s v="Rp750.000"/>
    <n v="0"/>
    <m/>
    <s v="Kos Campur"/>
    <m/>
    <m/>
  </r>
  <r>
    <s v="Kost Alinoo Cikarang Selatan Bekasi"/>
    <x v="7"/>
    <x v="27"/>
    <n v="9"/>
    <s v="3 x 3 meter"/>
    <s v="Tidak termasuk listrik"/>
    <s v=""/>
    <s v="N/A"/>
    <s v="3 x 3 meter; Tidak termasuk listrik; AC; Kasur; Meja; Lemari Baju; Bantal; Cermin; Jendela; Kursi; Sofa; K. Mandi Dalam; Kloset Duduk; Shower; WiFi; Kulkas; R. Cuci; Penjaga Kos; R. Tamu; Mesin Cuci; R. Jemur; R. Santai; Dapur; Dispenser; Parkir Mobil; Parkir Motor; Parkir Sepeda"/>
    <n v="1495000"/>
    <s v="Rp1.495.000"/>
    <n v="0.20833333333333334"/>
    <d v="1899-12-30T05:00:00"/>
    <s v="Kos Campur"/>
    <m/>
    <m/>
  </r>
  <r>
    <s v="Kost Alisha Executive Pasar Rebo Jakarta Timur"/>
    <x v="8"/>
    <x v="28"/>
    <n v="12"/>
    <s v="3 x 4 meter"/>
    <s v="Tidak termasuk listrik"/>
    <s v=""/>
    <s v="N/A"/>
    <s v="3 x 4 meter; Tidak termasuk listrik; AC; Kasur; Meja; Kulkas; Lemari Baju; Bantal; Cermin; Cleaning service; Jendela; Kursi; K. Mandi Dalam; Kloset Duduk; Shower; Air panas; WiFi; R. Cuci; Penjaga Kos; R. Tamu; R. Jemur; R. Makan; R. Santai; Dapur; Dispenser; Parkir Motor &amp; Sepeda"/>
    <n v="1850000"/>
    <s v="Rp1.850.000"/>
    <n v="0.17013888888888887"/>
    <d v="1899-12-30T04:05:00"/>
    <s v="Kos Putri"/>
    <m/>
    <s v="Diskon 179rb"/>
  </r>
  <r>
    <s v="Kost Alisha Tipe A Pasar Rebo Jakarta Timur"/>
    <x v="8"/>
    <x v="28"/>
    <n v="12"/>
    <s v="3 x 4 meter"/>
    <s v="Tidak termasuk listrik"/>
    <s v=""/>
    <s v="N/A"/>
    <s v="3 x 4 meter; Tidak termasuk listrik; AC; Kasur; Meja; Kulkas; Lemari Baju; Bantal; Cermin; Cleaning service; Jendela; Kursi; K. Mandi Dalam; Kloset Duduk; Shower; Air panas; WiFi; R. Cuci; Penjaga Kos; R. Tamu; R. Jemur; R. Makan; R. Santai; Dapur; Dispenser; Parkir Motor &amp; Sepeda"/>
    <n v="1850000"/>
    <s v="Rp1.850.000"/>
    <n v="0.17013888888888887"/>
    <d v="1899-12-30T04:05:00"/>
    <s v="Kos Putri"/>
    <m/>
    <s v="Diskon 179rb"/>
  </r>
  <r>
    <s v="Kost Alma Ceger Pondok Aren Tangerang Selatan"/>
    <x v="2"/>
    <x v="29"/>
    <n v="12"/>
    <s v="3 x 4 meter"/>
    <s v="Tidak termasuk listrik"/>
    <s v=""/>
    <s v="N/A"/>
    <s v="3 x 4 meter; Tidak termasuk listrik; AC; Kasur; Meja; Ventilasi; Bantal; Guling; Jendela; Kursi; K. Mandi Dalam; Kloset Duduk; Shower; Dapur; Balcon; Parkir Motor"/>
    <n v="1100000"/>
    <s v="Rp1.100.000"/>
    <n v="0.17222222222222225"/>
    <d v="1899-12-30T04:08:00"/>
    <s v="Kos Campur"/>
    <m/>
    <m/>
  </r>
  <r>
    <s v="Kost Almic Guesthouse Tipe S Keyless New Tanjung Priok Jakarta Utara"/>
    <x v="4"/>
    <x v="5"/>
    <n v="12"/>
    <s v="3 x 4 meter"/>
    <s v="Tidak termasuk listrik"/>
    <s v=""/>
    <s v="N/A"/>
    <s v="3 x 4 meter; Tidak termasuk listrik; AC; Kasur; Meja; Lemari Baju; Bantal; Cermin; Jendela; Kursi; Wastafel; K. Mandi Dalam; Kloset Jongkok; Shower; WiFi; Penjaga Kos; R. Jemur; CCTV; Jual Makanan; Parkir Motor; Parkir Motor &amp; Sepeda"/>
    <n v="2100000"/>
    <s v="Rp2.100.000"/>
    <n v="0"/>
    <m/>
    <s v="Kos Campur"/>
    <m/>
    <m/>
  </r>
  <r>
    <s v="Kost Almic Property Tipe A Caringin Bogor"/>
    <x v="0"/>
    <x v="30"/>
    <n v="9"/>
    <s v="3 x 3 meter"/>
    <s v="Tidak termasuk listrik"/>
    <s v=""/>
    <s v="N/A"/>
    <s v="3 x 3 meter; Tidak termasuk listrik; Kasur; Lemari Baju; Bantal; Jendela; Kloset Duduk; K. Mandi Luar; Ember mandi; Dapur; Parkir Motor"/>
    <n v="650000"/>
    <s v="Rp650.000"/>
    <n v="0"/>
    <m/>
    <s v="Kos Campur"/>
    <m/>
    <m/>
  </r>
  <r>
    <s v="Kost Almic Property Tipe I Caringin Bogor"/>
    <x v="0"/>
    <x v="30"/>
    <n v="7.5"/>
    <s v="2.5 x 3 meter"/>
    <s v="Tidak termasuk listrik"/>
    <s v=""/>
    <s v="N/A"/>
    <s v="2.5 x 3 meter; Tidak termasuk listrik; Kasur; Meja; Lemari Baju; Ventilasi; Bantal; K. Mandi Dalam; Kloset Jongkok; Ember mandi; Jemuran; Parkir Motor"/>
    <n v="800000"/>
    <s v="Rp800.000"/>
    <n v="0"/>
    <m/>
    <s v="Kos Campur"/>
    <m/>
    <m/>
  </r>
  <r>
    <s v="Kost Almic Property Tipe L Caringin Bogor"/>
    <x v="0"/>
    <x v="30"/>
    <n v="12"/>
    <s v="3 x 4 meter"/>
    <s v="Tidak termasuk listrik"/>
    <s v=""/>
    <s v="N/A"/>
    <s v="3 x 4 meter; Tidak termasuk listrik; Kasur; Meja; Lemari Baju; Bantal; K. Mandi Dalam; Kloset Jongkok; Jemuran; Parkir Motor"/>
    <n v="800000"/>
    <s v="Rp800.000"/>
    <n v="0"/>
    <m/>
    <s v="Kos Campur"/>
    <m/>
    <m/>
  </r>
  <r>
    <s v="Kost Almic Property Tipe M Caringin Bogor"/>
    <x v="0"/>
    <x v="30"/>
    <n v="12"/>
    <s v="3 x 4 meter"/>
    <s v="Tidak termasuk listrik"/>
    <s v=""/>
    <s v="N/A"/>
    <s v="3 x 4 meter; Tidak termasuk listrik; Kasur; Meja; Lemari Baju; Bantal; K. Mandi Dalam; Kloset Jongkok; Jemuran; Parkir Motor"/>
    <n v="800000"/>
    <s v="Rp800.000"/>
    <n v="0"/>
    <m/>
    <s v="Kos Campur"/>
    <m/>
    <m/>
  </r>
  <r>
    <s v="Kost Almic Property Tipe N Caringin Bogor"/>
    <x v="0"/>
    <x v="30"/>
    <n v="12"/>
    <s v="3 x 4 meter"/>
    <s v="Tidak termasuk listrik"/>
    <s v=""/>
    <s v="N/A"/>
    <s v="3 x 4 meter; Tidak termasuk listrik; AC; Kasur; Meja; Lemari Baju; Bantal; Cermin; Jendela; Kursi; Wastafel; K. Mandi Dalam; Kloset Jongkok; Jemuran; Parkir Motor"/>
    <n v="2000000"/>
    <s v="Rp2.000.000"/>
    <n v="0"/>
    <m/>
    <s v="Kos Campur"/>
    <m/>
    <m/>
  </r>
  <r>
    <s v="Kost Almic Tipe A Caringin Bogor"/>
    <x v="0"/>
    <x v="30"/>
    <n v="20"/>
    <s v="4 x 5 meter"/>
    <s v="Tidak termasuk listrik"/>
    <s v=""/>
    <s v="N/A"/>
    <s v="4 x 5 meter; Tidak termasuk listrik; Kasur; Lemari Baju; Ventilasi; Bantal; Jendela; Kursi; Wastafel; K. Mandi Dalam; Kloset Jongkok; Ember mandi; Penjaga Kos; Parkir Motor"/>
    <n v="1500000"/>
    <s v="Rp1.500.000"/>
    <n v="0"/>
    <m/>
    <s v="Kos Campur"/>
    <m/>
    <m/>
  </r>
  <r>
    <s v="Kost Almic Tipe B Caringin Bogor"/>
    <x v="0"/>
    <x v="30"/>
    <n v="9"/>
    <s v="3 x 3 meter"/>
    <s v="Tidak termasuk listrik"/>
    <s v=""/>
    <s v="N/A"/>
    <s v="3 x 3 meter; Tidak termasuk listrik; Kasur; Lemari Baju; Bantal; Jendela; Kursi; Wastafel; K. Mandi Dalam; Kloset Jongkok; Ember mandi; Penjaga Kos; Jemuran; Parkir Motor"/>
    <n v="1000000"/>
    <s v="Rp1.000.000"/>
    <n v="0"/>
    <m/>
    <s v="Kos Campur"/>
    <m/>
    <m/>
  </r>
  <r>
    <s v="Kost Almic Tipe M Deluxe Tanjung Priok Jakarta Utara"/>
    <x v="4"/>
    <x v="5"/>
    <n v="16"/>
    <s v="4 x 4 meter"/>
    <s v="Tidak termasuk listrik"/>
    <s v=""/>
    <s v="N/A"/>
    <s v="4 x 4 meter; Tidak termasuk listrik; AC; Kasur; Meja; Lemari Baju; Bantal; Cermin; Jendela; Kursi; Wastafel; K. Mandi Dalam; Kloset Duduk; Shower; Air panas; WiFi; Penjaga Kos; CCTV; Jemuran; Jual Makanan; Pengurus Kos; Kartu Akses; Parkir Motor; Parkir Sepeda"/>
    <n v="2200000"/>
    <s v="Rp2.200.000"/>
    <n v="0.1277777777777778"/>
    <d v="1899-12-30T03:04:00"/>
    <s v="Kos Campur"/>
    <m/>
    <m/>
  </r>
  <r>
    <s v="Kost Almic Tipe XS Tanjung Priok Jakarta Utara"/>
    <x v="4"/>
    <x v="5"/>
    <n v="9"/>
    <s v="3 x 3 meter"/>
    <s v="Tidak termasuk listrik"/>
    <s v=""/>
    <s v="N/A"/>
    <s v="3 x 3 meter; Tidak termasuk listrik; AC; Kasur; Meja; Lemari Baju; Wastafel; Bantal; Kipas Angin; Meja makan; K. Mandi Dalam; Kloset Duduk; Shower; WiFi; CCTV; Pengurus Kos; Kartu Akses; Parkir Motor; Parkir Sepeda"/>
    <n v="1500000"/>
    <s v="Rp1.500.000"/>
    <n v="0.17222222222222225"/>
    <d v="1899-12-30T04:08:00"/>
    <s v="Kos Campur"/>
    <m/>
    <s v="Diskon 78rb"/>
  </r>
  <r>
    <s v="Kost Amanah Cileungsi Bogor"/>
    <x v="0"/>
    <x v="31"/>
    <n v="9"/>
    <s v="3 x 3 meter"/>
    <s v="Termasuk listrik (implied)"/>
    <s v=""/>
    <s v="N/A"/>
    <s v="3 x 3 meter; Termasuk listrik; AC; Kasur; Meja; Lemari Baju; Kloset Duduk; Ember mandi; Bak mandi; R. Cuci; R. Tamu; Mesin Cuci; Penjaga Kos; R. Makan; R. Jemur; Parkir Motor; Parkir Sepeda"/>
    <n v="500000"/>
    <s v="Rp500.000"/>
    <n v="0.20833333333333334"/>
    <d v="1899-12-30T05:00:00"/>
    <s v="Kos Putri"/>
    <m/>
    <m/>
  </r>
  <r>
    <s v="Kost Amanah Pak Reza Tipe A Pulo Gadung Jakarta Timur"/>
    <x v="8"/>
    <x v="32"/>
    <n v="13.5"/>
    <s v="4.5 x 3 meter"/>
    <s v="Tidak termasuk listrik"/>
    <s v=""/>
    <s v="N/A"/>
    <s v="4.5 x 3 meter; Tidak termasuk listrik; AC; Kasur; Lemari Baju; K. Mandi Dalam; Kloset Duduk; Ember mandi; Shower; R. Jemur; Dispenser; Balcon; Jemuran; Parkir Motor"/>
    <n v="2200000"/>
    <s v="Rp2.200.000"/>
    <n v="0"/>
    <m/>
    <s v="Kos Putri"/>
    <m/>
    <m/>
  </r>
  <r>
    <s v="Kost Amanah Pak Reza Tipe B Pulo Gadung Jakarta Timur"/>
    <x v="8"/>
    <x v="32"/>
    <n v="9"/>
    <s v="3 x 3 meter"/>
    <s v="Tidak termasuk listrik"/>
    <s v=""/>
    <s v="N/A"/>
    <s v="3 x 3 meter; Tidak termasuk listrik; AC; Kasur; Ventilasi; Bantal; K. Mandi Dalam; Kloset Duduk; Shower; WiFi; Penjaga Kos; R. Jemur; Balcon; Jemuran; Parkir Motor"/>
    <n v="1500000"/>
    <s v="Rp1.500.000"/>
    <n v="0.20833333333333334"/>
    <d v="1899-12-30T05:00:00"/>
    <s v="Kos Putri"/>
    <m/>
    <m/>
  </r>
  <r>
    <s v="Kost Amarta Merak Cikarang Utara Bekasi"/>
    <x v="7"/>
    <x v="33"/>
    <n v="11.2"/>
    <s v="2.8 x 4 meter"/>
    <s v="Tidak termasuk listrik"/>
    <s v=""/>
    <s v="N/A"/>
    <s v="2.8 x 4 meter; Tidak termasuk listrik; AC; Kasur; Meja; Lemari Baju; Bantal; Guling; Jendela; Kursi; Wastafel; K. Mandi Dalam; Kloset Duduk; Shower; WiFi; Penjaga Kos; Dapur; Balcon; CCTV; Jemuran; Parkir Motor; Parkir Sepeda"/>
    <n v="1150000"/>
    <s v="Rp1.150.000"/>
    <n v="0.20833333333333334"/>
    <d v="1899-12-30T05:00:00"/>
    <s v="Kos Campur"/>
    <m/>
    <m/>
  </r>
  <r>
    <s v="Kost AMD Neglasari Tangerang"/>
    <x v="6"/>
    <x v="34"/>
    <n v="12"/>
    <s v="3 x 4 meter"/>
    <s v="Tidak termasuk listrik"/>
    <s v=""/>
    <s v="N/A"/>
    <s v="3 x 4 meter; Tidak termasuk listrik; Kasur; Ventilasi; Dapur Pribadi; Jendela; Kipas Angin; K. Mandi Dalam; Kloset Jongkok; Ember mandi; Wastafel; R. Tamu; R. Jemur; Dapur; Jemuran; Pengurus Kos; Parkir Motor; Parkir Sepeda"/>
    <n v="600000"/>
    <s v="Rp600.000"/>
    <n v="0"/>
    <m/>
    <s v="Kos Campur"/>
    <m/>
    <m/>
  </r>
  <r>
    <s v="Kost Amerta 1000 Tipe A1 Cikarang Utara Bekasi"/>
    <x v="7"/>
    <x v="33"/>
    <n v="12"/>
    <s v="3 x 4 meter"/>
    <s v="Tidak termasuk listrik"/>
    <s v=""/>
    <s v="N/A"/>
    <s v="3 x 4 meter; Tidak termasuk listrik; AC; Kasur; Meja; Lemari Baju; Ventilasi; Bantal; Guling; Jendela; Kipas Angin; Kursi; K. Mandi Dalam; Kloset Duduk; Ember mandi; Shower; WiFi; Pengurus Kos; Parkir Motor &amp; Sepeda"/>
    <n v="1100000"/>
    <s v="Rp1.100.000"/>
    <n v="0.17083333333333331"/>
    <d v="1899-12-30T04:06:00"/>
    <s v="Kos Campur"/>
    <m/>
    <m/>
  </r>
  <r>
    <s v="Kost Anami Serpong Utara Tangerang Selatan"/>
    <x v="2"/>
    <x v="3"/>
    <n v="10.5"/>
    <s v="3 x 3.5 meter"/>
    <s v="Tidak termasuk listrik"/>
    <s v=""/>
    <s v="N/A"/>
    <s v="3 x 3.5 meter; Tidak termasuk listrik; AC; Kasur; Meja Rias; Lemari Baju; Bantal; Cermin; Guling; Jendela; K. Mandi Dalam; Shower; Kulkas; Laundry; Dispenser; Balcon; Jemuran; Jual Makanan; Locker; Rice Cooker; Parkir Motor; Parkir Sepeda"/>
    <n v="1800000"/>
    <s v="Rp1.800.000"/>
    <n v="0.17291666666666669"/>
    <d v="1899-12-30T04:09:00"/>
    <s v="Kos Campur"/>
    <m/>
    <s v="Diskon 90rb"/>
  </r>
  <r>
    <s v="Kost Andi Cibinong Bogor"/>
    <x v="0"/>
    <x v="35"/>
    <n v="12"/>
    <s v="3 x 4 meter"/>
    <s v="Tidak termasuk listrik"/>
    <s v=""/>
    <s v="N/A"/>
    <s v="3 x 4 meter; Tidak termasuk listrik; AC; Kasur; Meja; Lemari Baju; Kursi; Kloset Duduk; K. Mandi Luar; Wastafel; Shower; WiFi; Kulkas; R. Tamu; Mesin Cuci; R. Makan; R. Jemur; R. Santai; Dapur; TV; Parkir Mobil; Parkir Motor; Parkir Sepeda"/>
    <n v="1500000"/>
    <s v="Rp1.500.000"/>
    <n v="0.17013888888888887"/>
    <d v="1899-12-30T04:05:00"/>
    <s v="Kos Campur"/>
    <m/>
    <m/>
  </r>
  <r>
    <s v="Kost Andina Cibinong Bogor"/>
    <x v="0"/>
    <x v="35"/>
    <n v="12"/>
    <s v="3 x 4 meter"/>
    <s v="Tidak termasuk listrik"/>
    <s v=""/>
    <s v="N/A"/>
    <s v="3 x 4 meter; Tidak termasuk listrik; AC; Kasur; Lemari Baju; Ventilasi; Bantal; Dapur Pribadi; Jendela; Sofa; Wastafel; Kursi; K. Mandi Dalam; Kloset Duduk; Shower; R. Tamu; R. Makan; R. Santai; Dapur; R. Keluarga; Taman; Kartu Akses; Locker; Parkir Mobil; Parkir Motor; Parkir Sepeda"/>
    <n v="2500000"/>
    <s v="Rp2.500.000"/>
    <n v="0"/>
    <m/>
    <s v="Kos Campur"/>
    <m/>
    <m/>
  </r>
  <r>
    <s v="Kost Angel 2 Tipe A Koja Jakarta Utara"/>
    <x v="4"/>
    <x v="36"/>
    <n v="9"/>
    <s v="3 x 3 meter"/>
    <s v="Tidak termasuk listrik"/>
    <s v=""/>
    <s v="N/A"/>
    <s v="3 x 3 meter; Tidak termasuk listrik; AC; Kasur; Meja; TV; Lemari Baju; Bantal; Guling; K. Mandi Dalam; Kloset Duduk; Ember mandi; WiFi; R. Cuci; Kulkas; R. Tamu; R. Jemur; R. Santai; Dapur; CCTV; Jemuran; Parkir Motor; Parkir Sepeda"/>
    <n v="1400000"/>
    <s v="Rp1.400.000"/>
    <n v="0"/>
    <m/>
    <s v="Kos Putri"/>
    <m/>
    <m/>
  </r>
  <r>
    <s v="Kost Anindya Ciracas Jakarta Timur"/>
    <x v="8"/>
    <x v="37"/>
    <n v="12"/>
    <s v="3 x 4 meter"/>
    <s v="Tidak termasuk listrik"/>
    <s v=""/>
    <s v="N/A"/>
    <s v="3 x 4 meter; Tidak termasuk listrik; AC; Kasur; Meja; TV; Lemari Baju; Ventilasi; Bantal; Cermin; Guling; Jendela; K. Mandi Dalam; Kloset Duduk; Shower; WiFi; Kulkas; R. Tamu; R. Jemur; R. Santai; Balcon; CCTV; Jemuran; Parkir Motor; Parkir Sepeda"/>
    <n v="1500000"/>
    <s v="Rp1.500.000"/>
    <n v="0"/>
    <m/>
    <s v="Kos Putri"/>
    <m/>
    <m/>
  </r>
  <r>
    <s v="Kost Anisa Regency Beji Depok"/>
    <x v="1"/>
    <x v="15"/>
    <n v="12"/>
    <s v="3 x 4 meter"/>
    <s v="Termasuk listrik (implied)"/>
    <s v=""/>
    <s v="N/A"/>
    <s v="3 x 4 meter; Termasuk listrik; AC; Kasur; Meja; Lemari Baju; Ventilasi; Kursi; Bantal; Jendela; K. Mandi Dalam; Kloset Duduk; Shower; WiFi; R. Cuci; Kulkas; R. Tamu; Mesin Cuci; Penjaga Kos; R. Makan; R. Jemur; R. Santai; Dapur; Parkir Motor; Parkir Sepeda"/>
    <n v="1400000"/>
    <s v="Rp1.400.000"/>
    <n v="0.17083333333333331"/>
    <d v="1899-12-30T04:06:00"/>
    <s v="Kos Putri"/>
    <m/>
    <m/>
  </r>
  <r>
    <s v="Kost Anisah Tipe B Beji Depok"/>
    <x v="1"/>
    <x v="15"/>
    <n v="16"/>
    <s v="4 x 4 meter"/>
    <s v="Tidak termasuk listrik"/>
    <s v=""/>
    <s v="N/A"/>
    <s v="4 x 4 meter; Tidak termasuk listrik; AC; Meja; TV; Meja Rias; Lemari Baju; Wastafel; Ember mandi; Shower; Air panas; Parkir Mobil; Parkir Motor; Parkir Sepeda"/>
    <n v="1300000"/>
    <s v="Rp1.300.000"/>
    <n v="0"/>
    <m/>
    <s v="Kos Putra"/>
    <m/>
    <m/>
  </r>
  <r>
    <s v="Kost Anne AC VIP Cikarang Selatan Bekasi"/>
    <x v="7"/>
    <x v="27"/>
    <n v="17.5"/>
    <s v="3.5 x 5 meter"/>
    <s v="Tidak termasuk listrik"/>
    <s v=""/>
    <s v="N/A"/>
    <s v="3.5 x 5 meter; Tidak termasuk listrik; AC; Kasur; Lemari Baju; Ventilasi; Bantal; Jendela; Sofa; Cermin; K. Mandi Dalam; Kloset Duduk; Ember mandi; Shower; WiFi; Kulkas; R. Jemur; Dapur; Dispenser; CCTV; Balcon; Jemuran; Rooftop; Parkir Motor; Parkir Sepeda; Parkir Motor &amp; Sepeda"/>
    <n v="1250000"/>
    <s v="Rp1.250.000"/>
    <n v="0"/>
    <m/>
    <s v="Kos Putra"/>
    <m/>
    <m/>
  </r>
  <r>
    <s v="Kost AP Tipe A Grogol Petamburan Jakarta Barat"/>
    <x v="3"/>
    <x v="13"/>
    <n v="16"/>
    <s v="4 x 4 meter"/>
    <s v="Tidak termasuk listrik"/>
    <s v=""/>
    <s v="N/A"/>
    <s v="4 x 4 meter; Tidak termasuk listrik; AC; Kasur; Meja; TV; Lemari Baju; Kulkas; Kursi; Sofa; K. Mandi Dalam; Kloset Duduk; Shower; Air panas; WiFi; R. Tamu; Penjaga Kos; Laundry; R. Jemur; R. Santai; Dapur; Balcon; K. Mandi Luar; Parkir Mobil; Parkir Motor; Parkir Sepeda"/>
    <n v="2600000"/>
    <s v="Rp2.600.000"/>
    <n v="0.17083333333333331"/>
    <d v="1899-12-30T04:06:00"/>
    <s v="Kos Campur"/>
    <m/>
    <m/>
  </r>
  <r>
    <s v="Kost AP Tipe B Tomang Grogol Petamburan Jakarta Barat"/>
    <x v="3"/>
    <x v="13"/>
    <n v="12"/>
    <s v="3 x 4 meter"/>
    <s v="Tidak termasuk listrik"/>
    <s v=""/>
    <s v="N/A"/>
    <s v="3 x 4 meter; Tidak termasuk listrik; AC; Kasur; Meja; TV; Lemari Baju; Kursi; Sofa; K. Mandi Dalam; Kloset Duduk; Shower; Air panas; WiFi; Kulkas; R. Tamu; Penjaga Kos; Laundry; R. Jemur; R. Santai; Dapur; Balcon; K. Mandi Luar; Parkir Mobil; Parkir Motor; Parkir Sepeda"/>
    <n v="2400000"/>
    <s v="Rp2.400.000"/>
    <n v="0.16944444444444443"/>
    <d v="1899-12-30T04:04:00"/>
    <s v="Kos Campur"/>
    <m/>
    <m/>
  </r>
  <r>
    <s v="Kost Apik 28 Tipe A Kemayoran Jakarta Pusat"/>
    <x v="9"/>
    <x v="38"/>
    <n v="7.919999999999999"/>
    <s v="2.4 x 3.3 meter"/>
    <s v="Tidak termasuk listrik"/>
    <s v=""/>
    <s v="N/A"/>
    <s v="2.4 x 3.3 meter; Tidak termasuk listrik; AC; Kasur; Lemari Baju; Jendela; Bantal; Kloset Duduk; K. Mandi Luar; Shower; WiFi; R. Cuci; Penjaga Kos; R. Jemur; Dapur; CCTV; Parkir Motor &amp; Sepeda"/>
    <n v="1325000"/>
    <s v="Rp1.325.000"/>
    <n v="0.16874999999999998"/>
    <d v="1899-12-30T04:03:00"/>
    <s v="Kos Putri"/>
    <m/>
    <s v="Diskon 114rb"/>
  </r>
  <r>
    <s v="Kost Apik 33 Al Wustho Tipe A Duren Sawit Jakarta Timur"/>
    <x v="8"/>
    <x v="39"/>
    <n v="7.2900000000000009"/>
    <s v="2.7 x 2.7 meter"/>
    <s v="Termasuk listrik (implied)"/>
    <n v="950000"/>
    <s v="Rp950.000"/>
    <s v="2.7 x 2.7 meter; Termasuk listrik; Kasur; Meja; Lemari Baju; Bantal; Guling; Kloset Duduk; Kloset Jongkok; K. Mandi Luar; Ember mandi; WiFi; R. Cuci; R. Tamu; Penjaga Kos; R. Makan; R. Jemur; Dapur; Dispenser; TV; Jemuran; Parkir Mobil; Parkir Motor &amp; Sepeda"/>
    <n v="855000"/>
    <s v="Rp855.000"/>
    <n v="0.20833333333333334"/>
    <d v="1899-12-30T05:00:00"/>
    <s v="Kos Campur"/>
    <m/>
    <s v="Diskon 95rb"/>
  </r>
  <r>
    <s v="Kost Apik 33 Cempaka Baru Tipe A Kemayoran Jakarta Pusat"/>
    <x v="9"/>
    <x v="38"/>
    <n v="17.600000000000001"/>
    <s v="4.4 x 4 meter"/>
    <s v="Tidak termasuk listrik"/>
    <n v="1300000"/>
    <s v="Rp1.300.000"/>
    <s v="4.4 x 4 meter; Tidak termasuk listrik; AC; Kasur; Meja; Lemari Baju; Kursi; Kloset Duduk; K. Mandi Luar; WiFi; R. Tamu; Dapur; CCTV; Parkir Motor; Parkir Sepeda"/>
    <n v="1235000"/>
    <s v="Rp1.235.000"/>
    <n v="0.17222222222222225"/>
    <d v="1899-12-30T04:08:00"/>
    <s v="Kos Putra"/>
    <m/>
    <s v="Diskon 65rb"/>
  </r>
  <r>
    <s v="Kost Apik 33 Cempaka Baru Tipe B Kemayoran Jakarta Pusat"/>
    <x v="9"/>
    <x v="38"/>
    <n v="12"/>
    <s v="3 x 4 meter"/>
    <s v="Tidak termasuk listrik"/>
    <n v="1200000"/>
    <s v="Rp1.200.000"/>
    <s v="3 x 4 meter; Tidak termasuk listrik; AC; Kasur; Meja; Lemari Baju; Kursi; Kipas Angin; Jendela; Kloset Duduk; K. Mandi Luar; WiFi; R. Tamu; R. Jemur; Dapur; CCTV; Parkir Motor; Parkir Sepeda"/>
    <n v="1140000"/>
    <s v="Rp1.140.000"/>
    <n v="0.17222222222222225"/>
    <d v="1899-12-30T04:08:00"/>
    <s v="Kos Putra"/>
    <m/>
    <s v="Diskon 60rb"/>
  </r>
  <r>
    <s v="Kost Apik 33 Cempaka Baru Tipe D Kemayoran Jakarta Pusat"/>
    <x v="9"/>
    <x v="38"/>
    <n v="9"/>
    <s v="3 x 3 meter"/>
    <s v="Tidak termasuk listrik"/>
    <n v="800000"/>
    <s v="Rp800.000"/>
    <s v="3 x 3 meter; Tidak termasuk listrik; Kasur; Lemari Baju; Ventilasi; Bantal; Jendela; Kloset Duduk; Kloset Jongkok; K. Mandi Luar; Bak mandi; WiFi; R. Tamu; R. Jemur; Dapur; CCTV; Parkir Motor; Parkir Sepeda"/>
    <n v="760000"/>
    <s v="Rp760.000"/>
    <n v="0.17222222222222225"/>
    <d v="1899-12-30T04:08:00"/>
    <s v="Kos Putra"/>
    <m/>
    <s v="Diskon 40rb"/>
  </r>
  <r>
    <s v="Kost Apik 49 Tipe D Jagakarsa Jakarta Selatan"/>
    <x v="5"/>
    <x v="40"/>
    <n v="6.4399999999999995"/>
    <s v="2.3 x 2.8 meter"/>
    <s v="Tidak termasuk listrik"/>
    <n v="975000"/>
    <s v="Rp975.000"/>
    <s v="2.3 x 2.8 meter; Tidak termasuk listrik; Kasur; Lemari Baju; Kloset Duduk; WiFi; R. Tamu; Penjaga Kos; R. Jemur; Dapur; CCTV; Parkir Mobil; Parkir Motor &amp; Sepeda"/>
    <n v="927500"/>
    <s v="Rp927.500"/>
    <n v="0.17222222222222225"/>
    <d v="1899-12-30T04:08:00"/>
    <s v="Kos Campur"/>
    <m/>
    <s v="Diskon 48rb"/>
  </r>
  <r>
    <s v="Kost Apik 89G Kwitang Tipe A Senen Jakarta Pusat"/>
    <x v="9"/>
    <x v="41"/>
    <n v="5.6700000000000008"/>
    <s v="2.7 x 2.1 meter"/>
    <s v="Termasuk listrik (implied)"/>
    <n v="1175000"/>
    <s v="Rp1.175.000"/>
    <s v="2.7 x 2.1 meter; Termasuk listrik; Kasur; Meja; Lemari Baju; Kursi; Kipas Angin; Bantal; Jendela; Kloset Duduk; Kloset Jongkok; K. Mandi Luar; Ember mandi; Shower; Bak mandi; WiFi; Kulkas; R. Tamu; Penjaga Kos; R. Jemur; Dapur; TV; Parkir Motor; Parkir Sepeda"/>
    <n v="1083000"/>
    <s v="Rp1.083.000"/>
    <n v="0.20833333333333334"/>
    <d v="1899-12-30T05:00:00"/>
    <s v="Kos Putri"/>
    <m/>
    <s v="Diskon 92rb"/>
  </r>
  <r>
    <s v="Kost Apik 89G Kwitang Tipe B Senen Jakarta Pusat"/>
    <x v="9"/>
    <x v="41"/>
    <n v="4.41"/>
    <s v="2.1 x 2.1 meter"/>
    <s v="Termasuk listrik (implied)"/>
    <n v="1125000"/>
    <s v="Rp1.125.000"/>
    <s v="2.1 x 2.1 meter; Termasuk listrik; Kasur; Meja; Lemari Baju; Kursi; Kipas Angin; Bantal; Kloset Duduk; Kloset Jongkok; K. Mandi Luar; Ember mandi; Shower; Bak mandi; WiFi; Kulkas; R. Tamu; Penjaga Kos; R. Jemur; Dapur; TV; Parkir Motor; Parkir Sepeda"/>
    <n v="1037000"/>
    <s v="Rp1.037.000"/>
    <n v="0.17222222222222225"/>
    <d v="1899-12-30T04:08:00"/>
    <s v="Kos Putri"/>
    <m/>
    <s v="Diskon 88rb"/>
  </r>
  <r>
    <s v="Kost Apik 89G Kwitang Tipe C Senen Jakarta Pusat"/>
    <x v="9"/>
    <x v="41"/>
    <n v="5.04"/>
    <s v="2.4 x 2.1 meter"/>
    <s v="Termasuk listrik (implied)"/>
    <n v="1025000"/>
    <s v="Rp1.025.000"/>
    <s v="2.4 x 2.1 meter; Termasuk listrik; Kasur; Meja; Lemari Baju; Kursi; Kipas Angin; Bantal; Kloset Duduk; Kloset Jongkok; K. Mandi Luar; Ember mandi; Shower; Bak mandi; WiFi; Kulkas; R. Tamu; Penjaga Kos; R. Jemur; Dapur; TV; Parkir Motor; Parkir Sepeda"/>
    <n v="975000"/>
    <s v="Rp975.000"/>
    <n v="0.17222222222222225"/>
    <d v="1899-12-30T04:08:00"/>
    <s v="Kos Putri"/>
    <m/>
    <s v="Diskon 50rb"/>
  </r>
  <r>
    <s v="Kost Apik 89G Kwitang Tipe D Senen Jakarta Pusat"/>
    <x v="9"/>
    <x v="41"/>
    <n v="4.5"/>
    <s v="3 x 1.5 meter"/>
    <s v="Termasuk listrik (implied)"/>
    <s v=""/>
    <s v="N/A"/>
    <s v="3 x 1.5 meter; Termasuk listrik; Kasur; Meja; Lemari Baju; Kursi; Kipas Angin; Bantal; Kloset Duduk; Kloset Jongkok; K. Mandi Luar; Ember mandi; Shower; Bak mandi; WiFi; Kulkas; R. Tamu; Penjaga Kos; R. Jemur; Dapur; TV; Parkir Motor; Parkir Sepeda"/>
    <n v="925000"/>
    <s v="Rp925.000"/>
    <n v="0.17013888888888887"/>
    <d v="1899-12-30T04:05:00"/>
    <s v="Kos Putri"/>
    <m/>
    <s v="Diskon 50rb"/>
  </r>
  <r>
    <s v="Kost Apik Abputar Tipe A Palmerah Jakarta Barat"/>
    <x v="3"/>
    <x v="4"/>
    <n v="14.4"/>
    <s v="3.2 x 4.5 meter"/>
    <s v="Tidak termasuk listrik"/>
    <s v=""/>
    <s v="N/A"/>
    <s v="3.2 x 4.5 meter; Tidak termasuk listrik; AC; Kasur; Lemari Baju; K. Mandi Dalam; Kloset Duduk; Shower; WiFi; R. Tamu; Penjaga Kos; R. Jemur; Dapur; Rooftop; Parkir Motor &amp; Sepeda"/>
    <n v="1725000"/>
    <s v="Rp1.725.000"/>
    <n v="0.17083333333333331"/>
    <d v="1899-12-30T04:06:00"/>
    <s v="Kos Campur"/>
    <m/>
    <s v="Diskon 120rb"/>
  </r>
  <r>
    <s v="Kost Apik Abputar Tipe B Palmerah Jakarta Barat"/>
    <x v="3"/>
    <x v="4"/>
    <n v="9.25"/>
    <s v="3.7 x 2.5 meter"/>
    <s v="Termasuk listrik (implied)"/>
    <s v=""/>
    <s v="N/A"/>
    <s v="3.7 x 2.5 meter; Termasuk listrik; Kasur; Lemari Baju; Kloset Duduk; K. Mandi Luar; Shower; WiFi; R. Tamu; Penjaga Kos; R. Jemur; Dapur; Rooftop; Parkir Motor &amp; Sepeda"/>
    <n v="825000"/>
    <s v="Rp825.000"/>
    <n v="0.17083333333333331"/>
    <d v="1899-12-30T04:06:00"/>
    <s v="Kos Putra"/>
    <m/>
    <s v="Diskon 120rb"/>
  </r>
  <r>
    <s v="Kost Apik Acp Unindra 1 Tipe C Pasar Rebo Jakarta Timur"/>
    <x v="8"/>
    <x v="28"/>
    <n v="10"/>
    <s v="4 x 2.5 meter"/>
    <s v="Tidak termasuk listrik"/>
    <n v="1425000"/>
    <s v="Rp1.425.000"/>
    <s v="4 x 2.5 meter; Tidak termasuk listrik; AC; Kasur; Lemari Baju; Bantal; Cermin; Jendela; K. Mandi Dalam; Kloset Duduk; Shower; WiFi; Penjaga Kos; Parkir Motor &amp; Sepeda"/>
    <n v="1355000"/>
    <s v="Rp1.355.000"/>
    <n v="0.16944444444444443"/>
    <d v="1899-12-30T04:04:00"/>
    <s v="Kos Campur"/>
    <m/>
    <s v="Diskon 70rb"/>
  </r>
  <r>
    <s v="Kost Apik Afifah STAN Bintaro Tipe A Pondok Aren Tangerang Selatan"/>
    <x v="2"/>
    <x v="29"/>
    <n v="9"/>
    <s v="3 x 3 meter"/>
    <s v="Tidak termasuk listrik"/>
    <n v="975000"/>
    <s v="Rp975.000"/>
    <s v="3 x 3 meter; Tidak termasuk listrik; AC; Kasur; Meja; Lemari Baju; Ventilasi; Kursi; Bantal; Cermin; Guling; Jendela; Kloset Jongkok; K. Mandi Luar; Ember mandi; WiFi; R. Cuci; R. Tamu; Penjaga Kos; R. Jemur; Dapur; CCTV; Jemuran; Parkir Motor &amp; Sepeda"/>
    <n v="927500"/>
    <s v="Rp927.500"/>
    <n v="0.20833333333333334"/>
    <d v="1899-12-30T05:00:00"/>
    <s v="Kos Putra"/>
    <m/>
    <s v="Diskon 48rb"/>
  </r>
  <r>
    <s v="Kost Apik Afifah STAN Bintaro Tipe B Pondok Aren Tangerang Selatan"/>
    <x v="2"/>
    <x v="29"/>
    <n v="9"/>
    <s v="3 x 3 meter"/>
    <s v="Tidak termasuk listrik"/>
    <n v="705000"/>
    <s v="Rp705.000"/>
    <s v="3 x 3 meter; Tidak termasuk listrik; Kasur; Meja; Lemari Baju; Ventilasi; Kursi; Kipas Angin; Bantal; Cermin; Guling; Jendela; Kloset Jongkok; K. Mandi Luar; Ember mandi; WiFi; R. Cuci; R. Tamu; Penjaga Kos; R. Jemur; Dapur; CCTV; Jemuran; Parkir Motor &amp; Sepeda"/>
    <n v="650600"/>
    <s v="Rp650.600"/>
    <n v="0.16944444444444443"/>
    <d v="1899-12-30T04:04:00"/>
    <s v="Kos Putra"/>
    <m/>
    <s v="Diskon 54rb"/>
  </r>
  <r>
    <s v="Kost Apik Aipda Petamburan Tipe A Tanah Abang Jakarta Pusat"/>
    <x v="9"/>
    <x v="42"/>
    <n v="9"/>
    <s v="3 x 3 meter"/>
    <s v="Termasuk listrik (implied)"/>
    <n v="1500000"/>
    <s v="Rp1.500.000"/>
    <s v="3 x 3 meter; Termasuk listrik; AC; Kasur; Lemari Baju; Bantal; Kloset Jongkok; K. Mandi Luar; WiFi; Dapur; Parkir Motor; Parkir Sepeda"/>
    <n v="1380000"/>
    <s v="Rp1.380.000"/>
    <n v="0.17013888888888887"/>
    <d v="1899-12-30T04:05:00"/>
    <s v="Kos Putri"/>
    <m/>
    <s v="Diskon 120rb"/>
  </r>
  <r>
    <s v="Kost Apik Aipda Petamburan Tipe B Tanah Abang Jakarta Pusat"/>
    <x v="9"/>
    <x v="42"/>
    <n v="10.8"/>
    <s v="3.6 x 3 meter"/>
    <s v="Termasuk listrik (implied)"/>
    <n v="1300000"/>
    <s v="Rp1.300.000"/>
    <s v="3.6 x 3 meter; Termasuk listrik; Kasur; Lemari Baju; Bantal; K. Mandi Dalam; Kloset Duduk; WiFi; Dapur; Parkir Motor; Parkir Sepeda"/>
    <n v="1196000"/>
    <s v="Rp1.196.000"/>
    <n v="0"/>
    <m/>
    <s v="Kos Putri"/>
    <m/>
    <s v="Diskon 104rb"/>
  </r>
  <r>
    <s v="Kost Apik Aipda Petamburan Tipe C Tanah Abang Jakarta Pusat"/>
    <x v="9"/>
    <x v="42"/>
    <n v="9"/>
    <s v="3 x 3 meter"/>
    <s v="Termasuk listrik (implied)"/>
    <s v=""/>
    <s v="N/A"/>
    <s v="3 x 3 meter; Termasuk listrik; Kasur; Lemari Baju; Bantal; K. Mandi Dalam; Kloset Duduk; WiFi; Dapur; Parkir Motor; Parkir Sepeda"/>
    <n v="1300000"/>
    <s v="Rp1.300.000"/>
    <n v="0.20833333333333334"/>
    <d v="1899-12-30T05:00:00"/>
    <s v="Kos Putri"/>
    <m/>
    <s v="Diskon 104rb"/>
  </r>
  <r>
    <s v="Kost Apik Aipda Petamburan Tipe D Tanah Abang Jakarta Pusat"/>
    <x v="9"/>
    <x v="42"/>
    <n v="9"/>
    <s v="3 x 3 meter"/>
    <s v="Termasuk listrik (implied)"/>
    <s v=""/>
    <s v="N/A"/>
    <s v="3 x 3 meter; Termasuk listrik; Kasur; Lemari Baju; Bantal; Jendela; Kloset Jongkok; K. Mandi Luar; WiFi; Dapur; Parkir Motor; Parkir Sepeda"/>
    <n v="1100000"/>
    <s v="Rp1.100.000"/>
    <n v="0.17291666666666669"/>
    <d v="1899-12-30T04:09:00"/>
    <s v="Kos Putri"/>
    <m/>
    <s v="Diskon 104rb"/>
  </r>
  <r>
    <s v="Kost Apik Aksata Residence Binus Anggrek Tipe D Kebon Jeruk Jakarta Barat"/>
    <x v="3"/>
    <x v="14"/>
    <n v="9"/>
    <s v="3 x 3 meter"/>
    <s v="Tidak termasuk listrik"/>
    <n v="1345000"/>
    <s v="Rp1.345.000"/>
    <s v="3 x 3 meter; Tidak termasuk listrik; Kasur; Meja; Lemari Baju; Bantal; Jendela; K. Mandi Dalam; Ember mandi; Shower; WiFi; Penjaga Kos; R. Jemur; CCTV; Parkir Motor &amp; Sepeda"/>
    <n v="1279000"/>
    <s v="Rp1.279.000"/>
    <n v="0.17222222222222225"/>
    <d v="1899-12-30T04:08:00"/>
    <s v="Kos Campur"/>
    <m/>
    <s v="Diskon 66rb"/>
  </r>
  <r>
    <s v="Kost Apik Amalia Tipe A Pasar Minggu Jakarta Selatan"/>
    <x v="5"/>
    <x v="43"/>
    <n v="14"/>
    <s v="3.5 x 4 meter"/>
    <s v="Tidak termasuk listrik"/>
    <s v=""/>
    <s v="N/A"/>
    <s v="3.5 x 4 meter; Tidak termasuk listrik; AC; Kasur; Meja; Lemari Baju; Kursi; Jendela; Kloset Duduk; K. Mandi Luar; Shower; WiFi; R. Cuci; Kulkas; R. Tamu; Penjaga Kos; R. Makan; R. Jemur; Mushola; Dapur; TV; Parkir Motor &amp; Sepeda"/>
    <n v="2025000"/>
    <s v="Rp2.025.000"/>
    <n v="0.20833333333333334"/>
    <d v="1899-12-30T05:00:00"/>
    <s v="Kos Putri"/>
    <m/>
    <s v="Diskon 144rb"/>
  </r>
  <r>
    <s v="Kost Apik Amalia Tipe B Pasar Minggu Jakarta Selatan"/>
    <x v="5"/>
    <x v="43"/>
    <n v="12"/>
    <s v="4 x 3 meter"/>
    <s v="Tidak termasuk listrik"/>
    <s v=""/>
    <s v="N/A"/>
    <s v="4 x 3 meter; Tidak termasuk listrik; AC; Kasur; Meja; Lemari Baju; Kursi; Jendela; Kloset Duduk; K. Mandi Luar; Shower; WiFi; R. Cuci; Kulkas; R. Tamu; Penjaga Kos; R. Makan; R. Jemur; Mushola; Dapur; TV; Parkir Motor &amp; Sepeda"/>
    <n v="1875000"/>
    <s v="Rp1.875.000"/>
    <n v="0.20833333333333334"/>
    <d v="1899-12-30T05:00:00"/>
    <s v="Kos Putri"/>
    <m/>
    <s v="Diskon 144rb"/>
  </r>
  <r>
    <s v="Kost Apik Amalia Tipe C Pasar Minggu Jakarta Selatan"/>
    <x v="5"/>
    <x v="43"/>
    <n v="8"/>
    <s v="2 x 4 meter"/>
    <s v="Tidak termasuk listrik"/>
    <n v="1825000"/>
    <s v="Rp1.825.000"/>
    <s v="2 x 4 meter; Tidak termasuk listrik; AC; Kasur; Meja; Lemari Baju; Kursi; Jendela; K. Mandi Dalam; Kloset Duduk; Shower; WiFi; R. Cuci; Kulkas; R. Tamu; Penjaga Kos; R. Makan; R. Jemur; Mushola; Dapur; TV; Parkir Motor &amp; Sepeda"/>
    <n v="1681000"/>
    <s v="Rp1.681.000"/>
    <n v="0.20833333333333334"/>
    <d v="1899-12-30T05:00:00"/>
    <s v="Kos Putri"/>
    <m/>
    <s v="Diskon 144rb"/>
  </r>
  <r>
    <s v="Kost Apik Amalia Tipe D Pasar Minggu Jakarta Selatan"/>
    <x v="5"/>
    <x v="43"/>
    <n v="6.8999999999999995"/>
    <s v="2.3 x 3 meter"/>
    <s v="Tidak termasuk listrik"/>
    <s v=""/>
    <s v="N/A"/>
    <s v="2.3 x 3 meter; Tidak termasuk listrik; AC; Kasur; Meja; Lemari Baju; Kursi; Jendela; Kloset Duduk; K. Mandi Luar; Shower; WiFi; R. Cuci; Kulkas; R. Tamu; Penjaga Kos; R. Makan; R. Jemur; Mushola; Dapur; TV; Parkir Motor &amp; Sepeda"/>
    <n v="1725000"/>
    <s v="Rp1.725.000"/>
    <n v="0.20833333333333334"/>
    <d v="1899-12-30T05:00:00"/>
    <s v="Kos Putri"/>
    <m/>
    <s v="Diskon 144rb"/>
  </r>
  <r>
    <s v="Kost Apik Anggrek 13 Tipe A Setiabudi Jakarta Selatan"/>
    <x v="5"/>
    <x v="44"/>
    <n v="6"/>
    <s v="3 x 2 meter"/>
    <s v="Termasuk listrik (implied)"/>
    <s v=""/>
    <s v="N/A"/>
    <s v="3 x 2 meter; Termasuk listrik; AC; Kasur; Meja; Lemari Baju; Kursi; Bantal; Cermin; Guling; Jendela; K. Mandi Dalam; Kloset Duduk; Shower; WiFi; Kulkas; Laundry; R. Jemur; Dapur; K. Mandi Luar; Parkir Motor; Parkir Motor &amp; Sepeda"/>
    <n v="1725000"/>
    <s v="Rp1.725.000"/>
    <n v="0.17083333333333331"/>
    <d v="1899-12-30T04:06:00"/>
    <s v="Kos Campur"/>
    <m/>
    <m/>
  </r>
  <r>
    <s v="Kost Apik Anggrek IV Perbanas Tipe A Setiabudi Jakarta Selatan"/>
    <x v="5"/>
    <x v="44"/>
    <n v="12"/>
    <s v="4 x 3 meter"/>
    <s v="Tidak termasuk listrik"/>
    <s v=""/>
    <s v="N/A"/>
    <s v="4 x 3 meter; Tidak termasuk listrik; AC; Kasur; Meja; Lemari Baju; Kursi; Bantal; Cermin; Guling; Jendela; Kloset Jongkok; K. Mandi Luar; Bak mandi; WiFi; R. Tamu; R. Makan; R. Jemur; Dapur; Parkir Mobil; Parkir Sepeda; Parkir Motor &amp; Sepeda"/>
    <n v="1725000"/>
    <s v="Rp1.725.000"/>
    <n v="0.17222222222222225"/>
    <d v="1899-12-30T04:08:00"/>
    <s v="Kos Putri"/>
    <m/>
    <m/>
  </r>
  <r>
    <s v="Kost Apik Anggrek IV Perbanas Tipe B Setiabudi Jakarta Selatan"/>
    <x v="5"/>
    <x v="44"/>
    <n v="12"/>
    <s v="4 x 3 meter"/>
    <s v="Termasuk listrik (implied)"/>
    <s v=""/>
    <s v="N/A"/>
    <s v="4 x 3 meter; Termasuk listrik; Kasur; Meja; Lemari Baju; Ventilasi; Kursi; Bantal; Cermin; Guling; Jendela; Kloset Jongkok; K. Mandi Luar; Bak mandi; WiFi; R. Tamu; R. Makan; R. Jemur; Dapur; Parkir Mobil; Parkir Sepeda; Parkir Motor &amp; Sepeda"/>
    <n v="1375000"/>
    <s v="Rp1.375.000"/>
    <n v="0.17222222222222225"/>
    <d v="1899-12-30T04:08:00"/>
    <s v="Kos Putri"/>
    <m/>
    <m/>
  </r>
  <r>
    <s v="Kost Apik Anis Tipe A Makasar Jakarta Timur"/>
    <x v="8"/>
    <x v="45"/>
    <n v="9"/>
    <s v="3 x 3 meter"/>
    <s v="Termasuk listrik (implied)"/>
    <n v="882000"/>
    <s v="Rp882.000"/>
    <s v="3 x 3 meter; Termasuk listrik; Kasur; Lemari Baju; Ventilasi; Kipas Angin; Bantal; Kloset Jongkok; K. Mandi Luar; Bak mandi; WiFi; Kulkas; R. Tamu; Mesin Cuci; R. Jemur; Dapur; Jemuran; Parkir Motor &amp; Sepeda"/>
    <n v="811440"/>
    <s v="Rp811.440"/>
    <n v="0.20833333333333334"/>
    <d v="1899-12-30T05:00:00"/>
    <s v="Kos Campur"/>
    <m/>
    <s v="Diskon 71rb"/>
  </r>
  <r>
    <s v="Kost Apik Asih Tipe B Jagakarsa Jakarta Selatan"/>
    <x v="5"/>
    <x v="40"/>
    <n v="12"/>
    <s v="3 x 4 meter"/>
    <s v="Termasuk listrik (implied)"/>
    <s v=""/>
    <s v="N/A"/>
    <s v="3 x 4 meter; Termasuk listrik; AC; Kasur; Meja; Lemari Baju; Ventilasi; Kursi; Bantal; Guling; Jendela; K. Mandi Dalam; Kloset Jongkok; Ember mandi; WiFi; Penjaga Kos; R. Jemur; Dapur; CCTV; Jemuran; Parkir Motor; Parkir Sepeda"/>
    <n v="1225000"/>
    <s v="Rp1.225.000"/>
    <n v="0.17222222222222225"/>
    <d v="1899-12-30T04:08:00"/>
    <s v="Kos Putri"/>
    <m/>
    <m/>
  </r>
  <r>
    <s v="Kost Apik Aulia Tipe A Cimanggis Depok"/>
    <x v="1"/>
    <x v="46"/>
    <n v="10.5"/>
    <s v="3 x 3.5 meter"/>
    <s v="Termasuk listrik (implied)"/>
    <n v="770000"/>
    <s v="Rp770.000"/>
    <s v="3 x 3.5 meter; Termasuk listrik; Kasur; Lemari Baju; Ventilasi; Bantal; Jendela; K. Mandi Dalam; Kloset Jongkok; Ember mandi; WiFi; Penjaga Kos; Parkir Motor &amp; Sepeda"/>
    <n v="693000"/>
    <s v="Rp693.000"/>
    <n v="0.16874999999999998"/>
    <d v="1899-12-30T04:03:00"/>
    <s v="Kos Putri"/>
    <m/>
    <s v="Diskon 77rb"/>
  </r>
  <r>
    <s v="Kost Apik Aura Kwitang Tipe A Senen Jakarta Pusat"/>
    <x v="9"/>
    <x v="41"/>
    <n v="5"/>
    <s v="2 x 2.5 meter"/>
    <s v="Termasuk listrik (implied)"/>
    <s v=""/>
    <s v="N/A"/>
    <s v="2 x 2.5 meter; Termasuk listrik; AC; Kasur; Meja; Lemari Baju; Kursi; Bantal; Guling; Kloset Duduk; K. Mandi Luar; Ember mandi; Shower; WiFi; R. Jemur; Parkir Motor &amp; Sepeda"/>
    <n v="1525000"/>
    <s v="Rp1.525.000"/>
    <n v="0.17083333333333331"/>
    <d v="1899-12-30T04:06:00"/>
    <s v="Kos Putra"/>
    <m/>
    <m/>
  </r>
  <r>
    <s v="Kost Apik Ayu Kencana Tipe A Beji Depok"/>
    <x v="1"/>
    <x v="15"/>
    <n v="9.990000000000002"/>
    <s v="3.7 x 2.7 meter"/>
    <s v="Termasuk listrik (implied)"/>
    <n v="1075000"/>
    <s v="Rp1.075.000"/>
    <s v="3.7 x 2.7 meter; Termasuk listrik; Kasur; Meja; Lemari Baju; Ventilasi; Kursi; Bantal; Cermin; Jendela; K. Mandi Dalam; Kloset Jongkok; Ember mandi; Shower; WiFi; R. Tamu; Penjaga Kos; R. Jemur; Dapur; Jemuran; Parkir Motor &amp; Sepeda"/>
    <n v="970000"/>
    <s v="Rp970.000"/>
    <n v="0.17291666666666669"/>
    <d v="1899-12-30T04:09:00"/>
    <s v="Kos Putri"/>
    <m/>
    <s v="Diskon 105rb"/>
  </r>
  <r>
    <s v="Kost Apik Ayu Kencana Tipe B Beji Depok"/>
    <x v="1"/>
    <x v="15"/>
    <n v="8.64"/>
    <s v="3.2 x 2.7 meter"/>
    <s v="Termasuk listrik (implied)"/>
    <n v="1025000"/>
    <s v="Rp1.025.000"/>
    <s v="3.2 x 2.7 meter; Termasuk listrik; Kasur; Meja; Lemari Baju; Ventilasi; Kursi; Bantal; Cermin; Jendela; K. Mandi Dalam; Kloset Jongkok; Ember mandi; Shower; WiFi; R. Tamu; Penjaga Kos; R. Jemur; Dapur; Jemuran; Parkir Motor &amp; Sepeda"/>
    <n v="925000"/>
    <s v="Rp925.000"/>
    <n v="0.17291666666666669"/>
    <d v="1899-12-30T04:09:00"/>
    <s v="Kos Putri"/>
    <m/>
    <s v="Diskon 100rb"/>
  </r>
  <r>
    <s v="Kost Apik Ayu Kencana Tipe C Beji Depok"/>
    <x v="1"/>
    <x v="15"/>
    <n v="8.1000000000000014"/>
    <s v="3 x 2.7 meter"/>
    <s v="Termasuk listrik (implied)"/>
    <n v="975000"/>
    <s v="Rp975.000"/>
    <s v="3 x 2.7 meter; Termasuk listrik; Kasur; Meja; Lemari Baju; Ventilasi; Kursi; Bantal; Cermin; Jendela; K. Mandi Dalam; Kloset Jongkok; Ember mandi; Shower; WiFi; R. Tamu; Penjaga Kos; R. Jemur; Dapur; Jemuran; Parkir Motor &amp; Sepeda"/>
    <n v="880000"/>
    <s v="Rp880.000"/>
    <n v="0.16666666666666666"/>
    <d v="1899-12-30T04:00:00"/>
    <s v="Kos Putri"/>
    <m/>
    <s v="Diskon 95rb"/>
  </r>
  <r>
    <s v="Kost Apik Ayu Kencana Tipe D Beji Depok"/>
    <x v="1"/>
    <x v="15"/>
    <n v="8.64"/>
    <s v="3.2 x 2.7 meter"/>
    <s v="Termasuk listrik (implied)"/>
    <n v="925000"/>
    <s v="Rp925.000"/>
    <s v="3.2 x 2.7 meter; Termasuk listrik; Kasur; Meja; Lemari Baju; Ventilasi; Kursi; Bantal; Cermin; Jendela; Kloset Jongkok; K. Mandi Luar; Ember mandi; Shower; WiFi; R. Tamu; Penjaga Kos; R. Jemur; Dapur; Jemuran; Parkir Motor &amp; Sepeda"/>
    <n v="835000"/>
    <s v="Rp835.000"/>
    <n v="0.17291666666666669"/>
    <d v="1899-12-30T04:09:00"/>
    <s v="Kos Putri"/>
    <m/>
    <s v="Diskon 90rb"/>
  </r>
  <r>
    <s v="Kost Apik Az Zahra Tipe A Kramat Jati Jakarta Timur"/>
    <x v="8"/>
    <x v="47"/>
    <n v="8.8000000000000007"/>
    <s v="2.2 x 4 meter"/>
    <s v="Tidak termasuk listrik"/>
    <n v="925000"/>
    <s v="Rp925.000"/>
    <s v="2.2 x 4 meter; Tidak termasuk listrik; Kasur; Meja; Lemari Baju; Kursi; Bantal; Jendela; Kipas Angin; Kloset Duduk; K. Mandi Luar; Bak mandi; WiFi; R. Cuci; R. Tamu; Penjaga Kos; R. Jemur; Dapur; Jemuran; Parkir Motor &amp; Sepeda"/>
    <n v="853000"/>
    <s v="Rp853.000"/>
    <n v="0.17291666666666669"/>
    <d v="1899-12-30T04:09:00"/>
    <s v="Kos Putri"/>
    <m/>
    <s v="Diskon 72rb"/>
  </r>
  <r>
    <s v="Kost Apik Bahari Tipe A Cakung Jakarta Timur"/>
    <x v="8"/>
    <x v="48"/>
    <n v="9"/>
    <s v="3 x 3 meter"/>
    <s v="Tidak termasuk listrik"/>
    <n v="1025000"/>
    <s v="Rp1.025.000"/>
    <s v="3 x 3 meter; Tidak termasuk listrik; Kasur; Ventilasi; Bantal; Dapur Pribadi; Jendela; K. Mandi Dalam; Kloset Jongkok; WiFi; Penjaga Kos; Parkir Motor &amp; Sepeda"/>
    <n v="975000"/>
    <s v="Rp975.000"/>
    <n v="0.16874999999999998"/>
    <d v="1899-12-30T04:03:00"/>
    <s v="Kos Campur"/>
    <m/>
    <s v="Diskon 50rb"/>
  </r>
  <r>
    <s v="Kost Apik Bali Kukusan Tipe A Beji Depok"/>
    <x v="1"/>
    <x v="15"/>
    <n v="8.9599999999999991"/>
    <s v="3.2 x 2.8 meter"/>
    <s v="Termasuk listrik (implied)"/>
    <n v="825000"/>
    <s v="Rp825.000"/>
    <s v="3.2 x 2.8 meter; Termasuk listrik; Kasur; Meja; Lemari Baju; Kursi; Kipas Angin; Bantal; Cermin; K. Mandi Dalam; Kloset Jongkok; Ember mandi; Shower; WiFi; Penjaga Kos; R. Jemur; Dapur; Jemuran; Parkir Motor; Parkir Sepeda"/>
    <n v="745000"/>
    <s v="Rp745.000"/>
    <n v="0.17222222222222225"/>
    <d v="1899-12-30T04:08:00"/>
    <s v="Kos Putri"/>
    <m/>
    <s v="Diskon 80rb"/>
  </r>
  <r>
    <s v="Kost Apik Bali Kukusan Tipe B Beji Depok"/>
    <x v="1"/>
    <x v="15"/>
    <n v="10.8"/>
    <s v="3.6 x 3 meter"/>
    <s v="Termasuk listrik (implied)"/>
    <n v="925000"/>
    <s v="Rp925.000"/>
    <s v="3.6 x 3 meter; Termasuk listrik; AC; Kasur; Meja; Lemari Baju; Kursi; Kipas Angin; Bantal; Cermin; K. Mandi Dalam; Kloset Jongkok; Ember mandi; Shower; WiFi; Penjaga Kos; R. Jemur; Dapur; Jemuran; Parkir Motor; Parkir Sepeda"/>
    <n v="835000"/>
    <s v="Rp835.000"/>
    <n v="0.17291666666666669"/>
    <d v="1899-12-30T04:09:00"/>
    <s v="Kos Putri"/>
    <m/>
    <s v="Diskon 90rb"/>
  </r>
  <r>
    <s v="Kost Apik Bangau V Tipe A Kemayoran Jakarta Pusat"/>
    <x v="9"/>
    <x v="38"/>
    <n v="10"/>
    <s v="4.0 x 2.5 meter"/>
    <s v="Tidak termasuk listrik"/>
    <s v=""/>
    <s v="N/A"/>
    <s v="4.0 x 2.5 meter; Tidak termasuk listrik; AC; Kasur; Meja; Lemari Baju; Kursi; Bantal; Cermin; Jendela; Kloset Duduk; K. Mandi Luar; Shower; WiFi; R. Cuci; Kulkas; Mesin Cuci; R. Jemur; Dapur; CCTV; Jemuran; Parkir Motor; Parkir Sepeda"/>
    <n v="1525000"/>
    <s v="Rp1.525.000"/>
    <n v="0.17083333333333331"/>
    <d v="1899-12-30T04:06:00"/>
    <s v="Kos Campur"/>
    <m/>
    <m/>
  </r>
  <r>
    <s v="Kost Apik Bangau V Tipe B Kemayoran Jakarta Pusat"/>
    <x v="9"/>
    <x v="38"/>
    <n v="10"/>
    <s v="4.0 x 2.5 meter"/>
    <s v="Tidak termasuk listrik"/>
    <s v=""/>
    <s v="N/A"/>
    <s v="4.0 x 2.5 meter; Tidak termasuk listrik; Kasur; Lemari Baju; Bantal; Cermin; Jendela; Kloset Duduk; K. Mandi Luar; Shower; WiFi; R. Cuci; Kulkas; Mesin Cuci; R. Jemur; Dapur; CCTV; Jemuran; Parkir Motor; Parkir Sepeda"/>
    <n v="1275000"/>
    <s v="Rp1.275.000"/>
    <n v="0.17013888888888887"/>
    <d v="1899-12-30T04:05:00"/>
    <s v="Kos Campur"/>
    <m/>
    <m/>
  </r>
  <r>
    <s v="Kost Apik Barakah Tipe A Cilincing Jakarta Utara"/>
    <x v="4"/>
    <x v="49"/>
    <n v="16.650000000000002"/>
    <s v="4.5 x 3.7 meter"/>
    <s v="Tidak termasuk listrik"/>
    <n v="1700000"/>
    <s v="Rp1.700.000"/>
    <s v="4.5 x 3.7 meter; Tidak termasuk listrik; AC; Kasur; Meja; Lemari Baju; Ventilasi; Kursi; Jendela; Kipas Angin; Bantal; Guling; K. Mandi Dalam; Kloset Jongkok; Ember mandi; Shower; WiFi; Penjaga Kos; R. Jemur; Dapur; CCTV; Rooftop; Parkir Motor &amp; Sepeda"/>
    <n v="1615000"/>
    <s v="Rp1.615.000"/>
    <n v="0.20833333333333334"/>
    <d v="1899-12-30T05:00:00"/>
    <s v="Kos Campur"/>
    <m/>
    <s v="Diskon 85rb"/>
  </r>
  <r>
    <s v="Kost Apik Barakah Tipe B Cilincing Jakarta Utara"/>
    <x v="4"/>
    <x v="49"/>
    <n v="12"/>
    <s v="4 x 3 meter"/>
    <s v="Tidak termasuk listrik"/>
    <n v="1200000"/>
    <s v="Rp1.200.000"/>
    <s v="4 x 3 meter; Tidak termasuk listrik; Kasur; Meja; Lemari Baju; Kursi; Jendela; Kipas Angin; Bantal; Guling; K. Mandi Dalam; Kloset Jongkok; Ember mandi; Shower; WiFi; Penjaga Kos; R. Jemur; Dapur; CCTV; Rooftop; Parkir Motor &amp; Sepeda"/>
    <n v="1140000"/>
    <s v="Rp1.140.000"/>
    <n v="0.17083333333333331"/>
    <d v="1899-12-30T04:06:00"/>
    <s v="Kos Campur"/>
    <m/>
    <s v="Diskon 60rb"/>
  </r>
  <r>
    <s v="Kost Apik Barakah Tipe C Cilincing Jakarta Utara"/>
    <x v="4"/>
    <x v="49"/>
    <n v="8.75"/>
    <s v="3.5 x 2.5 meter"/>
    <s v="Tidak termasuk listrik"/>
    <n v="1100000"/>
    <s v="Rp1.100.000"/>
    <s v="3.5 x 2.5 meter; Tidak termasuk listrik; Kasur; Meja; Lemari Baju; Ventilasi; Kursi; Jendela; Kipas Angin; Bantal; Guling; K. Mandi Dalam; Kloset Jongkok; Ember mandi; Shower; WiFi; Penjaga Kos; R. Jemur; Dapur; CCTV; Rooftop; Parkir Motor &amp; Sepeda"/>
    <n v="1012000"/>
    <s v="Rp1.012.000"/>
    <n v="0.17083333333333331"/>
    <d v="1899-12-30T04:06:00"/>
    <s v="Kos Campur"/>
    <m/>
    <s v="Diskon 88rb"/>
  </r>
  <r>
    <s v="Kost Apik Barakah Tipe D Cilincing Jakarta Utara"/>
    <x v="4"/>
    <x v="49"/>
    <n v="8.75"/>
    <s v="3.5 x 2.5 meter"/>
    <s v="Tidak termasuk listrik"/>
    <s v=""/>
    <s v="N/A"/>
    <s v="3.5 x 2.5 meter; Tidak termasuk listrik; AC; Kasur; Meja; Lemari Baju; Kursi; Jendela; Bantal; K. Mandi Dalam; Kloset Jongkok; Ember mandi; Shower; WiFi; Penjaga Kos; R. Jemur; Dapur; CCTV; Rooftop; Parkir Motor &amp; Sepeda"/>
    <n v="1450000"/>
    <s v="Rp1.450.000"/>
    <n v="0.20833333333333334"/>
    <d v="1899-12-30T05:00:00"/>
    <s v="Kos Campur"/>
    <m/>
    <s v="Diskon 88rb"/>
  </r>
  <r>
    <s v="Kost Apik Beringin 37 Tipe A Cipayung Jakarta Timur"/>
    <x v="8"/>
    <x v="25"/>
    <n v="80"/>
    <s v="3.2 x 25 meter"/>
    <s v="Termasuk listrik (implied)"/>
    <s v=""/>
    <s v="N/A"/>
    <s v="3.2 x 25 meter; Termasuk listrik; Kasur; Lemari Baju; Ventilasi; Bantal; Guling; Jendela; K. Mandi Dalam; Kloset Jongkok; Ember mandi; WiFi; Penjaga Kos; R. Jemur; Dapur; Jemuran; Parkir Motor &amp; Sepeda"/>
    <n v="775000"/>
    <s v="Rp775.000"/>
    <n v="0.17291666666666669"/>
    <d v="1899-12-30T04:09:00"/>
    <s v="Kos Putra"/>
    <m/>
    <s v="Diskon 52rb"/>
  </r>
  <r>
    <s v="Kost Apik BINUS Anggrek 46 Tipe A Kebon Jeruk Jakarta Barat"/>
    <x v="3"/>
    <x v="14"/>
    <n v="9"/>
    <s v="3 x 3 meter"/>
    <s v="Tidak termasuk listrik"/>
    <n v="975000"/>
    <s v="Rp975.000"/>
    <s v="3 x 3 meter; Tidak termasuk listrik; Kasur; Meja; Lemari Baju; Ventilasi; Kursi; Kipas Angin; Bantal; Jendela; Kloset Jongkok; K. Mandi Luar; Ember mandi; WiFi; Penjaga Kos; R. Jemur; CCTV; Parkir Motor; Parkir Sepeda"/>
    <n v="927500"/>
    <s v="Rp927.500"/>
    <n v="0.17291666666666669"/>
    <d v="1899-12-30T04:09:00"/>
    <s v="Kos Putra"/>
    <m/>
    <s v="Diskon 48rb"/>
  </r>
  <r>
    <s v="Kost Apik BINUS Anggrek Tipe B Palmerah Jakarta Barat"/>
    <x v="3"/>
    <x v="4"/>
    <n v="6"/>
    <s v="3 x 2 meter"/>
    <s v="Termasuk listrik (implied)"/>
    <n v="1125000"/>
    <s v="Rp1.125.000"/>
    <s v="3 x 2 meter; Termasuk listrik; Kasur; Meja; Lemari Baju; Ventilasi; Kursi; Bantal; Jendela; Kloset Jongkok; K. Mandi Luar; Ember mandi; Bak mandi; WiFi; R. Tamu; R. Jemur; Parkir Motor; Parkir Sepeda"/>
    <n v="1070000"/>
    <s v="Rp1.070.000"/>
    <n v="0.17222222222222225"/>
    <d v="1899-12-30T04:08:00"/>
    <s v="Kos Campur"/>
    <m/>
    <s v="Diskon 55rb"/>
  </r>
  <r>
    <s v="Kost Apik BINUS Anggrek Tipe C Palmerah Jakarta Barat"/>
    <x v="3"/>
    <x v="4"/>
    <n v="6"/>
    <s v="3 x 2 meter"/>
    <s v="Termasuk listrik (implied)"/>
    <n v="1375000"/>
    <s v="Rp1.375.000"/>
    <s v="3 x 2 meter; Termasuk listrik; Kasur; Meja; Lemari Baju; Ventilasi; Kursi; Bantal; Jendela; K. Mandi Dalam; Ember mandi; WiFi; R. Tamu; R. Jemur; Parkir Motor; Parkir Sepeda"/>
    <n v="1307500"/>
    <s v="Rp1.307.500"/>
    <n v="0.17222222222222225"/>
    <d v="1899-12-30T04:08:00"/>
    <s v="Kos Campur"/>
    <m/>
    <s v="Diskon 68rb"/>
  </r>
  <r>
    <s v="Kost Apik Bokis 1 Bintaro Tipe A Pondok Aren Tangerang Selatan"/>
    <x v="2"/>
    <x v="29"/>
    <n v="6"/>
    <s v="3 x 2 meter"/>
    <s v="Tidak termasuk listrik"/>
    <n v="655000"/>
    <s v="Rp655.000"/>
    <s v="3 x 2 meter; Tidak termasuk listrik; Kasur; Meja; Lemari Baju; Jendela; Kloset Duduk; K. Mandi Luar; WiFi; Kulkas; Parkir Motor &amp; Sepeda"/>
    <n v="623500"/>
    <s v="Rp623.500"/>
    <n v="0.17013888888888887"/>
    <d v="1899-12-30T04:05:00"/>
    <s v="Kos Putri"/>
    <m/>
    <s v="Diskon 32rb"/>
  </r>
  <r>
    <s v="Kost Apik Bright Tipe A Johar Baru Jakarta Pusat"/>
    <x v="9"/>
    <x v="50"/>
    <n v="9"/>
    <s v="3 x 3 meter"/>
    <s v="Tidak termasuk listrik"/>
    <n v="1425000"/>
    <s v="Rp1.425.000"/>
    <s v="3 x 3 meter; Tidak termasuk listrik; AC; Kasur; Lemari Baju; Ventilasi; Bantal; Guling; Kloset Duduk; Kloset Jongkok; K. Mandi Luar; Ember mandi; Shower"/>
    <n v="1313000"/>
    <s v="Rp1.313.000"/>
    <n v="0.17083333333333331"/>
    <d v="1899-12-30T04:06:00"/>
    <s v="Kos Putri"/>
    <m/>
    <s v="Diskon 112rb"/>
  </r>
  <r>
    <s v="Kost Apik Bright Tipe B Johar Baru Jakarta Pusat"/>
    <x v="9"/>
    <x v="50"/>
    <n v="9"/>
    <s v="3 x 3 meter"/>
    <s v="Termasuk listrik (implied)"/>
    <n v="1075000"/>
    <s v="Rp1.075.000"/>
    <s v="3 x 3 meter; Termasuk listrik; Kasur; Lemari Baju; Ventilasi; Kipas Angin; Bantal; Guling; Jendela; Kloset Duduk; Kloset Jongkok; K. Mandi Luar; Ember mandi; Shower; WiFi; Penjaga Kos; R. Jemur; Parkir Sepeda; Parkir Motor &amp; Sepeda"/>
    <n v="991000"/>
    <s v="Rp991.000"/>
    <n v="0.17083333333333331"/>
    <d v="1899-12-30T04:06:00"/>
    <s v="Kos Putri"/>
    <m/>
    <s v="Diskon 84rb"/>
  </r>
  <r>
    <s v="Kost Apik Bu Tomo Tipe A Makasar Jakarta Timur"/>
    <x v="8"/>
    <x v="45"/>
    <n v="6.25"/>
    <s v="2.5 x 2.5 meter"/>
    <s v="Termasuk listrik (implied)"/>
    <n v="840000"/>
    <s v="Rp840.000"/>
    <s v="2.5 x 2.5 meter; Termasuk listrik; Kasur; Meja; Lemari Baju; Ventilasi; Bantal; Jendela; Kloset Jongkok; K. Mandi Luar; Ember mandi; WiFi; R. Jemur; Dapur; Parkir Motor; Parkir Sepeda"/>
    <n v="799250"/>
    <s v="Rp799.250"/>
    <n v="0.17083333333333331"/>
    <d v="1899-12-30T04:06:00"/>
    <s v="Kos Campur"/>
    <m/>
    <s v="Diskon 41rb"/>
  </r>
  <r>
    <s v="Kost Apik Bugenvil Tipe B Kemayoran Jakarta Pusat"/>
    <x v="9"/>
    <x v="38"/>
    <n v="12"/>
    <s v="3 x 4 meter"/>
    <s v="Tidak termasuk listrik"/>
    <n v="1525000"/>
    <s v="Rp1.525.000"/>
    <s v="3 x 4 meter; Tidak termasuk listrik; AC; Kasur; Meja; Lemari Baju; Jendela; Bantal; Cermin; K. Mandi Dalam; Kloset Duduk; Ember mandi; Shower; WiFi; Penjaga Kos; R. Jemur; Dapur; Rooftop; CCTV; Jemuran; Parkir Motor &amp; Sepeda"/>
    <n v="1450000"/>
    <s v="Rp1.450.000"/>
    <n v="0.16944444444444443"/>
    <d v="1899-12-30T04:04:00"/>
    <s v="Kos Campur"/>
    <m/>
    <s v="Diskon 75rb"/>
  </r>
  <r>
    <s v="Kost Apik Bugenvil Tipe C Kemayoran Jakarta Pusat"/>
    <x v="9"/>
    <x v="38"/>
    <n v="9"/>
    <s v="3 x 3 meter"/>
    <s v="Tidak termasuk listrik"/>
    <n v="1425000"/>
    <s v="Rp1.425.000"/>
    <s v="3 x 3 meter; Tidak termasuk listrik; AC; Kasur; Meja; Lemari Baju; Jendela; Bantal; K. Mandi Dalam; Kloset Duduk; Ember mandi; Shower; WiFi; Penjaga Kos; R. Jemur; Dapur; Rooftop; CCTV; Jemuran; Parkir Motor &amp; Sepeda"/>
    <n v="1355000"/>
    <s v="Rp1.355.000"/>
    <n v="0.20833333333333334"/>
    <d v="1899-12-30T05:00:00"/>
    <s v="Kos Campur"/>
    <m/>
    <s v="Diskon 70rb"/>
  </r>
  <r>
    <s v="Kost Apik Bugenvil Tipe F Kemayoran Jakarta Pusat"/>
    <x v="9"/>
    <x v="38"/>
    <n v="10.199999999999999"/>
    <s v="3 x 3.4 meter"/>
    <s v="Tidak termasuk listrik"/>
    <s v=""/>
    <s v="N/A"/>
    <s v="3 x 3.4 meter; Tidak termasuk listrik; AC; Kasur; Meja; Lemari Baju; Jendela; Bantal; Kloset Duduk; K. Mandi Luar; Ember mandi; Shower; WiFi; Penjaga Kos; R. Jemur; Dapur; Rooftop; TV; CCTV; Jemuran; Parkir Motor &amp; Sepeda"/>
    <n v="1325000"/>
    <s v="Rp1.325.000"/>
    <n v="0.17222222222222225"/>
    <d v="1899-12-30T04:08:00"/>
    <s v="Kos Campur"/>
    <m/>
    <s v="Diskon 63rb"/>
  </r>
  <r>
    <s v="Kost Apik Bugenvil Tipe G Kemayoran Jakarta Pusat"/>
    <x v="9"/>
    <x v="38"/>
    <n v="10.5"/>
    <s v="3 x 3.5 meter"/>
    <s v="Tidak termasuk listrik"/>
    <n v="1275000"/>
    <s v="Rp1.275.000"/>
    <s v="3 x 3.5 meter; Tidak termasuk listrik; AC; Kasur; Meja; Lemari Baju; Jendela; Bantal; K. Mandi Dalam; Kloset Jongkok; Ember mandi; WiFi; Penjaga Kos; R. Jemur; Dapur; Rooftop; CCTV; Jemuran; Parkir Motor &amp; Sepeda"/>
    <n v="1212500"/>
    <s v="Rp1.212.500"/>
    <n v="0.17291666666666669"/>
    <d v="1899-12-30T04:09:00"/>
    <s v="Kos Campur"/>
    <m/>
    <s v="Diskon 63rb"/>
  </r>
  <r>
    <s v="Kost Apik Bugenvil Tipe H Kemayoran Jakarta Pusat"/>
    <x v="9"/>
    <x v="38"/>
    <n v="7.5"/>
    <s v="3 x 2.5 meter"/>
    <s v="Tidak termasuk listrik"/>
    <s v=""/>
    <s v="N/A"/>
    <s v="3 x 2.5 meter; Tidak termasuk listrik; Kasur; Lemari Baju; Jendela; Bantal; Kloset Jongkok; K. Mandi Luar; Ember mandi; WiFi; Penjaga Kos; R. Jemur; Dapur; Rooftop; CCTV; Jemuran; Parkir Motor &amp; Sepeda"/>
    <n v="825000"/>
    <s v="Rp825.000"/>
    <n v="0.20833333333333334"/>
    <d v="1899-12-30T05:00:00"/>
    <s v="Kos Campur"/>
    <m/>
    <s v="Diskon 63rb"/>
  </r>
  <r>
    <s v="Kost Apik Cempaka 15 Tipe A Cempaka Putih Jakarta Pusat"/>
    <x v="9"/>
    <x v="51"/>
    <n v="8.4"/>
    <s v="4.2 x 2 meter"/>
    <s v="Termasuk listrik (implied)"/>
    <s v=""/>
    <s v="N/A"/>
    <s v="4.2 x 2 meter; Termasuk listrik; Kasur; Lemari Baju; Ventilasi; Bantal; Guling; Jendela; Kloset Duduk; K. Mandi Luar; Ember mandi; WiFi; R. Jemur; Jemuran; Parkir Motor &amp; Sepeda"/>
    <n v="875000"/>
    <s v="Rp875.000"/>
    <n v="0.20833333333333334"/>
    <d v="1899-12-30T05:00:00"/>
    <s v="Kos Putra"/>
    <m/>
    <s v="Diskon 40rb"/>
  </r>
  <r>
    <s v="Kost Apik Cera 42 Tipe A Pondok Aren Tangerang Selatan"/>
    <x v="2"/>
    <x v="2"/>
    <n v="9"/>
    <s v="3 x 3 meter"/>
    <s v="Tidak termasuk listrik"/>
    <n v="875000"/>
    <s v="Rp875.000"/>
    <s v="3 x 3 meter; Tidak termasuk listrik; Kasur; Meja; Lemari Baju; Ventilasi; Bantal; Jendela; K. Mandi Dalam; Kloset Jongkok; WiFi; Penjaga Kos; R. Jemur; Jemuran; Parkir Motor &amp; Sepeda"/>
    <n v="807000"/>
    <s v="Rp807.000"/>
    <n v="0.17222222222222225"/>
    <d v="1899-12-30T04:08:00"/>
    <s v="Kos Putri"/>
    <m/>
    <s v="Diskon 68rb"/>
  </r>
  <r>
    <s v="Kost Apik Cherry Tipe A Pondok Aren Tangerang Selatan"/>
    <x v="2"/>
    <x v="29"/>
    <n v="7.0200000000000005"/>
    <s v="2.7 x 2.6 meter"/>
    <s v="Tidak termasuk listrik"/>
    <n v="775000"/>
    <s v="Rp775.000"/>
    <s v="2.7 x 2.6 meter; Tidak termasuk listrik; Kasur; Meja; Lemari Baju; Ventilasi; Kursi; Bantal; Cermin; Guling; Jendela; Kloset Duduk; K. Mandi Luar; Ember mandi; Shower; Air panas; WiFi; Kulkas; R. Tamu; Penjaga Kos; R. Jemur; Dapur; TV; Jemuran; Parkir Motor &amp; Sepeda"/>
    <n v="700000"/>
    <s v="Rp700.000"/>
    <n v="0.17222222222222225"/>
    <d v="1899-12-30T04:08:00"/>
    <s v="Kos Putri"/>
    <m/>
    <s v="Diskon 75rb"/>
  </r>
  <r>
    <s v="Kost Apik Cilenggang 18 Tipe A Serpong Tangerang Selatan"/>
    <x v="2"/>
    <x v="18"/>
    <n v="9.6000000000000014"/>
    <s v="3.2 x 3 meter"/>
    <s v="Tidak termasuk listrik"/>
    <n v="825000"/>
    <s v="Rp825.000"/>
    <s v="3.2 x 3 meter; Tidak termasuk listrik; Kasur; Lemari Baju; Ventilasi; Jendela; Bantal; K. Mandi Dalam; Kloset Jongkok; Ember mandi; WiFi; Dapur; Parkir Motor &amp; Sepeda"/>
    <n v="785000"/>
    <s v="Rp785.000"/>
    <n v="0.17291666666666669"/>
    <d v="1899-12-30T04:09:00"/>
    <s v="Kos Putri"/>
    <m/>
    <s v="Diskon 40rb"/>
  </r>
  <r>
    <s v="Kost Apik Cirendeu UMJ Tipe A Ciputat Timur Tangerang Selatan"/>
    <x v="2"/>
    <x v="52"/>
    <n v="7.25"/>
    <s v="2.9 x 2.5 meter"/>
    <s v="Termasuk listrik (implied)"/>
    <s v=""/>
    <s v="N/A"/>
    <s v="2.9 x 2.5 meter; Termasuk listrik; Kasur; Meja; Lemari Baju; Ventilasi; Kursi; Bantal; Cermin; Jendela; K. Mandi Dalam; Kloset Jongkok; WiFi; Penjaga Kos; K. Mandi Luar; CCTV; Parkir Motor; Parkir Sepeda"/>
    <n v="825000"/>
    <s v="Rp825.000"/>
    <n v="0.16944444444444443"/>
    <d v="1899-12-30T04:04:00"/>
    <s v="Kos Putri"/>
    <m/>
    <s v="Diskon 36rb"/>
  </r>
  <r>
    <s v="Kost Apik Cirendeu UMJ Tipe B Ciputat Timur Tangerang Selatan"/>
    <x v="2"/>
    <x v="52"/>
    <n v="7.25"/>
    <s v="2.9 x 2.5 meter"/>
    <s v="Termasuk listrik (implied)"/>
    <n v="745000"/>
    <s v="Rp745.000"/>
    <s v="2.9 x 2.5 meter; Termasuk listrik; Kasur; Meja; Lemari Baju; Ventilasi; Kursi; Bantal; Jendela; Kloset Jongkok; K. Mandi Luar; WiFi; Penjaga Kos; CCTV; Parkir Motor; Parkir Sepeda"/>
    <n v="709000"/>
    <s v="Rp709.000"/>
    <n v="0.16874999999999998"/>
    <d v="1899-12-30T04:03:00"/>
    <s v="Kos Putri"/>
    <m/>
    <s v="Diskon 36rb"/>
  </r>
  <r>
    <s v="Kost Apik Cuba 10 Tipe A Serpong Tangerang Selatan"/>
    <x v="2"/>
    <x v="18"/>
    <n v="10.92"/>
    <s v="3.9 x 2.8 meter"/>
    <s v="Tidak termasuk listrik"/>
    <s v=""/>
    <s v="N/A"/>
    <s v="3.9 x 2.8 meter; Tidak termasuk listrik; AC; Kasur; Meja; TV; Lemari Baju; Ventilasi; Kursi; Bantal; Cermin; Guling; K. Mandi Dalam; Kloset Duduk; Shower; WiFi; Kulkas; R. Tamu; Penjaga Kos; R. Jemur; Dapur; K. Mandi Luar; CCTV; Rice Cooker; Jemuran; Parkir Motor; Parkir Sepeda"/>
    <n v="1625000"/>
    <s v="Rp1.625.000"/>
    <n v="0.17291666666666669"/>
    <d v="1899-12-30T04:09:00"/>
    <s v="Kos Campur"/>
    <m/>
    <m/>
  </r>
  <r>
    <s v="Kost Apik Cuba 10 Tipe B Serpong Tangerang Selatan"/>
    <x v="2"/>
    <x v="18"/>
    <n v="8.91"/>
    <s v="3.3 x 2.7 meter"/>
    <s v="Tidak termasuk listrik"/>
    <s v=""/>
    <s v="N/A"/>
    <s v="3.3 x 2.7 meter; Tidak termasuk listrik; Kasur; Meja; Lemari Baju; Ventilasi; Kursi; Kipas Angin; Bantal; Guling; Jendela; Kloset Duduk; K. Mandi Luar; Ember mandi; Shower; WiFi; Kulkas; R. Tamu; Penjaga Kos; R. Jemur; Dapur; CCTV; Rice Cooker; Jemuran; Parkir Motor; Parkir Sepeda"/>
    <n v="1175000"/>
    <s v="Rp1.175.000"/>
    <n v="0.17291666666666669"/>
    <d v="1899-12-30T04:09:00"/>
    <s v="Kos Campur"/>
    <m/>
    <m/>
  </r>
  <r>
    <s v="Kost Apik Cuba 10 Tipe C Serpong Tangerang Selatan"/>
    <x v="2"/>
    <x v="18"/>
    <n v="8.9599999999999991"/>
    <s v="3.2 x 2.8 meter"/>
    <s v="Tidak termasuk listrik"/>
    <s v=""/>
    <s v="N/A"/>
    <s v="3.2 x 2.8 meter; Tidak termasuk listrik; Kasur; Meja; Lemari Baju; Ventilasi; Kursi; Kipas Angin; Bantal; Guling; Jendela; Kloset Duduk; K. Mandi Luar; Ember mandi; Shower; WiFi; Kulkas; R. Tamu; Penjaga Kos; R. Jemur; Dapur; CCTV; Rice Cooker; Jemuran; Parkir Motor; Parkir Sepeda"/>
    <n v="1075000"/>
    <s v="Rp1.075.000"/>
    <n v="0.17222222222222225"/>
    <d v="1899-12-30T04:08:00"/>
    <s v="Kos Campur"/>
    <m/>
    <m/>
  </r>
  <r>
    <s v="Kost Apik Dream Sunter Jaya 5 Tipe A Tanjung Priok Jakarta Utara"/>
    <x v="4"/>
    <x v="10"/>
    <n v="10.08"/>
    <s v="3.6 x 2.8 meter"/>
    <s v="Tidak termasuk listrik"/>
    <n v="1425000"/>
    <s v="Rp1.425.000"/>
    <s v="3.6 x 2.8 meter; Tidak termasuk listrik; Kasur; Lemari Baju; Ventilasi; Bantal; Jendela; K. Mandi Dalam; Kloset Jongkok; WiFi; Penjaga Kos; CCTV; Parkir Motor"/>
    <n v="1313000"/>
    <s v="Rp1.313.000"/>
    <n v="0.17291666666666669"/>
    <d v="1899-12-30T04:09:00"/>
    <s v="Kos Campur"/>
    <m/>
    <s v="Diskon 112rb"/>
  </r>
  <r>
    <s v="Kost Apik Dream Sunter Jaya 5 Tipe B Tanjung Priok Jakarta Utara"/>
    <x v="4"/>
    <x v="10"/>
    <n v="12.96"/>
    <s v="3.6 x 3.6 meter"/>
    <s v="Tidak termasuk listrik"/>
    <n v="1325000"/>
    <s v="Rp1.325.000"/>
    <s v="3.6 x 3.6 meter; Tidak termasuk listrik; Kasur; Lemari Baju; Ventilasi; Bantal; Jendela; K. Mandi Dalam; Kloset Jongkok; WiFi; Penjaga Kos; CCTV; Parkir Motor"/>
    <n v="1221000"/>
    <s v="Rp1.221.000"/>
    <n v="0.16874999999999998"/>
    <d v="1899-12-30T04:03:00"/>
    <s v="Kos Campur"/>
    <m/>
    <s v="Diskon 104rb"/>
  </r>
  <r>
    <s v="Kost Apik Dream Sunter Jaya 5 Tipe C Tanjung Priok Jakarta Utara"/>
    <x v="4"/>
    <x v="10"/>
    <n v="10.08"/>
    <s v="3.6 x 2.8 meter"/>
    <s v="Tidak termasuk listrik"/>
    <n v="1025000"/>
    <s v="Rp1.025.000"/>
    <s v="3.6 x 2.8 meter; Tidak termasuk listrik; Kasur; Lemari Baju; Ventilasi; Bantal; Jendela; Kloset Jongkok; K. Mandi Luar; WiFi; Penjaga Kos; CCTV; Parkir Motor"/>
    <n v="945000"/>
    <s v="Rp945.000"/>
    <n v="0.20833333333333334"/>
    <d v="1899-12-30T05:00:00"/>
    <s v="Kos Campur"/>
    <m/>
    <s v="Diskon 80rb"/>
  </r>
  <r>
    <s v="Kost Apik Dreamwork Pluit Tipe A Penjaringan Jakarta Utara"/>
    <x v="4"/>
    <x v="12"/>
    <n v="4.8"/>
    <s v="2 x 2.4 meter"/>
    <s v="Tidak termasuk listrik"/>
    <s v=""/>
    <s v="N/A"/>
    <s v="2 x 2.4 meter; Tidak termasuk listrik; AC; Kasur; Meja; Lemari Baju; Kursi; Bantal; Cermin; Guling; Jendela; K. Mandi Dalam; Kloset Duduk; Wastafel; Shower; Air panas; WiFi; R. Tamu; Penjaga Kos; R. Jemur; Dapur; CCTV; Jemuran; Parkir Mobil; Parkir Motor"/>
    <n v="2605000"/>
    <s v="Rp2.605.000"/>
    <n v="0.17291666666666669"/>
    <d v="1899-12-30T04:09:00"/>
    <s v="Kos Campur"/>
    <m/>
    <m/>
  </r>
  <r>
    <s v="Kost Apik Duri Kosambi 168 Tipe A Cengkareng Jakarta Barat"/>
    <x v="3"/>
    <x v="53"/>
    <n v="8.1000000000000014"/>
    <s v="3 x 2.7 meter"/>
    <s v="Tidak termasuk listrik"/>
    <n v="1225000"/>
    <s v="Rp1.225.000"/>
    <s v="3 x 2.7 meter; Tidak termasuk listrik; AC; Kasur; Meja; Lemari Baju; Kursi; Kloset Duduk; K. Mandi Luar; Ember mandi; WiFi; Penjaga Kos; R. Jemur; Dapur; Parkir Mobil; Parkir Motor &amp; Sepeda"/>
    <n v="1129000"/>
    <s v="Rp1.129.000"/>
    <n v="0.17222222222222225"/>
    <d v="1899-12-30T04:08:00"/>
    <s v="Kos Campur"/>
    <m/>
    <s v="Diskon 96rb"/>
  </r>
  <r>
    <s v="Kost Apik Duri Kosambi 78 Tipe B Cengkareng Jakarta Barat"/>
    <x v="3"/>
    <x v="53"/>
    <n v="10.8"/>
    <s v="3.6 x 3 meter"/>
    <s v="Tidak termasuk listrik"/>
    <s v=""/>
    <s v="N/A"/>
    <s v="3.6 x 3 meter; Tidak termasuk listrik; AC; Kasur; Meja; Lemari Baju; Bantal; Guling; Jendela; Kloset Duduk; K. Mandi Luar; Wastafel; Shower; WiFi; R. Tamu; Penjaga Kos; Dapur; Dispenser; CCTV; Jemuran; Parkir Mobil; Parkir Motor; Parkir Sepeda"/>
    <n v="1345000"/>
    <s v="Rp1.345.000"/>
    <n v="0.17222222222222225"/>
    <d v="1899-12-30T04:08:00"/>
    <s v="Kos Putra"/>
    <m/>
    <s v="Diskon 96rb"/>
  </r>
  <r>
    <s v="Kost Apik E 18 Tipe A Cempaka Putih Jakarta Pusat"/>
    <x v="9"/>
    <x v="51"/>
    <n v="12"/>
    <s v="4 x 3 meter"/>
    <s v="Termasuk listrik (implied)"/>
    <s v=""/>
    <s v="N/A"/>
    <s v="4 x 3 meter; Termasuk listrik; Kasur; Lemari Baju; Kipas Angin; Bantal; Cermin; Guling; Jendela; K. Mandi Dalam; Kloset Duduk; Shower; WiFi; R. Tamu; Penjaga Kos; R. Jemur; Parkir Motor &amp; Sepeda"/>
    <n v="1325000"/>
    <s v="Rp1.325.000"/>
    <n v="0.17083333333333331"/>
    <d v="1899-12-30T04:06:00"/>
    <s v="Kos Putra"/>
    <m/>
    <s v="Diskon 38rb"/>
  </r>
  <r>
    <s v="Kost Apik E 18 Tipe B Cempaka Putih Jakarta Pusat"/>
    <x v="9"/>
    <x v="51"/>
    <n v="9"/>
    <s v="3 x 3 meter"/>
    <s v="Termasuk listrik (implied)"/>
    <s v=""/>
    <s v="N/A"/>
    <s v="3 x 3 meter; Termasuk listrik; Kasur; Lemari Baju; Ventilasi; Kipas Angin; Bantal; Cermin; Guling; Jendela; Kloset Jongkok; K. Mandi Luar; Wastafel; WiFi; R. Tamu; Penjaga Kos; R. Jemur; Parkir Motor &amp; Sepeda"/>
    <n v="875000"/>
    <s v="Rp875.000"/>
    <n v="0.20833333333333334"/>
    <d v="1899-12-30T05:00:00"/>
    <s v="Kos Putra"/>
    <m/>
    <s v="Diskon 38rb"/>
  </r>
  <r>
    <s v="Kost Apik Edozen Kedaung Tipe A Pamulang Tangerang Selatan"/>
    <x v="2"/>
    <x v="54"/>
    <n v="16"/>
    <s v="5 x 3.2 meter"/>
    <s v="Termasuk listrik (implied)"/>
    <s v=""/>
    <s v="N/A"/>
    <s v="5 x 3.2 meter; Termasuk listrik; Kasur; Meja; Lemari Baju; Kursi; Kipas Angin; Bantal; Cermin; Jendela; K. Mandi Dalam; Kloset Duduk; Wastafel; Shower; WiFi; R. Tamu; R. Jemur; Dapur; Dispenser; Rooftop; Parkir Mobil; Parkir Motor &amp; Sepeda"/>
    <n v="2200000"/>
    <s v="Rp2.200.000"/>
    <n v="0"/>
    <m/>
    <s v="Kos Putri"/>
    <m/>
    <m/>
  </r>
  <r>
    <s v="Kost Apik Edozen Kedaung Tipe B Pamulang Tangerang Selatan"/>
    <x v="2"/>
    <x v="54"/>
    <n v="10.240000000000002"/>
    <s v="3.2 x 3.2 meter"/>
    <s v="Termasuk listrik (implied)"/>
    <s v=""/>
    <s v="N/A"/>
    <s v="3.2 x 3.2 meter; Termasuk listrik; Kasur; Meja; Lemari Baju; Bantal; K. Mandi Dalam; Kloset Duduk; Shower; WiFi; R. Tamu; R. Jemur; Dapur; Dispenser; Rooftop; Parkir Mobil; Parkir Motor &amp; Sepeda"/>
    <n v="2000000"/>
    <s v="Rp2.000.000"/>
    <n v="0.17291666666666669"/>
    <d v="1899-12-30T04:09:00"/>
    <s v="Kos Putri"/>
    <m/>
    <m/>
  </r>
  <r>
    <s v="Kost Apik Edozen Kedaung Tipe C Pamulang Tangerang Selatan"/>
    <x v="2"/>
    <x v="54"/>
    <n v="9"/>
    <s v="3 x 3 meter"/>
    <s v="Termasuk listrik (implied)"/>
    <s v=""/>
    <s v="N/A"/>
    <s v="3 x 3 meter; Termasuk listrik; Kasur; Meja; Lemari Baju; Bantal; Jendela; Kloset Duduk; K. Mandi Luar; Shower; WiFi; R. Tamu; R. Jemur; Dapur; Dispenser; Rooftop; Parkir Mobil; Parkir Motor &amp; Sepeda"/>
    <n v="1500000"/>
    <s v="Rp1.500.000"/>
    <n v="0.17222222222222225"/>
    <d v="1899-12-30T04:08:00"/>
    <s v="Kos Putri"/>
    <m/>
    <s v="Diskon 70rb"/>
  </r>
  <r>
    <s v="Kost Apik Edozen Kedaung Tipe D Pamulang Tangerang Selatan"/>
    <x v="2"/>
    <x v="54"/>
    <n v="9"/>
    <s v="3 x 3 meter"/>
    <s v="Termasuk listrik (implied)"/>
    <s v=""/>
    <s v="N/A"/>
    <s v="3 x 3 meter; Termasuk listrik; Kasur; Lemari Baju; Ventilasi; Bantal; Kloset Duduk; K. Mandi Luar; Shower; WiFi; R. Tamu; R. Jemur; Dapur; Dispenser; Rooftop; Parkir Mobil; Parkir Motor &amp; Sepeda"/>
    <n v="1200000"/>
    <s v="Rp1.200.000"/>
    <n v="0.20833333333333334"/>
    <d v="1899-12-30T05:00:00"/>
    <s v="Kos Putri"/>
    <m/>
    <s v="Diskon 65rb"/>
  </r>
  <r>
    <s v="Kost Apik Evy Kalibata Utara Tipe A Pancoran Jakarta Selatan"/>
    <x v="5"/>
    <x v="55"/>
    <n v="8.91"/>
    <s v="3.3 x 2.7 meter"/>
    <s v="Termasuk listrik (implied)"/>
    <s v=""/>
    <s v="N/A"/>
    <s v="3.3 x 2.7 meter; Termasuk listrik; Kasur; Lemari Baju; Ventilasi; Bantal; Jendela; K. Mandi Dalam; Kloset Jongkok; WiFi; Penjaga Kos; R. Jemur; Dapur; Parkir Motor; Parkir Sepeda"/>
    <n v="1350000"/>
    <s v="Rp1.350.000"/>
    <n v="0.20833333333333334"/>
    <d v="1899-12-30T05:00:00"/>
    <s v="Kos Putri"/>
    <m/>
    <m/>
  </r>
  <r>
    <s v="Kost Apik Fidzh Tipe A Johar Baru Jakarta Pusat"/>
    <x v="9"/>
    <x v="50"/>
    <n v="7"/>
    <s v="2 x 3.5 meter"/>
    <s v="Tidak termasuk listrik"/>
    <n v="1425000"/>
    <s v="Rp1.425.000"/>
    <s v="2 x 3.5 meter; Tidak termasuk listrik; AC; Kasur; Meja; Lemari Baju; Ventilasi; Bantal; Jendela; Kloset Jongkok; K. Mandi Luar; Ember mandi; Shower; WiFi; Penjaga Kos; R. Jemur; Jemuran; Parkir Motor &amp; Sepeda"/>
    <n v="1355000"/>
    <s v="Rp1.355.000"/>
    <n v="0.17013888888888887"/>
    <d v="1899-12-30T04:05:00"/>
    <s v="Kos Putra"/>
    <m/>
    <s v="Diskon 70rb"/>
  </r>
  <r>
    <s v="Kost Apik Foryou Tipe B Duren Sawit Jakarta Timur"/>
    <x v="8"/>
    <x v="39"/>
    <n v="5.6700000000000008"/>
    <s v="2.1 x 2.7 meter"/>
    <s v="Termasuk listrik (implied)"/>
    <n v="975000"/>
    <s v="Rp975.000"/>
    <s v="2.1 x 2.7 meter; Termasuk listrik; Kasur; Meja; Lemari Baju; Ventilasi; Kursi; Kipas Angin; Bantal; Guling; Jendela; Kloset Jongkok; K. Mandi Luar; Ember mandi; WiFi; R. Tamu; Penjaga Kos; R. Jemur; Dapur; Parkir Mobil; Parkir Motor; Parkir Sepeda"/>
    <n v="927500"/>
    <s v="Rp927.500"/>
    <n v="0.17222222222222225"/>
    <d v="1899-12-30T04:08:00"/>
    <s v="Kos Putra"/>
    <m/>
    <s v="Diskon 48rb"/>
  </r>
  <r>
    <s v="Kost Apik Foryou Tipe C Duren Sawit Jakarta Timur"/>
    <x v="8"/>
    <x v="39"/>
    <n v="9"/>
    <s v="3 x 3 meter"/>
    <s v="Termasuk listrik (implied)"/>
    <n v="1225000"/>
    <s v="Rp1.225.000"/>
    <s v="3 x 3 meter; Termasuk listrik; Kasur; Lemari Baju; Wastafel; Kipas Angin; Bantal; Guling; K. Mandi Dalam; Kloset Jongkok; Ember mandi; WiFi; R. Tamu; Penjaga Kos; R. Jemur; Dapur; K. Mandi Luar; CCTV; Parkir Mobil; Parkir Sepeda; Parkir Motor &amp; Sepeda"/>
    <n v="1165000"/>
    <s v="Rp1.165.000"/>
    <n v="0.20833333333333334"/>
    <d v="1899-12-30T05:00:00"/>
    <s v="Kos Putra"/>
    <m/>
    <s v="Diskon 60rb"/>
  </r>
  <r>
    <s v="Kost Apik Garuda Utama Tipe A Pondok Cabe Tangerang Selatan"/>
    <x v="2"/>
    <x v="54"/>
    <n v="9"/>
    <s v="3 x 3 meter"/>
    <s v="Tidak termasuk listrik"/>
    <n v="625000"/>
    <s v="Rp625.000"/>
    <s v="3 x 3 meter; Tidak termasuk listrik; Kasur; Meja; Lemari Baju; Ventilasi; Kursi; Kipas Angin; Bantal; Guling; Jendela; Kloset Jongkok; K. Mandi Luar; Ember mandi; Bak mandi; WiFi; R. Tamu; Mesin Cuci; Penjaga Kos; R. Jemur; Dapur; Dispenser; TV; CCTV; Jemuran; Parkir Motor; Parkir Sepeda"/>
    <n v="577000"/>
    <s v="Rp577.000"/>
    <n v="0.17222222222222225"/>
    <d v="1899-12-30T04:08:00"/>
    <s v="Kos Putra"/>
    <m/>
    <s v="Diskon 48rb"/>
  </r>
  <r>
    <s v="Kost Apik Garuda Utama Tipe B Pondok Cabe Tangerang Selatan"/>
    <x v="2"/>
    <x v="54"/>
    <n v="6"/>
    <s v="2 x 3 meter"/>
    <s v="Tidak termasuk listrik"/>
    <n v="475000"/>
    <s v="Rp475.000"/>
    <s v="2 x 3 meter; Tidak termasuk listrik; Kasur; Meja; Lemari Baju; Ventilasi; Kursi; Kipas Angin; Bantal; Guling; Jendela; Kloset Jongkok; K. Mandi Luar; Ember mandi; Bak mandi; WiFi; R. Tamu; Mesin Cuci; Penjaga Kos; R. Jemur; Dapur; Dispenser; TV; CCTV; Jemuran; Parkir Motor; Parkir Sepeda"/>
    <n v="439000"/>
    <s v="Rp439.000"/>
    <n v="0.20833333333333334"/>
    <d v="1899-12-30T05:00:00"/>
    <s v="Kos Putra"/>
    <m/>
    <s v="Diskon 36rb"/>
  </r>
  <r>
    <s v="Kost Apik GBU Houseroom Tipe A Kemayoran Jakarta Pusat"/>
    <x v="9"/>
    <x v="56"/>
    <n v="12.25"/>
    <s v="3.5 x 3.5 meter"/>
    <s v="Tidak termasuk listrik"/>
    <n v="2000000"/>
    <s v="Rp2.000.000"/>
    <s v="3.5 x 3.5 meter; Tidak termasuk listrik; AC; Kasur; Meja; Lemari Baju; Kursi; Bantal; Cermin; Guling; Jendela; K. Mandi Dalam; Kloset Duduk; Wastafel; Shower; Air panas; WiFi; R. Cuci; R. Tamu; Penjaga Kos; Laundry; Dapur; Parkir Mobil; Parkir Motor; Parkir Sepeda; Parkir Motor &amp; Sepeda"/>
    <n v="1900000"/>
    <s v="Rp1.900.000"/>
    <n v="0.17222222222222225"/>
    <d v="1899-12-30T04:08:00"/>
    <s v="Kos Campur"/>
    <m/>
    <s v="Diskon 100rb"/>
  </r>
  <r>
    <s v="Kost Apik GBU Houseroom Tipe B Kemayoran Jakarta Pusat"/>
    <x v="9"/>
    <x v="56"/>
    <n v="9"/>
    <s v="3 x 3 meter"/>
    <s v="Tidak termasuk listrik"/>
    <s v=""/>
    <s v="N/A"/>
    <s v="3 x 3 meter; Tidak termasuk listrik; AC; Kasur; Meja; Lemari Baju; Kursi; Bantal; Guling; Jendela; K. Mandi Dalam; Kloset Duduk; Kloset Jongkok; K. Mandi Luar; Wastafel; Ember mandi; Shower; Air panas; WiFi; R. Cuci; R. Tamu; Penjaga Kos; Laundry; Dapur; Parkir Mobil; Parkir Motor; Parkir Sepeda; Parkir Motor &amp; Sepeda"/>
    <n v="1650000"/>
    <s v="Rp1.650.000"/>
    <n v="0.17222222222222225"/>
    <d v="1899-12-30T04:08:00"/>
    <s v="Kos Campur"/>
    <m/>
    <s v="Diskon 63rb"/>
  </r>
  <r>
    <s v="Kost Apik GBU Houseroom Tipe C Kemayoran Jakarta Pusat"/>
    <x v="9"/>
    <x v="56"/>
    <n v="12.25"/>
    <s v="3.5 x 3.5 meter"/>
    <s v="Tidak termasuk listrik"/>
    <n v="1250000"/>
    <s v="Rp1.250.000"/>
    <s v="3.5 x 3.5 meter; Tidak termasuk listrik; AC; Kasur; Meja; Lemari Baju; Kursi; Bantal; Dapur Pribadi; Guling; Jendela; K. Mandi Dalam; Kloset Duduk; Kloset Jongkok; K. Mandi Luar; Wastafel; Shower; Air panas; WiFi; R. Cuci; R. Tamu; Penjaga Kos; Laundry; Dapur; Parkir Mobil; Parkir Motor; Parkir Sepeda; Parkir Motor &amp; Sepeda"/>
    <n v="1187500"/>
    <s v="Rp1.187.500"/>
    <n v="0.17083333333333331"/>
    <d v="1899-12-30T04:06:00"/>
    <s v="Kos Campur"/>
    <m/>
    <s v="Diskon 63rb"/>
  </r>
  <r>
    <s v="Kost Apik Golfi Tipe B Kebayoran Lama Jakarta Selatan"/>
    <x v="5"/>
    <x v="57"/>
    <n v="8.5"/>
    <s v="3.4 x 2.5 meter"/>
    <s v="Tidak termasuk listrik"/>
    <n v="1525000"/>
    <s v="Rp1.525.000"/>
    <s v="3.4 x 2.5 meter; Tidak termasuk listrik; AC; Kasur; Meja; Lemari Baju; Bantal; K. Mandi Dalam; Kloset Duduk; Wastafel; Shower; WiFi; Kulkas; Dapur; Dispenser; CCTV; Parkir Motor &amp; Sepeda"/>
    <n v="1405000"/>
    <s v="Rp1.405.000"/>
    <n v="0.17291666666666669"/>
    <d v="1899-12-30T04:09:00"/>
    <s v="Kos Campur"/>
    <m/>
    <s v="Diskon 120rb"/>
  </r>
  <r>
    <s v="Kost Apik Griya Bona Tipe B Pancoran Jakarta Selatan"/>
    <x v="5"/>
    <x v="55"/>
    <n v="9.5699999999999985"/>
    <s v="2.9 x 3.3 meter"/>
    <s v="Tidak termasuk listrik"/>
    <n v="1225000"/>
    <s v="Rp1.225.000"/>
    <s v="2.9 x 3.3 meter; Tidak termasuk listrik; Kasur; Meja; Lemari Baju; Ventilasi; Kursi; Bantal; Jendela; Kloset Duduk; K. Mandi Luar; Ember mandi; Shower; WiFi; R. Cuci; Penjaga Kos; R. Jemur; Dapur; CCTV; Jemuran; Parkir Motor &amp; Sepeda"/>
    <n v="1165000"/>
    <s v="Rp1.165.000"/>
    <n v="0.17222222222222225"/>
    <d v="1899-12-30T04:08:00"/>
    <s v="Kos Campur"/>
    <m/>
    <s v="Diskon 60rb"/>
  </r>
  <r>
    <s v="Kost Apik Griya Caraka Tipe A Beji Depok"/>
    <x v="1"/>
    <x v="15"/>
    <n v="15"/>
    <s v="3 x 5 meter"/>
    <s v="Tidak termasuk listrik"/>
    <n v="1055000"/>
    <s v="Rp1.055.000"/>
    <s v="3 x 5 meter; Tidak termasuk listrik; Kasur; Meja; Lemari Baju; Ventilasi; Kursi; Bantal; Cermin; Jendela; K. Mandi Dalam; Kloset Jongkok; Ember mandi; Shower; WiFi; R. Tamu; Mesin Cuci; Penjaga Kos; R. Jemur; Dapur; Dispenser; CCTV; Jemuran; Parkir Mobil; Parkir Motor; Parkir Sepeda"/>
    <n v="952000"/>
    <s v="Rp952.000"/>
    <n v="0.17291666666666669"/>
    <d v="1899-12-30T04:09:00"/>
    <s v="Kos Campur"/>
    <m/>
    <s v="Diskon 103rb"/>
  </r>
  <r>
    <s v="Kost Apik Griya Jasmine Tipe A Pamulang Tangerang Selatan"/>
    <x v="2"/>
    <x v="54"/>
    <n v="9.25"/>
    <s v="3.7 x 2.5 meter"/>
    <s v="Tidak termasuk listrik"/>
    <n v="925000"/>
    <s v="Rp925.000"/>
    <s v="3.7 x 2.5 meter; Tidak termasuk listrik; Kasur; Lemari Baju; Ventilasi; Kipas Angin; Bantal; Cermin; Jendela; K. Mandi Dalam; Kloset Jongkok; Ember mandi; WiFi; Kulkas; Penjaga Kos; R. Makan; R. Jemur; Dapur; K. Mandi Luar; Rice Cooker; Jemuran; Parkir Motor &amp; Sepeda"/>
    <n v="853000"/>
    <s v="Rp853.000"/>
    <n v="0"/>
    <m/>
    <s v="Kos Putri"/>
    <m/>
    <s v="Diskon 72rb"/>
  </r>
  <r>
    <s v="Kost Apik Griya Tentrem Bintaro Tipe A Pondok Aren Tangerang Selatan"/>
    <x v="2"/>
    <x v="29"/>
    <n v="6.6000000000000005"/>
    <s v="3 x 2.2 meter"/>
    <s v="Termasuk listrik (implied)"/>
    <s v=""/>
    <s v="N/A"/>
    <s v="3 x 2.2 meter; Termasuk listrik; Kasur; Meja; TV; Lemari Baju; Ventilasi; Kursi; Kipas Angin; Bantal; Jendela; Kloset Jongkok; K. Mandi Luar; Ember mandi; WiFi; R. Tamu; Penjaga Kos; R. Makan; R. Jemur; Dapur; Parkir Mobil; Parkir Motor; Parkir Sepeda"/>
    <n v="725000"/>
    <s v="Rp725.000"/>
    <n v="0.17291666666666669"/>
    <d v="1899-12-30T04:09:00"/>
    <s v="Kos Campur"/>
    <m/>
    <s v="Diskon 76rb"/>
  </r>
  <r>
    <s v="Kost Apik Griya Tentrem Bintaro Tipe B Pondok Aren Tangerang Selatan"/>
    <x v="2"/>
    <x v="29"/>
    <n v="6.6000000000000005"/>
    <s v="3 x 2.2 meter"/>
    <s v="Termasuk listrik (implied)"/>
    <s v=""/>
    <s v="N/A"/>
    <s v="3 x 2.2 meter; Termasuk listrik; Kasur; Meja; TV; Lemari Baju; Ventilasi; Kursi; Kipas Angin; Bantal; Jendela; Kloset Jongkok; K. Mandi Luar; Ember mandi; WiFi; R. Tamu; Penjaga Kos; R. Makan; R. Jemur; Dapur; Parkir Mobil; Parkir Motor; Parkir Sepeda"/>
    <n v="875000"/>
    <s v="Rp875.000"/>
    <n v="0.20833333333333334"/>
    <d v="1899-12-30T05:00:00"/>
    <s v="Kos Campur"/>
    <m/>
    <s v="Diskon 76rb"/>
  </r>
  <r>
    <s v="Kost Apik Griya Tentrem Bintaro Tipe C Pondok Aren Tangerang Selatan"/>
    <x v="2"/>
    <x v="29"/>
    <n v="10.319999999999999"/>
    <s v="4.3 x 2.4 meter"/>
    <s v="Termasuk listrik (implied)"/>
    <n v="975000"/>
    <s v="Rp975.000"/>
    <s v="4.3 x 2.4 meter; Termasuk listrik; Kasur; Meja; TV; Lemari Baju; Ventilasi; Kursi; Kipas Angin; Bantal; Jendela; Kloset Jongkok; K. Mandi Luar; Ember mandi; WiFi; R. Tamu; Penjaga Kos; R. Makan; R. Jemur; Dapur; Parkir Mobil; Parkir Motor; Parkir Sepeda"/>
    <n v="899000"/>
    <s v="Rp899.000"/>
    <n v="0.17291666666666669"/>
    <d v="1899-12-30T04:09:00"/>
    <s v="Kos Campur"/>
    <m/>
    <s v="Diskon 76rb"/>
  </r>
  <r>
    <s v="Kost Apik Gultom Tipe A Jatinegara Jakarta Timur"/>
    <x v="8"/>
    <x v="58"/>
    <n v="8.64"/>
    <s v="3.2 x 2.7 meter"/>
    <s v="Termasuk listrik (implied)"/>
    <n v="900000"/>
    <s v="Rp900.000"/>
    <s v="3.2 x 2.7 meter; Termasuk listrik; Kasur; Lemari Baju; Ventilasi; Jendela; Bantal; Kloset Jongkok; K. Mandi Luar; Ember mandi; WiFi; Penjaga Kos; Dapur; Parkir Motor &amp; Sepeda"/>
    <n v="855000"/>
    <s v="Rp855.000"/>
    <n v="0.16944444444444443"/>
    <d v="1899-12-30T04:04:00"/>
    <s v="Kos Campur"/>
    <m/>
    <s v="Diskon 45rb"/>
  </r>
  <r>
    <s v="Kost Apik Gunung Sahari XI Tipe A Sawah Besar Jakarta Pusat"/>
    <x v="9"/>
    <x v="59"/>
    <n v="14"/>
    <s v="3.5 x 4 meter"/>
    <s v="Termasuk listrik (implied)"/>
    <n v="1275000"/>
    <s v="Rp1.275.000"/>
    <s v="3.5 x 4 meter; Termasuk listrik; Kasur; Lemari Baju; Ventilasi; Wastafel; Bantal; Cermin; K. Mandi Dalam; Kloset Jongkok; WiFi; Kulkas; Penjaga Kos; R. Jemur; Dapur; K. Mandi Luar; Jemuran; Parkir Motor &amp; Sepeda"/>
    <n v="1212500"/>
    <s v="Rp1.212.500"/>
    <n v="0.17013888888888887"/>
    <d v="1899-12-30T04:05:00"/>
    <s v="Kos Campur"/>
    <m/>
    <s v="Diskon 63rb"/>
  </r>
  <r>
    <s v="Kost Apik Gunung Sahari XI Tipe B Sawah Besar Jakarta Pusat"/>
    <x v="9"/>
    <x v="59"/>
    <n v="6.25"/>
    <s v="2.5 x 2.5 meter"/>
    <s v="Termasuk listrik (implied)"/>
    <s v=""/>
    <s v="N/A"/>
    <s v="2.5 x 2.5 meter; Termasuk listrik; Kasur; Lemari Baju; Ventilasi; Bantal; Cermin; Kloset Jongkok; K. Mandi Luar; Ember mandi; Bak mandi; WiFi; Kulkas; Penjaga Kos; R. Jemur; Dapur; Jemuran; Parkir Motor &amp; Sepeda"/>
    <n v="875000"/>
    <s v="Rp875.000"/>
    <n v="0.17083333333333331"/>
    <d v="1899-12-30T04:06:00"/>
    <s v="Kos Campur"/>
    <m/>
    <s v="Diskon 63rb"/>
  </r>
  <r>
    <s v="Kost Apik H Norin Tipe A Cakung Jakarta Timur"/>
    <x v="8"/>
    <x v="48"/>
    <n v="7.2900000000000009"/>
    <s v="2.7 x 2.7 meter"/>
    <s v="Tidak termasuk listrik"/>
    <n v="1225000"/>
    <s v="Rp1.225.000"/>
    <s v="2.7 x 2.7 meter; Tidak termasuk listrik; AC; Kasur; Lemari Baju; Bantal; Cermin; K. Mandi Luar; Ember mandi; WiFi; Dapur; Parkir Motor &amp; Sepeda"/>
    <n v="1105000"/>
    <s v="Rp1.105.000"/>
    <n v="0"/>
    <m/>
    <s v="Kos Campur"/>
    <m/>
    <s v="Diskon 120rb"/>
  </r>
  <r>
    <s v="Kost Apik H Norin Tipe B Cakung Jakarta Timur"/>
    <x v="8"/>
    <x v="48"/>
    <n v="7.2900000000000009"/>
    <s v="2.7 x 2.7 meter"/>
    <s v="Tidak termasuk listrik"/>
    <n v="925000"/>
    <s v="Rp925.000"/>
    <s v="2.7 x 2.7 meter; Tidak termasuk listrik; Kasur; Lemari Baju; Bantal; Kipas Angin; K. Mandi Luar; Ember mandi; WiFi; Dapur; Parkir Motor &amp; Sepeda"/>
    <n v="835000"/>
    <s v="Rp835.000"/>
    <n v="0.20833333333333334"/>
    <d v="1899-12-30T05:00:00"/>
    <s v="Kos Campur"/>
    <m/>
    <s v="Diskon 90rb"/>
  </r>
  <r>
    <s v="Kost Apik Harapan 18E Tipe B Jagakarsa Jakarta Selatan"/>
    <x v="5"/>
    <x v="40"/>
    <n v="4.4000000000000004"/>
    <s v="2 x 2.2 meter"/>
    <s v="Termasuk listrik (implied)"/>
    <s v=""/>
    <s v="N/A"/>
    <s v="2 x 2.2 meter; Termasuk listrik; Kasur; Meja; Lemari Baju; Ventilasi; Kipas Angin; Bantal; Cermin; Guling; Jendela; Kloset Jongkok; K. Mandi Luar; Ember mandi; WiFi; Penjaga Kos; R. Jemur; Dapur; Jemuran; Parkir Motor; Parkir Sepeda"/>
    <n v="725000"/>
    <s v="Rp725.000"/>
    <n v="0.17291666666666669"/>
    <d v="1899-12-30T04:09:00"/>
    <s v="Kos Putra"/>
    <m/>
    <s v="Diskon 80rb"/>
  </r>
  <r>
    <s v="Kost Apik Hijau Tipe A Ciputat Timur Tangerang Selatan"/>
    <x v="2"/>
    <x v="52"/>
    <n v="25"/>
    <s v="5 x 5 meter"/>
    <s v="Tidak termasuk listrik"/>
    <n v="2175000"/>
    <s v="Rp2.175.000"/>
    <s v="5 x 5 meter; Tidak termasuk listrik; AC; Kasur; Meja Rias; Lemari Baju; Ventilasi; Kursi; Jendela; Bantal; Cermin; K. Mandi Dalam; Kloset Duduk; Ember mandi; Shower; Bathtub; WiFi; R. Cuci; Penjaga Kos; R. Tamu; Mesin Cuci; R. Makan; R. Jemur; Dapur; Dispenser; Parkir Motor &amp; Sepeda"/>
    <n v="2003000"/>
    <s v="Rp2.003.000"/>
    <n v="0.17222222222222225"/>
    <d v="1899-12-30T04:08:00"/>
    <s v="Kos Campur"/>
    <m/>
    <s v="Diskon 172rb"/>
  </r>
  <r>
    <s v="Kost Apik Hijau Tipe B Ciputat Timur Tangerang Selatan"/>
    <x v="2"/>
    <x v="52"/>
    <n v="12"/>
    <s v="4 x 3 meter"/>
    <s v="Tidak termasuk listrik"/>
    <n v="1325000"/>
    <s v="Rp1.325.000"/>
    <s v="4 x 3 meter; Tidak termasuk listrik; AC; Kasur; Lemari Baju; Ventilasi; Jendela; Bantal; Guling; Kloset Duduk; K. Mandi Luar; Ember mandi; Shower; WiFi; R. Cuci; Penjaga Kos; R. Tamu; Mesin Cuci; R. Makan; R. Jemur; Dapur; Dispenser; Parkir Motor &amp; Sepeda"/>
    <n v="1221000"/>
    <s v="Rp1.221.000"/>
    <n v="0.20833333333333334"/>
    <d v="1899-12-30T05:00:00"/>
    <s v="Kos Campur"/>
    <m/>
    <s v="Diskon 104rb"/>
  </r>
  <r>
    <s v="Kost Apik Hijau Tipe C Ciputat Timur Tangerang Selatan"/>
    <x v="2"/>
    <x v="52"/>
    <n v="8.64"/>
    <s v="3.2 x 2.7 meter"/>
    <s v="Tidak termasuk listrik"/>
    <n v="1225000"/>
    <s v="Rp1.225.000"/>
    <s v="3.2 x 2.7 meter; Tidak termasuk listrik; AC; Kasur; Lemari Baju; Ventilasi; Bantal; Cermin; Kloset Duduk; K. Mandi Luar; Ember mandi; Shower; WiFi; R. Cuci; Penjaga Kos; R. Tamu; Mesin Cuci; R. Makan; R. Jemur; Dapur; Dispenser; Parkir Motor &amp; Sepeda"/>
    <n v="1129000"/>
    <s v="Rp1.129.000"/>
    <n v="0.20833333333333334"/>
    <d v="1899-12-30T05:00:00"/>
    <s v="Kos Campur"/>
    <m/>
    <s v="Diskon 96rb"/>
  </r>
  <r>
    <s v="Kost Apik Hijau Tipe D Ciputat Timur Tangerang Selatan"/>
    <x v="2"/>
    <x v="52"/>
    <n v="7.2900000000000009"/>
    <s v="2.7 x 2.7 meter"/>
    <s v="Tidak termasuk listrik"/>
    <n v="1025000"/>
    <s v="Rp1.025.000"/>
    <s v="2.7 x 2.7 meter; Tidak termasuk listrik; AC; Kasur; Lemari Baju; Bantal; Kloset Duduk; K. Mandi Luar; Ember mandi; Shower; WiFi; R. Cuci; Penjaga Kos; R. Tamu; Mesin Cuci; R. Makan; R. Jemur; Dapur; Dispenser; Parkir Motor &amp; Sepeda"/>
    <n v="945000"/>
    <s v="Rp945.000"/>
    <n v="0"/>
    <m/>
    <s v="Kos Campur"/>
    <m/>
    <s v="Diskon 80rb"/>
  </r>
  <r>
    <s v="Kost Apik Ibu Yati Tipe A Cilandak Jakarta Selatan"/>
    <x v="5"/>
    <x v="7"/>
    <n v="7.5"/>
    <s v="3 x 2.5 meter"/>
    <s v="Tidak termasuk listrik"/>
    <n v="1075000"/>
    <s v="Rp1.075.000"/>
    <s v="3 x 2.5 meter; Tidak termasuk listrik; Kasur; Lemari Baju; Kipas Angin; K. Mandi Dalam; Kloset Jongkok; WiFi; Penjaga Kos; Parkir Motor &amp; Sepeda"/>
    <n v="1022500"/>
    <s v="Rp1.022.500"/>
    <n v="0.16944444444444443"/>
    <d v="1899-12-30T04:04:00"/>
    <s v="Kos Campur"/>
    <m/>
    <s v="Diskon 53rb"/>
  </r>
  <r>
    <s v="Kost Apik Jasmine Tipe A Pancoran Jakarta Selatan"/>
    <x v="5"/>
    <x v="55"/>
    <n v="8.75"/>
    <s v="2.5 x 3.5 meter"/>
    <s v="Termasuk listrik (implied)"/>
    <s v=""/>
    <s v="N/A"/>
    <s v="2.5 x 3.5 meter; Termasuk listrik; Kasur; Lemari Baju; Bantal; Cermin; Jendela; Kloset Duduk; K. Mandi Luar; Shower; WiFi; R. Cuci; R. Tamu; R. Jemur; Dapur; Jemuran; Parkir Motor &amp; Sepeda"/>
    <n v="900000"/>
    <s v="Rp900.000"/>
    <n v="0.17083333333333331"/>
    <d v="1899-12-30T04:06:00"/>
    <s v="Kos Putri"/>
    <m/>
    <s v="Diskon 72rb"/>
  </r>
  <r>
    <s v="Kost Apik Junt STAN Tipe A Pondok Aren Tangerang Selatan"/>
    <x v="2"/>
    <x v="29"/>
    <n v="9"/>
    <s v="3 x 3 meter"/>
    <s v="Tidak termasuk listrik"/>
    <s v=""/>
    <s v="N/A"/>
    <s v="3 x 3 meter; Tidak termasuk listrik; AC; Kasur; Meja; Lemari Baju; Kursi; Bantal; Kloset Duduk; Kloset Jongkok; K. Mandi Luar; Ember mandi; Shower; WiFi; R. Cuci; Kulkas; Penjaga Kos; R. Jemur; Dapur; Jemuran; Parkir Motor &amp; Sepeda"/>
    <n v="1025000"/>
    <s v="Rp1.025.000"/>
    <n v="0.20833333333333334"/>
    <d v="1899-12-30T05:00:00"/>
    <s v="Kos Putra"/>
    <m/>
    <s v="Diskon 56rb"/>
  </r>
  <r>
    <s v="Kost Apik Junt STAN Tipe B Pondok Aren Tangerang Selatan"/>
    <x v="2"/>
    <x v="29"/>
    <n v="6"/>
    <s v="3 x 2 meter"/>
    <s v="Tidak termasuk listrik"/>
    <n v="725000"/>
    <s v="Rp725.000"/>
    <s v="3 x 2 meter; Tidak termasuk listrik; Kasur; Meja; Lemari Baju; Ventilasi; Kursi; Bantal; Jendela; Kipas Angin; Kloset Duduk; Kloset Jongkok; K. Mandi Luar; Ember mandi; Shower; WiFi; R. Cuci; Kulkas; Penjaga Kos; R. Jemur; Dapur; Jemuran; Parkir Motor &amp; Sepeda"/>
    <n v="669000"/>
    <s v="Rp669.000"/>
    <n v="0.20833333333333334"/>
    <d v="1899-12-30T05:00:00"/>
    <s v="Kos Putra"/>
    <m/>
    <s v="Diskon 56rb"/>
  </r>
  <r>
    <s v="Kost Apik Kebon Kacang Tipe A Tanah Abang Jakarta Pusat"/>
    <x v="9"/>
    <x v="42"/>
    <n v="8.9599999999999991"/>
    <s v="3.2 x 2.8 meter"/>
    <s v="Termasuk listrik (implied)"/>
    <s v=""/>
    <s v="N/A"/>
    <s v="3.2 x 2.8 meter; Termasuk listrik; Kasur; Meja; Lemari Baju; Kipas Angin; Bantal; Cermin; Guling; Jendela; Kloset Jongkok; K. Mandi Luar; Ember mandi; WiFi; R. Cuci; Kulkas; R. Tamu; R. Jemur; Dapur; Dispenser; TV; Parkir Motor; Parkir Sepeda"/>
    <n v="1475000"/>
    <s v="Rp1.475.000"/>
    <n v="0.17083333333333331"/>
    <d v="1899-12-30T04:06:00"/>
    <s v="Kos Putri"/>
    <m/>
    <s v="Diskon 85rb"/>
  </r>
  <r>
    <s v="Kost Apik Kebon Kacang Tipe B Tanah Abang Jakarta Pusat"/>
    <x v="9"/>
    <x v="42"/>
    <e v="#VALUE!"/>
    <s v="N/A"/>
    <s v="N/A"/>
    <n v="1725000"/>
    <s v="Rp1.725.000"/>
    <s v=""/>
    <n v="1640000"/>
    <s v="Rp1.640.000"/>
    <n v="0.17222222222222225"/>
    <d v="1899-12-30T04:08:00"/>
    <s v="Kos Putri"/>
    <m/>
    <s v="Diskon 85rb"/>
  </r>
  <r>
    <s v="Kost Apik Kebon Kacang Tipe C Tanah Abang Jakarta Pusat"/>
    <x v="9"/>
    <x v="42"/>
    <n v="13.5"/>
    <s v="3 x 4.5 meter"/>
    <s v="Tidak termasuk listrik"/>
    <n v="2025000"/>
    <s v="Rp2.025.000"/>
    <s v="3 x 4.5 meter; Tidak termasuk listrik; AC; Kasur; Meja; Lemari Baju; Bantal; Cermin; Guling; K. Mandi Dalam; Kloset Jongkok; Ember mandi; WiFi; R. Cuci; Kulkas; R. Tamu; R. Jemur; Dapur; Dispenser; TV; K. Mandi Luar; Parkir Motor; Parkir Sepeda"/>
    <n v="1865000"/>
    <s v="Rp1.865.000"/>
    <n v="0.17222222222222225"/>
    <d v="1899-12-30T04:08:00"/>
    <s v="Kos Putri"/>
    <m/>
    <s v="Diskon 160rb"/>
  </r>
  <r>
    <s v="Kost Apik Kencana 1 Tipe A Beji Depok"/>
    <x v="1"/>
    <x v="15"/>
    <n v="12"/>
    <s v="4 x 3 meter"/>
    <s v="Tidak termasuk listrik"/>
    <n v="1060000"/>
    <s v="Rp1.060.000"/>
    <s v="4 x 3 meter; Tidak termasuk listrik; Kasur; Meja; Lemari Baju; Ventilasi; Kursi; Bantal; Jendela; K. Mandi Dalam; Kloset Jongkok; Ember mandi; Shower; WiFi; Kulkas; R. Tamu; Penjaga Kos; R. Jemur; Dapur; Jemuran; Parkir Motor &amp; Sepeda"/>
    <n v="954000"/>
    <s v="Rp954.000"/>
    <n v="0.17013888888888887"/>
    <d v="1899-12-30T04:05:00"/>
    <s v="Kos Putri"/>
    <m/>
    <s v="Diskon 106rb"/>
  </r>
  <r>
    <s v="Kost Apik Kencana 1 Tipe B Beji Depok"/>
    <x v="1"/>
    <x v="15"/>
    <n v="7.7000000000000011"/>
    <s v="3.5 x 2.2 meter"/>
    <s v="Tidak termasuk listrik"/>
    <n v="1000000"/>
    <s v="Rp1.000.000"/>
    <s v="3.5 x 2.2 meter; Tidak termasuk listrik; Kasur; Meja; Lemari Baju; Ventilasi; Kursi; Bantal; Jendela; K. Mandi Dalam; Kloset Jongkok; Ember mandi; Shower; WiFi; Kulkas; R. Tamu; Penjaga Kos; R. Jemur; Dapur; Jemuran; Parkir Motor &amp; Sepeda"/>
    <n v="920000"/>
    <s v="Rp920.000"/>
    <n v="0.17291666666666669"/>
    <d v="1899-12-30T04:09:00"/>
    <s v="Kos Putri"/>
    <m/>
    <s v="Diskon 80rb"/>
  </r>
  <r>
    <s v="Kost Apik Kencana 1 Tipe C Beji Depok"/>
    <x v="1"/>
    <x v="15"/>
    <n v="12"/>
    <s v="4 x 3 meter"/>
    <s v="Tidak termasuk listrik"/>
    <n v="1050000"/>
    <s v="Rp1.050.000"/>
    <s v="4 x 3 meter; Tidak termasuk listrik; Kasur; Meja; Lemari Baju; Ventilasi; Kursi; Bantal; Jendela; K. Mandi Dalam; Kloset Jongkok; Ember mandi; Shower; WiFi; Kulkas; R. Tamu; Penjaga Kos; R. Jemur; Dapur; Jemuran; Parkir Motor &amp; Sepeda"/>
    <n v="966000"/>
    <s v="Rp966.000"/>
    <n v="0.17291666666666669"/>
    <d v="1899-12-30T04:09:00"/>
    <s v="Kos Putri"/>
    <m/>
    <s v="Diskon 84rb"/>
  </r>
  <r>
    <s v="Kost Apik Keroncong Permai 8 Tipe A Tangerang"/>
    <x v="6"/>
    <x v="60"/>
    <n v="6"/>
    <s v="2 x 3 meter"/>
    <s v="Tidak termasuk listrik"/>
    <n v="875000"/>
    <s v="Rp875.000"/>
    <s v="2 x 3 meter; Tidak termasuk listrik; Kasur; Lemari Baju; Kipas Angin; Bantal; Cermin; Kloset Duduk; K. Mandi Luar; Wastafel; Ember mandi; Shower; WiFi; Kulkas; Penjaga Kos; R. Jemur; Dapur; CCTV; Jemuran; Parkir Motor; Parkir Sepeda; Parkir Motor &amp; Sepeda"/>
    <n v="807000"/>
    <s v="Rp807.000"/>
    <n v="0.17083333333333331"/>
    <d v="1899-12-30T04:06:00"/>
    <s v="Kos Campur"/>
    <m/>
    <s v="Diskon 68rb"/>
  </r>
  <r>
    <s v="Kost Apik Keroncong Permai 8 Tipe B Tangerang"/>
    <x v="6"/>
    <x v="60"/>
    <n v="5.75"/>
    <s v="2.5 x 2.3 meter"/>
    <s v="Tidak termasuk listrik"/>
    <n v="1325000"/>
    <s v="Rp1.325.000"/>
    <s v="2.5 x 2.3 meter; Tidak termasuk listrik; AC; Kasur; Meja; Lemari Baju; Ventilasi; Kursi; Bantal; Kloset Duduk; K. Mandi Luar; Wastafel; Ember mandi; Shower; WiFi; Kulkas; Penjaga Kos; R. Jemur; Dapur; CCTV; Jemuran; Parkir Motor; Parkir Sepeda; Parkir Motor &amp; Sepeda"/>
    <n v="1221000"/>
    <s v="Rp1.221.000"/>
    <n v="0.17222222222222225"/>
    <d v="1899-12-30T04:08:00"/>
    <s v="Kos Campur"/>
    <m/>
    <s v="Diskon 104rb"/>
  </r>
  <r>
    <s v="Kost Apik Keroncong Permai 8 Tipe C Tangerang"/>
    <x v="6"/>
    <x v="60"/>
    <n v="7.1999999999999993"/>
    <s v="2.4 x 3 meter"/>
    <s v="Tidak termasuk listrik"/>
    <n v="1525000"/>
    <s v="Rp1.525.000"/>
    <s v="2.4 x 3 meter; Tidak termasuk listrik; AC; Kasur; Meja; Lemari Baju; Kursi; Bantal; Jendela; Kloset Duduk; K. Mandi Luar; Wastafel; Ember mandi; Shower; WiFi; Kulkas; Penjaga Kos; R. Jemur; Dapur; CCTV; Jemuran; Parkir Motor; Parkir Sepeda; Parkir Motor &amp; Sepeda"/>
    <n v="1405000"/>
    <s v="Rp1.405.000"/>
    <n v="0.17083333333333331"/>
    <d v="1899-12-30T04:06:00"/>
    <s v="Kos Campur"/>
    <m/>
    <s v="Diskon 120rb"/>
  </r>
  <r>
    <s v="Kost Apik Keroncong Permai 8 Tipe D Tangerang"/>
    <x v="6"/>
    <x v="60"/>
    <n v="20"/>
    <s v="4 x 5 meter"/>
    <s v="Tidak termasuk listrik"/>
    <n v="1575000"/>
    <s v="Rp1.575.000"/>
    <s v="4 x 5 meter; Tidak termasuk listrik; AC; Kasur; Lemari Baju; Kursi; Bantal; Cermin; Guling; K. Mandi Dalam; Kloset Duduk; Shower; WiFi; Kulkas; Penjaga Kos; R. Jemur; Dapur; CCTV; Jemuran; Parkir Mobil; Parkir Motor &amp; Sepeda"/>
    <n v="1451000"/>
    <s v="Rp1.451.000"/>
    <n v="0.17013888888888887"/>
    <d v="1899-12-30T04:05:00"/>
    <s v="Kos Campur"/>
    <m/>
    <s v="Diskon 124rb"/>
  </r>
  <r>
    <s v="Kost Apik Ketapang Bunga Tipe A Gajah Mada Jakarta Barat"/>
    <x v="3"/>
    <x v="61"/>
    <n v="5"/>
    <s v="2 x 2.5 meter"/>
    <s v="Termasuk listrik (implied)"/>
    <n v="915000"/>
    <s v="Rp915.000"/>
    <s v="2 x 2.5 meter; Termasuk listrik; Kasur; Lemari Baju; Kipas Angin; Bantal; Kloset Jongkok; K. Mandi Luar; Shower; WiFi; R. Jemur; Parkir Mobil; Parkir Sepeda"/>
    <n v="870500"/>
    <s v="Rp870.500"/>
    <n v="0.17291666666666669"/>
    <d v="1899-12-30T04:09:00"/>
    <s v="Kos Campur"/>
    <m/>
    <s v="Diskon 45rb"/>
  </r>
  <r>
    <s v="Kost Apik Ketapang Bunga Tipe B Gajah Mada Jakarta Barat"/>
    <x v="3"/>
    <x v="61"/>
    <n v="3.2"/>
    <s v="1.6 x 2 meter"/>
    <s v="Termasuk listrik (implied)"/>
    <s v=""/>
    <s v="N/A"/>
    <s v="1.6 x 2 meter; Termasuk listrik; Kasur; Lemari Baju; Kipas Angin; Bantal; Kloset Jongkok; K. Mandi Luar; Shower; WiFi; R. Jemur; Parkir Mobil; Parkir Sepeda"/>
    <n v="805000"/>
    <s v="Rp805.000"/>
    <n v="0.17222222222222225"/>
    <d v="1899-12-30T04:08:00"/>
    <s v="Kos Campur"/>
    <m/>
    <s v="Diskon 45rb"/>
  </r>
  <r>
    <s v="Kost Apik Khadijah Limo Tipe A Cinere Depok"/>
    <x v="1"/>
    <x v="9"/>
    <n v="15.75"/>
    <s v="4.5 x 3.5 meter"/>
    <s v="Termasuk listrik (implied)"/>
    <n v="925000"/>
    <s v="Rp925.000"/>
    <s v="4.5 x 3.5 meter; Termasuk listrik; Kasur; Meja; Lemari Baju; Ventilasi; Bantal; Kipas Angin; Cermin; Guling; Kloset Duduk; K. Mandi Luar; Shower; WiFi; R. Tamu; Penjaga Kos; R. Jemur; Dapur; CCTV; Parkir Motor &amp; Sepeda"/>
    <n v="835000"/>
    <s v="Rp835.000"/>
    <n v="0"/>
    <m/>
    <s v="Kos Putri"/>
    <m/>
    <s v="Diskon 90rb"/>
  </r>
  <r>
    <s v="Kost Apik Khadijah Limo Tipe B Cinere Depok"/>
    <x v="1"/>
    <x v="9"/>
    <n v="9"/>
    <s v="3 x 3 meter"/>
    <s v="Termasuk listrik (implied)"/>
    <n v="825000"/>
    <s v="Rp825.000"/>
    <s v="3 x 3 meter; Termasuk listrik; Kasur; Meja; Lemari Baju; Ventilasi; Bantal; Kipas Angin; Guling; Kloset Duduk; K. Mandi Luar; Shower; WiFi; R. Tamu; Penjaga Kos; R. Jemur; Dapur; CCTV; Parkir Motor &amp; Sepeda"/>
    <n v="745000"/>
    <s v="Rp745.000"/>
    <n v="0"/>
    <m/>
    <s v="Kos Putri"/>
    <m/>
    <s v="Diskon 80rb"/>
  </r>
  <r>
    <s v="Kost Apik Kingkit IV Tipe A Gambir Jakarta Pusat"/>
    <x v="9"/>
    <x v="62"/>
    <n v="8.64"/>
    <s v="3.2 x 2.7 meter"/>
    <s v="Termasuk listrik (implied)"/>
    <s v=""/>
    <s v="N/A"/>
    <s v="3.2 x 2.7 meter; Termasuk listrik; AC; Kasur; Meja; Lemari Baju; Bantal; Jendela; Guling; Cermin; Kloset Duduk; K. Mandi Luar; Ember mandi; WiFi; R. Cuci; Kulkas; R. Tamu; Penjaga Kos; R. Makan; R. Jemur; Dispenser; Parkir Motor &amp; Sepeda"/>
    <n v="1975000"/>
    <s v="Rp1.975.000"/>
    <n v="0.17222222222222225"/>
    <d v="1899-12-30T04:08:00"/>
    <s v="Kos Campur"/>
    <m/>
    <s v="Diskon 152rb"/>
  </r>
  <r>
    <s v="Kost Apik Kingkit IV Tipe C Gambir Jakarta Pusat"/>
    <x v="9"/>
    <x v="62"/>
    <n v="5.5"/>
    <s v="2.5 x 2.2 meter"/>
    <s v="Termasuk listrik (implied)"/>
    <s v=""/>
    <s v="N/A"/>
    <s v="2.5 x 2.2 meter; Termasuk listrik; Kasur; Meja; Lemari Baju; Ventilasi; Bantal; Jendela; Kipas Angin; Cermin; Guling; Kloset Duduk; Kloset Jongkok; K. Mandi Luar; Ember mandi; WiFi; R. Cuci; Kulkas; R. Tamu; Penjaga Kos; R. Makan; R. Jemur; Dispenser; Parkir Motor &amp; Sepeda"/>
    <n v="1725000"/>
    <s v="Rp1.725.000"/>
    <n v="0.17222222222222225"/>
    <d v="1899-12-30T04:08:00"/>
    <s v="Kos Campur"/>
    <m/>
    <s v="Diskon 120rb"/>
  </r>
  <r>
    <s v="Kost Apik Kramat Tipe A Johar Baru Jakarta Pusat"/>
    <x v="9"/>
    <x v="50"/>
    <n v="20"/>
    <s v="4 x 5 meter"/>
    <s v="Tidak termasuk listrik"/>
    <n v="2075000"/>
    <s v="Rp2.075.000"/>
    <s v="4 x 5 meter; Tidak termasuk listrik; AC; Kasur; Lemari Baju; Ventilasi; Bantal; Dapur Pribadi; Guling; Jendela; K. Mandi Dalam; Kloset Jongkok; Ember mandi; WiFi; R. Tamu; R. Makan; R. Jemur; Dapur; K. Mandi Luar; Parkir Mobil; Parkir Motor; Parkir Motor &amp; Sepeda"/>
    <n v="1975000"/>
    <s v="Rp1.975.000"/>
    <n v="0.17083333333333331"/>
    <d v="1899-12-30T04:06:00"/>
    <s v="Kos Campur"/>
    <m/>
    <s v="Diskon 100rb"/>
  </r>
  <r>
    <s v="Kost Apik Kramat Tipe B Johar Baru Jakarta Pusat"/>
    <x v="9"/>
    <x v="50"/>
    <n v="9"/>
    <s v="3 x 3 meter"/>
    <s v="Tidak termasuk listrik"/>
    <n v="1775000"/>
    <s v="Rp1.775.000"/>
    <s v="3 x 3 meter; Tidak termasuk listrik; AC; Kasur; Lemari Baju; Ventilasi; Bantal; Guling; Jendela; K. Mandi Dalam; K. Mandi Luar; Ember mandi; WiFi; R. Tamu; R. Makan; R. Jemur; Dapur; Parkir Mobil; Parkir Motor; Parkir Motor &amp; Sepeda"/>
    <n v="1690000"/>
    <s v="Rp1.690.000"/>
    <n v="0.17222222222222225"/>
    <d v="1899-12-30T04:08:00"/>
    <s v="Kos Campur"/>
    <m/>
    <s v="Diskon 85rb"/>
  </r>
  <r>
    <s v="Kost Apik Kramat Tipe C Johar Baru Jakarta Pusat"/>
    <x v="9"/>
    <x v="50"/>
    <n v="9"/>
    <s v="3 x 3 meter"/>
    <s v="Tidak termasuk listrik"/>
    <n v="1425000"/>
    <s v="Rp1.425.000"/>
    <s v="3 x 3 meter; Tidak termasuk listrik; Kasur; Lemari Baju; Ventilasi; Bantal; Guling; Jendela; K. Mandi Dalam; Kloset Jongkok; Ember mandi; WiFi; R. Tamu; R. Makan; R. Jemur; Dapur; K. Mandi Luar; Parkir Mobil; Parkir Motor; Parkir Motor &amp; Sepeda"/>
    <n v="1357500"/>
    <s v="Rp1.357.500"/>
    <n v="0.17222222222222225"/>
    <d v="1899-12-30T04:08:00"/>
    <s v="Kos Campur"/>
    <m/>
    <s v="Diskon 68rb"/>
  </r>
  <r>
    <s v="Kost Apik Kramat Tipe D Johar Baru Jakarta Pusat"/>
    <x v="9"/>
    <x v="50"/>
    <n v="9"/>
    <s v="3 x 3 meter"/>
    <s v="Tidak termasuk listrik"/>
    <n v="1075000"/>
    <s v="Rp1.075.000"/>
    <s v="3 x 3 meter; Tidak termasuk listrik; Kasur; Lemari Baju; Ventilasi; Bantal; Guling; Jendela; Kloset Jongkok; K. Mandi Luar; Ember mandi; WiFi; R. Tamu; R. Makan; R. Jemur; Dapur; Parkir Mobil; Parkir Motor; Parkir Motor &amp; Sepeda"/>
    <n v="1025000"/>
    <s v="Rp1.025.000"/>
    <n v="0.17222222222222225"/>
    <d v="1899-12-30T04:08:00"/>
    <s v="Kos Campur"/>
    <m/>
    <s v="Diskon 50rb"/>
  </r>
  <r>
    <s v="Kost Apik Kukusan Ahmad Dahlan Tipe A Beji Depok"/>
    <x v="1"/>
    <x v="16"/>
    <n v="10.5"/>
    <s v="3 x 3.5 meter"/>
    <s v="Termasuk listrik (implied)"/>
    <n v="915000"/>
    <s v="Rp915.000"/>
    <s v="3 x 3.5 meter; Termasuk listrik; Kasur; Meja; Lemari Baju; Kursi; Kipas Angin; Bantal; Guling; Jendela; Kloset Jongkok; K. Mandi Luar; Ember mandi; WiFi; Kulkas; R. Tamu; Penjaga Kos; R. Jemur; Dapur; Dispenser; TV; CCTV; Parkir Mobil; Parkir Motor; Parkir Sepeda"/>
    <n v="826000"/>
    <s v="Rp826.000"/>
    <n v="0.17291666666666669"/>
    <d v="1899-12-30T04:09:00"/>
    <s v="Kos Putra"/>
    <m/>
    <s v="Diskon 89rb"/>
  </r>
  <r>
    <s v="Kost Apik Kukusan Ahmad Dahlan Tipe B Beji Depok"/>
    <x v="1"/>
    <x v="16"/>
    <n v="24"/>
    <s v="4 x 6 meter"/>
    <s v="Tidak termasuk listrik"/>
    <n v="1655000"/>
    <s v="Rp1.655.000"/>
    <s v="4 x 6 meter; Tidak termasuk listrik; AC; Kasur; Meja; Lemari Baju; Kursi; Bantal; Cermin; Guling; Jendela; Kloset Jongkok; K. Mandi Luar; Ember mandi; WiFi; Kulkas; R. Tamu; Penjaga Kos; R. Jemur; Dapur; Dispenser; TV; CCTV; Parkir Mobil; Parkir Motor; Parkir Sepeda"/>
    <n v="1492000"/>
    <s v="Rp1.492.000"/>
    <n v="0.20833333333333334"/>
    <d v="1899-12-30T05:00:00"/>
    <s v="Kos Putra"/>
    <m/>
    <s v="Diskon 163rb"/>
  </r>
  <r>
    <s v="Kost Apik Kukusan Ahmad Dahlan Tipe C Beji Depok"/>
    <x v="1"/>
    <x v="16"/>
    <n v="10.5"/>
    <s v="3 x 3.5 meter"/>
    <s v="Tidak termasuk listrik"/>
    <n v="1325000"/>
    <s v="Rp1.325.000"/>
    <s v="3 x 3.5 meter; Tidak termasuk listrik; AC; Kasur; Meja; TV; Lemari Baju; Kursi; Bantal; Guling; Jendela; Kloset Jongkok; K. Mandi Luar; Ember mandi; WiFi; Kulkas; R. Tamu; Penjaga Kos; R. Jemur; Dapur; Dispenser; CCTV; Parkir Mobil; Parkir Motor; Parkir Sepeda"/>
    <n v="1195000"/>
    <s v="Rp1.195.000"/>
    <n v="0.20833333333333334"/>
    <d v="1899-12-30T05:00:00"/>
    <s v="Kos Putra"/>
    <m/>
    <s v="Diskon 130rb"/>
  </r>
  <r>
    <s v="Kost Apik Lia Tipe A Sawah Besar Jakarta Pusat"/>
    <x v="9"/>
    <x v="63"/>
    <n v="9"/>
    <s v="3 x 3 meter"/>
    <s v="Termasuk listrik (implied)"/>
    <n v="1100000"/>
    <s v="Rp1.100.000"/>
    <s v="3 x 3 meter; Termasuk listrik; Kasur; Lemari Baju; Wastafel; Kipas Angin; Bantal; Guling; Jendela; Kloset Jongkok; K. Mandi Luar; Ember mandi; Shower; Bak mandi; WiFi; R. Cuci; R. Tamu; Penjaga Kos; Dapur; Parkir Mobil; Parkir Motor; Parkir Sepeda; Parkir Motor &amp; Sepeda"/>
    <n v="1045000"/>
    <s v="Rp1.045.000"/>
    <n v="0.17222222222222225"/>
    <d v="1899-12-30T04:08:00"/>
    <s v="Kos Campur"/>
    <m/>
    <s v="Diskon 55rb"/>
  </r>
  <r>
    <s v="Kost Apik Lia Tipe B Sawah Besar Jakarta Pusat"/>
    <x v="9"/>
    <x v="63"/>
    <n v="12"/>
    <s v="3 x 4 meter"/>
    <s v="Termasuk listrik (implied)"/>
    <n v="1200000"/>
    <s v="Rp1.200.000"/>
    <s v="3 x 4 meter; Termasuk listrik; Kasur; Lemari Baju; Wastafel; Kipas Angin; Bantal; Guling; Jendela; Kloset Jongkok; K. Mandi Luar; Ember mandi; Shower; Bak mandi; WiFi; R. Cuci; R. Tamu; Penjaga Kos; Dapur; Parkir Mobil; Parkir Motor; Parkir Sepeda; Parkir Motor &amp; Sepeda"/>
    <n v="1140000"/>
    <s v="Rp1.140.000"/>
    <n v="0.17083333333333331"/>
    <d v="1899-12-30T04:06:00"/>
    <s v="Kos Campur"/>
    <m/>
    <s v="Diskon 60rb"/>
  </r>
  <r>
    <s v="Kost Apik Lia Tipe C Sawah Besar Jakarta Pusat"/>
    <x v="9"/>
    <x v="63"/>
    <n v="9"/>
    <s v="3 x 3 meter"/>
    <s v="Termasuk listrik (implied)"/>
    <n v="1800000"/>
    <s v="Rp1.800.000"/>
    <s v="3 x 3 meter; Termasuk listrik; AC; Kasur; Lemari Baju; Wastafel; Bantal; Guling; Jendela; K. Mandi Dalam; Kloset Jongkok; K. Mandi Luar; Ember mandi; Shower; Bak mandi; WiFi; R. Cuci; R. Tamu; Penjaga Kos; Dapur; Parkir Mobil; Parkir Motor; Parkir Sepeda; Parkir Motor &amp; Sepeda"/>
    <n v="1710000"/>
    <s v="Rp1.710.000"/>
    <n v="0.17013888888888887"/>
    <d v="1899-12-30T04:05:00"/>
    <s v="Kos Campur"/>
    <m/>
    <s v="Diskon 90rb"/>
  </r>
  <r>
    <s v="Kost Apik Lia Tipe D Sawah Besar Jakarta Pusat"/>
    <x v="9"/>
    <x v="63"/>
    <n v="9"/>
    <s v="3 x 3 meter"/>
    <s v="Termasuk listrik (implied)"/>
    <n v="950000"/>
    <s v="Rp950.000"/>
    <s v="3 x 3 meter; Termasuk listrik; Kasur; Lemari Baju; Wastafel; Kipas Angin; Bantal; Guling; Kloset Jongkok; K. Mandi Luar; Ember mandi; Shower; Bak mandi; WiFi; R. Cuci; R. Tamu; Penjaga Kos; Dapur; Parkir Mobil; Parkir Motor; Parkir Sepeda; Parkir Motor &amp; Sepeda"/>
    <n v="902500"/>
    <s v="Rp902.500"/>
    <n v="0.17083333333333331"/>
    <d v="1899-12-30T04:06:00"/>
    <s v="Kos Campur"/>
    <m/>
    <s v="Diskon 48rb"/>
  </r>
  <r>
    <s v="Kost Apik Lia Tipe E Sawah Besar Jakarta Pusat"/>
    <x v="9"/>
    <x v="63"/>
    <n v="12"/>
    <s v="3 x 4 meter"/>
    <s v="Termasuk listrik (implied)"/>
    <n v="1850000"/>
    <s v="Rp1.850.000"/>
    <s v="3 x 4 meter; Termasuk listrik; AC; Kasur; Lemari Baju; Wastafel; Bantal; Guling; Jendela; K. Mandi Dalam; Kloset Jongkok; K. Mandi Luar; Ember mandi; Shower; Bak mandi; WiFi; R. Cuci; R. Tamu; Penjaga Kos; Dapur; Parkir Mobil; Parkir Motor; Parkir Sepeda; Parkir Motor &amp; Sepeda"/>
    <n v="1757500"/>
    <s v="Rp1.757.500"/>
    <n v="0.17083333333333331"/>
    <d v="1899-12-30T04:06:00"/>
    <s v="Kos Campur"/>
    <m/>
    <s v="Diskon 93rb"/>
  </r>
  <r>
    <s v="Kost Apik Lily Tipe B Tebet Jakarta Selatan"/>
    <x v="5"/>
    <x v="64"/>
    <n v="6.72"/>
    <s v="2.4 x 2.8 meter"/>
    <s v="Tidak termasuk listrik"/>
    <n v="1375000"/>
    <s v="Rp1.375.000"/>
    <s v="2.4 x 2.8 meter; Tidak termasuk listrik; Kasur; Lemari Baju; Ventilasi; Bantal; Cermin; Jendela; Kloset Duduk; K. Mandi Luar; WiFi; R. Cuci; Dapur; Parkir Mobil; Parkir Motor; Parkir Sepeda"/>
    <n v="1307500"/>
    <s v="Rp1.307.500"/>
    <n v="0.17222222222222225"/>
    <d v="1899-12-30T04:08:00"/>
    <s v="Kos Putri"/>
    <m/>
    <s v="Diskon 68rb"/>
  </r>
  <r>
    <s v="Kost Apik Lukman Syariah Tipe B Pasar Minggu Jakarta Selatan"/>
    <x v="5"/>
    <x v="43"/>
    <n v="10.5"/>
    <s v="3 x 3.5 meter"/>
    <s v="Termasuk listrik (implied)"/>
    <s v=""/>
    <s v="N/A"/>
    <s v="3 x 3.5 meter; Termasuk listrik; Kasur; Meja; Lemari Baju; Kursi; Kipas Angin; Bantal; Guling; Kloset Jongkok; K. Mandi Luar; Ember mandi; WiFi; R. Tamu; R. Jemur; Dapur; Parkir Motor; Parkir Sepeda"/>
    <n v="925000"/>
    <s v="Rp925.000"/>
    <n v="0.17291666666666669"/>
    <d v="1899-12-30T04:09:00"/>
    <s v="Kos Putra"/>
    <m/>
    <s v="Diskon 38rb"/>
  </r>
  <r>
    <s v="Kost Apik Madani Tipe B Pulo Gadung Jakarta Timur"/>
    <x v="8"/>
    <x v="32"/>
    <n v="6.75"/>
    <s v="2.7 x 2.5 meter"/>
    <s v="Tidak termasuk listrik"/>
    <n v="900000"/>
    <s v="Rp900.000"/>
    <s v="2.7 x 2.5 meter; Tidak termasuk listrik; Kasur; Lemari Baju; Ventilasi; Jendela; Bantal; Cermin; Guling; Kloset Jongkok; K. Mandi Luar; Ember mandi; Shower; WiFi; Penjaga Kos; R. Jemur; Taman; Jemuran; Parkir Motor &amp; Sepeda"/>
    <n v="855000"/>
    <s v="Rp855.000"/>
    <n v="0.20833333333333334"/>
    <d v="1899-12-30T05:00:00"/>
    <s v="Kos Putri"/>
    <m/>
    <s v="Diskon 45rb"/>
  </r>
  <r>
    <s v="Kost Apik Mahoni Tipe A Pondok Aren Tangerang Selatan"/>
    <x v="2"/>
    <x v="29"/>
    <n v="6.48"/>
    <s v="2.4 x 2.7 meter"/>
    <s v="Tidak termasuk listrik"/>
    <s v=""/>
    <s v="N/A"/>
    <s v="2.4 x 2.7 meter; Tidak termasuk listrik; AC; Kasur; Meja; Lemari Baju; Ventilasi; Kursi; Jendela; Bantal; K. Mandi Dalam; Kloset Jongkok; Ember mandi; WiFi; R. Tamu; R. Jemur; Dapur; CCTV; Balcon; Jemuran; Parkir Motor &amp; Sepeda"/>
    <n v="925000"/>
    <s v="Rp925.000"/>
    <n v="0.17291666666666669"/>
    <d v="1899-12-30T04:09:00"/>
    <s v="Kos Putra"/>
    <m/>
    <s v="Diskon 59rb"/>
  </r>
  <r>
    <s v="Kost Apik Mahoni Tipe B Pondok Aren Tangerang Selatan"/>
    <x v="2"/>
    <x v="29"/>
    <n v="5.52"/>
    <s v="2.4 x 2.3 meter"/>
    <s v="Tidak termasuk listrik"/>
    <n v="768000"/>
    <s v="Rp768.000"/>
    <s v="2.4 x 2.3 meter; Tidak termasuk listrik; Kasur; Meja; Lemari Baju; Ventilasi; Kursi; Jendela; Bantal; K. Mandi Dalam; Kloset Jongkok; Ember mandi; WiFi; R. Tamu; R. Jemur; Dapur; CCTV; Balcon; Jemuran; Parkir Motor &amp; Sepeda"/>
    <n v="708560"/>
    <s v="Rp708.560"/>
    <n v="0.17291666666666669"/>
    <d v="1899-12-30T04:09:00"/>
    <s v="Kos Putra"/>
    <m/>
    <s v="Diskon 59rb"/>
  </r>
  <r>
    <s v="Kost Apik Margonda 5 Tipe A Beji Depok"/>
    <x v="1"/>
    <x v="15"/>
    <n v="12.25"/>
    <s v="3.5 x 3.5 meter"/>
    <s v="Tidak termasuk listrik"/>
    <n v="1600000"/>
    <s v="Rp1.600.000"/>
    <s v="3.5 x 3.5 meter; Tidak termasuk listrik; AC; Kasur; Lemari Baju; Bantal; Cermin; Jendela; K. Mandi Dalam; Kloset Duduk; Ember mandi; Shower; WiFi; R. Tamu; Penjaga Kos; Dapur; Parkir Mobil; Parkir Motor &amp; Sepeda"/>
    <n v="1440000"/>
    <s v="Rp1.440.000"/>
    <n v="0.17083333333333331"/>
    <d v="1899-12-30T04:06:00"/>
    <s v="Kos Campur"/>
    <m/>
    <s v="Diskon 160rb"/>
  </r>
  <r>
    <s v="Kost Apik Margonda 5 Tipe B Beji Depok"/>
    <x v="1"/>
    <x v="15"/>
    <n v="9"/>
    <s v="3 x 3 meter"/>
    <s v="Tidak termasuk listrik"/>
    <n v="1400000"/>
    <s v="Rp1.400.000"/>
    <s v="3 x 3 meter; Tidak termasuk listrik; AC; Kasur; Lemari Baju; Bantal; Cermin; Jendela; K. Mandi Dalam; Kloset Jongkok; Ember mandi; WiFi; R. Tamu; Penjaga Kos; Dapur; Parkir Mobil; Parkir Motor &amp; Sepeda"/>
    <n v="1288000"/>
    <s v="Rp1.288.000"/>
    <n v="0.17013888888888887"/>
    <d v="1899-12-30T04:05:00"/>
    <s v="Kos Campur"/>
    <m/>
    <s v="Diskon 112rb"/>
  </r>
  <r>
    <s v="Kost Apik Margonda 5 Tipe C Beji Depok"/>
    <x v="1"/>
    <x v="15"/>
    <n v="9"/>
    <s v="3 x 3 meter"/>
    <s v="Tidak termasuk listrik"/>
    <s v=""/>
    <s v="N/A"/>
    <s v="3 x 3 meter; Tidak termasuk listrik; AC; Kasur; Lemari Baju; Bantal; Jendela; K. Mandi Dalam; Kloset Jongkok; Ember mandi; WiFi; R. Tamu; Penjaga Kos; Dapur; Parkir Mobil; Parkir Motor &amp; Sepeda"/>
    <n v="1200000"/>
    <s v="Rp1.200.000"/>
    <n v="0.17013888888888887"/>
    <d v="1899-12-30T04:05:00"/>
    <s v="Kos Campur"/>
    <m/>
    <s v="Diskon 100rb"/>
  </r>
  <r>
    <s v="Kost Apik Margonda 5 Tipe D Beji Depok"/>
    <x v="1"/>
    <x v="15"/>
    <n v="9"/>
    <s v="3 x 3 meter"/>
    <s v="Tidak termasuk listrik"/>
    <n v="1000000"/>
    <s v="Rp1.000.000"/>
    <s v="3 x 3 meter; Tidak termasuk listrik; Kasur; Lemari Baju; Bantal; Jendela; K. Mandi Dalam; Kloset Jongkok; Ember mandi; WiFi; R. Tamu; Penjaga Kos; Dapur; Parkir Mobil; Parkir Motor &amp; Sepeda"/>
    <n v="900000"/>
    <s v="Rp900.000"/>
    <n v="0"/>
    <m/>
    <s v="Kos Campur"/>
    <m/>
    <s v="Diskon 100rb"/>
  </r>
  <r>
    <s v="Kost Apik Matari Nagara Tipe A Ciputat Tangerang Selatan"/>
    <x v="2"/>
    <x v="65"/>
    <n v="21"/>
    <s v="7 x 3 meter"/>
    <s v="Tidak termasuk listrik"/>
    <n v="1300000"/>
    <s v="Rp1.300.000"/>
    <s v="7 x 3 meter; Tidak termasuk listrik; Kasur; Lemari Baju; Ventilasi; Dapur Pribadi; Jendela; Bantal; Wastafel; K. Mandi Dalam; Kloset Jongkok; WiFi; Penjaga Kos; R. Jemur; Parkir Motor &amp; Sepeda"/>
    <n v="1170000"/>
    <s v="Rp1.170.000"/>
    <n v="0"/>
    <m/>
    <s v="Kos Campur"/>
    <m/>
    <s v="Diskon 130rb"/>
  </r>
  <r>
    <s v="Kost Apik Muara Tipe A Jatinegara Jakarta Timur"/>
    <x v="8"/>
    <x v="58"/>
    <n v="5.95"/>
    <s v="3.5 x 1.7 meter"/>
    <s v="Tidak termasuk listrik"/>
    <n v="1425000"/>
    <s v="Rp1.425.000"/>
    <s v="3.5 x 1.7 meter; Tidak termasuk listrik; AC; Kasur; Lemari Baju; Jendela; Bantal; Cermin; Guling; K. Mandi Dalam; Kloset Duduk; WiFi; Penjaga Kos; R. Jemur; Dapur; CCTV; Rooftop; Balcon; Parkir Motor &amp; Sepeda"/>
    <n v="1355000"/>
    <s v="Rp1.355.000"/>
    <n v="0.17013888888888887"/>
    <d v="1899-12-30T04:05:00"/>
    <s v="Kos Campur"/>
    <m/>
    <s v="Diskon 70rb"/>
  </r>
  <r>
    <s v="Kost Apik Mustika Tipe A Pulo Gadung Jakarta Timur"/>
    <x v="8"/>
    <x v="32"/>
    <n v="8.75"/>
    <s v="3.5 x 2.5 meter"/>
    <s v="Tidak termasuk listrik"/>
    <n v="1225000"/>
    <s v="Rp1.225.000"/>
    <s v="3.5 x 2.5 meter; Tidak termasuk listrik; Kasur; Lemari Baju; Ventilasi; Dapur Pribadi; Jendela; Bantal; Cermin; Guling; K. Mandi Dalam; Kloset Jongkok; Ember mandi; WiFi; R. Jemur; Parkir Motor &amp; Sepeda"/>
    <n v="1165000"/>
    <s v="Rp1.165.000"/>
    <n v="0.12847222222222224"/>
    <d v="1899-12-30T03:05:00"/>
    <s v="Kos Campur"/>
    <m/>
    <s v="Diskon 60rb"/>
  </r>
  <r>
    <s v="Kost Apik Mustika Tipe B Pulo Gadung Jakarta Timur"/>
    <x v="8"/>
    <x v="32"/>
    <n v="8.75"/>
    <s v="3.5 x 2.5 meter"/>
    <s v="Tidak termasuk listrik"/>
    <s v=""/>
    <s v="N/A"/>
    <s v="3.5 x 2.5 meter; Tidak termasuk listrik; Kasur; Lemari Baju; Ventilasi; Dapur Pribadi; Jendela; Bantal; Cermin; Guling; K. Mandi Dalam; Kloset Jongkok; Ember mandi; WiFi; R. Jemur; Parkir Motor &amp; Sepeda"/>
    <n v="975000"/>
    <s v="Rp975.000"/>
    <n v="0.17291666666666669"/>
    <d v="1899-12-30T04:09:00"/>
    <s v="Kos Campur"/>
    <m/>
    <s v="Diskon 60rb"/>
  </r>
  <r>
    <s v="Kost Apik Nabila Tipe A Cempaka Putih Jakarta Pusat"/>
    <x v="9"/>
    <x v="66"/>
    <n v="10.240000000000002"/>
    <s v="3.2 x 3.2 meter"/>
    <s v="Tidak termasuk listrik"/>
    <s v=""/>
    <s v="N/A"/>
    <s v="3.2 x 3.2 meter; Tidak termasuk listrik; AC; Kasur; Lemari Baju; Ventilasi; Bantal; Jendela; K. Mandi Dalam; Kloset Jongkok; WiFi; R. Tamu; Penjaga Kos; R. Jemur; Jemuran; Parkir Motor &amp; Sepeda"/>
    <n v="1625000"/>
    <s v="Rp1.625.000"/>
    <n v="0.17083333333333331"/>
    <d v="1899-12-30T04:06:00"/>
    <s v="Kos Putri"/>
    <m/>
    <s v="Diskon 87rb"/>
  </r>
  <r>
    <s v="Kost Apik Nabila Tipe B Cempaka Putih Jakarta Pusat"/>
    <x v="9"/>
    <x v="66"/>
    <n v="10.240000000000002"/>
    <s v="3.2 x 3.2 meter"/>
    <s v="Tidak termasuk listrik"/>
    <s v=""/>
    <s v="N/A"/>
    <s v="3.2 x 3.2 meter; Tidak termasuk listrik; Kasur; Lemari Baju; Ventilasi; Bantal; Jendela; K. Mandi Dalam; Kloset Jongkok; WiFi; R. Tamu; Penjaga Kos; R. Jemur; Jemuran; Parkir Motor &amp; Sepeda"/>
    <n v="1125000"/>
    <s v="Rp1.125.000"/>
    <n v="0.17291666666666669"/>
    <d v="1899-12-30T04:09:00"/>
    <s v="Kos Putri"/>
    <m/>
    <m/>
  </r>
  <r>
    <s v="Kost Apik Nabila Tipe C Cempaka Putih Jakarta Pusat"/>
    <x v="9"/>
    <x v="66"/>
    <n v="6"/>
    <s v="3 x 2 meter"/>
    <s v="Tidak termasuk listrik"/>
    <s v=""/>
    <s v="N/A"/>
    <s v="3 x 2 meter; Tidak termasuk listrik; Kasur; Lemari Baju; Ventilasi; Bantal; Jendela; K. Mandi Dalam; Kloset Jongkok; WiFi; R. Tamu; Penjaga Kos; R. Jemur; Jemuran; Parkir Motor &amp; Sepeda"/>
    <n v="825000"/>
    <s v="Rp825.000"/>
    <n v="0.20833333333333334"/>
    <d v="1899-12-30T05:00:00"/>
    <s v="Kos Putri"/>
    <m/>
    <m/>
  </r>
  <r>
    <s v="Kost Apik Nuansa 2 Tanjung Duren Tipe A Grogol Petamburan Jakarta Barat"/>
    <x v="3"/>
    <x v="13"/>
    <n v="4.8600000000000003"/>
    <s v="1.8 x 2.7 meter"/>
    <s v="Tidak termasuk listrik"/>
    <n v="1075000"/>
    <s v="Rp1.075.000"/>
    <s v="1.8 x 2.7 meter; Tidak termasuk listrik; Kasur; Meja; Lemari Baju; Kursi; Bantal; Guling; Jendela; Kloset Duduk; Kloset Jongkok; K. Mandi Luar; Ember mandi; WiFi; R. Cuci; R. Tamu; Parkir Motor; Parkir Sepeda; Parkir Motor &amp; Sepeda"/>
    <n v="991000"/>
    <s v="Rp991.000"/>
    <n v="0.17291666666666669"/>
    <d v="1899-12-30T04:09:00"/>
    <s v="Kos Campur"/>
    <m/>
    <s v="Diskon 84rb"/>
  </r>
  <r>
    <s v="Kost Apik Nuansa 2 Tanjung Duren Tipe B Grogol Petamburan Jakarta Barat"/>
    <x v="3"/>
    <x v="13"/>
    <n v="11"/>
    <s v="2.5 x 4.4 meter"/>
    <s v="Tidak termasuk listrik"/>
    <s v=""/>
    <s v="N/A"/>
    <s v="2.5 x 4.4 meter; Tidak termasuk listrik; AC; Kasur; Meja; Lemari Baju; Kursi; Bantal; Cermin; Guling; Kloset Duduk; Kloset Jongkok; K. Mandi Luar; Ember mandi; WiFi; R. Cuci; R. Tamu; Parkir Motor; Parkir Sepeda; Parkir Motor &amp; Sepeda"/>
    <n v="1425000"/>
    <s v="Rp1.425.000"/>
    <n v="0.17083333333333331"/>
    <d v="1899-12-30T04:06:00"/>
    <s v="Kos Campur"/>
    <m/>
    <s v="Diskon 84rb"/>
  </r>
  <r>
    <s v="Kost Apik Pengantin Ali Tipe A Ciracas Jakarta Timur"/>
    <x v="8"/>
    <x v="37"/>
    <n v="11.47"/>
    <s v="3.1 x 3.7 meter"/>
    <s v="Termasuk listrik (implied)"/>
    <n v="1225000"/>
    <s v="Rp1.225.000"/>
    <s v="3.1 x 3.7 meter; Termasuk listrik; AC; Kasur; Lemari Baju; Ventilasi; Kursi; Jendela; Bantal; Guling; Kloset Duduk; K. Mandi Luar; Ember mandi; WiFi; Penjaga Kos; R. Jemur; CCTV; Jemuran; Parkir Motor &amp; Sepeda"/>
    <n v="1165000"/>
    <s v="Rp1.165.000"/>
    <n v="0.20833333333333334"/>
    <d v="1899-12-30T05:00:00"/>
    <s v="Kos Putri"/>
    <m/>
    <s v="Diskon 60rb"/>
  </r>
  <r>
    <s v="Kost Apik Pondok Ardhan Tipe A Pondok Aren Tangerang Selatan"/>
    <x v="2"/>
    <x v="29"/>
    <n v="9"/>
    <s v="3 x 3 meter"/>
    <s v="Tidak termasuk listrik"/>
    <s v=""/>
    <s v="N/A"/>
    <s v="3 x 3 meter; Tidak termasuk listrik; AC; Kasur; Lemari Baju; Bantal; Jendela; K. Mandi Dalam; WiFi; Kulkas; Penjaga Kos; Dapur; CCTV; TV; Parkir Motor &amp; Sepeda"/>
    <n v="1252000"/>
    <s v="Rp1.252.000"/>
    <n v="0"/>
    <m/>
    <s v="Kos Putri"/>
    <m/>
    <s v="Diskon 59rb"/>
  </r>
  <r>
    <s v="Kost Apik Pondok Ardhan Tipe B Pondok Aren Tangerang Selatan"/>
    <x v="2"/>
    <x v="29"/>
    <n v="6"/>
    <s v="3 x 2 meter"/>
    <s v="Termasuk listrik (implied)"/>
    <n v="767000"/>
    <s v="Rp767.000"/>
    <s v="3 x 2 meter; Termasuk listrik; Kasur; Lemari Baju; Bantal; Jendela; Kloset Jongkok; K. Mandi Luar; Ember mandi; WiFi; Kulkas; Penjaga Kos; Dapur; CCTV; TV; Parkir Motor &amp; Sepeda"/>
    <n v="707640"/>
    <s v="Rp707.640"/>
    <n v="0.20833333333333334"/>
    <d v="1899-12-30T05:00:00"/>
    <s v="Kos Putri"/>
    <m/>
    <s v="Diskon 59rb"/>
  </r>
  <r>
    <s v="Kost Apik Pondok Elba Tipe A Beji Depok"/>
    <x v="1"/>
    <x v="16"/>
    <n v="8.75"/>
    <s v="3.5 x 2.5 meter"/>
    <s v="Tidak termasuk listrik"/>
    <n v="1125000"/>
    <s v="Rp1.125.000"/>
    <s v="3.5 x 2.5 meter; Tidak termasuk listrik; AC; Kasur; Meja; Lemari Baju; Kursi; K. Mandi Dalam; Kloset Jongkok; Bak mandi; WiFi; Kulkas; R. Tamu; Penjaga Kos; R. Makan; R. Jemur; TV; Parkir Motor &amp; Sepeda"/>
    <n v="1015000"/>
    <s v="Rp1.015.000"/>
    <n v="0.17083333333333331"/>
    <d v="1899-12-30T04:06:00"/>
    <s v="Kos Putra"/>
    <m/>
    <s v="Diskon 110rb"/>
  </r>
  <r>
    <s v="Kost Apik Pondok Elba Tipe B Beji Depok"/>
    <x v="1"/>
    <x v="16"/>
    <n v="6"/>
    <s v="3 x 2 meter"/>
    <s v="Tidak termasuk listrik"/>
    <n v="925000"/>
    <s v="Rp925.000"/>
    <s v="3 x 2 meter; Tidak termasuk listrik; AC; Kasur; Meja; Lemari Baju; Kursi; Kloset Jongkok; K. Mandi Luar; Shower; WiFi; Kulkas; R. Tamu; Penjaga Kos; R. Makan; R. Jemur; TV; Parkir Motor &amp; Sepeda"/>
    <n v="835000"/>
    <s v="Rp835.000"/>
    <n v="0.17083333333333331"/>
    <d v="1899-12-30T04:06:00"/>
    <s v="Kos Putra"/>
    <m/>
    <s v="Diskon 90rb"/>
  </r>
  <r>
    <s v="Kost Apik Pondok Elba Tipe C Beji Depok"/>
    <x v="1"/>
    <x v="16"/>
    <n v="6.25"/>
    <s v="2.5 x 2.5 meter"/>
    <s v="Tidak termasuk listrik"/>
    <n v="825000"/>
    <s v="Rp825.000"/>
    <s v="2.5 x 2.5 meter; Tidak termasuk listrik; AC; Kasur; Meja; Lemari Baju; Kursi; Kloset Jongkok; K. Mandi Luar; Shower; WiFi; Kulkas; R. Tamu; Penjaga Kos; R. Makan; R. Jemur; TV; Parkir Motor &amp; Sepeda"/>
    <n v="745000"/>
    <s v="Rp745.000"/>
    <n v="0.17222222222222225"/>
    <d v="1899-12-30T04:08:00"/>
    <s v="Kos Putra"/>
    <m/>
    <s v="Diskon 80rb"/>
  </r>
  <r>
    <s v="Kost Apik Pondok Elba Tipe D Beji Depok"/>
    <x v="1"/>
    <x v="16"/>
    <n v="4"/>
    <s v="2 x 2 meter"/>
    <s v="Tidak termasuk listrik"/>
    <n v="625000"/>
    <s v="Rp625.000"/>
    <s v="2 x 2 meter; Tidak termasuk listrik; Kasur; Meja; Lemari Baju; Kursi; Kloset Jongkok; K. Mandi Luar; Shower; WiFi; Kulkas; R. Tamu; Penjaga Kos; R. Makan; R. Jemur; TV; Parkir Motor &amp; Sepeda"/>
    <n v="565000"/>
    <s v="Rp565.000"/>
    <n v="0.17013888888888887"/>
    <d v="1899-12-30T04:05:00"/>
    <s v="Kos Putra"/>
    <m/>
    <s v="Diskon 60rb"/>
  </r>
  <r>
    <s v="Kost Apik Pondok Jaya VIII Tipe C Mampang Prapatan Jakarta Selatan"/>
    <x v="5"/>
    <x v="67"/>
    <n v="5.0999999999999996"/>
    <s v="3 x 1.7 meter"/>
    <s v="Termasuk listrik (implied)"/>
    <s v=""/>
    <s v="N/A"/>
    <s v="3 x 1.7 meter; Termasuk listrik; Kasur; Meja; Lemari Baju; Ventilasi; Kursi; Kipas Angin; Bantal; Cermin; Jendela; Kloset Duduk; K. Mandi Luar; Wastafel; Ember mandi; Shower; WiFi; Kulkas; R. Tamu; Penjaga Kos; R. Makan; R. Jemur; Dapur; Dispenser; TV; Taman; Parkir Mobil; Parkir Sepeda"/>
    <n v="1325000"/>
    <s v="Rp1.325.000"/>
    <n v="0.16944444444444443"/>
    <d v="1899-12-30T04:04:00"/>
    <s v="Kos Putra"/>
    <m/>
    <s v="Diskon 200rb"/>
  </r>
  <r>
    <s v="Kost Apik Pondok Madani Tipe A Johar Baru Jakarta Pusat"/>
    <x v="9"/>
    <x v="50"/>
    <n v="5.6700000000000008"/>
    <s v="2.7 x 2.1 meter"/>
    <s v="Tidak termasuk listrik"/>
    <n v="1275000"/>
    <s v="Rp1.275.000"/>
    <s v="2.7 x 2.1 meter; Tidak termasuk listrik; AC; Kasur; Lemari Baju; Bantal; Cermin; Jendela; Kloset Jongkok; K. Mandi Luar; Ember mandi; WiFi; Penjaga Kos; Parkir Motor &amp; Sepeda"/>
    <n v="1212500"/>
    <s v="Rp1.212.500"/>
    <n v="0.17083333333333331"/>
    <d v="1899-12-30T04:06:00"/>
    <s v="Kos Campur"/>
    <m/>
    <s v="Diskon 63rb"/>
  </r>
  <r>
    <s v="Kost Apik Pondok Refasya Tipe A Beji Depok"/>
    <x v="1"/>
    <x v="15"/>
    <n v="14"/>
    <s v="4 x 3.5 meter"/>
    <s v="Termasuk listrik (implied)"/>
    <n v="1225000"/>
    <s v="Rp1.225.000"/>
    <s v="4 x 3.5 meter; Termasuk listrik; Kasur; Meja; Lemari Baju; Ventilasi; Kursi; Bantal; Jendela; Kloset Jongkok; K. Mandi Luar; Ember mandi; WiFi; R. Jemur; Dapur; CCTV; Jemuran; Parkir Mobil; Parkir Motor; Parkir Sepeda"/>
    <n v="1105000"/>
    <s v="Rp1.105.000"/>
    <n v="0.17291666666666669"/>
    <d v="1899-12-30T04:09:00"/>
    <s v="Kos Putra"/>
    <m/>
    <s v="Diskon 120rb"/>
  </r>
  <r>
    <s v="Kost Apik Pondok Refasya Tipe B Beji Depok"/>
    <x v="1"/>
    <x v="15"/>
    <n v="11.549999999999999"/>
    <s v="3.3 x 3.5 meter"/>
    <s v="Termasuk listrik (implied)"/>
    <n v="1175000"/>
    <s v="Rp1.175.000"/>
    <s v="3.3 x 3.5 meter; Termasuk listrik; Kasur; Meja; Lemari Baju; Ventilasi; Kursi; Bantal; Jendela; Kloset Jongkok; K. Mandi Luar; Ember mandi; WiFi; R. Jemur; Dapur; CCTV; Jemuran; Parkir Mobil; Parkir Motor; Parkir Sepeda"/>
    <n v="1060000"/>
    <s v="Rp1.060.000"/>
    <n v="0.17083333333333331"/>
    <d v="1899-12-30T04:06:00"/>
    <s v="Kos Putra"/>
    <m/>
    <s v="Diskon 115rb"/>
  </r>
  <r>
    <s v="Kost Apik Pondok Refasya Tipe C Beji Depok"/>
    <x v="1"/>
    <x v="15"/>
    <n v="9.8999999999999986"/>
    <s v="3 x 3.3 meter"/>
    <s v="Termasuk listrik (implied)"/>
    <n v="1075000"/>
    <s v="Rp1.075.000"/>
    <s v="3 x 3.3 meter; Termasuk listrik; Kasur; Meja; Lemari Baju; Ventilasi; Kursi; Bantal; Jendela; Kloset Jongkok; K. Mandi Luar; Ember mandi; WiFi; R. Jemur; Dapur; CCTV; Jemuran; Parkir Mobil; Parkir Motor; Parkir Sepeda"/>
    <n v="970000"/>
    <s v="Rp970.000"/>
    <n v="0.17291666666666669"/>
    <d v="1899-12-30T04:09:00"/>
    <s v="Kos Putra"/>
    <m/>
    <s v="Diskon 105rb"/>
  </r>
  <r>
    <s v="Kost Apik Pondok Rida Tipe A Beji Depok"/>
    <x v="1"/>
    <x v="15"/>
    <n v="12"/>
    <s v="4 x 3 meter"/>
    <s v="Termasuk listrik (implied)"/>
    <n v="1275000"/>
    <s v="Rp1.275.000"/>
    <s v="4 x 3 meter; Termasuk listrik; Kasur; Lemari Baju; Ventilasi; Jendela; Bantal; Kloset Jongkok; K. Mandi Luar; Ember mandi; Shower; WiFi; R. Jemur; Taman; Jemuran; Parkir Mobil; Parkir Motor &amp; Sepeda"/>
    <n v="1150000"/>
    <s v="Rp1.150.000"/>
    <n v="0.17083333333333331"/>
    <d v="1899-12-30T04:06:00"/>
    <s v="Kos Putra"/>
    <m/>
    <s v="Diskon 125rb"/>
  </r>
  <r>
    <s v="Kost Apik Pondok Sagre Kepu Tipe A Senen Jakarta Pusat"/>
    <x v="9"/>
    <x v="68"/>
    <n v="8"/>
    <s v="2.5 x 3.2 meter"/>
    <s v="Tidak termasuk listrik"/>
    <n v="1265000"/>
    <s v="Rp1.265.000"/>
    <s v="2.5 x 3.2 meter; Tidak termasuk listrik; AC; Kasur; Lemari Baju; Ventilasi; Bantal; Jendela; Kloset Jongkok; K. Mandi Luar; Shower; WiFi; R. Jemur; Dapur; CCTV; Parkir Mobil; Parkir Motor; Parkir Sepeda"/>
    <n v="1203000"/>
    <s v="Rp1.203.000"/>
    <n v="0.17222222222222225"/>
    <d v="1899-12-30T04:08:00"/>
    <s v="Kos Campur"/>
    <m/>
    <s v="Diskon 62rb"/>
  </r>
  <r>
    <s v="Kost Apik Pondok Sagre Kepu Tipe B Senen Jakarta Pusat"/>
    <x v="9"/>
    <x v="68"/>
    <n v="8"/>
    <s v="2.5 x 3.2 meter"/>
    <s v="Tidak termasuk listrik"/>
    <n v="1365000"/>
    <s v="Rp1.365.000"/>
    <s v="2.5 x 3.2 meter; Tidak termasuk listrik; AC; Kasur; Lemari Baju; Ventilasi; Bantal; Jendela; Kloset Jongkok; K. Mandi Luar; Shower; WiFi; R. Jemur; Dapur; CCTV; Parkir Mobil; Parkir Motor; Parkir Sepeda"/>
    <n v="1298000"/>
    <s v="Rp1.298.000"/>
    <n v="0.17291666666666669"/>
    <d v="1899-12-30T04:09:00"/>
    <s v="Kos Campur"/>
    <m/>
    <s v="Diskon 67rb"/>
  </r>
  <r>
    <s v="Kost Apik Pondok Sagre Kepu Tipe C Senen Jakarta Pusat"/>
    <x v="9"/>
    <x v="68"/>
    <n v="8"/>
    <s v="2.5 x 3.2 meter"/>
    <s v="Tidak termasuk listrik"/>
    <n v="1615000"/>
    <s v="Rp1.615.000"/>
    <s v="2.5 x 3.2 meter; Tidak termasuk listrik; AC; Kasur; Lemari Baju; Ventilasi; Bantal; Jendela; Kloset Jongkok; K. Mandi Luar; Shower; WiFi; R. Jemur; Dapur; CCTV; Parkir Mobil; Parkir Motor; Parkir Sepeda"/>
    <n v="1535500"/>
    <s v="Rp1.535.500"/>
    <n v="0.17222222222222225"/>
    <d v="1899-12-30T04:08:00"/>
    <s v="Kos Campur"/>
    <m/>
    <s v="Diskon 80rb"/>
  </r>
  <r>
    <s v="Kost Apik Pondok Sagre Kepu Tipe D Senen Jakarta Pusat"/>
    <x v="9"/>
    <x v="68"/>
    <n v="8"/>
    <s v="2.5 x 3.2 meter"/>
    <s v="Tidak termasuk listrik"/>
    <n v="1665000"/>
    <s v="Rp1.665.000"/>
    <s v="2.5 x 3.2 meter; Tidak termasuk listrik; AC; Kasur; Lemari Baju; Ventilasi; Bantal; Jendela; Kloset Jongkok; K. Mandi Luar; Shower; WiFi; R. Jemur; Dapur; CCTV; Parkir Motor; Parkir Sepeda"/>
    <n v="1583000"/>
    <s v="Rp1.583.000"/>
    <n v="0.17222222222222225"/>
    <d v="1899-12-30T04:08:00"/>
    <s v="Kos Campur"/>
    <m/>
    <s v="Diskon 82rb"/>
  </r>
  <r>
    <s v="Kost Apik Pondok Sally Tipe A Beji Depok"/>
    <x v="1"/>
    <x v="15"/>
    <n v="13.5"/>
    <s v="4.5 x 3 meter"/>
    <s v="Termasuk listrik (implied)"/>
    <n v="900000"/>
    <s v="Rp900.000"/>
    <s v="4.5 x 3 meter; Termasuk listrik; Kasur; Meja; Lemari Baju; Kursi; Bantal; Jendela; K. Mandi Dalam; Kloset Jongkok; Ember mandi; Shower; WiFi; Kulkas; R. Tamu; R. Jemur; Dapur; Parkir Mobil; Parkir Motor; Parkir Sepeda"/>
    <n v="810000"/>
    <s v="Rp810.000"/>
    <n v="0.17291666666666669"/>
    <d v="1899-12-30T04:09:00"/>
    <s v="Kos Putri"/>
    <m/>
    <s v="Diskon 90rb"/>
  </r>
  <r>
    <s v="Kost Apik Prospera Living Tipe A Senen Jakarta Pusat"/>
    <x v="9"/>
    <x v="41"/>
    <n v="16.200000000000003"/>
    <s v="6 x 2.7 meter"/>
    <s v="Tidak termasuk listrik"/>
    <n v="1823000"/>
    <s v="Rp1.823.000"/>
    <s v="6 x 2.7 meter; Tidak termasuk listrik; AC; Kasur; Meja; Lemari Baju; Kursi; Bantal; Kloset Duduk; K. Mandi Luar; Ember mandi; WiFi; R. Cuci; Penjaga Kos; R. Jemur; Parkir Motor &amp; Sepeda"/>
    <n v="1733100"/>
    <s v="Rp1.733.100"/>
    <n v="0.17083333333333331"/>
    <d v="1899-12-30T04:06:00"/>
    <s v="Kos Campur"/>
    <m/>
    <s v="Diskon 90rb"/>
  </r>
  <r>
    <s v="Kost Apik Prospera Living Tipe B Senen Jakarta Pusat"/>
    <x v="9"/>
    <x v="41"/>
    <n v="8.64"/>
    <s v="3.2 x 2.7 meter"/>
    <s v="Tidak termasuk listrik"/>
    <s v=""/>
    <s v="N/A"/>
    <s v="3.2 x 2.7 meter; Tidak termasuk listrik; AC; Kasur; Meja; Lemari Baju; Kursi; Kloset Duduk; K. Mandi Luar; Ember mandi; WiFi; R. Cuci; Penjaga Kos; R. Jemur; Parkir Motor &amp; Sepeda"/>
    <n v="1323000"/>
    <s v="Rp1.323.000"/>
    <n v="0.17222222222222225"/>
    <d v="1899-12-30T04:08:00"/>
    <s v="Kos Campur"/>
    <m/>
    <s v="Diskon 90rb"/>
  </r>
  <r>
    <s v="Kost Apik Prospera Living Tipe C Senen Jakarta Pusat"/>
    <x v="9"/>
    <x v="41"/>
    <n v="8.64"/>
    <s v="3.2 x 2.7 meter"/>
    <s v="Tidak termasuk listrik"/>
    <s v=""/>
    <s v="N/A"/>
    <s v="3.2 x 2.7 meter; Tidak termasuk listrik; Kasur; Meja; Lemari Baju; Bantal; Kursi; Kloset Duduk; K. Mandi Luar; Ember mandi; WiFi; R. Cuci; Penjaga Kos; R. Jemur; Parkir Motor &amp; Sepeda"/>
    <n v="923000"/>
    <s v="Rp923.000"/>
    <n v="0.17013888888888887"/>
    <d v="1899-12-30T04:05:00"/>
    <s v="Kos Campur"/>
    <m/>
    <s v="Diskon 90rb"/>
  </r>
  <r>
    <s v="Kost Apik Protein Otista Tipe A Jatinegara Jakarta Timur"/>
    <x v="8"/>
    <x v="58"/>
    <n v="7"/>
    <s v="3.5 x 2 meter"/>
    <s v="Termasuk listrik (implied)"/>
    <n v="1425000"/>
    <s v="Rp1.425.000"/>
    <s v="3.5 x 2 meter; Termasuk listrik; AC; Kasur; Lemari Baju; Bantal; Guling; Jendela; K. Mandi Dalam; Kloset Jongkok; Ember mandi; Shower; WiFi; Kulkas; R. Tamu; Penjaga Kos; R. Makan; R. Jemur; Dapur; Dispenser; TV; K. Mandi Luar; Parkir Motor; Parkir Sepeda"/>
    <n v="1355000"/>
    <s v="Rp1.355.000"/>
    <n v="0.16944444444444443"/>
    <d v="1899-12-30T04:04:00"/>
    <s v="Kos Putri"/>
    <m/>
    <s v="Diskon 70rb"/>
  </r>
  <r>
    <s v="Kost Apik Protein Otista Tipe B Jatinegara Jakarta Timur"/>
    <x v="8"/>
    <x v="58"/>
    <n v="5"/>
    <s v="2 x 2.5 meter"/>
    <s v="Termasuk listrik (implied)"/>
    <n v="975000"/>
    <s v="Rp975.000"/>
    <s v="2 x 2.5 meter; Termasuk listrik; Kasur; Lemari Baju; Bantal; Guling; Jendela; K. Mandi Dalam; Kloset Jongkok; Shower; WiFi; Kulkas; R. Tamu; Penjaga Kos; R. Makan; R. Jemur; Dapur; Dispenser; TV; K. Mandi Luar; Parkir Motor; Parkir Sepeda"/>
    <n v="927500"/>
    <s v="Rp927.500"/>
    <n v="0.17222222222222225"/>
    <d v="1899-12-30T04:08:00"/>
    <s v="Kos Putri"/>
    <m/>
    <s v="Diskon 48rb"/>
  </r>
  <r>
    <s v="Kost Apik Puri Gading 1 UI Tipe B Beji Depok"/>
    <x v="1"/>
    <x v="15"/>
    <n v="9"/>
    <s v="3 x 3 meter"/>
    <s v="Termasuk listrik (implied)"/>
    <n v="898000"/>
    <s v="Rp898.000"/>
    <s v="3 x 3 meter; Termasuk listrik; Kasur; Meja; Lemari Baju; Kursi; Bantal; Guling; Jendela; K. Mandi Dalam; Kloset Jongkok; Ember mandi; WiFi; Kulkas; R. Tamu; R. Jemur; Dapur; Dispenser; TV; CCTV; Parkir Motor; Parkir Sepeda"/>
    <n v="810700"/>
    <s v="Rp810.700"/>
    <n v="0.17222222222222225"/>
    <d v="1899-12-30T04:08:00"/>
    <s v="Kos Putra"/>
    <m/>
    <s v="Diskon 87rb"/>
  </r>
  <r>
    <s v="Kost Apik Puri Rinda Tipe A Jagakarsa Jakarta Selatan"/>
    <x v="5"/>
    <x v="69"/>
    <n v="10.5"/>
    <s v="3.5 x 3 meter"/>
    <s v="Termasuk listrik (implied)"/>
    <n v="2825000"/>
    <s v="Rp2.825.000"/>
    <s v="3.5 x 3 meter; Termasuk listrik; AC; Kasur; Meja; TV; Lemari Baju; Kursi; Bantal; Cermin; Guling; K. Mandi Dalam; Kloset Duduk; Wastafel; Shower; Air panas; WiFi; Penjaga Kos; Dapur; Dispenser; K. Mandi Luar; Parkir Mobil; Parkir Motor; Parkir Sepeda"/>
    <n v="2685000"/>
    <s v="Rp2.685.000"/>
    <n v="0.20833333333333334"/>
    <d v="1899-12-30T05:00:00"/>
    <s v="Kos Putri"/>
    <m/>
    <s v="Diskon 140rb"/>
  </r>
  <r>
    <s v="Kost Apik Puri Rinda Tipe B Jagakarsa Jakarta Selatan"/>
    <x v="5"/>
    <x v="69"/>
    <n v="9"/>
    <s v="3 x 3 meter"/>
    <s v="Termasuk listrik (implied)"/>
    <n v="1925000"/>
    <s v="Rp1.925.000"/>
    <s v="3 x 3 meter; Termasuk listrik; AC; Kasur; Meja; TV; Lemari Baju; Kursi; Bantal; Cermin; Guling; Jendela; Kloset Duduk; K. Mandi Luar; Wastafel; Shower; Air panas; WiFi; Penjaga Kos; Dapur; Dispenser; Parkir Mobil; Parkir Motor; Parkir Sepeda"/>
    <n v="1830000"/>
    <s v="Rp1.830.000"/>
    <n v="0.17291666666666669"/>
    <d v="1899-12-30T04:09:00"/>
    <s v="Kos Putri"/>
    <m/>
    <s v="Diskon 95rb"/>
  </r>
  <r>
    <s v="Kost Apik Puri Rinda Tipe C Jagakarsa Jakarta Selatan"/>
    <x v="5"/>
    <x v="69"/>
    <n v="9"/>
    <s v="3 x 3 meter"/>
    <s v="Termasuk listrik (implied)"/>
    <n v="1825000"/>
    <s v="Rp1.825.000"/>
    <s v="3 x 3 meter; Termasuk listrik; AC; Kasur; Meja; TV; Lemari Baju; Kursi; Bantal; Cermin; Guling; Jendela; Kloset Duduk; K. Mandi Luar; Wastafel; Shower; Air panas; WiFi; Penjaga Kos; Dapur; Dispenser; Parkir Mobil; Parkir Motor; Parkir Sepeda"/>
    <n v="1735000"/>
    <s v="Rp1.735.000"/>
    <n v="0.20833333333333334"/>
    <d v="1899-12-30T05:00:00"/>
    <s v="Kos Putri"/>
    <m/>
    <s v="Diskon 90rb"/>
  </r>
  <r>
    <s v="Kost Apik R &amp; R Condet Tipe A Pasar Rebo Jakarta Timur"/>
    <x v="8"/>
    <x v="28"/>
    <n v="6"/>
    <s v="3 x 2 meter"/>
    <s v="Tidak termasuk listrik"/>
    <n v="1175000"/>
    <s v="Rp1.175.000"/>
    <s v="3 x 2 meter; Tidak termasuk listrik; AC; Kasur; Lemari Baju; Bantal; Guling; Jendela; Kloset Jongkok; K. Mandi Luar; Ember mandi; WiFi; Kulkas; R. Tamu; Penjaga Kos; R. Makan; R. Jemur; Dapur; CCTV; Parkir Motor; Parkir Sepeda"/>
    <n v="1117500"/>
    <s v="Rp1.117.500"/>
    <n v="0"/>
    <m/>
    <s v="Kos Campur"/>
    <m/>
    <s v="Diskon 58rb"/>
  </r>
  <r>
    <s v="Kost Apik R &amp; R Condet Tipe B Pasar Rebo Jakarta Timur"/>
    <x v="8"/>
    <x v="28"/>
    <n v="9"/>
    <s v="3 x 3 meter"/>
    <s v="Tidak termasuk listrik"/>
    <n v="1075000"/>
    <s v="Rp1.075.000"/>
    <s v="3 x 3 meter; Tidak termasuk listrik; AC; Kasur; Lemari Baju; Bantal; Cermin; Guling; Jendela; K. Mandi Dalam; Kloset Jongkok; Ember mandi; WiFi; Kulkas; R. Tamu; Penjaga Kos; R. Makan; R. Jemur; Dapur; K. Mandi Luar; CCTV; Parkir Motor; Parkir Sepeda"/>
    <n v="1022500"/>
    <s v="Rp1.022.500"/>
    <n v="0.17083333333333331"/>
    <d v="1899-12-30T04:06:00"/>
    <s v="Kos Campur"/>
    <m/>
    <s v="Diskon 53rb"/>
  </r>
  <r>
    <s v="Kost Apik R &amp; R Condet Tipe C Pasar Rebo Jakarta Timur"/>
    <x v="8"/>
    <x v="28"/>
    <n v="5.6"/>
    <s v="2.8 x 2 meter"/>
    <s v="Tidak termasuk listrik"/>
    <n v="925000"/>
    <s v="Rp925.000"/>
    <s v="2.8 x 2 meter; Tidak termasuk listrik; AC; Kasur; Lemari Baju; Bantal; Guling; Jendela; Kloset Jongkok; K. Mandi Luar; Ember mandi; WiFi; Kulkas; R. Tamu; Penjaga Kos; R. Makan; R. Jemur; Dapur; CCTV; Parkir Motor; Parkir Sepeda"/>
    <n v="880000"/>
    <s v="Rp880.000"/>
    <n v="0.17083333333333331"/>
    <d v="1899-12-30T04:06:00"/>
    <s v="Kos Campur"/>
    <m/>
    <s v="Diskon 45rb"/>
  </r>
  <r>
    <s v="Kost Apik R Sari Tipe A Cempaka Putih Jakarta Pusat"/>
    <x v="9"/>
    <x v="51"/>
    <n v="4.25"/>
    <s v="2.5 x 1.7 meter"/>
    <s v="Termasuk listrik (implied)"/>
    <n v="850000"/>
    <s v="Rp850.000"/>
    <s v="2.5 x 1.7 meter; Termasuk listrik; Kasur; Ventilasi; Bantal; Kloset Jongkok; K. Mandi Luar; Ember mandi; WiFi; Penjaga Kos; R. Jemur; CCTV; Jemuran; Parkir Motor &amp; Sepeda"/>
    <n v="807500"/>
    <s v="Rp807.500"/>
    <n v="0.17013888888888887"/>
    <d v="1899-12-30T04:05:00"/>
    <s v="Kos Campur"/>
    <m/>
    <s v="Diskon 43rb"/>
  </r>
  <r>
    <s v="Kost Apik R Sari Tipe B Cempaka Putih Jakarta Pusat"/>
    <x v="9"/>
    <x v="51"/>
    <n v="4.25"/>
    <s v="2.5 x 1.7 meter"/>
    <s v="Termasuk listrik (implied)"/>
    <n v="750000"/>
    <s v="Rp750.000"/>
    <s v="2.5 x 1.7 meter; Termasuk listrik; Kasur; Ventilasi; Bantal; Kloset Jongkok; K. Mandi Luar; Ember mandi; WiFi; Penjaga Kos; R. Jemur; CCTV; Jemuran; Parkir Motor &amp; Sepeda"/>
    <n v="712500"/>
    <s v="Rp712.500"/>
    <n v="0.17083333333333331"/>
    <d v="1899-12-30T04:06:00"/>
    <s v="Kos Campur"/>
    <m/>
    <s v="Diskon 38rb"/>
  </r>
  <r>
    <s v="Kost Apik Rawamangun 23A Tipe A Pulo Gadung Jakarta Timur"/>
    <x v="8"/>
    <x v="32"/>
    <n v="13.26"/>
    <s v="5.1 x 2.6 meter"/>
    <s v="Tidak termasuk listrik"/>
    <s v=""/>
    <s v="N/A"/>
    <s v="5.1 x 2.6 meter; Tidak termasuk listrik; Kasur; Meja; Lemari Baju; K. Mandi Dalam; Kloset Jongkok; Ember mandi; WiFi; R. Cuci; R. Jemur; Dapur; CCTV; Jemuran; Parkir Motor &amp; Sepeda"/>
    <n v="1225000"/>
    <s v="Rp1.225.000"/>
    <n v="0.20833333333333334"/>
    <d v="1899-12-30T05:00:00"/>
    <s v="Kos Putri"/>
    <m/>
    <m/>
  </r>
  <r>
    <s v="Kost Apik Rawamangun 23A Tipe C Pulo Gadung Jakarta Timur"/>
    <x v="8"/>
    <x v="32"/>
    <n v="9"/>
    <s v="3 x 3 meter"/>
    <s v="Tidak termasuk listrik"/>
    <s v=""/>
    <s v="N/A"/>
    <s v="3 x 3 meter; Tidak termasuk listrik; Kasur; Meja; Lemari Baju; Kloset Jongkok; K. Mandi Luar; Bak mandi; WiFi; R. Cuci; R. Jemur; Dapur; CCTV; Jemuran; Parkir Motor &amp; Sepeda"/>
    <n v="925000"/>
    <s v="Rp925.000"/>
    <n v="0.17013888888888887"/>
    <d v="1899-12-30T04:05:00"/>
    <s v="Kos Putri"/>
    <m/>
    <m/>
  </r>
  <r>
    <s v="Kost Apik Rawasari 29 Tipe A Cempaka Putih Jakarta Pusat"/>
    <x v="9"/>
    <x v="51"/>
    <n v="8.68"/>
    <s v="3.1 x 2.8 meter"/>
    <s v="Tidak termasuk listrik"/>
    <s v=""/>
    <s v="N/A"/>
    <s v="3.1 x 2.8 meter; Tidak termasuk listrik; Kasur; Lemari Baju; Guling; Bantal; K. Mandi Dalam; Kloset Jongkok; Ember mandi; WiFi; Parkir Motor &amp; Sepeda"/>
    <n v="1275000"/>
    <s v="Rp1.275.000"/>
    <n v="0.16944444444444443"/>
    <d v="1899-12-30T04:04:00"/>
    <s v="Kos Campur"/>
    <m/>
    <s v="Diskon 108rb"/>
  </r>
  <r>
    <s v="Kost Apik Rayan Tipe A Cilandak Jakarta Selatan"/>
    <x v="5"/>
    <x v="7"/>
    <n v="12.25"/>
    <s v="3.5 x 3.5 meter"/>
    <s v="Termasuk listrik (implied)"/>
    <s v=""/>
    <s v="N/A"/>
    <s v="3.5 x 3.5 meter; Termasuk listrik; Kasur; Meja; Lemari Baju; Bantal; Cermin; Jendela; K. Mandi Dalam; Kloset Jongkok; Ember mandi; WiFi; Penjaga Kos; R. Santai; Balcon; Parkir Motor &amp; Sepeda"/>
    <n v="1200000"/>
    <s v="Rp1.200.000"/>
    <n v="0.17013888888888887"/>
    <d v="1899-12-30T04:05:00"/>
    <s v="Kos Campur"/>
    <m/>
    <m/>
  </r>
  <r>
    <s v="Kost Apik Restu Ibu Lenteng Agung Tipe E Jagakarsa Jakarta Selatan"/>
    <x v="5"/>
    <x v="40"/>
    <n v="7.839999999999999"/>
    <s v="2.8 x 2.8 meter"/>
    <s v="Termasuk listrik (implied)"/>
    <s v=""/>
    <s v="N/A"/>
    <s v="2.8 x 2.8 meter; Termasuk listrik; Kasur; Meja; Lemari Baju; Kursi; Bantal; Jendela; Kloset Jongkok; K. Mandi Luar; Ember mandi; Shower; WiFi; R. Cuci; R. Tamu; Penjaga Kos; Dapur; TV; CCTV; Parkir Mobil; Parkir Motor &amp; Sepeda"/>
    <n v="700000"/>
    <s v="Rp700.000"/>
    <n v="0.17291666666666669"/>
    <d v="1899-12-30T04:09:00"/>
    <s v="Kos Putri"/>
    <m/>
    <s v="Diskon 40rb"/>
  </r>
  <r>
    <s v="Kost Apik Riyadus Solihin Park View Tipe A Pondok Aren Tangerang Selatan"/>
    <x v="2"/>
    <x v="29"/>
    <n v="9"/>
    <s v="3 x 3 meter"/>
    <s v="Termasuk listrik (implied)"/>
    <n v="1325000"/>
    <s v="Rp1.325.000"/>
    <s v="3 x 3 meter; Termasuk listrik; AC; Kasur; Lemari Baju; Ventilasi; Bantal; Jendela; K. Mandi Dalam; Kloset Jongkok; Ember mandi; WiFi; R. Cuci; Kulkas; R. Tamu; Mesin Cuci; Penjaga Kos; R. Jemur; Dapur; Parkir Motor &amp; Sepeda"/>
    <n v="1260000"/>
    <s v="Rp1.260.000"/>
    <n v="0.17013888888888887"/>
    <d v="1899-12-30T04:05:00"/>
    <s v="Kos Putra"/>
    <m/>
    <s v="Diskon 65rb"/>
  </r>
  <r>
    <s v="Kost Apik Riyadus Solihin Park View Tipe B Pondok Aren Tangerang Selatan"/>
    <x v="2"/>
    <x v="29"/>
    <n v="9"/>
    <s v="3 x 3 meter"/>
    <s v="Termasuk listrik (implied)"/>
    <n v="925000"/>
    <s v="Rp925.000"/>
    <s v="3 x 3 meter; Termasuk listrik; Kasur; Lemari Baju; Ventilasi; Bantal; Jendela; K. Mandi Dalam; Kloset Jongkok; Ember mandi; WiFi; R. Cuci; Kulkas; R. Tamu; Mesin Cuci; Penjaga Kos; R. Jemur; Dapur; Parkir Motor &amp; Sepeda"/>
    <n v="880000"/>
    <s v="Rp880.000"/>
    <n v="0.17083333333333331"/>
    <d v="1899-12-30T04:06:00"/>
    <s v="Kos Putra"/>
    <m/>
    <s v="Diskon 45rb"/>
  </r>
  <r>
    <s v="Kost Apik Rumah Deka Tipe A Pondok Aren Tangerang Selatan"/>
    <x v="2"/>
    <x v="29"/>
    <n v="9"/>
    <s v="3 x 3 meter"/>
    <s v="Termasuk listrik (implied)"/>
    <n v="705000"/>
    <s v="Rp705.000"/>
    <s v="3 x 3 meter; Termasuk listrik; Kasur; Meja; Lemari Baju; Kursi; Kloset Jongkok; K. Mandi Luar; Bak mandi; WiFi; R. Jemur; Dapur; Parkir Motor &amp; Sepeda"/>
    <n v="650600"/>
    <s v="Rp650.600"/>
    <n v="0.16944444444444443"/>
    <d v="1899-12-30T04:04:00"/>
    <s v="Kos Putra"/>
    <m/>
    <s v="Diskon 54rb"/>
  </r>
  <r>
    <s v="Kost Apik Sakura 9 Tipe A Cengkareng Jakarta Barat"/>
    <x v="3"/>
    <x v="53"/>
    <n v="9"/>
    <s v="3 x 3 meter"/>
    <s v="Tidak termasuk listrik"/>
    <s v=""/>
    <s v="N/A"/>
    <s v="3 x 3 meter; Tidak termasuk listrik; Kasur; Jendela; Kipas Angin; Bantal; K. Mandi Dalam; Kloset Duduk; Ember mandi; WiFi; Kulkas; R. Tamu; Penjaga Kos; R. Jemur; Dapur; Taman; Rooftop; Jemuran; Parkir Motor &amp; Sepeda"/>
    <n v="1155000"/>
    <s v="Rp1.155.000"/>
    <n v="0.17222222222222225"/>
    <d v="1899-12-30T04:08:00"/>
    <s v="Kos Campur"/>
    <m/>
    <m/>
  </r>
  <r>
    <s v="Kost Apik Seroja 1 Tipe A Cengkareng Jakarta Barat"/>
    <x v="3"/>
    <x v="53"/>
    <n v="6"/>
    <s v="3 x 2 meter"/>
    <s v="Termasuk listrik (implied)"/>
    <n v="825000"/>
    <s v="Rp825.000"/>
    <s v="3 x 2 meter; Termasuk listrik; Kasur; Lemari Baju; Ventilasi; Bantal; Kloset Jongkok; K. Mandi Luar; Ember mandi; WiFi; Parkir Mobil; Parkir Motor; Parkir Sepeda; Parkir Motor &amp; Sepeda"/>
    <n v="761000"/>
    <s v="Rp761.000"/>
    <n v="0.17222222222222225"/>
    <d v="1899-12-30T04:08:00"/>
    <s v="Kos Campur"/>
    <m/>
    <s v="Diskon 64rb"/>
  </r>
  <r>
    <s v="Kost Apik Seroja 1 Tipe B Cengkareng Jakarta Barat"/>
    <x v="3"/>
    <x v="53"/>
    <n v="4"/>
    <s v="2 x 2 meter"/>
    <s v="Termasuk listrik (implied)"/>
    <n v="800000"/>
    <s v="Rp800.000"/>
    <s v="2 x 2 meter; Termasuk listrik; Kasur; Lemari Baju; Ventilasi; Bantal; Kloset Jongkok; K. Mandi Luar; Ember mandi; WiFi; Parkir Mobil; Parkir Motor; Parkir Sepeda; Parkir Motor &amp; Sepeda"/>
    <n v="738000"/>
    <s v="Rp738.000"/>
    <n v="0.17083333333333331"/>
    <d v="1899-12-30T04:06:00"/>
    <s v="Kos Campur"/>
    <m/>
    <s v="Diskon 62rb"/>
  </r>
  <r>
    <s v="Kost Apik Shafira Tipe A Kemayoran Jakarta Pusat"/>
    <x v="9"/>
    <x v="38"/>
    <n v="15.75"/>
    <s v="4.5 x 3.5 meter"/>
    <s v="Tidak termasuk listrik"/>
    <s v=""/>
    <s v="N/A"/>
    <s v="4.5 x 3.5 meter; Tidak termasuk listrik; AC; Kasur; Lemari Baju; K. Mandi Dalam; Kloset Jongkok; Shower; WiFi; R. Cuci; Penjaga Kos; R. Jemur; Rooftop; Parkir Motor &amp; Sepeda"/>
    <n v="1625000"/>
    <s v="Rp1.625.000"/>
    <n v="0.17083333333333331"/>
    <d v="1899-12-30T04:06:00"/>
    <s v="Kos Putri"/>
    <m/>
    <s v="Diskon 87rb"/>
  </r>
  <r>
    <s v="Kost Apik Shafira Tipe A Pamulang Tangerang Selatan"/>
    <x v="2"/>
    <x v="54"/>
    <n v="5.4600000000000009"/>
    <s v="2.6 x 2.1 meter"/>
    <s v="Termasuk listrik (implied)"/>
    <n v="825000"/>
    <s v="Rp825.000"/>
    <s v="2.6 x 2.1 meter; Termasuk listrik; Kasur; Lemari Baju; Ventilasi; Kipas Angin; Bantal; Cermin; Jendela; Kloset Duduk; Kloset Jongkok; K. Mandi Luar; Ember mandi; Shower; WiFi; Kulkas; R. Tamu; Penjaga Kos; R. Jemur; Dapur; CCTV; Jemuran; Parkir Motor &amp; Sepeda"/>
    <n v="761000"/>
    <s v="Rp761.000"/>
    <n v="0.20833333333333334"/>
    <d v="1899-12-30T05:00:00"/>
    <s v="Kos Putri"/>
    <m/>
    <s v="Diskon 64rb"/>
  </r>
  <r>
    <s v="Kost Apik Shafira Tipe B Kemayoran Jakarta Pusat"/>
    <x v="9"/>
    <x v="38"/>
    <n v="15.75"/>
    <s v="4.5 x 3.5 meter"/>
    <s v="Tidak termasuk listrik"/>
    <s v=""/>
    <s v="N/A"/>
    <s v="4.5 x 3.5 meter; Tidak termasuk listrik; Kasur; Lemari Baju; K. Mandi Dalam; Kloset Jongkok; Shower; WiFi; R. Cuci; Penjaga Kos; R. Jemur; Rooftop; Parkir Motor &amp; Sepeda"/>
    <n v="1425000"/>
    <s v="Rp1.425.000"/>
    <n v="0.17291666666666669"/>
    <d v="1899-12-30T04:09:00"/>
    <s v="Kos Putri"/>
    <m/>
    <m/>
  </r>
  <r>
    <s v="Kost Apik Shafira Tipe B Pamulang Tangerang Selatan"/>
    <x v="2"/>
    <x v="54"/>
    <n v="5.13"/>
    <s v="1.9 x 2.7 meter"/>
    <s v="Termasuk listrik (implied)"/>
    <n v="925000"/>
    <s v="Rp925.000"/>
    <s v="1.9 x 2.7 meter; Termasuk listrik; Kasur; Lemari Baju; Ventilasi; Kipas Angin; Bantal; Cermin; Jendela; Kloset Duduk; Kloset Jongkok; K. Mandi Luar; Ember mandi; WiFi; Kulkas; R. Tamu; Penjaga Kos; R. Jemur; Dapur; CCTV; Jemuran; Parkir Motor &amp; Sepeda"/>
    <n v="853000"/>
    <s v="Rp853.000"/>
    <n v="0.20833333333333334"/>
    <d v="1899-12-30T05:00:00"/>
    <s v="Kos Putri"/>
    <m/>
    <s v="Diskon 72rb"/>
  </r>
  <r>
    <s v="Kost Apik Siti Fadila UI Tipe A Beji Depok"/>
    <x v="1"/>
    <x v="15"/>
    <n v="10.240000000000002"/>
    <s v="3.2 x 3.2 meter"/>
    <s v="Tidak termasuk listrik"/>
    <n v="625000"/>
    <s v="Rp625.000"/>
    <s v="3.2 x 3.2 meter; Tidak termasuk listrik; Kasur; Meja; Lemari Baju; Kursi; Bantal; Jendela; Kloset Jongkok; K. Mandi Luar; Ember mandi; Shower; WiFi; Parkir Motor &amp; Sepeda"/>
    <n v="565000"/>
    <s v="Rp565.000"/>
    <n v="0.20833333333333334"/>
    <d v="1899-12-30T05:00:00"/>
    <s v="Kos Putri"/>
    <m/>
    <s v="Diskon 60rb"/>
  </r>
  <r>
    <s v="Kost Apik Sulthan Tipe A Cilandak Jakarta Selatan"/>
    <x v="5"/>
    <x v="7"/>
    <n v="18"/>
    <s v="4 x 4.5 meter"/>
    <s v="Termasuk listrik (implied)"/>
    <s v=""/>
    <s v="N/A"/>
    <s v="4 x 4.5 meter; Termasuk listrik; Kasur; Meja; Lemari Baju; Jendela; Wastafel; Bantal; Cermin; Guling; K. Mandi Dalam; Kloset Jongkok; Ember mandi; WiFi; R. Cuci; R. Tamu; Penjaga Kos; R. Jemur; Rooftop; Jemuran; Parkir Motor &amp; Sepeda"/>
    <n v="1425000"/>
    <s v="Rp1.425.000"/>
    <n v="0.17291666666666669"/>
    <d v="1899-12-30T04:09:00"/>
    <s v="Kos Putri"/>
    <m/>
    <m/>
  </r>
  <r>
    <s v="Kost Apik Sulthan Tipe B Cilandak Jakarta Selatan"/>
    <x v="5"/>
    <x v="7"/>
    <n v="10.5"/>
    <s v="3 x 3.5 meter"/>
    <s v="Termasuk listrik (implied)"/>
    <s v=""/>
    <s v="N/A"/>
    <s v="3 x 3.5 meter; Termasuk listrik; Kasur; Meja; Lemari Baju; Jendela; Bantal; Cermin; Guling; K. Mandi Dalam; Kloset Jongkok; Ember mandi; WiFi; R. Cuci; R. Tamu; Penjaga Kos; R. Jemur; Rooftop; Jemuran; Parkir Motor &amp; Sepeda"/>
    <n v="1315000"/>
    <s v="Rp1.315.000"/>
    <n v="0.20833333333333334"/>
    <d v="1899-12-30T05:00:00"/>
    <s v="Kos Putri"/>
    <m/>
    <m/>
  </r>
  <r>
    <s v="Kost Apik Sulthan Tipe C Cilandak Jakarta Selatan"/>
    <x v="5"/>
    <x v="7"/>
    <n v="9"/>
    <s v="3 x 3 meter"/>
    <s v="Termasuk listrik (implied)"/>
    <s v=""/>
    <s v="N/A"/>
    <s v="3 x 3 meter; Termasuk listrik; Kasur; Meja; Lemari Baju; Jendela; Bantal; Guling; K. Mandi Dalam; Kloset Jongkok; Ember mandi; WiFi; R. Cuci; R. Tamu; Penjaga Kos; R. Jemur; Rooftop; Jemuran; Parkir Motor &amp; Sepeda"/>
    <n v="1225000"/>
    <s v="Rp1.225.000"/>
    <n v="0.17222222222222225"/>
    <d v="1899-12-30T04:08:00"/>
    <s v="Kos Putri"/>
    <m/>
    <m/>
  </r>
  <r>
    <s v="Kost Apik Surya Pagi Tipe A Pondok Aren Tangerang Selatan"/>
    <x v="2"/>
    <x v="29"/>
    <n v="12"/>
    <s v="4 x 3 meter"/>
    <s v="Tidak termasuk listrik"/>
    <n v="1775000"/>
    <s v="Rp1.775.000"/>
    <s v="4 x 3 meter; Tidak termasuk listrik; AC; Kasur; Lemari Baju; Ventilasi; Bantal; Jendela; Cermin; Guling; K. Mandi Dalam; Kloset Jongkok; Ember mandi; WiFi; Penjaga Kos; Parkir Mobil; Parkir Motor &amp; Sepeda"/>
    <n v="1635000"/>
    <s v="Rp1.635.000"/>
    <n v="0.17222222222222225"/>
    <d v="1899-12-30T04:08:00"/>
    <s v="Kos Putri"/>
    <m/>
    <s v="Diskon 140rb"/>
  </r>
  <r>
    <s v="Kost Apik Syarifa Tipe A Cempaka Putih Jakarta Pusat"/>
    <x v="9"/>
    <x v="51"/>
    <n v="11.840000000000002"/>
    <s v="3.7 x 3.2 meter"/>
    <s v="Tidak termasuk listrik"/>
    <s v=""/>
    <s v="N/A"/>
    <s v="3.7 x 3.2 meter; Tidak termasuk listrik; AC; Kasur; Meja Rias; Lemari Baju; Ventilasi; Bantal; Cermin; Jendela; K. Mandi Dalam; Kloset Duduk; Wastafel; Shower; WiFi; Penjaga Kos; R. Jemur; Gazebo; Parkir Motor &amp; Sepeda"/>
    <n v="2125000"/>
    <s v="Rp2.125.000"/>
    <n v="0.20833333333333334"/>
    <d v="1899-12-30T05:00:00"/>
    <s v="Kos Putri"/>
    <m/>
    <s v="Diskon 124rb"/>
  </r>
  <r>
    <s v="Kost Apik Syarifa Tipe B Cempaka Putih Jakarta Pusat"/>
    <x v="9"/>
    <x v="51"/>
    <n v="9.6000000000000014"/>
    <s v="3.2 x 3 meter"/>
    <s v="Tidak termasuk listrik"/>
    <s v=""/>
    <s v="N/A"/>
    <s v="3.2 x 3 meter; Tidak termasuk listrik; AC; Kasur; Meja Rias; Lemari Baju; Bantal; Cermin; Jendela; K. Mandi Dalam; Kloset Duduk; Wastafel; Shower; WiFi; Penjaga Kos; R. Jemur; Gazebo; Parkir Motor &amp; Sepeda"/>
    <n v="2025000"/>
    <s v="Rp2.025.000"/>
    <n v="0.17291666666666669"/>
    <d v="1899-12-30T04:09:00"/>
    <s v="Kos Putri"/>
    <m/>
    <s v="Diskon 124rb"/>
  </r>
  <r>
    <s v="Kost Apik Syarifa Tipe C Cempaka Putih Jakarta Pusat"/>
    <x v="9"/>
    <x v="51"/>
    <n v="10.240000000000002"/>
    <s v="3.2 x 3.2 meter"/>
    <s v="Tidak termasuk listrik"/>
    <n v="1575000"/>
    <s v="Rp1.575.000"/>
    <s v="3.2 x 3.2 meter; Tidak termasuk listrik; AC; Kasur; Lemari Baju; Kloset Jongkok; K. Mandi Luar; WiFi; Penjaga Kos; R. Jemur; Gazebo; Parkir Motor &amp; Sepeda"/>
    <n v="1451000"/>
    <s v="Rp1.451.000"/>
    <n v="0.20833333333333334"/>
    <d v="1899-12-30T05:00:00"/>
    <s v="Kos Putri"/>
    <m/>
    <s v="Diskon 124rb"/>
  </r>
  <r>
    <s v="Kost Apik Tarigan Tipe A Setu Tangerang Selatan"/>
    <x v="2"/>
    <x v="70"/>
    <n v="15"/>
    <s v="5 x 3 meter"/>
    <s v="Tidak termasuk listrik"/>
    <n v="1025000"/>
    <s v="Rp1.025.000"/>
    <s v="5 x 3 meter; Tidak termasuk listrik; Kasur; Lemari Baju; Bantal; Guling; Jendela; K. Mandi Dalam; Kloset Duduk; Shower; WiFi; Penjaga Kos; Parkir Motor &amp; Sepeda"/>
    <n v="975000"/>
    <s v="Rp975.000"/>
    <n v="0.16666666666666666"/>
    <d v="1899-12-30T04:00:00"/>
    <s v="Kos Campur"/>
    <m/>
    <s v="Diskon 50rb"/>
  </r>
  <r>
    <s v="Kost Apik Tarigan Tipe B Setu Tangerang Selatan"/>
    <x v="2"/>
    <x v="70"/>
    <n v="8.68"/>
    <s v="3.1 x 2.8 meter"/>
    <s v="Tidak termasuk listrik"/>
    <n v="825000"/>
    <s v="Rp825.000"/>
    <s v="3.1 x 2.8 meter; Tidak termasuk listrik; Kasur; Lemari Baju; Bantal; Guling; Jendela; K. Mandi Dalam; Kloset Duduk; Shower; WiFi; Penjaga Kos; Parkir Motor &amp; Sepeda"/>
    <n v="761000"/>
    <s v="Rp761.000"/>
    <n v="0.17013888888888887"/>
    <d v="1899-12-30T04:05:00"/>
    <s v="Kos Campur"/>
    <m/>
    <s v="Diskon 64rb"/>
  </r>
  <r>
    <s v="Kost Apik Tarigan Tipe C Setu Tangerang Selatan"/>
    <x v="2"/>
    <x v="70"/>
    <n v="6"/>
    <s v="3 x 2 meter"/>
    <s v="Tidak termasuk listrik"/>
    <s v=""/>
    <s v="N/A"/>
    <s v="3 x 2 meter; Tidak termasuk listrik; Kasur; Lemari Baju; Bantal; Guling; Jendela; K. Mandi Dalam; Kloset Duduk; Shower; WiFi; Penjaga Kos; Parkir Motor &amp; Sepeda"/>
    <n v="725000"/>
    <s v="Rp725.000"/>
    <n v="0.17083333333333331"/>
    <d v="1899-12-30T04:06:00"/>
    <s v="Kos Campur"/>
    <m/>
    <s v="Diskon 64rb"/>
  </r>
  <r>
    <s v="Kost Apik Thunder 2 Meruya Tipe A Kembangan Jakarta Barat"/>
    <x v="3"/>
    <x v="71"/>
    <n v="7.13"/>
    <s v="2.3 x 3.1 meter"/>
    <s v="Tidak termasuk listrik"/>
    <s v=""/>
    <s v="N/A"/>
    <s v="2.3 x 3.1 meter; Tidak termasuk listrik; AC; Kasur; Meja; Lemari Baju; Ventilasi; Bantal; Guling; Jendela; Kursi; Kloset Duduk; K. Mandi Luar; Ember mandi; Shower; WiFi; Kulkas; R. Tamu; R. Jemur; Dapur; TV; CCTV; Jemuran; Parkir Motor &amp; Sepeda"/>
    <n v="1275000"/>
    <s v="Rp1.275.000"/>
    <n v="0.17222222222222225"/>
    <d v="1899-12-30T04:08:00"/>
    <s v="Kos Putri"/>
    <m/>
    <s v="Diskon 38rb"/>
  </r>
  <r>
    <s v="Kost Apik Tiga Nur Tipe B Senen Jakarta Pusat"/>
    <x v="9"/>
    <x v="41"/>
    <n v="12"/>
    <s v="3 x 4 meter"/>
    <s v="Termasuk listrik (implied)"/>
    <s v=""/>
    <s v="N/A"/>
    <s v="3 x 4 meter; Termasuk listrik; AC; Kasur; Meja; Lemari Baju; Kursi; Bantal; Jendela; K. Mandi Dalam; Kloset Duduk; Bak mandi; WiFi; R. Tamu; Penjaga Kos; Parkir Motor &amp; Sepeda"/>
    <n v="1825000"/>
    <s v="Rp1.825.000"/>
    <n v="0.17083333333333331"/>
    <d v="1899-12-30T04:06:00"/>
    <s v="Kos Campur"/>
    <m/>
    <s v="Diskon 112rb"/>
  </r>
  <r>
    <s v="Kost Apik Tiga Nur Tipe C Senen Jakarta Pusat"/>
    <x v="9"/>
    <x v="41"/>
    <n v="9"/>
    <s v="3 x 3 meter"/>
    <s v="Termasuk listrik (implied)"/>
    <n v="1525000"/>
    <s v="Rp1.525.000"/>
    <s v="3 x 3 meter; Termasuk listrik; Kasur; Meja; Lemari Baju; Kursi; Bantal; Jendela; K. Mandi Dalam; Kloset Jongkok; WiFi; R. Tamu; Penjaga Kos; Parkir Motor &amp; Sepeda"/>
    <n v="1405000"/>
    <s v="Rp1.405.000"/>
    <n v="0.17222222222222225"/>
    <d v="1899-12-30T04:08:00"/>
    <s v="Kos Campur"/>
    <m/>
    <s v="Diskon 120rb"/>
  </r>
  <r>
    <s v="Kost Apik Utan Kayu 3 Tipe A Matraman Jakarta Timur"/>
    <x v="8"/>
    <x v="72"/>
    <n v="7.5"/>
    <s v="2.5 x 3 meter"/>
    <s v="Tidak termasuk listrik"/>
    <s v=""/>
    <s v="N/A"/>
    <s v="2.5 x 3 meter; Tidak termasuk listrik; AC; Kasur; Meja; Lemari Baju; Ventilasi; Kursi; Bantal; Jendela; Kloset Duduk; Kloset Jongkok; K. Mandi Luar; Ember mandi; Shower; WiFi; R. Cuci; Penjaga Kos; R. Jemur; Jemuran; Parkir Mobil; Parkir Motor; Parkir Sepeda; Parkir Motor &amp; Sepeda"/>
    <n v="1273000"/>
    <s v="Rp1.273.000"/>
    <n v="0.17222222222222225"/>
    <d v="1899-12-30T04:08:00"/>
    <s v="Kos Campur"/>
    <m/>
    <s v="Diskon 88rb"/>
  </r>
  <r>
    <s v="Kost Apik Utan Kayu 3 Tipe B Matraman Jakarta Timur"/>
    <x v="8"/>
    <x v="72"/>
    <n v="7.5"/>
    <s v="2.5 x 3 meter"/>
    <s v="Tidak termasuk listrik"/>
    <n v="1173000"/>
    <s v="Rp1.173.000"/>
    <s v="2.5 x 3 meter; Tidak termasuk listrik; AC; Kasur; Meja; Lemari Baju; Ventilasi; Kursi; Kipas Angin; Bantal; Jendela; Kloset Duduk; Kloset Jongkok; K. Mandi Luar; Ember mandi; Shower; WiFi; R. Cuci; Penjaga Kos; R. Jemur; Jemuran; Parkir Mobil; Parkir Motor; Parkir Sepeda; Parkir Motor &amp; Sepeda"/>
    <n v="1085160"/>
    <s v="Rp1.085.160"/>
    <n v="0.17083333333333331"/>
    <d v="1899-12-30T04:06:00"/>
    <s v="Kos Campur"/>
    <m/>
    <s v="Diskon 88rb"/>
  </r>
  <r>
    <s v="Kost Apik Utan Kayu 3 Tipe C Matraman Jakarta Timur"/>
    <x v="8"/>
    <x v="72"/>
    <n v="6.25"/>
    <s v="2.5 x 2.5 meter"/>
    <s v="Tidak termasuk listrik"/>
    <s v=""/>
    <s v="N/A"/>
    <s v="2.5 x 2.5 meter; Tidak termasuk listrik; Kasur; Lemari Baju; Ventilasi; Kursi; Bantal; Jendela; Kloset Duduk; Kloset Jongkok; K. Mandi Luar; Ember mandi; Shower; WiFi; R. Cuci; Penjaga Kos; R. Jemur; Jemuran; Parkir Mobil; Parkir Motor; Parkir Sepeda; Parkir Motor &amp; Sepeda"/>
    <n v="974000"/>
    <s v="Rp974.000"/>
    <n v="0.16944444444444443"/>
    <d v="1899-12-30T04:04:00"/>
    <s v="Kos Campur"/>
    <m/>
    <s v="Diskon 88rb"/>
  </r>
  <r>
    <s v="Kost Apik Utan Kayu 3 Tipe D Matraman Jakarta Timur"/>
    <x v="8"/>
    <x v="72"/>
    <n v="6.25"/>
    <s v="2.5 x 2.5 meter"/>
    <s v="Tidak termasuk listrik"/>
    <s v=""/>
    <s v="N/A"/>
    <s v="2.5 x 2.5 meter; Tidak termasuk listrik; Kasur; Kursi; Kloset Duduk; Shower; WiFi; R. Cuci; Penjaga Kos; R. Jemur; Jemuran; Parkir Mobil; Parkir Sepeda; Parkir Motor &amp; Sepeda"/>
    <n v="674000"/>
    <s v="Rp674.000"/>
    <n v="0.1673611111111111"/>
    <d v="1899-12-30T04:01:00"/>
    <s v="Kos Campur"/>
    <m/>
    <s v="Diskon 88rb"/>
  </r>
  <r>
    <s v="Kost Apik Vender Barus Tipe A Kembangan Jakarta Barat"/>
    <x v="3"/>
    <x v="71"/>
    <n v="10.5"/>
    <s v="3.5 x 3 meter"/>
    <s v="Tidak termasuk listrik"/>
    <s v=""/>
    <s v="N/A"/>
    <s v="3.5 x 3 meter; Tidak termasuk listrik; Kasur; Lemari Baju; Ventilasi; Bantal; Guling; Jendela; K. Mandi Dalam; Kloset Jongkok; WiFi; R. Tamu; Parkir Motor &amp; Sepeda"/>
    <n v="950000"/>
    <s v="Rp950.000"/>
    <n v="0.17222222222222225"/>
    <d v="1899-12-30T04:08:00"/>
    <s v="Kos Campur"/>
    <m/>
    <m/>
  </r>
  <r>
    <s v="Kost Apik Wisma Asgard 1 Tipe A Beji Depok"/>
    <x v="1"/>
    <x v="15"/>
    <n v="9"/>
    <s v="3 x 3 meter"/>
    <s v="Termasuk listrik (implied)"/>
    <n v="680000"/>
    <s v="Rp680.000"/>
    <s v="3 x 3 meter; Termasuk listrik; Kasur; Meja; Lemari Baju; Kursi; Jendela; Bantal; Guling; Kipas Angin; Kloset Jongkok; K. Mandi Luar; Ember mandi; Shower; WiFi; R. Cuci; Kulkas; Penjaga Kos; R. Jemur; Dapur; Parkir Motor &amp; Sepeda"/>
    <n v="612000"/>
    <s v="Rp612.000"/>
    <n v="0.17083333333333331"/>
    <d v="1899-12-30T04:06:00"/>
    <s v="Kos Putra"/>
    <m/>
    <s v="Diskon 68rb"/>
  </r>
  <r>
    <s v="Kost Apik Wisma Lamban Muli Tipe A Dramaga Bogor"/>
    <x v="0"/>
    <x v="73"/>
    <n v="9"/>
    <s v="3 x 3 meter"/>
    <s v="Termasuk listrik (implied)"/>
    <n v="675000"/>
    <s v="Rp675.000"/>
    <s v="3 x 3 meter; Termasuk listrik; Kasur; Meja; Lemari Baju; Kursi; Bantal; Jendela; Kloset Duduk; Kloset Jongkok; K. Mandi Luar; Ember mandi; WiFi; R. Cuci; Kulkas; Penjaga Kos; R. Jemur; Mushola; Dapur; Rice Cooker; Parkir Motor; Parkir Sepeda"/>
    <n v="623000"/>
    <s v="Rp623.000"/>
    <n v="0.17291666666666669"/>
    <d v="1899-12-30T04:09:00"/>
    <s v="Kos Putri"/>
    <m/>
    <s v="Diskon 52rb"/>
  </r>
  <r>
    <s v="Kost Apik Wisnar Delima III Tipe A Duren Sawit Jakarta Timur"/>
    <x v="8"/>
    <x v="39"/>
    <n v="7.5"/>
    <s v="3 x 2.5 meter"/>
    <s v="Termasuk listrik (implied)"/>
    <n v="900000"/>
    <s v="Rp900.000"/>
    <s v="3 x 2.5 meter; Termasuk listrik; Kasur; Meja; Lemari Baju; Ventilasi; Kipas Angin; Bantal; Cermin; Jendela; Kloset Jongkok; K. Mandi Luar; Ember mandi; WiFi; Kulkas; R. Cuci; R. Jemur; Dapur; Jemuran; Parkir Motor &amp; Sepeda"/>
    <n v="855000"/>
    <s v="Rp855.000"/>
    <n v="0.17222222222222225"/>
    <d v="1899-12-30T04:08:00"/>
    <s v="Kos Putra"/>
    <m/>
    <s v="Diskon 45rb"/>
  </r>
  <r>
    <s v="Kost Apik Wisnar Delima III Tipe B Duren Sawit Jakarta Timur"/>
    <x v="8"/>
    <x v="39"/>
    <n v="8"/>
    <s v="3.2 x 2.5 meter"/>
    <s v="Tidak termasuk listrik"/>
    <n v="1282000"/>
    <s v="Rp1.282.000"/>
    <s v="3.2 x 2.5 meter; Tidak termasuk listrik; AC; Kasur; Meja; Lemari Baju; Ventilasi; Bantal; Cermin; Jendela; Kloset Duduk; Kloset Jongkok; K. Mandi Luar; Ember mandi; WiFi; Kulkas; R. Cuci; R. Jemur; Dapur; Jemuran; Parkir Motor &amp; Sepeda"/>
    <n v="1217900"/>
    <s v="Rp1.217.900"/>
    <n v="0.20833333333333334"/>
    <d v="1899-12-30T05:00:00"/>
    <s v="Kos Putra"/>
    <m/>
    <s v="Diskon 64rb"/>
  </r>
  <r>
    <s v="Kost Apik Wisnar Delima III Tipe C Duren Sawit Jakarta Timur"/>
    <x v="8"/>
    <x v="39"/>
    <n v="8"/>
    <s v="3.2 x 2.5 meter"/>
    <s v="Tidak termasuk listrik"/>
    <n v="1327000"/>
    <s v="Rp1.327.000"/>
    <s v="3.2 x 2.5 meter; Tidak termasuk listrik; AC; Kasur; Meja; Lemari Baju; Ventilasi; Bantal; Cermin; Jendela; K. Mandi Dalam; Kloset Jongkok; Ember mandi; WiFi; Kulkas; R. Cuci; R. Jemur; Dapur; Jemuran; Parkir Motor &amp; Sepeda"/>
    <n v="1220840"/>
    <s v="Rp1.220.840"/>
    <n v="0.16944444444444443"/>
    <d v="1899-12-30T04:04:00"/>
    <s v="Kos Putra"/>
    <m/>
    <s v="Diskon 106rb"/>
  </r>
  <r>
    <s v="Kost Apik Zihan Tipe A Tangerang"/>
    <x v="6"/>
    <x v="74"/>
    <n v="15"/>
    <s v="3 x 5 meter"/>
    <s v="Tidak termasuk listrik"/>
    <n v="1325000"/>
    <s v="Rp1.325.000"/>
    <s v="3 x 5 meter; Tidak termasuk listrik; AC; Kasur; Meja; Lemari Baju; Ventilasi; Kursi; Bantal; Cermin; Guling; Jendela; K. Mandi Dalam; Kloset Jongkok; Ember mandi; WiFi; R. Cuci; Kulkas; Mesin Cuci; Penjaga Kos; R. Jemur; Dapur; Jemuran; Parkir Motor &amp; Sepeda"/>
    <n v="1260000"/>
    <s v="Rp1.260.000"/>
    <n v="0.17083333333333331"/>
    <d v="1899-12-30T04:06:00"/>
    <s v="Kos Campur"/>
    <m/>
    <s v="Diskon 65rb"/>
  </r>
  <r>
    <s v="Kost Apik Zihan Tipe B Tangerang"/>
    <x v="6"/>
    <x v="74"/>
    <n v="13.72"/>
    <s v="2.8 x 4.9 meter"/>
    <s v="Tidak termasuk listrik"/>
    <n v="1075000"/>
    <s v="Rp1.075.000"/>
    <s v="2.8 x 4.9 meter; Tidak termasuk listrik; Kasur; Meja; Lemari Baju; Ventilasi; Kursi; Bantal; Cermin; Guling; Jendela; K. Mandi Dalam; Kloset Jongkok; Ember mandi; WiFi; R. Cuci; Kulkas; Mesin Cuci; Penjaga Kos; R. Jemur; Dapur; Jemuran; Parkir Motor &amp; Sepeda"/>
    <n v="991000"/>
    <s v="Rp991.000"/>
    <n v="0.17013888888888887"/>
    <d v="1899-12-30T04:05:00"/>
    <s v="Kos Campur"/>
    <m/>
    <s v="Diskon 84rb"/>
  </r>
  <r>
    <s v="Kost Apple Tipe A Grogol Petamburan Jakarta Barat"/>
    <x v="3"/>
    <x v="13"/>
    <n v="9"/>
    <s v="3 x 3 meter"/>
    <s v="Tidak termasuk listrik"/>
    <s v=""/>
    <s v="N/A"/>
    <s v="3 x 3 meter; Tidak termasuk listrik; AC; Kasur; Meja; Lemari Baju; Ventilasi; Jendela; Kursi; TV Kabel; Wastafel; Kloset Duduk; K. Mandi Luar; Shower; Air panas; WiFi; R. Cuci; Mesin Cuci; Penjaga Kos; R. Tamu; R. Jemur; Dapur; Balcon; CCTV; Gazebo; Parkir Motor"/>
    <n v="1300000"/>
    <s v="Rp1.300.000"/>
    <n v="0.20833333333333334"/>
    <d v="1899-12-30T05:00:00"/>
    <s v="Kos Campur"/>
    <m/>
    <m/>
  </r>
  <r>
    <s v="Kost April House Tipe A Cikarang Selatan Bekasi"/>
    <x v="7"/>
    <x v="27"/>
    <n v="16"/>
    <s v="4 x 4 meter"/>
    <s v="Tidak termasuk listrik"/>
    <s v=""/>
    <s v="N/A"/>
    <s v="4 x 4 meter; Tidak termasuk listrik; AC; Kasur; Meja; Dispenser; Lemari Baju; Bantal; Guling; Jendela; Kloset Duduk; Kloset Jongkok; Ember mandi; Wastafel; Shower; WiFi; R. Cuci; Kulkas; R. Jemur; R. Makan; R. Santai; Dapur; Balcon; Jemuran; TV; Parkir Mobil; Parkir Motor; Parkir Sepeda"/>
    <n v="1000000"/>
    <s v="Rp1.000.000"/>
    <n v="0"/>
    <m/>
    <s v="Kos Putra"/>
    <m/>
    <m/>
  </r>
  <r>
    <s v="Kost Aqila Gadog Tipe Deluxe Single Ciawi Bogor"/>
    <x v="0"/>
    <x v="75"/>
    <n v="24"/>
    <s v="4 x 6 meter"/>
    <s v="Tidak termasuk listrik"/>
    <s v=""/>
    <s v="N/A"/>
    <s v="4 x 6 meter; Tidak termasuk listrik; AC; Kasur; Meja; TV; Lemari Baju; Ventilasi; Bantal; Cermin; Cleaning service; Dapur Pribadi; K. Mandi Dalam; Kloset Duduk; Wastafel; Shower; Air panas; WiFi; Laundry; R. Tamu; Penjaga Kos; R. Makan; R. Santai; CCTV; Jual Makanan; Balcon; K. Mandi Luar; Parkir Mobil; Parkir Motor; Parkir Sepeda; Parkir Motor &amp; Sepeda"/>
    <n v="2000000"/>
    <s v="Rp2.000.000"/>
    <n v="0"/>
    <m/>
    <s v="Kos Campur"/>
    <m/>
    <m/>
  </r>
  <r>
    <s v="Kost Aqila Gadog Tipe Standard Single Ciawi Bogor"/>
    <x v="0"/>
    <x v="76"/>
    <n v="15"/>
    <s v="5 x 3 meter"/>
    <s v="Tidak termasuk listrik"/>
    <s v=""/>
    <s v="N/A"/>
    <s v="5 x 3 meter; Tidak termasuk listrik; AC; Kasur; TV; Lemari Baju; Ventilasi; Bantal; Cermin; Cleaning service; Jendela; Wastafel; K. Mandi Dalam; Kloset Duduk; Shower; Air panas; WiFi; Laundry; Penjaga Kos; R. Makan; R. Santai; CCTV; Balcon; Jual Makanan; Pengurus Kos; Taman; Parkir Mobil; Parkir Motor; Parkir Sepeda; Parkir Motor &amp; Sepeda"/>
    <n v="1500000"/>
    <s v="Rp1.500.000"/>
    <n v="0.16666666666666666"/>
    <d v="1899-12-30T04:00:00"/>
    <s v="Kos Campur"/>
    <m/>
    <m/>
  </r>
  <r>
    <s v="Kost Aquila AC Pamulang Tangerang Selatan"/>
    <x v="2"/>
    <x v="77"/>
    <n v="16"/>
    <s v="4 x 4 meter"/>
    <s v="Termasuk listrik (implied)"/>
    <s v=""/>
    <s v="N/A"/>
    <s v="4 x 4 meter; Termasuk listrik; AC; Kasur; Lemari Baju; Ventilasi; Bantal; Kloset Duduk; Kloset Jongkok; Ember mandi; Shower; WiFi; R. Cuci; Penjaga Kos; R. Tamu; R. Jemur; R. Makan; R. Santai; Dapur; Dispenser; CCTV; Parkir Mobil; Parkir Motor; Parkir Sepeda; Parkir Motor &amp; Sepeda"/>
    <n v="1250000"/>
    <s v="Rp1.250.000"/>
    <n v="0"/>
    <m/>
    <s v="Kos Putri"/>
    <m/>
    <m/>
  </r>
  <r>
    <s v="Kost Ara Mahasiswa Karyawan Cikarang Utara Bekasi"/>
    <x v="7"/>
    <x v="78"/>
    <n v="9"/>
    <s v="3 x 3 meter"/>
    <s v="Tidak termasuk listrik"/>
    <s v=""/>
    <s v="N/A"/>
    <s v="3 x 3 meter; Tidak termasuk listrik; AC; Kasur; Meja; Lemari Baju; Jendela; K. Mandi Dalam; Kloset Duduk; Shower; WiFi; Penjaga Kos; Parkir Motor"/>
    <n v="1100000"/>
    <s v="Rp1.100.000"/>
    <n v="0.17083333333333331"/>
    <d v="1899-12-30T04:06:00"/>
    <s v="Kos Campur"/>
    <m/>
    <m/>
  </r>
  <r>
    <s v="Kost Aras Lodge Standard Kelapa Gading Jakarta Utara"/>
    <x v="4"/>
    <x v="79"/>
    <n v="9"/>
    <s v="3 x 3 meter"/>
    <s v="Tidak termasuk listrik"/>
    <s v=""/>
    <s v="N/A"/>
    <s v="3 x 3 meter; Tidak termasuk listrik; AC; Kasur; Meja; Lemari Baju; Ventilasi; Bantal; Cermin; Cleaning service; Guling; Jendela; K. Mandi Dalam; Kloset Duduk; Shower; WiFi; Kulkas; R. Cuci; Laundry; Penjaga Kos; R. Tamu; R. Jemur; R. Makan; R. Santai; Dapur; Parkir Mobil; Parkir Motor; Parkir Sepeda"/>
    <n v="1850000"/>
    <s v="Rp1.850.000"/>
    <n v="0.17013888888888887"/>
    <d v="1899-12-30T04:05:00"/>
    <s v="Kos Campur"/>
    <m/>
    <s v="Diskon 168rb"/>
  </r>
  <r>
    <s v="Kost Arbain Babakan Madang Bogor"/>
    <x v="0"/>
    <x v="80"/>
    <n v="16"/>
    <s v="4 x 4 meter"/>
    <s v="Tidak termasuk listrik"/>
    <s v=""/>
    <s v="N/A"/>
    <s v="4 x 4 meter; Tidak termasuk listrik; Kasur; Meja; Meja Rias; Lemari Baju; Bantal; Cermin; Wastafel; K. Mandi Dalam; Kloset Duduk; Ember mandi; Shower; WiFi; Kulkas; Penjaga Kos; R. Tamu; R. Jemur; R. Santai; Dapur; Dispenser; Jemuran; Jual Makanan; Parkir Mobil; Parkir Motor"/>
    <n v="1000000"/>
    <s v="Rp1.000.000"/>
    <n v="0"/>
    <m/>
    <s v="Kos Putri"/>
    <m/>
    <m/>
  </r>
  <r>
    <s v="Kost Arcadia Coliving Executive Periuk Tangerang"/>
    <x v="6"/>
    <x v="81"/>
    <n v="12"/>
    <s v="3 x 4 meter"/>
    <s v="Tidak termasuk listrik"/>
    <s v=""/>
    <s v="N/A"/>
    <s v="3 x 4 meter; Tidak termasuk listrik; AC; Kasur; Meja; TV; Lemari Baju; Bantal; Cermin; Guling; Jendela; TV Kabel; K. Mandi Dalam; Kloset Duduk; Shower; Air panas; WiFi; Kulkas; R. Cuci; Mesin Cuci; Penjaga Kos; R. Jemur; Dapur; Dispenser; CCTV; Jemuran; Parkir Motor"/>
    <n v="2000000"/>
    <s v="Rp2.000.000"/>
    <n v="0.17083333333333331"/>
    <d v="1899-12-30T04:06:00"/>
    <s v="Kos Campur"/>
    <m/>
    <m/>
  </r>
  <r>
    <s v="Kost Arcahome Tipe A Grogol Petamburan Jakarta Barat"/>
    <x v="3"/>
    <x v="82"/>
    <n v="9"/>
    <s v="3 x 3 meter"/>
    <s v="Tidak termasuk listrik"/>
    <s v=""/>
    <s v="N/A"/>
    <s v="3 x 3 meter; Tidak termasuk listrik; AC; Kasur; Meja; Lemari Baju; Ventilasi; Bantal; Cermin; Guling; Jendela; Kursi; K. Mandi Dalam; Kloset Duduk; Shower; Air panas; WiFi; Kulkas; Laundry; Penjaga Kos; R. Makan; Dapur; CCTV; Taman; Parkir Motor"/>
    <n v="2000000"/>
    <s v="Rp2.000.000"/>
    <n v="0.17291666666666669"/>
    <d v="1899-12-30T04:09:00"/>
    <s v="Kos Putri"/>
    <m/>
    <s v="Diskon 93rb"/>
  </r>
  <r>
    <s v="Kost Arga Wilis Tipe B Pondok Aren Tangerang Selatan"/>
    <x v="2"/>
    <x v="2"/>
    <n v="9"/>
    <s v="3 x 3 meter"/>
    <s v="Termasuk listrik (implied)"/>
    <s v=""/>
    <s v="N/A"/>
    <s v="3 x 3 meter; Termasuk listrik; AC; Kasur; Lemari Baju; Bantal; Jendela; K. Mandi Dalam; Kloset Duduk; Shower; WiFi; Kulkas; R. Cuci; Penjaga Kos; R. Jemur; R. Makan; R. Santai; Dapur; Jemuran; R. Keluarga; Parkir Motor &amp; Sepeda"/>
    <n v="1700000"/>
    <s v="Rp1.700.000"/>
    <n v="0.17291666666666669"/>
    <d v="1899-12-30T04:09:00"/>
    <s v="Kos Campur"/>
    <m/>
    <m/>
  </r>
  <r>
    <s v="Kost Arga Wilis Tipe VIP 19B Pondok Aren Tangerang Selatan"/>
    <x v="2"/>
    <x v="2"/>
    <n v="9"/>
    <s v="3 x 3 meter"/>
    <s v="Termasuk listrik (implied)"/>
    <s v=""/>
    <s v="N/A"/>
    <s v="3 x 3 meter; Termasuk listrik; AC; Meja; Lemari Baju; Kulkas; Jendela; Bantal; Kursi; K. Mandi Dalam; Kloset Duduk; Shower; WiFi; R. Cuci; R. Tamu; R. Jemur; R. Makan; Dapur; Jemuran; Pengurus Kos; Parkir Mobil; Parkir Motor"/>
    <n v="2200000"/>
    <s v="Rp2.200.000"/>
    <n v="0"/>
    <m/>
    <s v="Kos Campur"/>
    <m/>
    <m/>
  </r>
  <r>
    <s v="Kost Ariosjo Jaya Cikarang Selatan Bekasi"/>
    <x v="7"/>
    <x v="27"/>
    <n v="9"/>
    <s v="3 x 3 meter"/>
    <s v="Tidak termasuk listrik"/>
    <s v=""/>
    <s v="N/A"/>
    <s v="3 x 3 meter; Tidak termasuk listrik; AC; Kasur; Meja; Lemari Baju; Bantal; Kloset Duduk; Ember mandi; Shower; WiFi; Kulkas; R. Cuci; Mesin Cuci; R. Jemur; Dapur; CCTV; Jemuran; Kartu Akses; Balcon; Parkir Motor; Parkir Motor &amp; Sepeda"/>
    <n v="1200000"/>
    <s v="Rp1.200.000"/>
    <n v="0"/>
    <m/>
    <s v="Kos Putri"/>
    <m/>
    <m/>
  </r>
  <r>
    <s v="Kost Arjuna Beji Depok"/>
    <x v="1"/>
    <x v="15"/>
    <n v="12"/>
    <s v="3 x 4 meter"/>
    <s v="Termasuk listrik (implied)"/>
    <s v=""/>
    <s v="N/A"/>
    <s v="3 x 4 meter; Termasuk listrik; Kasur; Lemari Baju; Ventilasi; Jendela; K. Mandi Dalam; WiFi; Penjaga Kos"/>
    <n v="800000"/>
    <s v="Rp800.000"/>
    <n v="0.17083333333333331"/>
    <d v="1899-12-30T04:06:00"/>
    <s v="Kos Putra"/>
    <m/>
    <s v="Diskon 90rb"/>
  </r>
  <r>
    <s v="Kost Armande Moncokerto 13 Matraman Jakarta Timur"/>
    <x v="8"/>
    <x v="83"/>
    <n v="21"/>
    <s v="6 x 3.5 meter"/>
    <s v="Tidak termasuk listrik"/>
    <s v=""/>
    <s v="N/A"/>
    <s v="6 x 3.5 meter; Tidak termasuk listrik; Ventilasi; Dapur Pribadi; Jendela; Wastafel; K. Mandi Dalam; Kloset Jongkok; Shower; Penjaga Kos; R. Tamu; R. Jemur; Dapur; Jemuran; Pengurus Kos; R. Keluarga; Rooftop; Parkir Motor; Parkir Sepeda"/>
    <n v="2100000"/>
    <s v="Rp2.100.000"/>
    <n v="0.17083333333333331"/>
    <d v="1899-12-30T04:06:00"/>
    <s v="Kos Campur"/>
    <m/>
    <s v="Diskon 100rb"/>
  </r>
  <r>
    <s v="Kost Armijo Tipe B Plus Pulo Gadung Jakarta Timur"/>
    <x v="8"/>
    <x v="32"/>
    <n v="12"/>
    <s v="3 x 4 meter"/>
    <s v="Tidak termasuk listrik"/>
    <s v=""/>
    <s v="N/A"/>
    <s v="3 x 4 meter; Tidak termasuk listrik; AC; Kasur; Meja; Lemari Baju; Ventilasi; Bantal; Guling; Jendela; Wastafel; Kursi; K. Mandi Dalam; Kloset Duduk; K. Mandi Luar; Shower; Air panas; WiFi; Kulkas; R. Cuci; Mesin Cuci; Penjaga Kos; R. Tamu; R. Jemur; R. Makan; R. Santai; Dapur; Parkir Motor; Parkir Motor &amp; Sepeda"/>
    <n v="2480000"/>
    <s v="Rp2.480.000"/>
    <n v="0.17083333333333331"/>
    <d v="1899-12-30T04:06:00"/>
    <s v="Kos Putri"/>
    <m/>
    <s v="Diskon 110rb"/>
  </r>
  <r>
    <s v="Kost Arnanda Beji Depok"/>
    <x v="1"/>
    <x v="16"/>
    <n v="20"/>
    <s v="4 x 5 meter"/>
    <s v="Termasuk listrik (implied)"/>
    <s v=""/>
    <s v="N/A"/>
    <s v="4 x 5 meter; Termasuk listrik; Kasur; Lemari Baju; K. Mandi Dalam; Kloset Jongkok; WiFi; Jemuran; Parkir Motor"/>
    <n v="725000"/>
    <s v="Rp725.000"/>
    <n v="0.16944444444444443"/>
    <d v="1899-12-30T04:04:00"/>
    <s v="Kos Putra"/>
    <m/>
    <m/>
  </r>
  <r>
    <s v="Kost Arnnika House Sukmajaya Depok"/>
    <x v="1"/>
    <x v="84"/>
    <n v="14"/>
    <s v="3.5 x 4 meter"/>
    <s v="Tidak termasuk listrik"/>
    <s v=""/>
    <s v="N/A"/>
    <s v="3.5 x 4 meter; Tidak termasuk listrik; Kasur; Lemari Baju; Bantal; Guling; Jendela; K. Mandi Dalam; Kloset Duduk; Ember mandi; Bak mandi; WiFi; Penjaga Kos; CCTV; Balcon; Parkir Mobil; Parkir Motor; Parkir Sepeda; Parkir Motor &amp; Sepeda"/>
    <n v="800000"/>
    <s v="Rp800.000"/>
    <n v="0"/>
    <m/>
    <s v="Kos Campur"/>
    <m/>
    <m/>
  </r>
  <r>
    <s v="Kost Arrayyan Living Ciampea Bogor"/>
    <x v="0"/>
    <x v="85"/>
    <n v="12"/>
    <s v="3 x 4 meter"/>
    <s v="Tidak termasuk listrik"/>
    <s v=""/>
    <s v="N/A"/>
    <s v="3 x 4 meter; Tidak termasuk listrik; AC; Kasur; Meja; Lemari Baju; Kursi; Bantal; Guling; Jendela; K. Mandi Dalam; Kloset Duduk; Shower; Air panas; WiFi; Kulkas; Penjaga Kos; R. Jemur; R. Santai; Dapur; TV; Taman; CCTV; Pengurus Kos; Parkir Mobil; Parkir Motor; Parkir Sepeda"/>
    <n v="2150000"/>
    <s v="Rp2.150.000"/>
    <n v="0.20833333333333334"/>
    <d v="1899-12-30T05:00:00"/>
    <s v="Kos Putri"/>
    <m/>
    <m/>
  </r>
  <r>
    <s v="Kost Ashera Citraland Tipe B Grogol Petamburan Jakarta Barat"/>
    <x v="3"/>
    <x v="82"/>
    <n v="7.5"/>
    <s v="2.5 x 3 meter"/>
    <s v="Tidak termasuk listrik"/>
    <s v=""/>
    <s v="N/A"/>
    <s v="2.5 x 3 meter; Tidak termasuk listrik; AC; Kasur; Meja; Lemari Baju; Bantal; Guling; Wastafel; Cleaning service; Kursi; Kloset Duduk; Kloset Jongkok; K. Mandi Luar; Shower; WiFi; Kulkas; Penjaga Kos; Laundry; R. Tamu; R. Makan; R. Jemur; Dapur; Dispenser; CCTV; Parkir Mobil; Parkir Motor; Parkir Sepeda"/>
    <n v="1750000"/>
    <s v="Rp1.750.000"/>
    <n v="0.17083333333333331"/>
    <d v="1899-12-30T04:06:00"/>
    <s v="Kos Campur"/>
    <m/>
    <s v="Diskon 83rb"/>
  </r>
  <r>
    <s v="Kost Ashri By Hutama IPB Tipe A Dramaga Bogor"/>
    <x v="0"/>
    <x v="73"/>
    <n v="9"/>
    <s v="3 x 3 meter"/>
    <s v="Tidak termasuk listrik"/>
    <s v=""/>
    <s v="N/A"/>
    <s v="3 x 3 meter; Tidak termasuk listrik; AC; Kasur; Meja; Lemari Baju; Ventilasi; Bantal; Guling; Jendela; Kursi; Kloset Duduk; K. Mandi Luar; Shower; WiFi; Kulkas; R. Cuci; Penjaga Kos; R. Jemur; Jemuran; Jual Makanan; Pengurus Kos; Parkir Motor; Parkir Sepeda; Parkir Motor &amp; Sepeda"/>
    <n v="1200000"/>
    <s v="Rp1.200.000"/>
    <n v="0"/>
    <m/>
    <s v="Kos Putri"/>
    <m/>
    <m/>
  </r>
  <r>
    <s v="Kost Ashri By Hutama IPB Tipe B Dramaga Bogor"/>
    <x v="0"/>
    <x v="23"/>
    <n v="12"/>
    <s v="3 x 4 meter"/>
    <s v="Tidak termasuk listrik"/>
    <s v=""/>
    <s v="N/A"/>
    <s v="3 x 4 meter; Tidak termasuk listrik; AC; Kasur; Meja; Kulkas; Lemari Baju; Ventilasi; Bantal; Cleaning service; Guling; Jendela; K. Mandi Dalam; Kloset Duduk; Shower; WiFi; R. Cuci; Penjaga Kos; R. Jemur; Jemuran; Jual Makanan; K. Mandi Luar; Pengurus Kos; Parkir Motor; Parkir Sepeda; Parkir Motor &amp; Sepeda"/>
    <n v="1300000"/>
    <s v="Rp1.300.000"/>
    <n v="0"/>
    <m/>
    <s v="Kos Putri"/>
    <m/>
    <m/>
  </r>
  <r>
    <s v="Kost Asrama Brigif Harja Mekar Cikarang Utara Bekasi"/>
    <x v="7"/>
    <x v="33"/>
    <n v="9"/>
    <s v="3 x 3 meter"/>
    <s v="Tidak termasuk listrik"/>
    <s v=""/>
    <s v="N/A"/>
    <s v="3 x 3 meter; Tidak termasuk listrik; Kasur; Lemari Baju; K. Mandi Dalam; Kloset Jongkok; Ember mandi; Parkir Motor"/>
    <n v="500000"/>
    <s v="Rp500.000"/>
    <n v="0.1673611111111111"/>
    <d v="1899-12-30T04:01:00"/>
    <s v="Kos Campur"/>
    <m/>
    <m/>
  </r>
  <r>
    <s v="Kost Asri Depan RSUD Tipe A Cibinong Bogor"/>
    <x v="0"/>
    <x v="35"/>
    <n v="9"/>
    <s v="3 x 3 meter"/>
    <s v="Tidak termasuk listrik"/>
    <s v=""/>
    <s v="N/A"/>
    <s v="3 x 3 meter; Tidak termasuk listrik; Kasur; Meja; Lemari Baju; Wastafel; Kipas Angin; K. Mandi Dalam; Kloset Jongkok; Bak mandi; R. Jemur; Dapur; Parkir Motor; Parkir Sepeda"/>
    <n v="1400000"/>
    <s v="Rp1.400.000"/>
    <n v="0.20833333333333334"/>
    <d v="1899-12-30T05:00:00"/>
    <s v="Kos Campur"/>
    <m/>
    <m/>
  </r>
  <r>
    <s v="Kost Asri Depan RSUD Tipe B Cibinong Bogor"/>
    <x v="0"/>
    <x v="35"/>
    <n v="12"/>
    <s v="3 x 4 meter"/>
    <s v="Tidak termasuk listrik"/>
    <s v=""/>
    <s v="N/A"/>
    <s v="3 x 4 meter; Tidak termasuk listrik; AC; Kasur; Meja; Lemari Baju; Wastafel; K. Mandi Dalam; Kloset Jongkok; Bak mandi; R. Jemur; Dapur; Parkir Motor; Parkir Sepeda"/>
    <n v="1800000"/>
    <s v="Rp1.800.000"/>
    <n v="0"/>
    <m/>
    <s v="Kos Campur"/>
    <m/>
    <m/>
  </r>
  <r>
    <s v="Kost Aster Cikarang Barat"/>
    <x v="7"/>
    <x v="19"/>
    <n v="9"/>
    <s v="3 x 3 meter"/>
    <s v="Termasuk listrik (implied)"/>
    <s v=""/>
    <s v="N/A"/>
    <s v="3 x 3 meter; Termasuk listrik; AC; Kasur; Kloset Duduk; K. Mandi Luar; Wastafel; Shower; Air panas; WiFi; R. Cuci; R. Tamu; R. Makan; R. Jemur; R. Santai; Dapur; Dispenser; TV; Taman; Parkir Mobil; Parkir Motor"/>
    <n v="1100000"/>
    <s v="Rp1.100.000"/>
    <n v="0.20833333333333334"/>
    <d v="1899-12-30T05:00:00"/>
    <s v="Kos Putra"/>
    <m/>
    <m/>
  </r>
  <r>
    <s v="Kost Asya Cikarang Utara Bekasi"/>
    <x v="7"/>
    <x v="78"/>
    <n v="12"/>
    <s v="3 x 4 meter"/>
    <s v="Tidak termasuk listrik"/>
    <s v=""/>
    <s v="N/A"/>
    <s v="3 x 4 meter; Tidak termasuk listrik; AC; Kasur; Meja; Meja Rias; TV; Lemari Baju; Jendela; Kursi; K. Mandi Dalam; Kloset Duduk; Ember mandi; WiFi; Laundry; Mesin Cuci; R. Jemur; Dapur; CCTV; Jemuran; Jual Makanan; Parkir Motor &amp; Sepeda"/>
    <n v="1400000"/>
    <s v="Rp1.400.000"/>
    <n v="0"/>
    <m/>
    <s v="Kos Campur"/>
    <m/>
    <m/>
  </r>
  <r>
    <s v="Kost Asya Tipe A Kelapa Gading Jakarta Utara"/>
    <x v="4"/>
    <x v="79"/>
    <n v="6"/>
    <s v="2 x 3 meter"/>
    <s v="Tidak termasuk listrik"/>
    <s v=""/>
    <s v="N/A"/>
    <s v="2 x 3 meter; Tidak termasuk listrik; AC; Kasur; Meja; Lemari Baju; Bantal; Cermin; Kursi; K. Mandi Luar; Shower; Air panas; Kulkas; R. Cuci; R. Jemur; R. Makan; Dapur; Dispenser; Balcon; CCTV; Jemuran; Pengurus Kos; Parkir Motor"/>
    <n v="1550000"/>
    <s v="Rp1.550.000"/>
    <n v="0.20833333333333334"/>
    <d v="1899-12-30T05:00:00"/>
    <s v="Kos Campur"/>
    <m/>
    <m/>
  </r>
  <r>
    <s v="Kost Asya Tipe B Kelapa Gading Jakarta Utara"/>
    <x v="4"/>
    <x v="79"/>
    <n v="9"/>
    <s v="3 x 3 meter"/>
    <s v="Tidak termasuk listrik"/>
    <s v=""/>
    <s v="N/A"/>
    <s v="3 x 3 meter; Tidak termasuk listrik; AC; Kasur; Meja; Lemari Baju; Bantal; Cermin; Kursi; K. Mandi Luar; Shower; Air panas; WiFi; Kulkas; R. Cuci; R. Jemur; R. Makan; Dapur; Dispenser; Balcon; CCTV; Jemuran; Parkir Motor"/>
    <n v="1650000"/>
    <s v="Rp1.650.000"/>
    <n v="0.17222222222222225"/>
    <d v="1899-12-30T04:08:00"/>
    <s v="Kos Campur"/>
    <m/>
    <s v="Diskon 140rb"/>
  </r>
  <r>
    <s v="Kost Asyaatun Tipe A Cibinong Bogor"/>
    <x v="0"/>
    <x v="35"/>
    <n v="20"/>
    <s v="4 x 5 meter"/>
    <s v="Tidak termasuk listrik"/>
    <s v=""/>
    <s v="N/A"/>
    <s v="4 x 5 meter; Tidak termasuk listrik; AC; Kasur; Meja; Meja Rias; Lemari Baju; Kursi; K. Mandi Dalam; Ember mandi; Shower; R. Cuci; Kulkas; R. Tamu; Penjaga Kos; Laundry; R. Makan; R. Jemur; Mushola; R. Santai; Dapur; Parkir Mobil; Parkir Motor; Parkir Sepeda"/>
    <n v="1200000"/>
    <s v="Rp1.200.000"/>
    <n v="0.20833333333333334"/>
    <d v="1899-12-30T05:00:00"/>
    <s v="Kos Campur"/>
    <m/>
    <m/>
  </r>
  <r>
    <s v="Kost Asyaatun Tipe C Cibinong Bogor"/>
    <x v="0"/>
    <x v="35"/>
    <n v="20"/>
    <s v="4 x 5 meter"/>
    <s v="Tidak termasuk listrik"/>
    <s v=""/>
    <s v="N/A"/>
    <s v="4 x 5 meter; Tidak termasuk listrik; Kasur; Bantal; Kloset Duduk; Ember mandi; Shower; WiFi; R. Cuci; R. Tamu; Laundry; R. Makan; R. Jemur; R. Santai; R. Keluarga; Balcon; CCTV; Parkir Mobil; Parkir Motor; Parkir Sepeda"/>
    <n v="700000"/>
    <s v="Rp700.000"/>
    <n v="0"/>
    <m/>
    <s v="Kos Campur"/>
    <m/>
    <m/>
  </r>
  <r>
    <s v="Kost At Taqwa 90 Jatisampurna Bekasi"/>
    <x v="0"/>
    <x v="86"/>
    <n v="12"/>
    <s v="3 x 4 meter"/>
    <s v="Tidak termasuk listrik"/>
    <s v=""/>
    <s v="N/A"/>
    <s v="3 x 4 meter; Tidak termasuk listrik; Kasur; Meja; Lemari Baju; Ventilasi; Dapur Pribadi; Jendela; Kursi; K. Mandi Dalam; Kloset Jongkok; Ember mandi; R. Tamu; R. Jemur; Jemuran; Pengurus Kos; Parkir Motor; Parkir Sepeda"/>
    <n v="750000"/>
    <s v="Rp750.000"/>
    <n v="0"/>
    <m/>
    <s v="Kos Campur"/>
    <m/>
    <m/>
  </r>
  <r>
    <s v="Kost At Thohiroh Tipe B Dramaga Bogor"/>
    <x v="0"/>
    <x v="73"/>
    <n v="20"/>
    <s v="4 x 5 meter"/>
    <s v="Tidak termasuk listrik"/>
    <s v=""/>
    <s v="N/A"/>
    <s v="4 x 5 meter; Tidak termasuk listrik; AC; Kasur; Meja; Lemari Baju; Bantal; Kursi; K. Mandi Dalam; Kloset Duduk; Shower; WiFi; Kulkas; R. Tamu; R. Jemur; Dapur; Dispenser; CCTV; Jemuran; Locker; Parkir Motor"/>
    <n v="1500000"/>
    <s v="Rp1.500.000"/>
    <n v="0.20833333333333334"/>
    <d v="1899-12-30T05:00:00"/>
    <s v="Kos Putri"/>
    <m/>
    <m/>
  </r>
  <r>
    <s v="Kost Athar 07 Larangan Tangerang"/>
    <x v="6"/>
    <x v="87"/>
    <n v="12"/>
    <s v="3 x 4 meter"/>
    <s v="Tidak termasuk listrik"/>
    <s v=""/>
    <s v="N/A"/>
    <s v="3 x 4 meter; Tidak termasuk listrik; AC; Kasur; Lemari Baju; Ventilasi; Bantal; Cermin; Guling; Jendela; K. Mandi Dalam; Kloset Duduk; Shower; WiFi; Kulkas; R. Jemur; R. Makan; Dapur; Jemuran; K. Mandi Luar; Pengurus Kos; TV; Taman; Parkir Motor"/>
    <n v="1400000"/>
    <s v="Rp1.400.000"/>
    <n v="0.17013888888888887"/>
    <d v="1899-12-30T04:05:00"/>
    <s v="Kos Campur"/>
    <m/>
    <m/>
  </r>
  <r>
    <s v="Kost Atika Syuaib Dramaga Bogor"/>
    <x v="0"/>
    <x v="73"/>
    <n v="12"/>
    <s v="3 x 4 meter"/>
    <s v="Tidak termasuk listrik"/>
    <s v=""/>
    <s v="N/A"/>
    <s v="3 x 4 meter; Tidak termasuk listrik; Kasur; Meja; Lemari Baju; Bantal; Cermin; Guling; Jendela; Kloset Duduk; Kloset Jongkok; K. Mandi Luar; Ember mandi; Shower; WiFi; Kulkas; R. Tamu; R. Makan; R. Jemur; R. Santai; Dapur; Jemuran; Parkir Motor"/>
    <n v="650000"/>
    <s v="Rp650.000"/>
    <n v="0.17013888888888887"/>
    <d v="1899-12-30T04:05:00"/>
    <s v="Kos Putri"/>
    <m/>
    <m/>
  </r>
  <r>
    <s v="Kost Aurelia 3 Tipe A Cikarang Selatan Bekasi"/>
    <x v="7"/>
    <x v="27"/>
    <n v="9"/>
    <s v="3 x 3 meter"/>
    <s v="Termasuk listrik (implied)"/>
    <s v=""/>
    <s v="N/A"/>
    <s v="3 x 3 meter; Termasuk listrik; AC; Kasur; Meja; Lemari Baju; Bantal; Jendela; Kursi; Kloset Duduk; Shower; WiFi; Kulkas; Laundry; R. Jemur; Dapur; K. Mandi Luar"/>
    <n v="1750000"/>
    <s v="Rp1.750.000"/>
    <n v="0"/>
    <m/>
    <s v="Kos Putra"/>
    <m/>
    <m/>
  </r>
  <r>
    <s v="Kost Aurelia 5 Tipe A Cikarang Selatan Bekasi"/>
    <x v="7"/>
    <x v="27"/>
    <n v="9"/>
    <s v="3 x 3 meter"/>
    <s v="Tidak termasuk listrik"/>
    <s v=""/>
    <s v="N/A"/>
    <s v="3 x 3 meter; Tidak termasuk listrik; AC; Kasur; Meja; Lemari Baju; Ventilasi; Bantal; Jendela; Kursi; K. Mandi Dalam; Kloset Duduk; Wastafel; Shower; WiFi; Kulkas; Penjaga Kos; R. Jemur; Dapur; Parkir Mobil; Parkir Motor"/>
    <n v="1600000"/>
    <s v="Rp1.600.000"/>
    <n v="0.17222222222222225"/>
    <d v="1899-12-30T04:08:00"/>
    <s v="Kos Campur"/>
    <m/>
    <m/>
  </r>
  <r>
    <s v="Kost Aurelia Tipe B Cikarang Selatan Bekasi"/>
    <x v="7"/>
    <x v="27"/>
    <n v="9"/>
    <s v="3 x 3 meter"/>
    <s v="Termasuk listrik (implied)"/>
    <s v=""/>
    <s v="N/A"/>
    <s v="3 x 3 meter; Termasuk listrik; AC; Kasur; Meja; Lemari Baju; Ventilasi; Bantal; Kursi; K. Mandi Dalam; Kloset Duduk; Shower; WiFi; Kulkas; Dapur; Parkir Mobil; Parkir Motor"/>
    <n v="1400000"/>
    <s v="Rp1.400.000"/>
    <n v="0"/>
    <m/>
    <s v="Kos Campur"/>
    <m/>
    <m/>
  </r>
  <r>
    <s v="Kost Ava Guest Ancol Pademangan Jakarta Utara"/>
    <x v="4"/>
    <x v="88"/>
    <n v="9"/>
    <s v="3 x 3 meter"/>
    <s v="Tidak termasuk listrik"/>
    <s v=""/>
    <s v="N/A"/>
    <s v="3 x 3 meter; Tidak termasuk listrik; AC; Kasur; TV; Ventilasi; Bantal; Cermin; Cleaning service; Jendela; Wastafel; K. Mandi Dalam; Kloset Duduk; Shower; Air panas; WiFi; Penjaga Kos; Dispenser; CCTV; Pengurus Kos; Kartu Akses; Parkir Mobil; Parkir Motor"/>
    <n v="1300000"/>
    <s v="Rp1.300.000"/>
    <n v="0"/>
    <m/>
    <s v="Kos Campur"/>
    <m/>
    <m/>
  </r>
  <r>
    <s v="Kost Azalia Tipe B Gunung Putri Bogor"/>
    <x v="0"/>
    <x v="89"/>
    <n v="12"/>
    <s v="3 x 4 meter"/>
    <s v="Tidak termasuk listrik"/>
    <s v=""/>
    <s v="N/A"/>
    <s v="3 x 4 meter; Tidak termasuk listrik; AC; Kasur; Meja; Lemari Baju; Ventilasi; Bantal; Jendela; Kursi; TV Kabel; K. Mandi Dalam; Kloset Duduk; Shower; Air panas; WiFi; Kulkas; Mesin Cuci; Penjaga Kos; R. Tamu; Dapur; Dispenser; Balcon; Jemuran; K. Mandi Luar; Parkir Mobil; Parkir Motor &amp; Sepeda"/>
    <n v="1500000"/>
    <s v="Rp1.500.000"/>
    <n v="0"/>
    <m/>
    <s v="Kos Campur"/>
    <m/>
    <m/>
  </r>
  <r>
    <s v="Kost Azzahra 1 Tipe A Dramaga Bogor"/>
    <x v="0"/>
    <x v="23"/>
    <n v="9"/>
    <s v="3 x 3 meter"/>
    <s v="Tidak termasuk listrik"/>
    <s v=""/>
    <s v="N/A"/>
    <s v="3 x 3 meter; Tidak termasuk listrik; AC; Kasur; Meja; Lemari Baju; Bantal; Jendela; Guling; Kipas Angin; Kursi; K. Mandi Dalam; Kloset Duduk; Kloset Jongkok; Shower; WiFi; Kulkas; Penjaga Kos; R. Tamu; R. Santai; Dapur; CCTV; Jemuran; Rice Cooker; TV; Parkir Mobil; Parkir Motor"/>
    <n v="1200000"/>
    <s v="Rp1.200.000"/>
    <n v="0"/>
    <m/>
    <s v="Kos Putri"/>
    <m/>
    <m/>
  </r>
  <r>
    <s v="Kost Azzahra 1 Tipe Berdua Dramaga Bogor"/>
    <x v="0"/>
    <x v="73"/>
    <n v="13.5"/>
    <s v="3 x 4.5 meter"/>
    <s v="Tidak termasuk listrik"/>
    <s v=""/>
    <s v="N/A"/>
    <s v="3 x 4.5 meter; Tidak termasuk listrik; Kasur; Meja; Lemari Baju; Guling; Bantal; Kipas Angin; Kursi; K. Mandi Dalam; Kloset Duduk; Kloset Jongkok; Shower; Kulkas; Penjaga Kos; R. Tamu; R. Santai; Dapur; CCTV; Jemuran; Rice Cooker; TV; Parkir Mobil; Parkir Motor"/>
    <n v="1200000"/>
    <s v="Rp1.200.000"/>
    <n v="0"/>
    <m/>
    <s v="Kos Putri"/>
    <m/>
    <m/>
  </r>
  <r>
    <s v="Kost B Tipe A Kebon Jeruk Jakarta Barat"/>
    <x v="3"/>
    <x v="61"/>
    <n v="12"/>
    <s v="3 x 4 meter"/>
    <s v="Tidak termasuk listrik"/>
    <s v=""/>
    <s v="N/A"/>
    <s v="3 x 4 meter; Tidak termasuk listrik; AC; Kasur; Meja; Lemari Baju; Kursi; Kloset Duduk; K. Mandi Luar; Wastafel; Shower; WiFi; Kulkas; R. Tamu; Penjaga Kos; Laundry; R. Santai; Dapur; Dispenser; TV; R. Keluarga; Parkir Mobil; Parkir Motor"/>
    <n v="1500000"/>
    <s v="Rp1.500.000"/>
    <n v="0.1673611111111111"/>
    <d v="1899-12-30T04:01:00"/>
    <s v="Kos Campur"/>
    <m/>
    <m/>
  </r>
  <r>
    <s v="Kost Bagja Cibinong Bogor"/>
    <x v="0"/>
    <x v="35"/>
    <n v="6"/>
    <s v="2 x 3 meter"/>
    <s v="Termasuk listrik (implied)"/>
    <s v=""/>
    <s v="N/A"/>
    <s v="2 x 3 meter; Termasuk listrik; AC; Kasur; Ventilasi; Jendela; Kloset Jongkok; K. Mandi Luar; Ember mandi; Bak mandi; R. Jemur; Dapur; Taman; Balcon; Parkir Mobil; Parkir Motor"/>
    <n v="900000"/>
    <s v="Rp900.000"/>
    <n v="0"/>
    <m/>
    <s v="Kos Campur"/>
    <m/>
    <m/>
  </r>
  <r>
    <s v="Kost Bagus 2 Bsd Tipe Executive Serpong Tangerang Selatan"/>
    <x v="2"/>
    <x v="18"/>
    <n v="9"/>
    <s v="3 x 3 meter"/>
    <s v="Tidak termasuk listrik"/>
    <s v=""/>
    <s v="N/A"/>
    <s v="3 x 3 meter; Tidak termasuk listrik; AC; Kasur; Meja; Kulkas; Lemari Baju; Ventilasi; Bantal; Cermin; Guling; Jendela; K. Mandi Dalam; Kloset Duduk; Ember mandi; Shower; WiFi; R. Cuci; R. Jemur; R. Makan; R. Santai; Dapur; Jemuran; Pengurus Kos; Rooftop; Parkir Motor; Parkir Sepeda; Parkir Motor &amp; Sepeda"/>
    <n v="1150001"/>
    <s v="Rp1.150.001"/>
    <n v="0.20833333333333334"/>
    <d v="1899-12-30T05:00:00"/>
    <s v="Kos Putra"/>
    <m/>
    <m/>
  </r>
  <r>
    <s v="Kost Bambon Tipe 1 Beji Depok"/>
    <x v="1"/>
    <x v="15"/>
    <n v="16"/>
    <s v="4 x 4 meter"/>
    <s v="Tidak termasuk listrik"/>
    <s v=""/>
    <s v="N/A"/>
    <s v="4 x 4 meter; Tidak termasuk listrik; AC; Kasur; Meja; Lemari Baju; Kursi; Bantal; Guling; Jendela; K. Mandi Dalam; Kloset Duduk; Shower; WiFi; Kulkas; R. Jemur; R. Santai; Gazebo; Balcon; CCTV; Pengurus Kos; Parkir Motor; Parkir Motor &amp; Sepeda"/>
    <n v="1350000"/>
    <s v="Rp1.350.000"/>
    <n v="0.17083333333333331"/>
    <d v="1899-12-30T04:06:00"/>
    <s v="Kos Putri"/>
    <m/>
    <s v="Diskon 120rb"/>
  </r>
  <r>
    <s v="Kost Bandengan Tipe A Penjaringan Jakarta Utara"/>
    <x v="4"/>
    <x v="12"/>
    <n v="6"/>
    <s v="2 x 3 meter"/>
    <s v="Tidak termasuk listrik"/>
    <s v=""/>
    <s v="N/A"/>
    <s v="2 x 3 meter; Tidak termasuk listrik; Kasur; Bantal; Kloset Jongkok; K. Mandi Luar; Ember mandi; WiFi; R. Cuci; R. Jemur; Jemuran; Parkir Motor"/>
    <n v="750000"/>
    <s v="Rp750.000"/>
    <n v="0.1277777777777778"/>
    <d v="1899-12-30T03:04:00"/>
    <s v="Kos Campur"/>
    <m/>
    <m/>
  </r>
  <r>
    <s v="Kost Banding 2 Tipe A Tangerang"/>
    <x v="6"/>
    <x v="90"/>
    <n v="12"/>
    <s v="3 x 4 meter"/>
    <s v="Termasuk listrik (implied)"/>
    <s v=""/>
    <s v="N/A"/>
    <s v="3 x 4 meter; Termasuk listrik; AC; Kasur; Dispenser; Meja; TV; Lemari Baju; Bantal; Cermin; Guling; Jendela; K. Mandi Dalam; Kloset Duduk; Ember mandi; Shower; WiFi; Penjaga Kos; R. Tamu; R. Jemur; Balcon; Jemuran; Jual Makanan; Parkir Motor"/>
    <n v="1500000"/>
    <s v="Rp1.500.000"/>
    <n v="0.17291666666666669"/>
    <d v="1899-12-30T04:09:00"/>
    <s v="Kos Putri"/>
    <m/>
    <m/>
  </r>
  <r>
    <s v="Kost Bapak Maman Cikarang Timur Bekasi"/>
    <x v="7"/>
    <x v="91"/>
    <n v="21"/>
    <s v="3 x 7 meter"/>
    <s v="Tidak termasuk listrik"/>
    <s v=""/>
    <s v="N/A"/>
    <s v="3 x 7 meter; Tidak termasuk listrik; Kasur; Dapur Pribadi; K. Mandi Dalam; Kloset Jongkok; Ember mandi; R. Jemur; Gazebo; Parkir Mobil; Parkir Motor; Parkir Sepeda; Parkir Motor &amp; Sepeda"/>
    <n v="600000"/>
    <s v="Rp600.000"/>
    <n v="0"/>
    <m/>
    <s v="Kos Campur"/>
    <m/>
    <m/>
  </r>
  <r>
    <s v="Kost Bapak Nana Juhana Cibodas Tangerang"/>
    <x v="6"/>
    <x v="92"/>
    <n v="6.25"/>
    <s v="2.5 x 2.5 meter"/>
    <s v="Tidak termasuk listrik"/>
    <s v=""/>
    <s v="N/A"/>
    <s v="2.5 x 2.5 meter; Tidak termasuk listrik; K. Mandi Dalam; Kloset Jongkok; Jual Makanan; Jemuran; Pengurus Kos; Parkir Motor"/>
    <n v="650000"/>
    <s v="Rp650.000"/>
    <n v="0"/>
    <m/>
    <s v="Kos Campur"/>
    <m/>
    <m/>
  </r>
  <r>
    <s v="Kost Barata AC Syariah Koja Jakarta Utara"/>
    <x v="4"/>
    <x v="36"/>
    <n v="12"/>
    <s v="3 x 4 meter"/>
    <s v="Tidak termasuk listrik"/>
    <s v=""/>
    <s v="N/A"/>
    <s v="3 x 4 meter; Tidak termasuk listrik; AC; Kasur; Meja; Lemari Baju; Bantal; Cermin; Guling; Jendela; Kursi; Kloset Duduk; K. Mandi Luar; Ember mandi; Shower; WiFi; Kulkas; R. Tamu; R. Jemur; R. Makan; R. Santai; Dapur; Balcon; CCTV; Jemuran; Parkir Mobil; Parkir Motor; Parkir Sepeda; Parkir Motor &amp; Sepeda"/>
    <n v="1300000"/>
    <s v="Rp1.300.000"/>
    <n v="0"/>
    <m/>
    <s v="Kos Putra"/>
    <m/>
    <m/>
  </r>
  <r>
    <s v="Kost Barata Kipas Syariah Koja Jakarta Utara"/>
    <x v="4"/>
    <x v="93"/>
    <n v="12"/>
    <s v="3 x 4 meter"/>
    <s v="Tidak termasuk listrik"/>
    <s v=""/>
    <s v="N/A"/>
    <s v="3 x 4 meter; Tidak termasuk listrik; Kasur; Meja; Lemari Baju; Bantal; Cermin; Guling; Jendela; Kipas Angin; Kloset Duduk; K. Mandi Luar; Ember mandi; Shower; WiFi; Kulkas; R. Tamu; R. Jemur; R. Makan; R. Santai; Dapur; Balcon; CCTV; Jemuran; Parkir Mobil; Parkir Motor; Parkir Sepeda; Parkir Motor &amp; Sepeda"/>
    <n v="900000"/>
    <s v="Rp900.000"/>
    <n v="0"/>
    <m/>
    <s v="Kos Putra"/>
    <m/>
    <m/>
  </r>
  <r>
    <s v="Kost Barito Babakan Madang Bogor"/>
    <x v="0"/>
    <x v="80"/>
    <n v="12"/>
    <s v="3 x 4 meter"/>
    <s v="Termasuk listrik (implied)"/>
    <s v=""/>
    <s v="N/A"/>
    <s v="3 x 4 meter; Termasuk listrik; AC; Kasur; Meja; TV; Lemari Baju; Ventilasi; Bantal; Cermin; Guling; Jendela; Kloset Duduk; Ember mandi; Shower; Air panas; WiFi; Kulkas; R. Cuci; Mesin Cuci; R. Tamu; R. Jemur; R. Makan; R. Santai; Dapur; Dispenser; Parkir Mobil; Parkir Motor"/>
    <n v="1350000"/>
    <s v="Rp1.350.000"/>
    <n v="0"/>
    <m/>
    <s v="Kos Campur"/>
    <m/>
    <m/>
  </r>
  <r>
    <s v="Kost Baru Homi Residence Benda Tangerang"/>
    <x v="6"/>
    <x v="24"/>
    <n v="12"/>
    <s v="3 x 4 meter"/>
    <s v="Tidak termasuk listrik"/>
    <s v=""/>
    <s v="N/A"/>
    <s v="3 x 4 meter; Tidak termasuk listrik; AC; K. Mandi Dalam; Kloset Duduk; Shower; Air panas; WiFi; Kulkas; Laundry; Dapur; Dispenser; TV; CCTV; Parkir Mobil"/>
    <n v="1400000"/>
    <s v="Rp1.400.000"/>
    <n v="0.17291666666666669"/>
    <d v="1899-12-30T04:09:00"/>
    <s v="Kos Campur"/>
    <m/>
    <m/>
  </r>
  <r>
    <s v="Kost Baru Tangcity Kayana Residence Tipe C Tangerang Tangerang"/>
    <x v="6"/>
    <x v="90"/>
    <n v="11.100000000000001"/>
    <s v="3 x 3.7 meter"/>
    <s v="Tidak termasuk listrik"/>
    <s v=""/>
    <s v="N/A"/>
    <s v="3 x 3.7 meter; Tidak termasuk listrik; AC; Kasur; Meja; TV; Lemari Baju; Ventilasi; Bantal; Cermin; Cleaning service; Guling; K. Mandi Dalam; Kloset Duduk; Shower; Air panas; WiFi; Kulkas; R. Cuci; Laundry; Mesin Cuci; Penjaga Kos; R. Tamu; R. Jemur; R. Makan; R. Santai; Parkir Motor"/>
    <n v="2550000"/>
    <s v="Rp2.550.000"/>
    <n v="0"/>
    <m/>
    <s v="Kos Campur"/>
    <m/>
    <m/>
  </r>
  <r>
    <s v="Kost Baru Tipe A Tanjung Priok Jakarta Utara"/>
    <x v="4"/>
    <x v="10"/>
    <n v="7"/>
    <s v="2 x 3.5 meter"/>
    <s v="Tidak termasuk listrik"/>
    <s v=""/>
    <s v="N/A"/>
    <s v="2 x 3.5 meter; Tidak termasuk listrik; AC; Kasur; Meja; Lemari Baju; Cermin; Kursi; Wastafel; K. Mandi Dalam; Kloset Duduk; Shower; WiFi; R. Santai; CCTV; Pengurus Kos; Parkir Mobil; Parkir Motor"/>
    <n v="1650000"/>
    <s v="Rp1.650.000"/>
    <n v="0.17222222222222225"/>
    <d v="1899-12-30T04:08:00"/>
    <s v="Kos Campur"/>
    <m/>
    <s v="Diskon 83rb"/>
  </r>
  <r>
    <s v="Kost Bawal Asri Tipe B Pulo Gadung Jakarta Timur"/>
    <x v="8"/>
    <x v="94"/>
    <n v="3"/>
    <s v="2 x 1.5 meter"/>
    <s v="Termasuk listrik (implied)"/>
    <s v=""/>
    <s v="N/A"/>
    <s v="2 x 1.5 meter; Termasuk listrik; AC; Kasur; Meja Rias; Lemari Baju; Bantal; Cermin; Guling; Kursi; Kloset Duduk; K. Mandi Luar; Ember mandi; Wastafel; Shower; Air panas; WiFi; Kulkas; R. Cuci; Laundry; Penjaga Kos; R. Tamu; R. Jemur; R. Makan; R. Santai; Dapur; Parkir Motor; Parkir Motor &amp; Sepeda"/>
    <n v="1500000"/>
    <s v="Rp1.500.000"/>
    <n v="0.20833333333333334"/>
    <d v="1899-12-30T05:00:00"/>
    <s v="Kos Putri"/>
    <m/>
    <m/>
  </r>
  <r>
    <s v="Kost Bayem I Gunung Putri Bogor"/>
    <x v="0"/>
    <x v="95"/>
    <n v="21"/>
    <s v="3 x 7 meter"/>
    <s v="Tidak termasuk listrik"/>
    <s v=""/>
    <s v="N/A"/>
    <s v="3 x 7 meter; Tidak termasuk listrik; AC; Kasur; Meja; Lemari Baju; Ventilasi; Bantal; Cermin; Jendela; Kursi; K. Mandi Dalam; Kloset Jongkok; Ember mandi; Shower; WiFi; Laundry; R. Jemur; R. Santai; Jemuran; Joglo; Pengurus Kos; Parkir Mobil; Parkir Motor"/>
    <n v="1500000"/>
    <s v="Rp1.500.000"/>
    <n v="0.17291666666666669"/>
    <d v="1899-12-30T04:09:00"/>
    <s v="Kos Campur"/>
    <m/>
    <m/>
  </r>
  <r>
    <s v="Kost Behomy Suite Cibinong Bogor"/>
    <x v="0"/>
    <x v="96"/>
    <n v="12"/>
    <s v="3 x 4 meter"/>
    <s v="Tidak termasuk listrik"/>
    <s v=""/>
    <s v="N/A"/>
    <s v="3 x 4 meter; Tidak termasuk listrik; AC; Kasur; Meja; TV; Lemari Baju; Bantal; Cermin; Guling; Kursi; K. Mandi Dalam; Kloset Duduk; Shower; Air panas; WiFi; Kulkas; R. Cuci; Laundry; Mesin Cuci; Penjaga Kos; R. Jemur; Dapur; Dispenser; CCTV; Parkir Mobil; Parkir Motor; Parkir Sepeda"/>
    <n v="2250000"/>
    <s v="Rp2.250.000"/>
    <n v="0"/>
    <m/>
    <s v="Kos Campur"/>
    <m/>
    <m/>
  </r>
  <r>
    <s v="Kost Belawan Tipe Standard Babakan Madang Bogor"/>
    <x v="0"/>
    <x v="80"/>
    <n v="6"/>
    <s v="2 x 3 meter"/>
    <s v="Termasuk listrik (implied)"/>
    <s v=""/>
    <s v="N/A"/>
    <s v="2 x 3 meter; Termasuk listrik; AC; Kasur; Meja; Lemari Baju; Bantal; Kursi; Kloset Duduk; K. Mandi Luar; Wastafel; Shower; WiFi; R. Makan; Dapur; Dispenser; Balcon; Taman; Parkir Motor &amp; Sepeda"/>
    <n v="1500000"/>
    <s v="Rp1.500.000"/>
    <n v="0"/>
    <m/>
    <s v="Kos Campur"/>
    <m/>
    <m/>
  </r>
  <r>
    <s v="Kost Belimbing Beji Depok"/>
    <x v="1"/>
    <x v="16"/>
    <n v="9"/>
    <s v="3 x 3 meter"/>
    <s v="Tidak termasuk listrik"/>
    <s v=""/>
    <s v="N/A"/>
    <s v="3 x 3 meter; Tidak termasuk listrik; AC; Kasur; Meja; Lemari Baju; Ventilasi; Bantal; Guling; Jendela; K. Mandi Dalam; Kloset Duduk; K. Mandi Luar; Shower; WiFi; Kulkas; R. Cuci; Mesin Cuci; R. Jemur; R. Santai; Dapur; CCTV; Jemuran; Parkir Motor; Parkir Sepeda; Parkir Motor &amp; Sepeda"/>
    <n v="1200000"/>
    <s v="Rp1.200.000"/>
    <n v="0"/>
    <m/>
    <s v="Kos Putri"/>
    <m/>
    <m/>
  </r>
  <r>
    <s v="Kost Bening At Cempaka Cipondoh Tangerang"/>
    <x v="6"/>
    <x v="97"/>
    <n v="12"/>
    <s v="3 x 4 meter"/>
    <s v="Tidak termasuk listrik"/>
    <s v=""/>
    <s v="N/A"/>
    <s v="3 x 4 meter; Tidak termasuk listrik; AC; Kasur; Meja; Lemari Baju; Cermin; Jendela; K. Mandi Dalam; Kloset Duduk; K. Mandi Luar; Shower; WiFi; Kulkas; R. Makan; R. Santai; Dapur; CCTV; Parkir Motor &amp; Sepeda"/>
    <n v="1650000"/>
    <s v="Rp1.650.000"/>
    <n v="0.17222222222222225"/>
    <d v="1899-12-30T04:08:00"/>
    <s v="Kos Campur"/>
    <m/>
    <s v="Diskon 90rb"/>
  </r>
  <r>
    <s v="Kost Bening Executive Cipondoh Tangerang"/>
    <x v="6"/>
    <x v="98"/>
    <n v="12"/>
    <s v="3 x 4 meter"/>
    <s v="Tidak termasuk listrik"/>
    <s v=""/>
    <s v="N/A"/>
    <s v="3 x 4 meter; Tidak termasuk listrik; AC; Kasur; Lemari Baju; Cermin; Jendela; Kursi; Kloset Duduk; Shower; Kulkas; R. Santai; Dapur; CCTV; Parkir Motor &amp; Sepeda"/>
    <n v="1650000"/>
    <s v="Rp1.650.000"/>
    <n v="0.17222222222222225"/>
    <d v="1899-12-30T04:08:00"/>
    <s v="Kos Campur"/>
    <m/>
    <s v="Diskon 90rb"/>
  </r>
  <r>
    <s v="Kost Benosa Deluxe Serpong Tangerang Selatan"/>
    <x v="2"/>
    <x v="18"/>
    <n v="9"/>
    <s v="3 x 3 meter"/>
    <s v="Tidak termasuk listrik"/>
    <s v=""/>
    <s v="N/A"/>
    <s v="3 x 3 meter; Tidak termasuk listrik; AC; Kasur; Meja; Lemari Baju; Bantal; Cermin; Jendela; Kipas Angin; Kursi; Kloset Duduk; K. Mandi Luar; Wastafel; Shower; WiFi; Penjaga Kos; R. Jemur; Jemuran; R. Keluarga; Taman; Parkir Mobil; Parkir Motor; Parkir Sepeda"/>
    <n v="1300000"/>
    <s v="Rp1.300.000"/>
    <n v="0"/>
    <m/>
    <s v="Kos Putra"/>
    <m/>
    <m/>
  </r>
  <r>
    <s v="Kost Benteng Gading Tipe B Beji Depok"/>
    <x v="1"/>
    <x v="15"/>
    <n v="12.5"/>
    <s v="2.5 x 5 meter"/>
    <s v="Termasuk listrik (implied)"/>
    <s v=""/>
    <s v="N/A"/>
    <s v="2.5 x 5 meter; Termasuk listrik; Kasur; Meja; Lemari Baju; K. Mandi Dalam; Kloset Duduk; Kloset Jongkok; WiFi; Kulkas; R. Cuci; Penjaga Kos; R. Tamu; R. Jemur; R. Makan; R. Santai; Dapur; Jemuran; Parkir Motor"/>
    <n v="900000"/>
    <s v="Rp900.000"/>
    <n v="0.17222222222222225"/>
    <d v="1899-12-30T04:08:00"/>
    <s v="Kos Putra"/>
    <m/>
    <s v="Diskon 100rb"/>
  </r>
  <r>
    <s v="Kost Bersih Ibu Ning Standard Tapos Depok"/>
    <x v="1"/>
    <x v="99"/>
    <n v="12"/>
    <s v="3 x 4 meter"/>
    <s v="Tidak termasuk listrik"/>
    <s v=""/>
    <s v="N/A"/>
    <s v="3 x 4 meter; Tidak termasuk listrik; AC; Kasur; Meja; Meja Rias; Lemari Baju; Bantal; Cermin; Guling; Jendela; Dapur Pribadi; K. Mandi Dalam; Kloset Duduk; Shower; Air panas; WiFi; Kulkas; Laundry; Penjaga Kos; R. Santai; Dapur; Dispenser; Balcon; CCTV; Taman; Parkir Mobil; Parkir Motor"/>
    <n v="1430000"/>
    <s v="Rp1.430.000"/>
    <n v="0"/>
    <m/>
    <s v="Kos Putri"/>
    <m/>
    <m/>
  </r>
  <r>
    <s v="Kost Bersih Ibu Sri Tipe Standard Tapos Depok"/>
    <x v="1"/>
    <x v="99"/>
    <n v="9"/>
    <s v="3 x 3 meter"/>
    <s v="Tidak termasuk listrik"/>
    <s v=""/>
    <s v="N/A"/>
    <s v="3 x 3 meter; Tidak termasuk listrik; Kasur; Dispenser; Meja Rias; Lemari Baju; Ventilasi; Cermin; Bantal; Guling; Jendela; Kipas Angin; Kloset Jongkok; K. Mandi Luar; Shower; R. Cuci; R. Jemur; Dapur; Balcon; Gazebo; Jemuran; Joglo; Parkir Motor; Parkir Sepeda"/>
    <n v="750000"/>
    <s v="Rp750.000"/>
    <n v="0"/>
    <m/>
    <s v="Kos Campur"/>
    <m/>
    <m/>
  </r>
  <r>
    <s v="Kost Bersih Nyaman Tipe A Cikarang Pusat Bekasi"/>
    <x v="7"/>
    <x v="100"/>
    <n v="9"/>
    <s v="3 x 3 meter"/>
    <s v="Tidak termasuk listrik"/>
    <s v=""/>
    <s v="N/A"/>
    <s v="3 x 3 meter; Tidak termasuk listrik; AC; Kasur; Meja; Kulkas; Lemari Baju; Ventilasi; Bantal; Cermin; Jendela; Kursi; K. Mandi Dalam; Kloset Duduk; Ember mandi; Wastafel; Shower; WiFi; R. Cuci; Penjaga Kos; R. Jemur; Dapur; Dispenser; Jemuran; Pengurus Kos; Parkir Mobil; Parkir Motor"/>
    <n v="1000000"/>
    <s v="Rp1.000.000"/>
    <n v="0.20833333333333334"/>
    <d v="1899-12-30T05:00:00"/>
    <s v="Kos Putra"/>
    <m/>
    <m/>
  </r>
  <r>
    <s v="Kost Bertus 39 Tipe AC Pulo Gadung Jakarta Timur"/>
    <x v="8"/>
    <x v="32"/>
    <n v="16"/>
    <s v="4 x 4 meter"/>
    <s v="Tidak termasuk listrik"/>
    <s v=""/>
    <s v="N/A"/>
    <s v="4 x 4 meter; Tidak termasuk listrik; Kasur; Meja; Lemari Baju; Ventilasi; Kursi; Kipas Angin; Bantal; Jendela; Guling; Cleaning service; K. Mandi Dalam; Kloset Jongkok; Ember mandi; Wastafel; WiFi; R. Tamu; R. Jemur; R. Santai; Dispenser; Jemuran; Balcon; Pengurus Kos; Locker; Parkir Motor; Parkir Sepeda"/>
    <n v="1350000"/>
    <s v="Rp1.350.000"/>
    <n v="0.17291666666666669"/>
    <d v="1899-12-30T04:09:00"/>
    <s v="Kos Campur"/>
    <m/>
    <m/>
  </r>
  <r>
    <s v="Kost Bidan Enung Nurjanah Tipe A Tambun Selatan Bekasi"/>
    <x v="7"/>
    <x v="101"/>
    <n v="14"/>
    <s v="3.5 x 4 meter"/>
    <s v="Termasuk listrik (implied)"/>
    <s v=""/>
    <s v="N/A"/>
    <s v="3.5 x 4 meter; Termasuk listrik; Kasur; Meja; Lemari Baju; Ventilasi; Bantal; Cermin; Guling; Jendela; Kipas Angin; Kursi; K. Mandi Dalam; Kloset Jongkok; Ember mandi; WiFi; Penjaga Kos; R. Jemur; Balcon; CCTV; Jemuran; Jual Makanan; Parkir Motor"/>
    <n v="750000"/>
    <s v="Rp750.000"/>
    <n v="0"/>
    <m/>
    <s v="Kos Putra"/>
    <m/>
    <m/>
  </r>
  <r>
    <s v="Kost Billabong Tipe A Bojong Gede Bogor"/>
    <x v="0"/>
    <x v="102"/>
    <n v="21"/>
    <s v="3 x 7 meter"/>
    <s v="Tidak termasuk listrik"/>
    <s v=""/>
    <s v="N/A"/>
    <s v="3 x 7 meter; Tidak termasuk listrik; Kasur; Meja; Dispenser; TV; Lemari Baju; Kulkas; Ventilasi; Kursi; Bantal; Cermin; K. Mandi Dalam; Kloset Jongkok; Ember mandi; WiFi; R. Cuci; Laundry; Mesin Cuci; Penjaga Kos; R. Jemur; Mushola; Dapur; Taman; Parkir Motor; Parkir Sepeda"/>
    <n v="1300000"/>
    <s v="Rp1.300.000"/>
    <n v="0"/>
    <m/>
    <s v="Kos Putri"/>
    <m/>
    <m/>
  </r>
  <r>
    <s v="Kost Billabong Tipe Standart Bojong Gede Bogor"/>
    <x v="0"/>
    <x v="102"/>
    <n v="21"/>
    <s v="3 x 7 meter"/>
    <s v="Tidak termasuk listrik"/>
    <s v=""/>
    <s v="N/A"/>
    <s v="3 x 7 meter; Tidak termasuk listrik; Kasur; Meja; Dispenser; TV; Lemari Baju; Kulkas; Ventilasi; Kursi; Bantal; Cermin; K. Mandi Dalam; Kloset Jongkok; Ember mandi; WiFi; R. Cuci; Laundry; Mesin Cuci; Penjaga Kos; R. Jemur; Mushola; Dapur; Taman; Parkir Motor; Parkir Sepeda"/>
    <n v="1200000"/>
    <s v="Rp1.200.000"/>
    <n v="0"/>
    <m/>
    <s v="Kos Campur"/>
    <m/>
    <m/>
  </r>
  <r>
    <s v="Kost Bina Berkat 1 Tipe A Tanjung Priok Jakarta Utara"/>
    <x v="4"/>
    <x v="5"/>
    <n v="12"/>
    <s v="3 x 4 meter"/>
    <s v="Tidak termasuk listrik"/>
    <s v=""/>
    <s v="N/A"/>
    <s v="3 x 4 meter; Tidak termasuk listrik; AC; Kasur; Meja; Lemari Baju; Bantal; Guling; Jendela; Kursi; K. Mandi Dalam; Kloset Duduk; Ember mandi; Shower; Air panas; WiFi; Kulkas; R. Cuci; Mesin Cuci; Penjaga Kos; R. Jemur; R. Makan; Dapur; Balcon; CCTV; Parkir Motor; Parkir Sepeda"/>
    <n v="2000000"/>
    <s v="Rp2.000.000"/>
    <n v="0.16944444444444443"/>
    <d v="1899-12-30T04:04:00"/>
    <s v="Kos Campur"/>
    <m/>
    <m/>
  </r>
  <r>
    <s v="Kost Bintang Dramaga Bogor"/>
    <x v="0"/>
    <x v="23"/>
    <n v="9"/>
    <s v="3 x 3 meter"/>
    <s v="Tidak termasuk listrik"/>
    <s v=""/>
    <s v="N/A"/>
    <s v="3 x 3 meter; Tidak termasuk listrik; Kasur; Meja; Lemari Baju; Ventilasi; Bantal; Guling; Jendela; Kipas Angin; Kursi; K. Mandi Dalam; Kloset Duduk; Shower; WiFi; R. Cuci; Laundry; Penjaga Kos; R. Jemur; Dapur; Balcon; CCTV; Gazebo; Jemuran; Parkir Motor; Parkir Sepeda; Parkir Motor &amp; Sepeda"/>
    <n v="850000"/>
    <s v="Rp850.000"/>
    <n v="0"/>
    <m/>
    <s v="Kos Putri"/>
    <m/>
    <m/>
  </r>
  <r>
    <s v="Kost Bintang Residence Beji Depok"/>
    <x v="1"/>
    <x v="15"/>
    <n v="21"/>
    <s v="3 x 7 meter"/>
    <s v="Termasuk listrik (implied)"/>
    <s v=""/>
    <s v="N/A"/>
    <s v="3 x 7 meter; Termasuk listrik; AC; Kasur; Meja; TV; Lemari Baju; Kursi; Cleaning service; Bantal; Dapur Pribadi; Guling; K. Mandi Dalam; Kloset Duduk; Wastafel; Shower; WiFi; Kulkas; R. Tamu; Penjaga Kos; R. Makan; R. Jemur; R. Santai; Dapur; Taman; Gazebo; Parkir Motor; Parkir Sepeda"/>
    <n v="1500000"/>
    <s v="Rp1.500.000"/>
    <n v="0.20833333333333334"/>
    <d v="1899-12-30T05:00:00"/>
    <s v="Kos Campur"/>
    <m/>
    <m/>
  </r>
  <r>
    <s v="Kost Bintang Tipe A Cikarang Selatan Bekasi"/>
    <x v="7"/>
    <x v="27"/>
    <n v="12"/>
    <s v="3 x 4 meter"/>
    <s v="Termasuk listrik (implied)"/>
    <s v=""/>
    <s v="N/A"/>
    <s v="3 x 4 meter; Termasuk listrik; Kasur; Kulkas; Bantal; Kipas Angin; K. Mandi Dalam; Kloset Jongkok; Ember mandi; WiFi; R. Jemur; R. Santai; Dapur; Jemuran; Jual Makanan; Pengurus Kos; Parkir Mobil; Parkir Motor"/>
    <n v="700000"/>
    <s v="Rp700.000"/>
    <n v="0"/>
    <m/>
    <s v="Kos Putri"/>
    <m/>
    <m/>
  </r>
  <r>
    <s v="Kost Bintang Tipe A Sukmajaya Depok"/>
    <x v="1"/>
    <x v="84"/>
    <n v="9"/>
    <s v="3 x 3 meter"/>
    <s v="Tidak termasuk listrik"/>
    <s v=""/>
    <s v="N/A"/>
    <s v="3 x 3 meter; Tidak termasuk listrik; Kasur; Meja; Lemari Baju; Bantal; Guling; Kipas Angin; Jendela; Kloset Duduk; K. Mandi Luar; Shower; WiFi; R. Jemur; R. Santai; Balcon; Parkir Mobil; Parkir Motor"/>
    <n v="1000000"/>
    <s v="Rp1.000.000"/>
    <n v="0"/>
    <m/>
    <s v="Kos Putri"/>
    <m/>
    <m/>
  </r>
  <r>
    <s v="Kost Bintangg Cileungsi Bogor"/>
    <x v="0"/>
    <x v="31"/>
    <n v="12"/>
    <s v="3 x 4 meter"/>
    <s v="Tidak termasuk listrik"/>
    <s v=""/>
    <s v="N/A"/>
    <s v="3 x 4 meter; Tidak termasuk listrik; Ventilasi; Jendela; K. Mandi Dalam; Kloset Jongkok; Shower; Parkir Motor"/>
    <n v="750000"/>
    <s v="Rp750.000"/>
    <n v="0.17083333333333331"/>
    <d v="1899-12-30T04:06:00"/>
    <s v="Kos Campur"/>
    <m/>
    <m/>
  </r>
  <r>
    <s v="Kost Bintaro Sektor 9 Tangerang Selatan"/>
    <x v="2"/>
    <x v="103"/>
    <n v="12"/>
    <s v="3 x 4 meter"/>
    <s v="Tidak termasuk listrik"/>
    <s v=""/>
    <s v="N/A"/>
    <s v="3 x 4 meter; Tidak termasuk listrik; AC; Kasur; Meja; TV; Ventilasi; Jendela; K. Mandi Dalam; Shower; Air panas; WiFi; Penjaga Kos; Dapur; CCTV; Pengurus Kos; Parkir Mobil; Parkir Motor"/>
    <n v="1800000"/>
    <s v="Rp1.800.000"/>
    <n v="0"/>
    <m/>
    <s v="Kos Campur"/>
    <m/>
    <m/>
  </r>
  <r>
    <s v="Kost Binus Abdi Syahdan Residence Tipe C Palmerah Jakarta Barat"/>
    <x v="3"/>
    <x v="104"/>
    <n v="6"/>
    <s v="3 x 2 meter"/>
    <s v="Tidak termasuk listrik"/>
    <s v=""/>
    <s v="N/A"/>
    <s v="3 x 2 meter; Tidak termasuk listrik; AC; Kasur; Meja; Lemari Baju; Bantal; Cermin; Guling; Kursi; Cleaning service; K. Mandi Dalam; Kloset Duduk; Wastafel; Shower; Air panas; WiFi; Kulkas; R. Cuci; Penjaga Kos; R. Tamu; Dapur; Dispenser; CCTV; Jemuran; Locker; Parkir Motor"/>
    <n v="1980000"/>
    <s v="Rp1.980.000"/>
    <n v="0.20833333333333334"/>
    <d v="1899-12-30T05:00:00"/>
    <s v="Kos Campur"/>
    <m/>
    <s v="Diskon 98rb"/>
  </r>
  <r>
    <s v="Kost Binus Alam Sutera Tipe Deluxe Pinang Tangerang"/>
    <x v="6"/>
    <x v="105"/>
    <n v="14"/>
    <s v="3.5 x 4 meter"/>
    <s v="Tidak termasuk listrik"/>
    <s v=""/>
    <s v="N/A"/>
    <s v="3.5 x 4 meter; Tidak termasuk listrik; AC; Kasur; Meja; Lemari Baju; Kursi; Wastafel; Cleaning service; K. Mandi Dalam; Kloset Duduk; Shower; Air panas; WiFi; R. Cuci; Kulkas; R. Tamu; Mesin Cuci; Penjaga Kos; Laundry; R. Makan; R. Jemur; R. Santai; Parkir Mobil; Parkir Motor; Parkir Sepeda"/>
    <n v="3400000"/>
    <s v="Rp3.400.000"/>
    <n v="0.1673611111111111"/>
    <d v="1899-12-30T04:01:00"/>
    <s v="Kos Campur"/>
    <m/>
    <s v="Diskon 170rb"/>
  </r>
  <r>
    <s v="Kost Binus Kebon Jeruk Jakarta Barat"/>
    <x v="3"/>
    <x v="14"/>
    <n v="12"/>
    <s v="3 x 4 meter"/>
    <s v="Tidak termasuk listrik"/>
    <s v=""/>
    <s v="N/A"/>
    <s v="3 x 4 meter; Tidak termasuk listrik; AC; Kasur; Meja; Dispenser; TV; Meja Rias; Kulkas; Lemari Baju; Ventilasi; Bantal; K. Mandi Dalam; Kloset Duduk; Shower; Air panas; WiFi; R. Cuci; Penjaga Kos; Laundry; Mesin Cuci; R. Jemur; Mushola; Dapur; Parkir Mobil; Parkir Sepeda; Parkir Motor; Parkir Motor &amp; Sepeda"/>
    <n v="2499000"/>
    <s v="Rp2.499.000"/>
    <n v="0"/>
    <m/>
    <s v="Kos Campur"/>
    <m/>
    <m/>
  </r>
  <r>
    <s v="Kost Bisma Duren Sawit Jakarta Timur"/>
    <x v="8"/>
    <x v="39"/>
    <n v="9"/>
    <s v="3 x 3 meter"/>
    <s v="Tidak termasuk listrik"/>
    <s v=""/>
    <s v="N/A"/>
    <s v="3 x 3 meter; Tidak termasuk listrik; AC; Kasur; Meja Rias; Lemari Baju; Bantal; Cermin; Guling; K. Mandi Dalam; Kloset Duduk; Ember mandi; Shower; WiFi; Kulkas; R. Santai; Dapur; Jemuran"/>
    <n v="1500000"/>
    <s v="Rp1.500.000"/>
    <n v="0.20833333333333334"/>
    <d v="1899-12-30T05:00:00"/>
    <s v="Kos Putri"/>
    <m/>
    <m/>
  </r>
  <r>
    <s v="Kost Bismillah Serpong Tangerang Selatan"/>
    <x v="2"/>
    <x v="106"/>
    <n v="12"/>
    <s v="3 x 4 meter"/>
    <s v="Tidak termasuk listrik"/>
    <s v=""/>
    <s v="N/A"/>
    <s v="3 x 4 meter; Tidak termasuk listrik; Jendela; Dapur Pribadi; K. Mandi Dalam; Kloset Jongkok; Ember mandi; Bak mandi; Mushola; Dapur; Balcon; CCTV; Parkir Motor &amp; Sepeda"/>
    <n v="1000000"/>
    <s v="Rp1.000.000"/>
    <n v="0"/>
    <m/>
    <s v="Kos Campur"/>
    <m/>
    <m/>
  </r>
  <r>
    <s v="Kost Bless House Tipe Executive Duren Sawit Jakarta Timur"/>
    <x v="8"/>
    <x v="39"/>
    <n v="8.75"/>
    <s v="2.5 x 3.5 meter"/>
    <s v="Tidak termasuk listrik"/>
    <s v=""/>
    <s v="N/A"/>
    <s v="2.5 x 3.5 meter; Tidak termasuk listrik; AC; Kasur; Meja; Lemari Baju; Kulkas; Ventilasi; Bantal; Jendela; Kursi; Wastafel; Kloset Duduk; K. Mandi Luar; Shower; WiFi; R. Tamu; R. Jemur; Dapur; Balcon; Rice Cooker; Jemuran; CCTV; Parkir Mobil; Parkir Motor"/>
    <n v="1800000"/>
    <s v="Rp1.800.000"/>
    <n v="0"/>
    <m/>
    <s v="Kos Putri"/>
    <m/>
    <m/>
  </r>
  <r>
    <s v="Kost BLI Jelita Babakan Madang Bogor"/>
    <x v="0"/>
    <x v="0"/>
    <n v="6.3000000000000007"/>
    <s v="3 x 2.1 meter"/>
    <s v="Termasuk listrik (implied)"/>
    <s v=""/>
    <s v="N/A"/>
    <s v="3 x 2.1 meter; Termasuk listrik; AC; Kasur; Meja; Lemari Baju; Ventilasi; Bantal; Cermin; Guling; Kloset Duduk; K. Mandi Luar; Ember mandi; Wastafel; Shower; Air panas; WiFi; Kulkas; R. Cuci; Laundry; Mesin Cuci; Penjaga Kos; R. Tamu; R. Jemur; R. Makan; R. Santai; Parkir Mobil; Parkir Motor"/>
    <n v="1750000"/>
    <s v="Rp1.750.000"/>
    <n v="0"/>
    <m/>
    <s v="Kos Campur"/>
    <m/>
    <m/>
  </r>
  <r>
    <s v="Kost BMR Tipe C Setia Budi Cikokol Tangerang"/>
    <x v="6"/>
    <x v="22"/>
    <n v="9"/>
    <s v="3 x 3 meter"/>
    <s v="Tidak termasuk listrik"/>
    <s v=""/>
    <s v="N/A"/>
    <s v="3 x 3 meter; Tidak termasuk listrik; AC; Kasur; Meja; Lemari Baju; Kursi; Wastafel; Bantal; Guling; Jendela; K. Mandi Dalam; Kloset Duduk; Ember mandi; Shower; WiFi; R. Cuci; R. Jemur; Balcon; K. Mandi Luar; Parkir Motor"/>
    <n v="1300000"/>
    <s v="Rp1.300.000"/>
    <n v="0.20833333333333334"/>
    <d v="1899-12-30T05:00:00"/>
    <s v="Kos Campur"/>
    <m/>
    <m/>
  </r>
  <r>
    <s v="Kost Bojong Gede Tipe Supreme Sukaraja Bogor"/>
    <x v="0"/>
    <x v="107"/>
    <n v="1600"/>
    <s v="40 x 40 meter"/>
    <s v="Tidak termasuk listrik"/>
    <s v=""/>
    <s v="N/A"/>
    <s v="40 x 40 meter; Tidak termasuk listrik; Jendela; K. Mandi Dalam; Bak mandi; R. Cuci; R. Tamu; R. Jemur; R. Makan; R. Santai; R. Keluarga; Taman; Parkir Mobil; Parkir Motor; Parkir Sepeda; Parkir Motor &amp; Sepeda"/>
    <n v="900000"/>
    <s v="Rp900.000"/>
    <n v="0"/>
    <m/>
    <s v="Kos Campur"/>
    <m/>
    <m/>
  </r>
  <r>
    <s v="Kost Bpk Boin Tipe A Cikarang Barat Bekasi"/>
    <x v="7"/>
    <x v="19"/>
    <n v="18"/>
    <s v="3 x 6 meter"/>
    <s v="Tidak termasuk listrik"/>
    <s v=""/>
    <s v="N/A"/>
    <s v="3 x 6 meter; Tidak termasuk listrik; Jendela; K. Mandi Dalam; Kloset Jongkok; Ember mandi; Bak mandi; Penjaga Kos; R. Jemur; CCTV; Parkir Mobil; Parkir Motor; Parkir Sepeda"/>
    <n v="700000"/>
    <s v="Rp700.000"/>
    <n v="0.20833333333333334"/>
    <d v="1899-12-30T05:00:00"/>
    <s v="Kos Campur"/>
    <m/>
    <m/>
  </r>
  <r>
    <s v="Kost Bpk Entong Tambun Selatan Bekasi"/>
    <x v="7"/>
    <x v="101"/>
    <n v="9"/>
    <s v="3 x 3 meter"/>
    <s v="Tidak termasuk listrik"/>
    <s v=""/>
    <s v="N/A"/>
    <s v="3 x 3 meter; Tidak termasuk listrik; Dapur Pribadi; K. Mandi Dalam; Kloset Jongkok; Bak mandi; R. Tamu; R. Keluarga; Parkir Motor"/>
    <n v="610000"/>
    <s v="Rp610.000"/>
    <n v="0.20833333333333334"/>
    <d v="1899-12-30T05:00:00"/>
    <s v="Kos Campur"/>
    <m/>
    <m/>
  </r>
  <r>
    <s v="Kost Braun Haus Premium Benda Tangerang"/>
    <x v="6"/>
    <x v="24"/>
    <n v="9"/>
    <s v="3 x 3 meter"/>
    <s v="Tidak termasuk listrik"/>
    <s v=""/>
    <s v="N/A"/>
    <s v="3 x 3 meter; Tidak termasuk listrik; AC; Kasur; Meja; Lemari Baju; Bantal; Cermin; Guling; Jendela; K. Mandi Dalam; Kloset Duduk; Shower; Air panas; WiFi; Kulkas; R. Cuci; Laundry; Penjaga Kos; Mesin Cuci; R. Tamu; R. Jemur; R. Santai; Dapur; Parkir Motor; Parkir Sepeda"/>
    <n v="1600000"/>
    <s v="Rp1.600.000"/>
    <n v="0.17083333333333331"/>
    <d v="1899-12-30T04:06:00"/>
    <s v="Kos Campur"/>
    <m/>
    <s v="Diskon 136rb"/>
  </r>
  <r>
    <s v="Kost Braun Haus Royal Plus Benda Tangerang"/>
    <x v="6"/>
    <x v="24"/>
    <n v="9"/>
    <s v="3 x 3 meter"/>
    <s v="Tidak termasuk listrik"/>
    <s v=""/>
    <s v="N/A"/>
    <s v="3 x 3 meter; Tidak termasuk listrik; AC; Kasur; Meja; TV; Lemari Baju; Bantal; Cermin; Guling; Jendela; K. Mandi Dalam; Kloset Duduk; Shower; Air panas; WiFi; Kulkas; R. Cuci; Laundry; Penjaga Kos; Mesin Cuci; R. Tamu; R. Jemur; R. Santai; Dapur; Parkir Motor; Parkir Sepeda"/>
    <n v="1550000"/>
    <s v="Rp1.550.000"/>
    <n v="0.17083333333333331"/>
    <d v="1899-12-30T04:06:00"/>
    <s v="Kos Campur"/>
    <m/>
    <m/>
  </r>
  <r>
    <s v="Kost Brother Tipe A Cikarang Barat Bekasi"/>
    <x v="7"/>
    <x v="108"/>
    <n v="9"/>
    <s v="3 x 3 meter"/>
    <s v="Tidak termasuk listrik"/>
    <s v=""/>
    <s v="N/A"/>
    <s v="3 x 3 meter; Tidak termasuk listrik; AC; Kasur; Meja; Lemari Baju; Bantal; Kursi; Kloset Duduk; Ember mandi; Shower; WiFi; Kulkas; Dapur; Dispenser; CCTV; Jemuran; K. Mandi Luar; Parkir Motor"/>
    <n v="900000"/>
    <s v="Rp900.000"/>
    <n v="0"/>
    <m/>
    <s v="Kos Putra"/>
    <m/>
    <m/>
  </r>
  <r>
    <s v="Kost BSD Aster Serpong Tangerang"/>
    <x v="2"/>
    <x v="18"/>
    <n v="9"/>
    <s v="3 x 3 meter"/>
    <s v="Tidak termasuk listrik"/>
    <s v=""/>
    <s v="N/A"/>
    <s v="3 x 3 meter; Tidak termasuk listrik; AC; Kasur; Meja; Lemari Baju; Kursi; Wastafel; K. Mandi Dalam; Kloset Duduk; Shower; Air panas; WiFi; Mesin Cuci; R. Makan; R. Jemur; Dapur; Parkir Motor"/>
    <n v="1600000"/>
    <s v="Rp1.600.000"/>
    <n v="0.17291666666666669"/>
    <d v="1899-12-30T04:09:00"/>
    <s v="Kos Campur"/>
    <m/>
    <m/>
  </r>
  <r>
    <s v="Kost Btari Tipe A Citeureup Bogor"/>
    <x v="0"/>
    <x v="109"/>
    <n v="12"/>
    <s v="3 x 4 meter"/>
    <s v="Tidak termasuk listrik"/>
    <s v=""/>
    <s v="N/A"/>
    <s v="3 x 4 meter; Tidak termasuk listrik; Kasur; Meja; Lemari Baju; Ventilasi; Cermin; Jendela; Kipas Angin; Kursi; K. Mandi Dalam; Kloset Duduk; Shower; WiFi; Kulkas; R. Cuci; Penjaga Kos; R. Jemur; R. Makan; R. Santai; Dapur; Balcon; CCTV; Parkir Motor &amp; Sepeda"/>
    <n v="750000"/>
    <s v="Rp750.000"/>
    <n v="0"/>
    <m/>
    <s v="Kos Campur"/>
    <m/>
    <m/>
  </r>
  <r>
    <s v="Kost Bu Andi Kramatjati Jakarta Timur"/>
    <x v="8"/>
    <x v="47"/>
    <n v="5.4"/>
    <s v="2 x 2.7 meter"/>
    <s v="Tidak termasuk listrik"/>
    <s v=""/>
    <s v="N/A"/>
    <s v="2 x 2.7 meter; Tidak termasuk listrik; AC; Kasur; Meja; Kulkas; Lemari Baju; Ventilasi; Bantal; Cermin; Guling; Jendela; Kloset Duduk; K. Mandi Luar; Shower; WiFi; R. Cuci; R. Jemur; Dapur; CCTV; Jemuran; Pengurus Kos; Parkir Motor; Parkir Motor &amp; Sepeda"/>
    <n v="1500000"/>
    <s v="Rp1.500.000"/>
    <n v="0.17222222222222225"/>
    <d v="1899-12-30T04:08:00"/>
    <s v="Kos Putri"/>
    <m/>
    <s v="Diskon 128rb"/>
  </r>
  <r>
    <s v="Kost Bu Bambang II Cibitung Bekasi"/>
    <x v="7"/>
    <x v="110"/>
    <n v="12"/>
    <s v="4 x 3 meter"/>
    <s v="Tidak termasuk listrik"/>
    <s v=""/>
    <s v="N/A"/>
    <s v="4 x 3 meter; Tidak termasuk listrik; Kasur; Lemari Baju; Kipas Angin; K. Mandi Dalam; Kloset Jongkok; Ember mandi; R. Jemur; Parkir Motor"/>
    <n v="750000"/>
    <s v="Rp750.000"/>
    <n v="0.20833333333333334"/>
    <d v="1899-12-30T05:00:00"/>
    <s v="Kos Putra"/>
    <m/>
    <m/>
  </r>
  <r>
    <s v="Kost Bu Budi Tipe Standar Non AC Beji Depok"/>
    <x v="1"/>
    <x v="15"/>
    <n v="9"/>
    <s v="3 x 3 meter"/>
    <s v="Termasuk listrik (implied)"/>
    <s v=""/>
    <s v="N/A"/>
    <s v="3 x 3 meter; Termasuk listrik; Kasur; Ventilasi; Bantal; Cermin; Guling; Jendela; Kipas Angin; Wastafel; Kloset Duduk; K. Mandi Luar; Ember mandi; Shower; R. Tamu; R. Santai; Dapur; Dispenser; Balcon; CCTV; Jemuran; Gazebo; Parkir Mobil; Parkir Motor; Parkir Sepeda"/>
    <n v="600000"/>
    <s v="Rp600.000"/>
    <n v="0.20833333333333334"/>
    <d v="1899-12-30T05:00:00"/>
    <s v="Kos Putra"/>
    <m/>
    <m/>
  </r>
  <r>
    <s v="Kost Bu Elis Kelapa Gading Jakarta Utara"/>
    <x v="4"/>
    <x v="111"/>
    <n v="9"/>
    <s v="3 x 3 meter"/>
    <s v="Termasuk listrik (implied)"/>
    <s v=""/>
    <s v="N/A"/>
    <s v="3 x 3 meter; Termasuk listrik; AC; Kasur; Meja; Meja Rias; Lemari Baju; Kursi; Wastafel; Cleaning service; K. Mandi Dalam; Kloset Duduk; Shower; Air panas; WiFi; R. Cuci; R. Jemur"/>
    <n v="2300000"/>
    <s v="Rp2.300.000"/>
    <n v="0.17222222222222225"/>
    <d v="1899-12-30T04:08:00"/>
    <s v="Kos Putri"/>
    <m/>
    <s v="Diskon 110rb"/>
  </r>
  <r>
    <s v="Kost Bu Emmy Tipe I Cikarang Timur Bekasi"/>
    <x v="7"/>
    <x v="112"/>
    <n v="10.5"/>
    <s v="3 x 3.5 meter"/>
    <s v="Termasuk listrik (implied)"/>
    <s v=""/>
    <s v="N/A"/>
    <s v="3 x 3.5 meter; Termasuk listrik; AC; Kasur; Meja; Lemari Baju; Ventilasi; Cermin; Cleaning service; Jendela; Kursi; Bantal; K. Mandi Dalam; Kloset Duduk; Wastafel; Shower; WiFi; Kulkas; R. Jemur; R. Makan; Dapur; Dispenser; Jemuran; Pengurus Kos; Taman; Parkir Mobil; Parkir Motor; Parkir Sepeda"/>
    <n v="1400000"/>
    <s v="Rp1.400.000"/>
    <n v="0"/>
    <m/>
    <s v="Kos Putri"/>
    <m/>
    <m/>
  </r>
  <r>
    <s v="Kost Bu Fifi Pamulang Tangerang Selatan"/>
    <x v="2"/>
    <x v="77"/>
    <n v="9"/>
    <s v="3 x 3 meter"/>
    <s v="Termasuk listrik (implied)"/>
    <s v=""/>
    <s v="N/A"/>
    <s v="3 x 3 meter; Termasuk listrik; Kasur; Lemari Baju; Kipas Angin; Bantal; Cermin; Guling; Jendela; Kloset Duduk; Kloset Jongkok; K. Mandi Luar; Ember mandi; Shower; WiFi; R. Cuci; Mesin Cuci; R. Jemur; R. Santai; Dispenser; TV; Balcon; CCTV; Jemuran; Parkir Motor; Parkir Sepeda"/>
    <n v="800000"/>
    <s v="Rp800.000"/>
    <n v="0"/>
    <m/>
    <s v="Kos Putri"/>
    <m/>
    <m/>
  </r>
  <r>
    <s v="Kost Bu Haji Anshor Beji Depok"/>
    <x v="1"/>
    <x v="15"/>
    <n v="9"/>
    <s v="3 x 3 meter"/>
    <s v="Termasuk listrik (implied)"/>
    <s v=""/>
    <s v="N/A"/>
    <s v="3 x 3 meter; Termasuk listrik; Kasur; Meja; Lemari Baju; Ventilasi; Kipas Angin; Bantal; Cermin; Guling; Jendela; K. Mandi Dalam; Kloset Jongkok; Ember mandi; Shower; Bak mandi; R. Cuci; R. Tamu; R. Jemur; R. Santai; Pengurus Kos; Jemuran; Parkir Motor; Parkir Sepeda"/>
    <n v="750000"/>
    <s v="Rp750.000"/>
    <n v="0.17291666666666669"/>
    <d v="1899-12-30T04:09:00"/>
    <s v="Kos Putri"/>
    <m/>
    <s v="Diskon 90rb"/>
  </r>
  <r>
    <s v="Kost Bu Nani Cempaka Ciawi Bogor"/>
    <x v="0"/>
    <x v="76"/>
    <n v="18"/>
    <s v="3 x 6 meter"/>
    <s v="Tidak termasuk listrik"/>
    <s v=""/>
    <s v="N/A"/>
    <s v="3 x 6 meter; Tidak termasuk listrik; Kasur; Meja; Lemari Baju; Ventilasi; Kursi; Cleaning service; Bantal; Guling; Jendela; K. Mandi Dalam; Kloset Jongkok; Ember mandi; Laundry; Penjaga Kos; Balcon; Jemuran; Jual Makanan; Pengurus Kos; Parkir Motor"/>
    <n v="900000"/>
    <s v="Rp900.000"/>
    <n v="0"/>
    <m/>
    <s v="Kos Campur"/>
    <m/>
    <m/>
  </r>
  <r>
    <s v="Kost Bu Nova Kramatjati Jakarta Timur"/>
    <x v="8"/>
    <x v="47"/>
    <n v="15.679999999999998"/>
    <s v="2.8 x 5.6 meter"/>
    <s v="Tidak termasuk listrik"/>
    <s v=""/>
    <s v="N/A"/>
    <s v="2.8 x 5.6 meter; Tidak termasuk listrik; Ventilasi; Jendela; Wastafel; K. Mandi Dalam; Kloset Jongkok; Ember mandi; Air panas; Penjaga Kos; Dapur; Balcon; Jemuran; Parkir Sepeda; Parkir Motor"/>
    <n v="1350000"/>
    <s v="Rp1.350.000"/>
    <n v="0.20833333333333334"/>
    <d v="1899-12-30T05:00:00"/>
    <s v="Kos Campur"/>
    <m/>
    <s v="Diskon 120rb"/>
  </r>
  <r>
    <s v="Kost Bu Purbo Bahagia 7 Larangan Tangerang"/>
    <x v="6"/>
    <x v="87"/>
    <n v="8.75"/>
    <s v="2.5 x 3.5 meter"/>
    <s v="Termasuk listrik (implied)"/>
    <s v=""/>
    <s v="N/A"/>
    <s v="2.5 x 3.5 meter; Termasuk listrik; Kasur; Lemari Baju; Ventilasi; Bantal; Jendela; K. Mandi Dalam; Kloset Jongkok; Ember mandi; WiFi; R. Jemur; CCTV; Jemuran; Parkir Sepeda"/>
    <n v="800000"/>
    <s v="Rp800.000"/>
    <n v="0.17222222222222225"/>
    <d v="1899-12-30T04:08:00"/>
    <s v="Kos Putri"/>
    <m/>
    <s v="Diskon 68rb"/>
  </r>
  <r>
    <s v="Kost Bu Rizal Beji Depok"/>
    <x v="1"/>
    <x v="15"/>
    <n v="12"/>
    <s v="3 x 4 meter"/>
    <s v="Tidak termasuk listrik"/>
    <s v=""/>
    <s v="N/A"/>
    <s v="3 x 4 meter; Tidak termasuk listrik; Kasur; Lemari Baju; Ventilasi; Bantal; Jendela; K. Mandi Dalam; Kloset Jongkok; Ember mandi; WiFi; R. Jemur; R. Santai; Balcon; CCTV; Jemuran; Parkir Motor"/>
    <n v="700000"/>
    <s v="Rp700.000"/>
    <n v="0.17291666666666669"/>
    <d v="1899-12-30T04:09:00"/>
    <s v="Kos Putri"/>
    <m/>
    <s v="Diskon 80rb"/>
  </r>
  <r>
    <s v="Kost Bu Sabar 1 Cileungsi Bogor"/>
    <x v="0"/>
    <x v="31"/>
    <n v="9"/>
    <s v="3 x 3 meter"/>
    <s v="Tidak termasuk listrik"/>
    <s v=""/>
    <s v="N/A"/>
    <s v="3 x 3 meter; Tidak termasuk listrik; Kasur; Lemari Baju; Ventilasi; Bantal; Guling; Jendela; Kipas Angin; Kloset Jongkok; K. Mandi Luar; Ember mandi; Kulkas; Dispenser; Jemuran; Parkir Motor; Parkir Sepeda"/>
    <n v="500000"/>
    <s v="Rp500.000"/>
    <n v="0.20833333333333334"/>
    <d v="1899-12-30T05:00:00"/>
    <s v="Kos Putri"/>
    <m/>
    <m/>
  </r>
  <r>
    <s v="Kost Bu Sekar Ciputat Tangerang Selatan"/>
    <x v="2"/>
    <x v="103"/>
    <n v="6"/>
    <s v="2 x 3 meter"/>
    <s v="Termasuk listrik (implied)"/>
    <s v=""/>
    <s v="N/A"/>
    <s v="2 x 3 meter; Termasuk listrik; Kasur; Lemari Baju; Ventilasi; Bantal; Cermin; Jendela; Kipas Angin; Kursi; Guling; Kloset Jongkok; K. Mandi Luar; Ember mandi; Wastafel; Shower; Bak mandi; WiFi; Kulkas; R. Cuci; R. Jemur; Dapur; CCTV; Jemuran; Gazebo; Rice Cooker; Rooftop; Parkir Mobil; Parkir Motor; Parkir Sepeda; Parkir Motor &amp; Sepeda"/>
    <n v="800000"/>
    <s v="Rp800.000"/>
    <n v="0"/>
    <m/>
    <s v="Kos Putri"/>
    <m/>
    <m/>
  </r>
  <r>
    <s v="Kost Bu Sri Tipe B Babakan Madang Bogor"/>
    <x v="0"/>
    <x v="0"/>
    <n v="9"/>
    <s v="3 x 3 meter"/>
    <s v="Termasuk listrik (implied)"/>
    <s v=""/>
    <s v="N/A"/>
    <s v="3 x 3 meter; Termasuk listrik; AC; Kasur; Meja; Lemari Baju; Kursi; Wastafel; Sofa; Bantal; Guling; Kloset Duduk; K. Mandi Luar; Ember mandi; Shower; Air panas; WiFi; R. Cuci; Kulkas; R. Tamu; Mesin Cuci; R. Makan; R. Jemur; R. Santai; Dapur; Dispenser; Parkir Mobil; Parkir Motor"/>
    <n v="1700000"/>
    <s v="Rp1.700.000"/>
    <n v="0"/>
    <m/>
    <s v="Kos Campur"/>
    <m/>
    <m/>
  </r>
  <r>
    <s v="Kost Bu Sri Tipe D Babakan Madang Bogor"/>
    <x v="0"/>
    <x v="0"/>
    <n v="9"/>
    <s v="3 x 3 meter"/>
    <s v="Termasuk listrik (implied)"/>
    <s v=""/>
    <s v="N/A"/>
    <s v="3 x 3 meter; Termasuk listrik; AC; Kasur; Meja; Lemari Baju; Kursi; Cleaning service; K. Mandi Dalam; Kloset Duduk; K. Mandi Luar; Wastafel; Shower; Air panas; WiFi; Parkir Mobil"/>
    <n v="1800000"/>
    <s v="Rp1.800.000"/>
    <n v="0"/>
    <m/>
    <s v="Kos Campur"/>
    <m/>
    <m/>
  </r>
  <r>
    <s v="Kost Bu Titi Tangerang"/>
    <x v="6"/>
    <x v="22"/>
    <n v="12"/>
    <s v="3 x 4 meter"/>
    <s v="Tidak termasuk listrik"/>
    <s v=""/>
    <s v="N/A"/>
    <s v="3 x 4 meter; Tidak termasuk listrik; AC; Kasur; Meja; Lemari Baju; Kipas Angin; K. Mandi Dalam; Kloset Jongkok; Ember mandi; Shower; WiFi; Parkir Mobil"/>
    <n v="1200000"/>
    <s v="Rp1.200.000"/>
    <n v="0"/>
    <m/>
    <s v="Kos Campur"/>
    <m/>
    <m/>
  </r>
  <r>
    <s v="Kost Bu Ulfa Tambun Selatan Bekasi"/>
    <x v="7"/>
    <x v="113"/>
    <n v="15"/>
    <s v="3 x 5 meter"/>
    <s v="Tidak termasuk listrik"/>
    <s v=""/>
    <s v="N/A"/>
    <s v="3 x 5 meter; Tidak termasuk listrik; AC; Kasur; Wastafel; K. Mandi Dalam; Kloset Jongkok; Ember mandi; Penjaga Kos; R. Jemur; Taman; Parkir Mobil; Parkir Motor; Parkir Sepeda"/>
    <n v="1200000"/>
    <s v="Rp1.200.000"/>
    <n v="0.20833333333333334"/>
    <d v="1899-12-30T05:00:00"/>
    <s v="Kos Campur"/>
    <m/>
    <m/>
  </r>
  <r>
    <s v="Kost Bubbles 2 Tipe A Beji Depok"/>
    <x v="1"/>
    <x v="15"/>
    <n v="9"/>
    <s v="3 x 3 meter"/>
    <s v="Termasuk listrik (implied)"/>
    <s v=""/>
    <s v="N/A"/>
    <s v="3 x 3 meter; Termasuk listrik; AC; Kasur; Meja; Lemari Baju; Ventilasi; Bantal; Cleaning service; Guling; Kloset Jongkok; K. Mandi Luar; Ember mandi; Wastafel; Shower; WiFi; Penjaga Kos; R. Santai; CCTV; Balcon; Jual Makanan; Pengurus Kos; TV; Parkir Motor; Parkir Sepeda"/>
    <n v="950000"/>
    <s v="Rp950.000"/>
    <n v="0"/>
    <m/>
    <s v="Kos Putra"/>
    <m/>
    <m/>
  </r>
  <r>
    <s v="Kost Bude Tipe A Cimanggis Depok"/>
    <x v="1"/>
    <x v="114"/>
    <n v="9"/>
    <s v="3 x 3 meter"/>
    <s v="Tidak termasuk listrik"/>
    <s v=""/>
    <s v="N/A"/>
    <s v="3 x 3 meter; Tidak termasuk listrik; Kasur; Kulkas; Lemari Baju; Bantal; Dapur Pribadi; Guling; TV Kabel; Kloset Duduk; Kloset Jongkok; K. Mandi Luar; Ember mandi; Wastafel; Shower; Bak mandi; WiFi; R. Cuci; Mesin Cuci; R. Tamu; Mushola; R. Jemur; R. Makan; R. Santai; Dapur; Parkir Motor; Parkir Sepeda"/>
    <n v="800000"/>
    <s v="Rp800.000"/>
    <n v="0"/>
    <m/>
    <s v="Kos Campur"/>
    <m/>
    <m/>
  </r>
  <r>
    <s v="Kost Bulak Raya Tipe A Duren Sawit Jakarta Timur"/>
    <x v="8"/>
    <x v="115"/>
    <n v="9"/>
    <s v="3 x 3 meter"/>
    <s v="Tidak termasuk listrik"/>
    <s v=""/>
    <s v="N/A"/>
    <s v="3 x 3 meter; Tidak termasuk listrik; AC; Kulkas; Lemari Baju; Bantal; Jendela; Kipas Angin; Kursi; Kloset Duduk; Ember mandi; Shower; R. Cuci; Penjaga Kos; R. Jemur; Dapur; Dispenser; Jemuran; K. Mandi Luar; Parkir Motor"/>
    <n v="1200000"/>
    <s v="Rp1.200.000"/>
    <n v="0.17291666666666669"/>
    <d v="1899-12-30T04:09:00"/>
    <s v="Kos Putra"/>
    <m/>
    <m/>
  </r>
  <r>
    <s v="Kost Bumi 2 Executive Cikarang Selatan Bekasi"/>
    <x v="7"/>
    <x v="27"/>
    <n v="12"/>
    <s v="3 x 4 meter"/>
    <s v="Tidak termasuk listrik"/>
    <s v=""/>
    <s v="N/A"/>
    <s v="3 x 4 meter; Tidak termasuk listrik; AC; Kasur; Meja; Lemari Baju; Ventilasi; Bantal; Cermin; Guling; Jendela; Kursi; K. Mandi Dalam; Kloset Duduk; Shower; WiFi; Kulkas; Penjaga Kos; R. Santai; Dapur; Balcon; CCTV; Jemuran; Parkir Mobil; Parkir Motor"/>
    <n v="1500000"/>
    <s v="Rp1.500.000"/>
    <n v="0"/>
    <m/>
    <s v="Kos Campur"/>
    <m/>
    <m/>
  </r>
  <r>
    <s v="Kost Bumi Alam VVIP Babakan Madang Bogor"/>
    <x v="0"/>
    <x v="0"/>
    <n v="9"/>
    <s v="3 x 3 meter"/>
    <s v="Termasuk listrik (implied)"/>
    <s v=""/>
    <s v="N/A"/>
    <s v="3 x 3 meter; Termasuk listrik; AC; Kasur; Meja; Lemari Baju; Ventilasi; Bantal; Cermin; Guling; Jendela; Kloset Duduk; Kloset Jongkok; K. Mandi Luar; Ember mandi; Wastafel; Shower; WiFi; Kulkas; Penjaga Kos; R. Tamu; R. Santai; Dapur; Dispenser; Balcon; CCTV; Jemuran; Parkir Motor; Parkir Sepeda"/>
    <n v="1200000"/>
    <s v="Rp1.200.000"/>
    <n v="0"/>
    <m/>
    <s v="Kos Putri"/>
    <m/>
    <m/>
  </r>
  <r>
    <s v="Kost Bumi Executive Cikarang Selatan Bekasi"/>
    <x v="7"/>
    <x v="27"/>
    <n v="12"/>
    <s v="3 x 4 meter"/>
    <s v="Tidak termasuk listrik"/>
    <s v=""/>
    <s v="N/A"/>
    <s v="3 x 4 meter; Tidak termasuk listrik; AC; Kasur; Meja; Lemari Baju; Bantal; Cermin; Guling; Jendela; Kursi; K. Mandi Dalam; Kloset Duduk; Ember mandi; Shower; WiFi; Kulkas; Penjaga Kos; R. Santai; Dapur; Balcon; CCTV; Jual Makanan; Pengurus Kos; Rooftop; Parkir Mobil; Parkir Motor"/>
    <n v="1500000"/>
    <s v="Rp1.500.000"/>
    <n v="0.17222222222222225"/>
    <d v="1899-12-30T04:08:00"/>
    <s v="Kos Campur"/>
    <m/>
    <m/>
  </r>
  <r>
    <s v="Kost Bumi Mas Raya Tangerang"/>
    <x v="6"/>
    <x v="22"/>
    <n v="12"/>
    <s v="3 x 4 meter"/>
    <s v="Tidak termasuk listrik"/>
    <s v=""/>
    <s v="N/A"/>
    <s v="3 x 4 meter; Tidak termasuk listrik; AC; Kasur; Meja; Kulkas; Lemari Baju; Bantal; Cermin; Guling; Jendela; Kursi; K. Mandi Dalam; Kloset Duduk; Wastafel; Shower; WiFi; R. Tamu; R. Jemur; Dapur; Dispenser; Balcon; CCTV; Jemuran; Jual Makanan; Parkir Mobil; Parkir Motor"/>
    <n v="2000000"/>
    <s v="Rp2.000.000"/>
    <n v="0"/>
    <m/>
    <s v="Kos Putri"/>
    <m/>
    <m/>
  </r>
  <r>
    <s v="Kost Bumi Pelita Kencana Tipe B Pamulang Tangerang Selatan"/>
    <x v="2"/>
    <x v="54"/>
    <n v="9"/>
    <s v="3 x 3 meter"/>
    <s v="Tidak termasuk listrik"/>
    <s v=""/>
    <s v="N/A"/>
    <s v="3 x 3 meter; Tidak termasuk listrik; Kasur; Lemari Baju; Kloset Jongkok; K. Mandi Luar; Ember mandi; Bak mandi; WiFi; R. Cuci; Mesin Cuci; R. Jemur; Dapur; Parkir Motor; Parkir Sepeda"/>
    <n v="550000"/>
    <s v="Rp550.000"/>
    <n v="0.17222222222222225"/>
    <d v="1899-12-30T04:08:00"/>
    <s v="Kos Campur"/>
    <m/>
    <m/>
  </r>
  <r>
    <s v="Kost Bumina Azzahra 1 Tipe A Bojongsari Depok"/>
    <x v="1"/>
    <x v="11"/>
    <n v="7.5"/>
    <s v="3 x 2.5 meter"/>
    <s v="Tidak termasuk listrik"/>
    <s v=""/>
    <s v="N/A"/>
    <s v="3 x 2.5 meter; Tidak termasuk listrik; AC; Kasur; TV; Lemari Baju; Ventilasi; Bantal; Cermin; Jendela; Kursi; Guling; K. Mandi Dalam; Kloset Duduk; Ember mandi; Shower; WiFi; Kulkas; R. Tamu; Mushola; R. Makan; R. Jemur; Dapur; Dispenser; CCTV; Jemuran; Parkir Mobil; Parkir Motor; Parkir Sepeda"/>
    <n v="1100000"/>
    <s v="Rp1.100.000"/>
    <n v="0"/>
    <m/>
    <s v="Kos Putri"/>
    <m/>
    <m/>
  </r>
  <r>
    <s v="Kost Bun&amp;Bun Tipe Reguler Kelapa Gading Jakarta Utara"/>
    <x v="4"/>
    <x v="111"/>
    <n v="9"/>
    <s v="3 x 3 meter"/>
    <s v="Tidak termasuk listrik"/>
    <s v=""/>
    <s v="N/A"/>
    <s v="3 x 3 meter; Tidak termasuk listrik; AC; Kasur; Meja; Lemari Baju; Ventilasi; Bantal; Jendela; Kursi; K. Mandi Dalam; Kloset Duduk; Shower; WiFi; Kulkas; Penjaga Kos; R. Tamu; R. Jemur; Dapur; Dispenser; Balcon; Jemuran; Pengurus Kos; Parkir Mobil; Parkir Motor; Parkir Sepeda"/>
    <n v="1950000"/>
    <s v="Rp1.950.000"/>
    <n v="0.17013888888888887"/>
    <d v="1899-12-30T04:05:00"/>
    <s v="Kos Campur"/>
    <m/>
    <s v="Diskon 168rb"/>
  </r>
  <r>
    <s v="Kost Bunda Iin Tipe A Karawaci Tangerang"/>
    <x v="6"/>
    <x v="116"/>
    <n v="12"/>
    <s v="3 x 4 meter"/>
    <s v="Tidak termasuk listrik"/>
    <s v=""/>
    <s v="N/A"/>
    <s v="3 x 4 meter; Tidak termasuk listrik; Kasur; Lemari Baju; Ventilasi; Wastafel; Bantal; Jendela; K. Mandi Dalam; Kloset Duduk; Ember mandi; Shower; R. Jemur; Pengurus Kos; Jemuran; Parkir Motor"/>
    <n v="1000000"/>
    <s v="Rp1.000.000"/>
    <n v="0"/>
    <m/>
    <s v="Kos Putra"/>
    <m/>
    <m/>
  </r>
  <r>
    <s v="Kost Bunda Ratu Karang Tengah Tangerang"/>
    <x v="6"/>
    <x v="26"/>
    <n v="12"/>
    <s v="3 x 4 meter"/>
    <s v="Termasuk listrik (implied)"/>
    <s v=""/>
    <s v="N/A"/>
    <s v="3 x 4 meter; Termasuk listrik; Kasur; Meja; Lemari Baju; Ventilasi; Bantal; Cermin; Guling; Kloset Jongkok; K. Mandi Luar; Ember mandi; WiFi; Penjaga Kos; R. Jemur; Mushola; Dapur; Balcon; Pengurus Kos; CCTV; Parkir Motor"/>
    <n v="800000"/>
    <s v="Rp800.000"/>
    <n v="0.16666666666666666"/>
    <d v="1899-12-30T04:00:00"/>
    <s v="Kos Campur"/>
    <m/>
    <m/>
  </r>
  <r>
    <s v="Kost Burgundy 2 VIP Palmerah Jakarta Barat"/>
    <x v="3"/>
    <x v="104"/>
    <n v="10.5"/>
    <s v="3 x 3.5 meter"/>
    <s v="Tidak termasuk listrik"/>
    <s v=""/>
    <s v="N/A"/>
    <s v="3 x 3.5 meter; Tidak termasuk listrik; AC; Kasur; Meja; Dispenser; Meja Rias; TV; Lemari Baju; Kulkas; Ventilasi; Bantal; K. Mandi Dalam; Kloset Duduk; Wastafel; Ember mandi; Shower; Air panas; WiFi; R. Cuci; Laundry; Penjaga Kos; Mesin Cuci; R. Tamu; R. Jemur; R. Makan; R. Santai; Parkir Motor; Parkir Sepeda; Parkir Motor &amp; Sepeda"/>
    <n v="2599999"/>
    <s v="Rp2.599.999"/>
    <n v="0.20833333333333334"/>
    <d v="1899-12-30T05:00:00"/>
    <s v="Kos Campur"/>
    <m/>
    <m/>
  </r>
  <r>
    <s v="Kost Bvly Safehouse CoLiving Pet Friendly Deluxe Studio Cikarang Selatan Bekasi"/>
    <x v="7"/>
    <x v="27"/>
    <n v="16"/>
    <s v="4 x 4 meter"/>
    <s v="Tidak termasuk listrik"/>
    <s v=""/>
    <s v="N/A"/>
    <s v="4 x 4 meter; Tidak termasuk listrik; AC; Kasur; Meja; TV; Lemari Baju; Kulkas; Bantal; Cermin; Dapur Pribadi; Jendela; K. Mandi Dalam; Kloset Duduk; Shower; Air panas; WiFi; Dispenser; CCTV; Taman; Locker; Parkir Mobil; Parkir Motor; Parkir Sepeda"/>
    <n v="2800000"/>
    <s v="Rp2.800.000"/>
    <n v="0.20833333333333334"/>
    <d v="1899-12-30T05:00:00"/>
    <s v="Kos Campur"/>
    <m/>
    <m/>
  </r>
  <r>
    <s v="Kost Bvly Safehouse CoLiving Pet Friendly Double Bed Cikarang Selatan Bekasi"/>
    <x v="7"/>
    <x v="27"/>
    <n v="16"/>
    <s v="4 x 4 meter"/>
    <s v="Tidak termasuk listrik"/>
    <s v=""/>
    <s v="N/A"/>
    <s v="4 x 4 meter; Tidak termasuk listrik; AC; Kasur; Meja; Lemari Baju; Kulkas; Bantal; Cermin; Dapur Pribadi; Jendela; Wastafel; K. Mandi Dalam; Kloset Duduk; Shower; Air panas; WiFi; CCTV; Taman; Locker; Parkir Mobil; Parkir Motor; Parkir Sepeda"/>
    <n v="3500000"/>
    <s v="Rp3.500.000"/>
    <n v="0.20833333333333334"/>
    <d v="1899-12-30T05:00:00"/>
    <s v="Kos Campur"/>
    <m/>
    <m/>
  </r>
  <r>
    <s v="Kost Bvly Safehouse CoLiving Tipe Pet Friendly Compact Studio Single Cikarang Selatan Bekasi"/>
    <x v="7"/>
    <x v="27"/>
    <n v="8.8000000000000007"/>
    <s v="2.2 x 4 meter"/>
    <s v="Tidak termasuk listrik"/>
    <s v=""/>
    <s v="N/A"/>
    <s v="2.2 x 4 meter; Tidak termasuk listrik; AC; Kasur; Meja; Lemari Baju; Bantal; Dapur Pribadi; Jendela; Kursi; Cermin; K. Mandi Dalam; Kloset Duduk; Shower; Air panas; WiFi; CCTV; Taman; Locker; Parkir Motor; Parkir Sepeda"/>
    <n v="1750000"/>
    <s v="Rp1.750.000"/>
    <n v="0.17222222222222225"/>
    <d v="1899-12-30T04:08:00"/>
    <s v="Kos Campur"/>
    <m/>
    <m/>
  </r>
  <r>
    <s v="Kost Bvly Safehouse CoLiving Velvet Studio Cikarang Selatan Bekasi"/>
    <x v="7"/>
    <x v="27"/>
    <n v="9"/>
    <s v="3 x 3 meter"/>
    <s v="Tidak termasuk listrik"/>
    <s v=""/>
    <s v="N/A"/>
    <s v="3 x 3 meter; Tidak termasuk listrik; AC; Kasur; Meja; TV; Kulkas; Cermin; Dapur Pribadi; Wastafel; Jendela; K. Mandi Dalam; Kloset Duduk; Shower; Air panas; WiFi; Dispenser; CCTV; Taman; Locker; Parkir Mobil; Parkir Motor; Parkir Sepeda"/>
    <n v="2500000"/>
    <s v="Rp2.500.000"/>
    <n v="0"/>
    <m/>
    <s v="Kos Campur"/>
    <m/>
    <m/>
  </r>
  <r>
    <s v="Kost By The River 01 Tipe VIP Ciampea Bogor"/>
    <x v="0"/>
    <x v="117"/>
    <n v="9"/>
    <s v="3 x 3 meter"/>
    <s v="Tidak termasuk listrik"/>
    <s v=""/>
    <s v="N/A"/>
    <s v="3 x 3 meter; Tidak termasuk listrik; AC; Kasur; Meja; Lemari Baju; Ventilasi; Bantal; Cermin; Cleaning service; Jendela; Kursi; K. Mandi Dalam; Kloset Duduk; Kloset Jongkok; Wastafel; Shower; WiFi; Kulkas; R. Cuci; Laundry; Penjaga Kos; R. Tamu; Mesin Cuci; R. Jemur; R. Makan; R. Santai; Parkir Mobil; Parkir Motor; Parkir Sepeda"/>
    <n v="1550000"/>
    <s v="Rp1.550.000"/>
    <n v="0"/>
    <m/>
    <s v="Kos Putri"/>
    <m/>
    <m/>
  </r>
  <r>
    <s v="Kost C280 Tipe A Cikarang Selatan Bekasi"/>
    <x v="7"/>
    <x v="27"/>
    <n v="9"/>
    <s v="3 x 3 meter"/>
    <s v="Tidak termasuk listrik"/>
    <s v=""/>
    <s v="N/A"/>
    <s v="3 x 3 meter; Tidak termasuk listrik; AC; Kasur; Meja; Lemari Baju; Ventilasi; Kursi; Cleaning service; Bantal; Cermin; Guling; K. Mandi Dalam; Kloset Duduk; Ember mandi; Shower; WiFi; R. Cuci; Kulkas; R. Tamu; Laundry; Penjaga Kos; R. Makan; R. Jemur; R. Santai; Dapur; Parkir Mobil; Parkir Motor; Parkir Sepeda; Parkir Motor &amp; Sepeda"/>
    <n v="1300000"/>
    <s v="Rp1.300.000"/>
    <n v="0.17291666666666669"/>
    <d v="1899-12-30T04:09:00"/>
    <s v="Kos Campur"/>
    <m/>
    <m/>
  </r>
  <r>
    <s v="Kost C280 Tipe B Cikarang Selatan Bekasi"/>
    <x v="7"/>
    <x v="27"/>
    <n v="12"/>
    <s v="3 x 4 meter"/>
    <s v="Termasuk listrik (implied)"/>
    <s v=""/>
    <s v="N/A"/>
    <s v="3 x 4 meter; Termasuk listrik; AC; Kasur; Meja; TV; Lemari Baju; Ventilasi; Kursi; Cleaning service; TV Kabel; Bantal; K. Mandi Dalam; Kloset Duduk; Shower; WiFi; R. Cuci; Kulkas; R. Tamu; R. Makan; R. Jemur; R. Santai; Dapur; Dispenser; Parkir Mobil; Parkir Motor; Parkir Sepeda"/>
    <n v="1700000"/>
    <s v="Rp1.700.000"/>
    <n v="0.20833333333333334"/>
    <d v="1899-12-30T05:00:00"/>
    <s v="Kos Campur"/>
    <m/>
    <m/>
  </r>
  <r>
    <s v="Kost C280 Tipe C Cikarang Selatan Bekasi"/>
    <x v="7"/>
    <x v="27"/>
    <n v="20"/>
    <s v="4 x 5 meter"/>
    <s v="Tidak termasuk listrik"/>
    <s v=""/>
    <s v="N/A"/>
    <s v="4 x 5 meter; Tidak termasuk listrik; AC; Kasur; Meja; Dispenser; Lemari Baju; Ventilasi; Kursi; Cleaning service; TV Kabel; Bantal; K. Mandi Dalam; Kloset Duduk; Ember mandi; Shower; WiFi; R. Cuci; Kulkas; R. Tamu; Laundry; Penjaga Kos; R. Makan; R. Jemur; R. Santai; Dapur; Parkir Mobil; Parkir Motor; Parkir Sepeda"/>
    <n v="1800000"/>
    <s v="Rp1.800.000"/>
    <n v="0.17222222222222225"/>
    <d v="1899-12-30T04:08:00"/>
    <s v="Kos Campur"/>
    <m/>
    <m/>
  </r>
  <r>
    <s v="Kost C280 Tipe C Cikarang Selatan Bekasi"/>
    <x v="7"/>
    <x v="27"/>
    <n v="20"/>
    <s v="4 x 5 meter"/>
    <s v="Tidak termasuk listrik"/>
    <s v=""/>
    <s v="N/A"/>
    <s v="4 x 5 meter; Tidak termasuk listrik; AC; Kasur; Meja; Dispenser; Lemari Baju; Ventilasi; Kursi; Cleaning service; TV Kabel; Bantal; K. Mandi Dalam; Kloset Duduk; Ember mandi; Shower"/>
    <n v="1800000"/>
    <s v="Rp1.800.000"/>
    <n v="0.17222222222222225"/>
    <d v="1899-12-30T04:08:00"/>
    <s v="Kos Campur"/>
    <m/>
    <m/>
  </r>
  <r>
    <s v="Kost C280 Tipe D Cikarang Selatan Bekasi"/>
    <x v="7"/>
    <x v="27"/>
    <n v="9"/>
    <s v="3 x 3 meter"/>
    <s v="Tidak termasuk listrik"/>
    <s v=""/>
    <s v="N/A"/>
    <s v="3 x 3 meter; Tidak termasuk listrik; AC; Kasur; Meja; Lemari Baju; Ventilasi; Bantal; Cermin; Jendela; Kursi; K. Mandi Dalam; Kloset Duduk; Ember mandi; Shower; WiFi; Kulkas; R. Cuci; Penjaga Kos; R. Tamu; Laundry; R. Jemur; R. Makan; R. Santai; Dapur; Parkir Mobil; Parkir Motor; Parkir Sepeda; Parkir Motor &amp; Sepeda"/>
    <n v="1400000"/>
    <s v="Rp1.400.000"/>
    <n v="0"/>
    <m/>
    <s v="Kos Campur"/>
    <m/>
    <m/>
  </r>
  <r>
    <s v="Kost C3 Adrian VVIP Cikarang Pusat Bekasi"/>
    <x v="7"/>
    <x v="100"/>
    <n v="12"/>
    <s v="3 x 4 meter"/>
    <s v="Tidak termasuk listrik"/>
    <s v=""/>
    <s v="N/A"/>
    <s v="3 x 4 meter; Tidak termasuk listrik; AC; Kasur; Lemari Baju; Ventilasi; Bantal; Jendela; Wastafel; K. Mandi Dalam; Kloset Duduk; Shower; Air panas; WiFi; Kulkas; R. Cuci; Mesin Cuci; Dapur; Pengurus Kos; Taman; Parkir Mobil; Parkir Motor; Parkir Sepeda; Parkir Motor &amp; Sepeda"/>
    <n v="1800000"/>
    <s v="Rp1.800.000"/>
    <n v="0"/>
    <m/>
    <s v="Kos Putra"/>
    <m/>
    <m/>
  </r>
  <r>
    <s v="Kost C3 Aegis VVIP Executive Cikarang Selatan Bekasi"/>
    <x v="7"/>
    <x v="27"/>
    <n v="16"/>
    <s v="4 x 4 meter"/>
    <s v="Tidak termasuk listrik"/>
    <s v=""/>
    <s v="N/A"/>
    <s v="4 x 4 meter; Tidak termasuk listrik; AC; Kasur; Lemari Baju; Ventilasi; Bantal; Jendela; Wastafel; K. Mandi Dalam; Kloset Duduk; Shower; Air panas"/>
    <n v="1800000"/>
    <s v="Rp1.800.000"/>
    <n v="0"/>
    <m/>
    <s v="Kos Putri"/>
    <m/>
    <m/>
  </r>
  <r>
    <s v="Kost C3 Beverly Cikarang Selatan Bekasi"/>
    <x v="7"/>
    <x v="27"/>
    <n v="13.5"/>
    <s v="3 x 4.5 meter"/>
    <s v="Tidak termasuk listrik"/>
    <s v=""/>
    <s v="N/A"/>
    <s v="3 x 4.5 meter; Tidak termasuk listrik; AC; Kasur; Lemari Baju; Ventilasi; Bantal; Guling; Jendela; Kloset Duduk; Kloset Jongkok; K. Mandi Luar; Shower; Air panas; WiFi; Kulkas; R. Cuci; Mesin Cuci; R. Tamu; R. Jemur; Dapur; Jemuran; Pengurus Kos; Parkir Mobil; Parkir Motor; Parkir Sepeda"/>
    <n v="1200000"/>
    <s v="Rp1.200.000"/>
    <n v="0.16944444444444443"/>
    <d v="1899-12-30T04:04:00"/>
    <s v="Kos Campur"/>
    <m/>
    <m/>
  </r>
  <r>
    <s v="Kost C3 Calgary Tipe A Cikarang Pusat Bekasi"/>
    <x v="7"/>
    <x v="100"/>
    <n v="12"/>
    <s v="3 x 4 meter"/>
    <s v="Tidak termasuk listrik"/>
    <s v=""/>
    <s v="N/A"/>
    <s v="3 x 4 meter; Tidak termasuk listrik; AC; Kasur; Lemari Baju; Ventilasi; Bantal; Cermin; Jendela; Kloset Duduk; Shower; Air panas; WiFi; Kulkas; Mesin Cuci; R. Jemur; Dapur; Dispenser; Jemuran; K. Mandi Luar; Kartu Akses; Pengurus Kos; Parkir Mobil; Parkir Motor; Parkir Sepeda"/>
    <n v="1600000"/>
    <s v="Rp1.600.000"/>
    <n v="0"/>
    <m/>
    <s v="Kos Putri"/>
    <m/>
    <m/>
  </r>
  <r>
    <s v="Kost C3 Fei Fei Excecutive Cikarang Pusat Bekasi"/>
    <x v="7"/>
    <x v="118"/>
    <n v="12"/>
    <s v="3 x 4 meter"/>
    <s v="Tidak termasuk listrik"/>
    <s v=""/>
    <s v="N/A"/>
    <s v="3 x 4 meter; Tidak termasuk listrik; AC; Kasur; Lemari Baju; Ventilasi; Bantal; Guling; Jendela; K. Mandi Dalam; Kloset Duduk; Shower; Air panas; WiFi; Kulkas; R. Cuci; Mesin Cuci; R. Jemur; Dapur; Balcon; Jemuran; Kartu Akses; Pengurus Kos; Parkir Mobil; Parkir Motor; Parkir Sepeda; Parkir Motor &amp; Sepeda"/>
    <n v="1900000"/>
    <s v="Rp1.900.000"/>
    <n v="0"/>
    <m/>
    <s v="Kos Putra"/>
    <m/>
    <m/>
  </r>
  <r>
    <s v="Kost C3 Greenleaf Tipe A Cikarang Pusat Bekasi"/>
    <x v="7"/>
    <x v="100"/>
    <n v="12"/>
    <s v="3 x 4 meter"/>
    <s v="Tidak termasuk listrik"/>
    <s v=""/>
    <s v="N/A"/>
    <s v="3 x 4 meter; Tidak termasuk listrik; AC; Kasur; Meja; Kulkas; Lemari Baju; Ventilasi; Jendela; Kloset Duduk; K. Mandi Luar; Wastafel; Shower; WiFi; Mesin Cuci; Jemuran; Pengurus Kos; Taman; Parkir Mobil; Parkir Motor; Parkir Sepeda"/>
    <n v="1500000"/>
    <s v="Rp1.500.000"/>
    <n v="0.17013888888888887"/>
    <d v="1899-12-30T04:05:00"/>
    <s v="Kos Putra"/>
    <m/>
    <m/>
  </r>
  <r>
    <s v="Kost C3 Himalaya VVIP Cikarang Pusat Bekasi"/>
    <x v="7"/>
    <x v="100"/>
    <n v="12"/>
    <s v="3 x 4 meter"/>
    <s v="Tidak termasuk listrik"/>
    <s v=""/>
    <s v="N/A"/>
    <s v="3 x 4 meter; Tidak termasuk listrik; AC; Kasur; Lemari Baju; Ventilasi; Bantal; Guling; Jendela; Wastafel; K. Mandi Dalam; Kloset Duduk; Shower; Air panas; WiFi; Kulkas; R. Cuci; Mesin Cuci; R. Tamu; R. Jemur; Dapur; CCTV; Jemuran; Jual Makanan; Parkir Mobil; Parkir Motor; Parkir Sepeda; Parkir Motor &amp; Sepeda"/>
    <n v="1700000"/>
    <s v="Rp1.700.000"/>
    <n v="0"/>
    <m/>
    <s v="Kos Putra"/>
    <m/>
    <m/>
  </r>
  <r>
    <s v="Kost C3 Mustika Langkawi VVIP Cikarang Pusat Bekasi"/>
    <x v="7"/>
    <x v="100"/>
    <n v="12"/>
    <s v="3 x 4 meter"/>
    <s v="Tidak termasuk listrik"/>
    <s v=""/>
    <s v="N/A"/>
    <s v="3 x 4 meter; Tidak termasuk listrik; AC; Kasur; Lemari Baju; Ventilasi; Bantal; Guling; Jendela; Wastafel; K. Mandi Dalam; Kloset Duduk; Shower; Air panas; WiFi; Kulkas; R. Cuci; Mesin Cuci; R. Tamu; R. Jemur; R. Makan; Dapur; Jemuran; Pengurus Kos; Parkir Mobil; Parkir Motor; Parkir Sepeda"/>
    <n v="1900000"/>
    <s v="Rp1.900.000"/>
    <n v="0"/>
    <m/>
    <s v="Kos Putri"/>
    <m/>
    <m/>
  </r>
  <r>
    <s v="Kost C3 Pipin Executive Cikarang Pusat Bekasi"/>
    <x v="7"/>
    <x v="100"/>
    <n v="12"/>
    <s v="3 x 4 meter"/>
    <s v="Tidak termasuk listrik"/>
    <s v=""/>
    <s v="N/A"/>
    <s v="3 x 4 meter; Tidak termasuk listrik; AC; Kasur; Lemari Baju; Ventilasi; Jendela; Wastafel; K. Mandi Dalam; Kloset Duduk; Shower; Air panas; WiFi; Kulkas; Mesin Cuci; R. Tamu; R. Jemur; R. Santai; Dapur; Balcon; Jemuran; Pengurus Kos; Parkir Mobil; Parkir Motor; Parkir Sepeda"/>
    <n v="1900000"/>
    <s v="Rp1.900.000"/>
    <n v="0"/>
    <m/>
    <s v="Kos Putri"/>
    <m/>
    <m/>
  </r>
  <r>
    <s v="Kost C3 Rangga Langkawi VVIP Cikarang Pusat Bekasi"/>
    <x v="7"/>
    <x v="100"/>
    <n v="12"/>
    <s v="3 x 4 meter"/>
    <s v="Tidak termasuk listrik"/>
    <s v=""/>
    <s v="N/A"/>
    <s v="3 x 4 meter; Tidak termasuk listrik; AC; Kasur; Lemari Baju; Ventilasi; Bantal; Jendela; Wastafel; K. Mandi Dalam; Kloset Duduk; Shower; Air panas; WiFi; Kulkas; R. Cuci; Mesin Cuci; R. Tamu; R. Makan; R. Santai; Dapur; Jemuran; Pengurus Kos; Parkir Mobil; Parkir Motor; Parkir Sepeda; Parkir Motor &amp; Sepeda"/>
    <n v="1800000"/>
    <s v="Rp1.800.000"/>
    <n v="0"/>
    <m/>
    <s v="Kos Putra"/>
    <m/>
    <m/>
  </r>
  <r>
    <s v="Kost C3 Sinar Agung VVIP Cikarang Pusat Bekasi"/>
    <x v="7"/>
    <x v="118"/>
    <n v="12"/>
    <s v="3 x 4 meter"/>
    <s v="Tidak termasuk listrik"/>
    <s v=""/>
    <s v="N/A"/>
    <s v="3 x 4 meter; Tidak termasuk listrik; AC; Kasur; Kulkas; Lemari Baju; Ventilasi; Jendela; Wastafel; K. Mandi Dalam; Kloset Duduk; Shower; Air panas; WiFi; R. Cuci; Mesin Cuci; Dapur; Jemuran; Pengurus Kos; Parkir Mobil; Parkir Motor; Parkir Motor &amp; Sepeda"/>
    <n v="1700000"/>
    <s v="Rp1.700.000"/>
    <n v="0"/>
    <m/>
    <s v="Kos Putri"/>
    <m/>
    <m/>
  </r>
  <r>
    <s v="Kost C3 Vero VVIP Cikarang Pusat Bekasi"/>
    <x v="7"/>
    <x v="100"/>
    <n v="12"/>
    <s v="3 x 4 meter"/>
    <s v="Tidak termasuk listrik"/>
    <s v=""/>
    <s v="N/A"/>
    <s v="3 x 4 meter; Tidak termasuk listrik; AC; Kasur; Lemari Baju; Ventilasi; Bantal; Jendela; Wastafel; K. Mandi Dalam; Kloset Duduk; Shower; Air panas; WiFi; Kulkas; R. Cuci; Mesin Cuci; R. Jemur; Dapur; Jemuran; Pengurus Kos; R. Keluarga; Taman; Parkir Mobil; Parkir Motor; Parkir Sepeda; Parkir Motor &amp; Sepeda"/>
    <n v="1700000"/>
    <s v="Rp1.700.000"/>
    <n v="0"/>
    <m/>
    <s v="Kos Putra"/>
    <m/>
    <m/>
  </r>
  <r>
    <s v="Kost C3 Verona VVIP Cikarang Pusat Bekasi"/>
    <x v="7"/>
    <x v="100"/>
    <n v="12"/>
    <s v="3 x 4 meter"/>
    <s v="Tidak termasuk listrik"/>
    <s v=""/>
    <s v="N/A"/>
    <s v="3 x 4 meter; Tidak termasuk listrik; AC; Kasur; Lemari Baju; Ventilasi; Bantal; Wastafel; K. Mandi Dalam; Kloset Duduk; Shower; Air panas; WiFi; Kulkas; Mesin Cuci; Dapur; Pengurus Kos; Parkir Mobil; Parkir Motor"/>
    <n v="1700000"/>
    <s v="Rp1.700.000"/>
    <n v="0"/>
    <m/>
    <s v="Kos Putri"/>
    <m/>
    <m/>
  </r>
  <r>
    <s v="Kost C3 VVIP Syariah Cikarang Selatan Bekasi"/>
    <x v="7"/>
    <x v="27"/>
    <n v="18"/>
    <s v="3 x 6 meter"/>
    <s v="Tidak termasuk listrik"/>
    <s v=""/>
    <s v="N/A"/>
    <s v="3 x 6 meter; Tidak termasuk listrik; AC; Kasur; Lemari Baju; Ventilasi; Bantal; Cermin; Guling; Jendela; K. Mandi Dalam; Kloset Duduk; Shower; Air panas; WiFi; Kulkas; Mesin Cuci; Dapur; Dispenser; Parkir Mobil; Parkir Motor"/>
    <n v="1700000"/>
    <s v="Rp1.700.000"/>
    <n v="0"/>
    <m/>
    <s v="Kos Putri"/>
    <m/>
    <m/>
  </r>
  <r>
    <s v="Kost Cabin By Don Juan Cakung Jakarta Timur"/>
    <x v="8"/>
    <x v="119"/>
    <n v="9"/>
    <s v="3 x 3 meter"/>
    <s v="Termasuk listrik (implied)"/>
    <s v=""/>
    <s v="N/A"/>
    <s v="3 x 3 meter; Termasuk listrik; AC; Kasur; Meja; TV; Lemari Baju; Ventilasi; Bantal; Cermin; Cleaning service; Jendela; K. Mandi Dalam; Kloset Duduk; Shower; WiFi; Kulkas; Laundry; R. Tamu; R. Makan; Dapur; CCTV; Jemuran; Jual Makanan; Kartu Akses; Parkir Motor; Parkir Sepeda; Parkir Motor &amp; Sepeda"/>
    <n v="1399000"/>
    <s v="Rp1.399.000"/>
    <n v="0.20833333333333334"/>
    <d v="1899-12-30T05:00:00"/>
    <s v="Kos Campur"/>
    <m/>
    <m/>
  </r>
  <r>
    <s v="Kost Cahaya Dramaga Bogor"/>
    <x v="0"/>
    <x v="23"/>
    <n v="6"/>
    <s v="2 x 3 meter"/>
    <s v="Termasuk listrik (implied)"/>
    <s v=""/>
    <s v="N/A"/>
    <s v="2 x 3 meter; Termasuk listrik; Kasur; Lemari Baju; Kulkas; Bantal; Kipas Angin; Wastafel; Kloset Jongkok; K. Mandi Luar; Ember mandi; WiFi; R. Jemur; R. Santai; Dapur; CCTV; Jemuran; Parkir Motor"/>
    <n v="600000"/>
    <s v="Rp600.000"/>
    <n v="0.17291666666666669"/>
    <d v="1899-12-30T04:09:00"/>
    <s v="Kos Putri"/>
    <m/>
    <s v="Diskon 52rb"/>
  </r>
  <r>
    <s v="Kost Cahtrin Juliana Tipe A Kelapa Gading Jakarta Utara"/>
    <x v="4"/>
    <x v="111"/>
    <n v="6"/>
    <s v="2 x 3 meter"/>
    <s v="Termasuk listrik (implied)"/>
    <s v=""/>
    <s v="N/A"/>
    <s v="2 x 3 meter; Termasuk listrik; AC; Kasur; Meja; Dispenser; Lemari Baju; Kursi; Wastafel; Kipas Angin; Cleaning service; Bantal; K. Mandi Dalam; Kloset Duduk; K. Mandi Luar; Ember mandi; Shower; WiFi; R. Cuci; Kulkas; Mesin Cuci; Penjaga Kos; R. Jemur; Dapur; Balcon; Parkir Motor; Parkir Sepeda"/>
    <n v="1800000"/>
    <s v="Rp1.800.000"/>
    <n v="0"/>
    <m/>
    <s v="Kos Campur"/>
    <m/>
    <m/>
  </r>
  <r>
    <s v="Kost Cahyani Tipe A Cibungbulang Bogor"/>
    <x v="0"/>
    <x v="120"/>
    <n v="27"/>
    <s v="9 x 3 meter"/>
    <s v="Termasuk listrik (implied)"/>
    <s v=""/>
    <s v="N/A"/>
    <s v="9 x 3 meter; Termasuk listrik; Kasur; Meja; Lemari Baju; Bantal; Jendela; Kursi; K. Mandi Dalam; Kloset Jongkok; Ember mandi; WiFi; R. Tamu; R. Jemur; R. Santai; Dapur; Balcon; CCTV; Jemuran; Jual Makanan; Pengurus Kos; Parkir Motor &amp; Sepeda"/>
    <n v="800000"/>
    <s v="Rp800.000"/>
    <n v="0"/>
    <m/>
    <s v="Kos Putri"/>
    <m/>
    <m/>
  </r>
  <r>
    <s v="Kost Cajuputi Kamar C101 Sawah Besar Jakarta Pusat"/>
    <x v="9"/>
    <x v="59"/>
    <n v="5.52"/>
    <s v="2.4 x 2.3 meter"/>
    <s v="Termasuk listrik (implied)"/>
    <s v=""/>
    <s v="N/A"/>
    <s v="2.4 x 2.3 meter; Termasuk listrik; Kasur; Meja; Lemari Baju; Bantal; Cermin; K. Mandi Dalam; Kloset Duduk; Wastafel; Shower; WiFi; Kulkas; Dapur; Parkir Motor"/>
    <n v="1500000"/>
    <s v="Rp1.500.000"/>
    <n v="0.17222222222222225"/>
    <d v="1899-12-30T04:08:00"/>
    <s v="Kos Campur"/>
    <m/>
    <s v="Diskon 68rb"/>
  </r>
  <r>
    <s v="Kost Cajuputi Kamar C102 Sawah Besar Jakarta Pusat"/>
    <x v="9"/>
    <x v="59"/>
    <n v="5.52"/>
    <s v="2.3 x 2.4 meter"/>
    <s v="Termasuk listrik (implied)"/>
    <s v=""/>
    <s v="N/A"/>
    <s v="2.3 x 2.4 meter; Termasuk listrik; Kasur; Meja; Lemari Baju; Bantal; Cermin; Guling; K. Mandi Dalam; Kloset Duduk; Wastafel; Shower; WiFi; Kulkas; Dapur; Parkir Motor"/>
    <n v="1500000"/>
    <s v="Rp1.500.000"/>
    <n v="0.17222222222222225"/>
    <d v="1899-12-30T04:08:00"/>
    <s v="Kos Campur"/>
    <m/>
    <s v="Diskon 68rb"/>
  </r>
  <r>
    <s v="Kost Cajuputi Tipe B202 Sawah Besar Jakarta Pusat"/>
    <x v="9"/>
    <x v="59"/>
    <n v="9"/>
    <s v="3 x 3 meter"/>
    <s v="Termasuk listrik (implied)"/>
    <s v=""/>
    <s v="N/A"/>
    <s v="3 x 3 meter; Termasuk listrik; AC; Kasur; Meja; Lemari Baju; Bantal; Cermin; Guling; Kursi; Kloset Duduk; K. Mandi Luar; Wastafel; Shower; WiFi; Kulkas; Dapur; Parkir Motor"/>
    <n v="2200000"/>
    <s v="Rp2.200.000"/>
    <n v="0.20833333333333334"/>
    <d v="1899-12-30T05:00:00"/>
    <s v="Kos Campur"/>
    <m/>
    <s v="Diskon 110rb"/>
  </r>
  <r>
    <s v="Kost Calla Coliving Tipe Deluxe Karang Tengah Tangerang"/>
    <x v="6"/>
    <x v="121"/>
    <n v="28"/>
    <s v="7 x 4 meter"/>
    <s v="Tidak termasuk listrik"/>
    <s v=""/>
    <s v="N/A"/>
    <s v="7 x 4 meter; Tidak termasuk listrik; AC; Kasur; Meja; Meja Rias; TV; Lemari Baju; Ventilasi; Bantal; Cermin; Cleaning service; K. Mandi Dalam; Kloset Duduk; Wastafel; Shower; Air panas; WiFi; Kulkas; Penjaga Kos; R. Tamu; R. Jemur; R. Makan; R. Santai; Dapur; Dispenser; Balcon; Parkir Mobil; Parkir Motor; Parkir Sepeda; Parkir Motor &amp; Sepeda"/>
    <n v="2900000"/>
    <s v="Rp2.900.000"/>
    <n v="0"/>
    <m/>
    <s v="Kos Campur"/>
    <m/>
    <m/>
  </r>
  <r>
    <s v="Kost Casa 36 Tipe A1 Beji Depok"/>
    <x v="1"/>
    <x v="15"/>
    <n v="12"/>
    <s v="3 x 4 meter"/>
    <s v="Tidak termasuk listrik"/>
    <s v=""/>
    <s v="N/A"/>
    <s v="3 x 4 meter; Tidak termasuk listrik; AC; Kasur; Meja; Lemari Baju; Ventilasi; Bantal; Cermin; Guling; Jendela; Kursi; K. Mandi Dalam; Kloset Duduk; Wastafel; Shower; WiFi; Kulkas; Penjaga Kos; R. Tamu; R. Santai; TV; Taman; Parkir Mobil; Parkir Motor; Parkir Sepeda"/>
    <n v="1400000"/>
    <s v="Rp1.400.000"/>
    <n v="0.17013888888888887"/>
    <d v="1899-12-30T04:05:00"/>
    <s v="Kos Putra"/>
    <m/>
    <m/>
  </r>
  <r>
    <s v="Kost Casa 36 Tipe B2 Beji Depok"/>
    <x v="1"/>
    <x v="15"/>
    <n v="12"/>
    <s v="3 x 4 meter"/>
    <s v="Tidak termasuk listrik"/>
    <s v=""/>
    <s v="N/A"/>
    <s v="3 x 4 meter; Tidak termasuk listrik; AC; Kasur; Meja; Lemari Baju; Ventilasi; Bantal; Cermin; Guling; Jendela; Kursi; K. Mandi Dalam; Kloset Duduk; Wastafel; Shower; WiFi; Kulkas; Penjaga Kos; R. Tamu; R. Santai; TV; Taman; Parkir Mobil; Parkir Motor; Parkir Sepeda"/>
    <n v="1300000"/>
    <s v="Rp1.300.000"/>
    <n v="0.16874999999999998"/>
    <d v="1899-12-30T04:03:00"/>
    <s v="Kos Putra"/>
    <m/>
    <m/>
  </r>
  <r>
    <s v="Kost Casa De Angel Tipe Deluxe Cimanggis Depok"/>
    <x v="1"/>
    <x v="46"/>
    <n v="12"/>
    <s v="3 x 4 meter"/>
    <s v="Tidak termasuk listrik"/>
    <s v=""/>
    <s v="N/A"/>
    <s v="3 x 4 meter; Tidak termasuk listrik; AC; Kasur; Meja Rias; TV; Lemari Baju; Ventilasi; Bantal; Cermin; Cleaning service; Jendela; K. Mandi Dalam; Kloset Duduk; Shower; Air panas; WiFi; Kulkas; R. Cuci; Mesin Cuci; Penjaga Kos; R. Tamu; R. Jemur; R. Makan; R. Santai; Dapur; Parkir Mobil; Parkir Motor; Parkir Sepeda; Parkir Motor &amp; Sepeda"/>
    <n v="1600000"/>
    <s v="Rp1.600.000"/>
    <n v="0"/>
    <m/>
    <s v="Kos Putri"/>
    <m/>
    <m/>
  </r>
  <r>
    <s v="Kost Casa De Beverly Executive Benda Tangerang"/>
    <x v="6"/>
    <x v="122"/>
    <n v="12"/>
    <s v="3 x 4 meter"/>
    <s v="Tidak termasuk listrik"/>
    <s v=""/>
    <s v="N/A"/>
    <s v="3 x 4 meter; Tidak termasuk listrik; AC; Kasur; Dispenser; Lemari Baju; Ventilasi; Cermin; Guling; Jendela; Bantal; K. Mandi Dalam; Kloset Duduk; Shower; Air panas; WiFi; R. Cuci; Penjaga Kos; R. Jemur; Dapur; CCTV; Jemuran; Pengurus Kos; Rice Cooker; Parkir Mobil; Parkir Motor &amp; Sepeda"/>
    <n v="1900000"/>
    <s v="Rp1.900.000"/>
    <n v="0.20833333333333334"/>
    <d v="1899-12-30T05:00:00"/>
    <s v="Kos Campur"/>
    <m/>
    <s v="Diskon 95rb"/>
  </r>
  <r>
    <s v="Kost Casa De Louvre 9 Tipe A Cikarang Selatan Bekasi"/>
    <x v="7"/>
    <x v="27"/>
    <n v="7.5"/>
    <s v="2.5 x 3 meter"/>
    <s v="Tidak termasuk listrik"/>
    <s v=""/>
    <s v="N/A"/>
    <s v="2.5 x 3 meter; Tidak termasuk listrik; AC; Kasur; Meja; Meja Rias; TV; Lemari Baju; Ventilasi; Bantal; Cermin; Cleaning service; Kloset Duduk; K. Mandi Luar; Wastafel; Shower; Air panas; WiFi; Kulkas; Laundry; Mesin Cuci; Penjaga Kos; R. Jemur; Dapur; Dispenser; CCTV; Jemuran; Parkir Mobil; Parkir Motor; Parkir Sepeda"/>
    <n v="1600000"/>
    <s v="Rp1.600.000"/>
    <n v="0"/>
    <m/>
    <s v="Kos Putri"/>
    <m/>
    <m/>
  </r>
  <r>
    <s v="Kost Casa De Luna Tipe B Kelapa Gading Jakarta Utara"/>
    <x v="4"/>
    <x v="111"/>
    <n v="7.5"/>
    <s v="3 x 2.5 meter"/>
    <s v="Tidak termasuk listrik"/>
    <s v=""/>
    <s v="N/A"/>
    <s v="3 x 2.5 meter; Tidak termasuk listrik; AC; Kasur; Meja; Lemari Baju; Bantal; Cermin; Guling; Jendela; Kursi; K. Mandi Dalam; Kloset Duduk; Shower; Air panas; WiFi; Kulkas; R. Cuci; Mesin Cuci; Penjaga Kos; R. Jemur; Dapur; Balcon; CCTV; Jemuran; Parkir Motor"/>
    <n v="2000000"/>
    <s v="Rp2.000.000"/>
    <n v="0.16666666666666666"/>
    <d v="1899-12-30T04:00:00"/>
    <s v="Kos Campur"/>
    <m/>
    <s v="Diskon 105rb"/>
  </r>
  <r>
    <s v="Kost Casa De Shira 1 Tipe A Pulo Gadung Jakarta Timur"/>
    <x v="8"/>
    <x v="32"/>
    <n v="12"/>
    <s v="3 x 4 meter"/>
    <s v="Tidak termasuk listrik"/>
    <s v=""/>
    <s v="N/A"/>
    <s v="3 x 4 meter; Tidak termasuk listrik; AC; Kasur; Meja Rias; Kulkas; Lemari Baju; Ventilasi; Bantal; Cermin; Guling; Jendela; K. Mandi Dalam; Kloset Duduk; Shower; WiFi; R. Cuci; Penjaga Kos; R. Jemur; R. Makan; R. Santai; Dapur; CCTV; Gazebo; Parkir Motor"/>
    <n v="2250000"/>
    <s v="Rp2.250.000"/>
    <n v="0.17083333333333331"/>
    <d v="1899-12-30T04:06:00"/>
    <s v="Kos Putri"/>
    <m/>
    <s v="Diskon 110rb"/>
  </r>
  <r>
    <s v="Kost Casa Living Pinang Tangerang"/>
    <x v="6"/>
    <x v="17"/>
    <n v="18"/>
    <s v="3 x 6 meter"/>
    <s v="Tidak termasuk listrik"/>
    <s v=""/>
    <s v="N/A"/>
    <s v="3 x 6 meter; Tidak termasuk listrik; AC; Kasur; Meja; TV; Lemari Baju; Bantal; Cermin; Cleaning service; Guling; Jendela; K. Mandi Dalam; Kloset Duduk; Wastafel; Shower; Air panas; WiFi; Mesin Cuci; Penjaga Kos; Mushola; R. Santai; Dapur; CCTV; Pengurus Kos; Kartu Akses; Parkir Mobil; Parkir Motor; Parkir Sepeda"/>
    <n v="2500000"/>
    <s v="Rp2.500.000"/>
    <n v="0"/>
    <m/>
    <s v="Kos Campur"/>
    <m/>
    <m/>
  </r>
  <r>
    <s v="Kost Casa Standart Pasar Rebo Jakarta Timur"/>
    <x v="8"/>
    <x v="123"/>
    <n v="12"/>
    <s v="3 x 4 meter"/>
    <s v="Tidak termasuk listrik"/>
    <s v=""/>
    <s v="N/A"/>
    <s v="3 x 4 meter; Tidak termasuk listrik; AC; Kasur; Meja; Lemari Baju; Bantal; Cermin; Guling; Jendela; Kursi; K. Mandi Dalam; Kloset Duduk; Shower; WiFi; Kulkas; R. Cuci; R. Tamu; R. Jemur; Dapur; Dispenser; Balcon; CCTV; Jemuran; Parkir Motor"/>
    <n v="1750000"/>
    <s v="Rp1.750.000"/>
    <n v="0.17291666666666669"/>
    <d v="1899-12-30T04:09:00"/>
    <s v="Kos Putri"/>
    <m/>
    <s v="Diskon 88rb"/>
  </r>
  <r>
    <s v="Kost Cascade House Tipe B Beji Depok"/>
    <x v="1"/>
    <x v="15"/>
    <n v="12"/>
    <s v="3 x 4 meter"/>
    <s v="Tidak termasuk listrik"/>
    <s v=""/>
    <s v="N/A"/>
    <s v="3 x 4 meter; Tidak termasuk listrik; AC; Kasur; Meja; TV; Lemari Baju; Kursi; Cleaning service; K. Mandi Dalam; Kloset Duduk; Shower; WiFi; R. Cuci; Kulkas; R. Tamu; Mesin Cuci; Penjaga Kos; Laundry; R. Makan; R. Jemur; Mushola; Parkir Mobil; Parkir Motor; Parkir Sepeda"/>
    <n v="1500000"/>
    <s v="Rp1.500.000"/>
    <n v="0.17013888888888887"/>
    <d v="1899-12-30T04:05:00"/>
    <s v="Kos Putra"/>
    <m/>
    <m/>
  </r>
  <r>
    <s v="Kost Cathacost 12 Cibinong Bogor"/>
    <x v="0"/>
    <x v="96"/>
    <n v="12"/>
    <s v="3 x 4 meter"/>
    <s v="Tidak termasuk listrik"/>
    <s v=""/>
    <s v="N/A"/>
    <s v="3 x 4 meter; Tidak termasuk listrik; AC; Kasur; Meja; Lemari Baju; Bantal; Cermin; Jendela; K. Mandi Dalam; Kloset Duduk; Shower; WiFi; Kulkas; Penjaga Kos; R. Tamu; R. Jemur; R. Santai; Dapur; Balcon; CCTV; Jemuran; Parkir Motor"/>
    <n v="1230000"/>
    <s v="Rp1.230.000"/>
    <n v="0.17083333333333331"/>
    <d v="1899-12-30T04:06:00"/>
    <s v="Kos Campur"/>
    <m/>
    <m/>
  </r>
  <r>
    <s v="Kost Cazaduma Tipe A Cikarang Utara Bekasi"/>
    <x v="7"/>
    <x v="78"/>
    <n v="9"/>
    <s v="3 x 3 meter"/>
    <s v="Tidak termasuk listrik"/>
    <s v=""/>
    <s v="N/A"/>
    <s v="3 x 3 meter; Tidak termasuk listrik; AC; Kasur; Lemari Baju; Jendela; Cleaning service; Cermin; K. Mandi Dalam; Kloset Jongkok; Shower; WiFi; Kulkas; R. Cuci; R. Tamu; R. Jemur; Dapur; CCTV; K. Mandi Luar; TV; Jemuran; Parkir Mobil; Parkir Motor"/>
    <n v="1500000"/>
    <s v="Rp1.500.000"/>
    <n v="0"/>
    <m/>
    <s v="Kos Putri"/>
    <m/>
    <m/>
  </r>
  <r>
    <s v="Kost Cazaduma Tipe B Cikarang Utara Bekasi"/>
    <x v="7"/>
    <x v="78"/>
    <n v="9"/>
    <s v="3 x 3 meter"/>
    <s v="Tidak termasuk listrik"/>
    <s v=""/>
    <s v="N/A"/>
    <s v="3 x 3 meter; Tidak termasuk listrik; AC; Kasur; Meja; Lemari Baju; Ventilasi; Cleaning service; Cermin; Jendela; Bantal; K. Mandi Dalam; Kloset Duduk; Ember mandi; Shower; WiFi; Kulkas; R. Cuci; R. Tamu; R. Jemur; Dapur; Dispenser; TV; Balcon; K. Mandi Luar; Parkir Motor; Parkir Sepeda"/>
    <n v="1600000"/>
    <s v="Rp1.600.000"/>
    <n v="0"/>
    <m/>
    <s v="Kos Putri"/>
    <m/>
    <m/>
  </r>
  <r>
    <s v="Kost CBC Homestay 8 Benda Tangerang"/>
    <x v="6"/>
    <x v="24"/>
    <n v="15"/>
    <s v="3 x 5 meter"/>
    <s v="Tidak termasuk listrik"/>
    <s v=""/>
    <s v="N/A"/>
    <s v="3 x 5 meter; Tidak termasuk listrik; AC; Kasur; Meja; Dispenser; TV; Lemari Baju; Ventilasi; Wastafel; Cleaning service; TV Kabel; K. Mandi Dalam; Kloset Duduk; Shower; Air panas; WiFi; Kulkas; Penjaga Kos; R. Santai; Dapur; Kartu Akses; CCTV; Parkir Mobil; Parkir Motor"/>
    <n v="2400000"/>
    <s v="Rp2.400.000"/>
    <n v="0.17083333333333331"/>
    <d v="1899-12-30T04:06:00"/>
    <s v="Kos Campur"/>
    <m/>
    <m/>
  </r>
  <r>
    <s v="Kost Cemara 411A Standard Cikarang Selatan Bekasi"/>
    <x v="7"/>
    <x v="27"/>
    <n v="9"/>
    <s v="3 x 3 meter"/>
    <s v="Termasuk listrik (implied)"/>
    <s v=""/>
    <s v="N/A"/>
    <s v="3 x 3 meter; Termasuk listrik; Kasur; Lemari Baju; Kipas Angin; Kloset Duduk; Kloset Jongkok; K. Mandi Luar; Wastafel; Shower; WiFi; R. Cuci; Kulkas; R. Tamu; Mesin Cuci; Penjaga Kos; Laundry; R. Jemur; Dapur; Parkir Mobil; Parkir Motor; Parkir Sepeda"/>
    <n v="1300000"/>
    <s v="Rp1.300.000"/>
    <n v="0.16944444444444443"/>
    <d v="1899-12-30T04:04:00"/>
    <s v="Kos Campur"/>
    <m/>
    <m/>
  </r>
  <r>
    <s v="Kost Cemara Cinere Depok"/>
    <x v="1"/>
    <x v="124"/>
    <n v="7.5"/>
    <s v="2.5 x 3 meter"/>
    <s v="Termasuk listrik (implied)"/>
    <s v=""/>
    <s v="N/A"/>
    <s v="2.5 x 3 meter; Termasuk listrik; AC; Kasur; Meja; Lemari Baju; Ventilasi; Cermin; Jendela; Kursi; Kloset Jongkok; K. Mandi Luar; Ember mandi; Wastafel; Shower; WiFi; Balcon; Jemuran; Parkir Motor; Parkir Sepeda"/>
    <n v="1300000"/>
    <s v="Rp1.300.000"/>
    <n v="0.1673611111111111"/>
    <d v="1899-12-30T04:01:00"/>
    <s v="Kos Putri"/>
    <m/>
    <m/>
  </r>
  <r>
    <s v="Kost Cemara Hijau 240 Tipe A Cikarang Selatan Bekasi"/>
    <x v="7"/>
    <x v="27"/>
    <n v="12"/>
    <s v="3 x 4 meter"/>
    <s v="Tidak termasuk listrik"/>
    <s v=""/>
    <s v="N/A"/>
    <s v="3 x 4 meter; Tidak termasuk listrik; AC; Kasur; Lemari Baju; Bantal; Cermin; TV Kabel; K. Mandi Dalam; Kloset Duduk; Shower; Air panas; WiFi; Kulkas; Laundry; Dapur; CCTV; Jemuran; Pengurus Kos; TV; Parkir Mobil; Parkir Motor; Parkir Motor &amp; Sepeda"/>
    <n v="1700000"/>
    <s v="Rp1.700.000"/>
    <n v="0"/>
    <m/>
    <s v="Kos Campur"/>
    <m/>
    <m/>
  </r>
  <r>
    <s v="Kost Cemara Hijau 240 Tipe C Cikarang Selatan Bekasi"/>
    <x v="7"/>
    <x v="27"/>
    <n v="9"/>
    <s v="3 x 3 meter"/>
    <s v="Tidak termasuk listrik"/>
    <s v=""/>
    <s v="N/A"/>
    <s v="3 x 3 meter; Tidak termasuk listrik; AC; Kasur; TV; Lemari Baju; Bantal; Cermin; TV Kabel; K. Mandi Dalam; Kloset Duduk; Shower; Air panas; WiFi; Kulkas; Laundry; Mesin Cuci; Dapur; CCTV; Jemuran; Locker; Pengurus Kos; Parkir Mobil; Parkir Motor; Parkir Motor &amp; Sepeda"/>
    <n v="1550000"/>
    <s v="Rp1.550.000"/>
    <n v="0"/>
    <m/>
    <s v="Kos Campur"/>
    <m/>
    <m/>
  </r>
  <r>
    <s v="Kost Cemara Hijau 240 Tipe F 1 Cikarang Selatan Bekasi"/>
    <x v="7"/>
    <x v="27"/>
    <n v="12"/>
    <s v="3 x 4 meter"/>
    <s v="Tidak termasuk listrik"/>
    <s v=""/>
    <s v="N/A"/>
    <s v="3 x 4 meter; Tidak termasuk listrik; AC; Kasur; TV; Lemari Baju; Ventilasi; Bantal; Jendela; TV Kabel; K. Mandi Dalam; Kloset Duduk; Shower; Air panas"/>
    <n v="1600000"/>
    <s v="Rp1.600.000"/>
    <n v="0"/>
    <m/>
    <s v="Kos Campur"/>
    <m/>
    <m/>
  </r>
  <r>
    <s v="Kost Cemara House Kedasih Jababeka Tipe A Cikarang Utara Bekasi"/>
    <x v="7"/>
    <x v="78"/>
    <n v="12"/>
    <s v="3 x 4 meter"/>
    <s v="Termasuk listrik (implied)"/>
    <s v=""/>
    <s v="N/A"/>
    <s v="3 x 4 meter; Termasuk listrik; Kasur; Lemari Baju; Jendela; K. Mandi Dalam; Kloset Jongkok; Ember mandi; Kulkas; R. Santai; Dapur; TV; Balcon; K. Mandi Luar; Pengurus Kos; Jemuran; Parkir Motor"/>
    <n v="920000"/>
    <s v="Rp920.000"/>
    <n v="0.20833333333333334"/>
    <d v="1899-12-30T05:00:00"/>
    <s v="Kos Putri"/>
    <m/>
    <m/>
  </r>
  <r>
    <s v="Kost Cemara House Kedasih Jababeka Tipe B Cikarang Selatan Bekasi"/>
    <x v="7"/>
    <x v="27"/>
    <n v="9"/>
    <s v="3 x 3 meter"/>
    <s v="Termasuk listrik (implied)"/>
    <s v=""/>
    <s v="N/A"/>
    <s v="3 x 3 meter; Termasuk listrik; Kasur; Lemari Baju; K. Mandi Dalam; Kloset Jongkok; K. Mandi Luar; Ember mandi; Kulkas; R. Tamu; R. Jemur; Dapur; TV; Parkir Motor"/>
    <n v="1120000"/>
    <s v="Rp1.120.000"/>
    <n v="0"/>
    <m/>
    <s v="Kos Putri"/>
    <m/>
    <m/>
  </r>
  <r>
    <s v="Kost Cemara House Kedasih Jababeka Tipe B Cikarang Selatan Bekasi"/>
    <x v="7"/>
    <x v="27"/>
    <n v="9"/>
    <s v="3 x 3 meter"/>
    <s v="Termasuk listrik (implied)"/>
    <s v=""/>
    <s v="N/A"/>
    <s v="3 x 3 meter; Termasuk listrik; Kasur; Lemari Baju; K. Mandi Dalam; Kloset Jongkok; K. Mandi Luar; Ember mandi"/>
    <n v="1120000"/>
    <s v="Rp1.120.000"/>
    <n v="0"/>
    <m/>
    <s v="Kos Putri"/>
    <m/>
    <m/>
  </r>
  <r>
    <s v="Kost Cemara House Kedasih Jababeka Tipe B Cikarang Selatan Bekasi"/>
    <x v="7"/>
    <x v="27"/>
    <n v="9"/>
    <s v="3 x 3 meter"/>
    <s v="Termasuk listrik (implied)"/>
    <s v=""/>
    <s v="N/A"/>
    <s v="3 x 3 meter; Termasuk listrik; Kasur; Lemari Baju; Kulkas; R. Tamu; R. Jemur; Dapur; TV; K. Mandi Luar; Parkir Motor"/>
    <n v="1120000"/>
    <s v="Rp1.120.000"/>
    <n v="0"/>
    <m/>
    <s v="Kos Putri"/>
    <m/>
    <m/>
  </r>
  <r>
    <s v="Kost Cemara I Komplek Meadow Green Lippo Cikarang Selatan Bekasi"/>
    <x v="7"/>
    <x v="27"/>
    <n v="12"/>
    <s v="3 x 4 meter"/>
    <s v="Termasuk listrik (implied)"/>
    <s v=""/>
    <s v="N/A"/>
    <s v="3 x 4 meter; Termasuk listrik; AC; Kasur; Meja; Meja Rias; Lemari Baju; Kulkas; Wastafel; TV Kabel; K. Mandi Dalam; Kloset Duduk; K. Mandi Luar; Shower; Air panas; WiFi; R. Cuci; R. Tamu; Mesin Cuci; Laundry; R. Makan; R. Jemur; Dapur; TV; Parkir Mobil; Parkir Motor; Parkir Sepeda"/>
    <n v="1880000"/>
    <s v="Rp1.880.000"/>
    <n v="0"/>
    <m/>
    <s v="Kos Campur"/>
    <m/>
    <m/>
  </r>
  <r>
    <s v="Kost Cemara21A Menteng Near Gondangdia Station Jakarta Pusat"/>
    <x v="9"/>
    <x v="125"/>
    <n v="12"/>
    <s v="3 x 4 meter"/>
    <s v="Termasuk listrik (implied)"/>
    <s v=""/>
    <s v="N/A"/>
    <s v="3 x 4 meter; Termasuk listrik; AC; Kasur; Meja; Lemari Baju; Kursi; Cleaning service; K. Mandi Dalam; Kloset Duduk; Shower; Bak mandi; WiFi; Kulkas; R. Tamu; Mesin Cuci; R. Jemur; R. Santai; Dapur; TV; Taman; Balcon; Parkir Mobil; Parkir Motor; Parkir Sepeda"/>
    <n v="3000000"/>
    <s v="Rp3.000.000"/>
    <n v="0.12569444444444444"/>
    <d v="1899-12-30T03:01:00"/>
    <s v="Kos Campur"/>
    <m/>
    <s v="Diskon 150rb"/>
  </r>
  <r>
    <s v="Kost Cemerlang 3 Dramaga Bogor"/>
    <x v="0"/>
    <x v="73"/>
    <n v="9"/>
    <s v="3 x 3 meter"/>
    <s v="Tidak termasuk listrik"/>
    <s v=""/>
    <s v="N/A"/>
    <s v="3 x 3 meter; Tidak termasuk listrik; Kasur; Meja; Bantal; Guling; Jendela; Kipas Angin; Kursi; Kloset Jongkok; Ember mandi; WiFi; Kulkas; Dapur; Pengurus Kos; TV; Parkir Mobil; Parkir Motor; Parkir Sepeda"/>
    <n v="535000"/>
    <s v="Rp535.000"/>
    <n v="0"/>
    <m/>
    <s v="Kos Putra"/>
    <m/>
    <m/>
  </r>
  <r>
    <s v="Kost Cemerlang Dramaga Bogor"/>
    <x v="0"/>
    <x v="73"/>
    <n v="4"/>
    <s v="2 x 2 meter"/>
    <s v="Tidak termasuk listrik"/>
    <s v=""/>
    <s v="N/A"/>
    <s v="2 x 2 meter; Tidak termasuk listrik; AC; Kasur; Meja; Lemari Baju; Bantal; Jendela; Kursi; Kloset Jongkok; Ember mandi; Wastafel; WiFi; Kulkas; R. Cuci; R. Tamu; R. Jemur; Dapur; Jemuran; K. Mandi Luar; Pengurus Kos; TV; Parkir Mobil; Parkir Motor; Parkir Sepeda"/>
    <n v="525000"/>
    <s v="Rp525.000"/>
    <n v="0.17013888888888887"/>
    <d v="1899-12-30T04:05:00"/>
    <s v="Kos Putri"/>
    <m/>
    <m/>
  </r>
  <r>
    <s v="Kost Cempaka Tipe B Cipondoh Tangerang"/>
    <x v="6"/>
    <x v="98"/>
    <n v="12"/>
    <s v="3 x 4 meter"/>
    <s v="Tidak termasuk listrik"/>
    <s v=""/>
    <s v="N/A"/>
    <s v="3 x 4 meter; Tidak termasuk listrik; AC; Kasur; Dispenser; Meja Rias; Lemari Baju; Bantal; Cermin; Guling; Kursi; K. Mandi Dalam; Kloset Duduk; Shower; WiFi; R. Tamu; R. Jemur; R. Makan; R. Santai; Dapur; CCTV; Jemuran; K. Mandi Luar; R. Keluarga; Parkir Mobil; Parkir Motor; Parkir Sepeda"/>
    <n v="1300000"/>
    <s v="Rp1.300.000"/>
    <n v="0.20833333333333334"/>
    <d v="1899-12-30T05:00:00"/>
    <s v="Kos Putri"/>
    <m/>
    <m/>
  </r>
  <r>
    <s v="Kost Cengkir Kelapa Gading Jakarta Utara"/>
    <x v="4"/>
    <x v="111"/>
    <n v="9"/>
    <s v="3 x 3 meter"/>
    <s v="Tidak termasuk listrik"/>
    <s v=""/>
    <s v="N/A"/>
    <s v="3 x 3 meter; Tidak termasuk listrik; AC; Kasur; Meja; Lemari Baju; Kursi; Wastafel; Kloset Duduk; K. Mandi Luar; Shower; WiFi; Kulkas; R. Cuci; Laundry; R. Makan; R. Jemur; R. Santai; Dapur; TV; Gazebo; Parkir Mobil; Parkir Motor"/>
    <n v="1600000"/>
    <s v="Rp1.600.000"/>
    <n v="0"/>
    <m/>
    <s v="Kos Campur"/>
    <m/>
    <m/>
  </r>
  <r>
    <s v="Kost Ceniza Astari Kelapa Gading Jakarta Utara"/>
    <x v="4"/>
    <x v="79"/>
    <n v="9"/>
    <s v="3 x 3 meter"/>
    <s v="Tidak termasuk listrik"/>
    <s v=""/>
    <s v="N/A"/>
    <s v="3 x 3 meter; Tidak termasuk listrik; Kasur; Meja; Lemari Baju; Ventilasi; Kursi; Bantal; Jendela; K. Mandi Dalam; Kloset Duduk; Ember mandi; WiFi; Kulkas; Penjaga Kos; R. Jemur; Dapur; Dispenser; Jemuran; Pengurus Kos; Parkir Motor; Parkir Sepeda"/>
    <n v="1300000"/>
    <s v="Rp1.300.000"/>
    <n v="0.16944444444444443"/>
    <d v="1899-12-30T04:04:00"/>
    <s v="Kos Putri"/>
    <m/>
    <m/>
  </r>
  <r>
    <s v="Kost Chandra Kirana Pondok Aren Tangerang Selatan"/>
    <x v="2"/>
    <x v="2"/>
    <n v="9"/>
    <s v="3 x 3 meter"/>
    <s v="Tidak termasuk listrik"/>
    <s v=""/>
    <s v="N/A"/>
    <s v="3 x 3 meter; Tidak termasuk listrik; Kasur; Meja; Lemari Baju; Bantal; Cermin; Guling; Kloset Duduk; K. Mandi Luar; Ember mandi; Wastafel; Shower; WiFi; Kulkas; Penjaga Kos; Dapur; Dispenser; Balcon; CCTV; Jemuran; TV; Parkir Motor; Parkir Sepeda; Parkir Motor &amp; Sepeda"/>
    <n v="700000"/>
    <s v="Rp700.000"/>
    <n v="0.16944444444444443"/>
    <d v="1899-12-30T04:04:00"/>
    <s v="Kos Putra"/>
    <m/>
    <s v="Diskon 54rb"/>
  </r>
  <r>
    <s v="Kost CherryHomeStay Tipe A Kelapa Gading Jakarta Utara"/>
    <x v="4"/>
    <x v="79"/>
    <n v="9.1"/>
    <s v="2.6 x 3.5 meter"/>
    <s v="Termasuk listrik (implied)"/>
    <s v=""/>
    <s v="N/A"/>
    <s v="2.6 x 3.5 meter; Termasuk listrik; AC; Kasur; Meja; TV; Meja Rias; Lemari Baju; Kursi; Kloset Duduk; K. Mandi Luar; Wastafel; Ember mandi; WiFi; Kulkas; R. Tamu; Laundry; R. Makan; Dapur; R. Keluarga"/>
    <n v="2550000"/>
    <s v="Rp2.550.000"/>
    <n v="0.12569444444444444"/>
    <d v="1899-12-30T03:01:00"/>
    <s v="Kos Putri"/>
    <m/>
    <m/>
  </r>
  <r>
    <s v="Kost CherryHomeStay Tipe B Kelapa Gading Jakarta Utara"/>
    <x v="4"/>
    <x v="111"/>
    <n v="14.43"/>
    <s v="3.7 x 3.9 meter"/>
    <s v="Tidak termasuk listrik"/>
    <s v=""/>
    <s v="N/A"/>
    <s v="3.7 x 3.9 meter; Tidak termasuk listrik; AC; Kasur; Meja; TV; Meja Rias; Lemari Baju; Kursi; Jendela; Kloset Duduk; K. Mandi Luar; Wastafel; Shower; WiFi; Kulkas; R. Tamu; Laundry; R. Makan; R. Jemur; R. Santai; Dapur; Dispenser"/>
    <n v="2350000"/>
    <s v="Rp2.350.000"/>
    <n v="0"/>
    <m/>
    <s v="Kos Putri"/>
    <m/>
    <m/>
  </r>
  <r>
    <s v="Kost Chintia Janson 5 Tipe A Grogol Petamburan Jakarta Barat"/>
    <x v="3"/>
    <x v="13"/>
    <n v="9"/>
    <s v="3 x 3 meter"/>
    <s v="Tidak termasuk listrik"/>
    <s v=""/>
    <s v="N/A"/>
    <s v="3 x 3 meter; Tidak termasuk listrik; AC; Kasur; Meja; TV; Lemari Baju; Bantal; Guling; Kursi; K. Mandi Dalam; Kloset Duduk; Shower; WiFi; Kulkas; R. Cuci; Laundry; Mesin Cuci; Penjaga Kos; R. Tamu; R. Jemur; Dapur; CCTV; Parkir Motor; Parkir Sepeda"/>
    <n v="1500000"/>
    <s v="Rp1.500.000"/>
    <n v="0"/>
    <m/>
    <s v="Kos Putri"/>
    <m/>
    <m/>
  </r>
  <r>
    <s v="Kost Christine Cipinang Melayu Executive Makasar Jakarta Timur"/>
    <x v="8"/>
    <x v="45"/>
    <n v="12"/>
    <s v="3 x 4 meter"/>
    <s v="Tidak termasuk listrik"/>
    <s v=""/>
    <s v="N/A"/>
    <s v="3 x 4 meter; Tidak termasuk listrik; AC; Kasur; Meja; Lemari Baju; Bantal; Guling; Jendela; Kursi; K. Mandi Dalam; Kloset Duduk; Ember mandi; WiFi; Kulkas; Penjaga Kos; R. Jemur; Dapur; Dispenser; CCTV; Jemuran; Parkir Motor"/>
    <n v="1200000"/>
    <s v="Rp1.200.000"/>
    <n v="0"/>
    <m/>
    <s v="Kos Campur"/>
    <m/>
    <m/>
  </r>
  <r>
    <s v="Kost Chrysant Home BQ Tipe B1 Kelapa Gading Jakarta Utara"/>
    <x v="4"/>
    <x v="79"/>
    <n v="6.25"/>
    <s v="2.5 x 2.5 meter"/>
    <s v="Tidak termasuk listrik"/>
    <s v=""/>
    <s v="N/A"/>
    <s v="2.5 x 2.5 meter; Tidak termasuk listrik; AC; Kasur; Meja; Lemari Baju; Ventilasi; Bantal; Guling; Jendela; Cleaning service; Kloset Duduk; K. Mandi Luar; Wastafel; Shower; WiFi; R. Cuci; Kulkas; Mesin Cuci; Penjaga Kos; Laundry; R. Jemur; Dapur; CCTV; Parkir Motor; Parkir Sepeda; Parkir Motor &amp; Sepeda"/>
    <n v="1050000"/>
    <s v="Rp1.050.000"/>
    <n v="0.16666666666666666"/>
    <d v="1899-12-30T04:00:00"/>
    <s v="Kos Campur"/>
    <m/>
    <s v="Diskon 84rb"/>
  </r>
  <r>
    <s v="Kost Chrysant Home Tipe A Kelapa Gading Jakarta Utara"/>
    <x v="4"/>
    <x v="111"/>
    <n v="4"/>
    <s v="2 x 2 meter"/>
    <s v="Tidak termasuk listrik"/>
    <s v=""/>
    <s v="N/A"/>
    <s v="2 x 2 meter; Tidak termasuk listrik; AC; Kasur; Meja; Lemari Baju; Ventilasi; Cleaning service; Meja makan; Bantal; Guling; Jendela; Kloset Duduk; K. Mandi Luar; Wastafel; Shower; WiFi; R. Cuci; Kulkas; Mesin Cuci; Penjaga Kos; Laundry; R. Jemur; Mushola; Dapur; Parkir Motor; Parkir Sepeda; Parkir Motor &amp; Sepeda"/>
    <n v="899000"/>
    <s v="Rp899.000"/>
    <n v="0.16874999999999998"/>
    <d v="1899-12-30T04:03:00"/>
    <s v="Kos Campur"/>
    <m/>
    <m/>
  </r>
  <r>
    <s v="Kost Chrystal Hauz Kelapa Gading Jakarta Utara"/>
    <x v="4"/>
    <x v="111"/>
    <n v="8.75"/>
    <s v="2.5 x 3.5 meter"/>
    <s v="Tidak termasuk listrik"/>
    <s v=""/>
    <s v="N/A"/>
    <s v="2.5 x 3.5 meter; Tidak termasuk listrik; AC; Kasur; Meja; Lemari Baju; Ventilasi; Bantal; Cermin; Jendela; Kursi; Wastafel; K. Mandi Dalam; Kloset Duduk; Shower; Air panas; WiFi; Dapur; Dispenser; CCTV; Locker; Parkir Motor; Parkir Sepeda; Parkir Motor &amp; Sepeda"/>
    <n v="1950000"/>
    <s v="Rp1.950.000"/>
    <n v="0.16666666666666666"/>
    <d v="1899-12-30T04:00:00"/>
    <s v="Kos Campur"/>
    <m/>
    <s v="Diskon 105rb"/>
  </r>
  <r>
    <s v="Kost Ciangsana Wiss Tipe Studio Gunung Putri Bogor"/>
    <x v="0"/>
    <x v="89"/>
    <n v="12"/>
    <s v="3 x 4 meter"/>
    <s v="Tidak termasuk listrik"/>
    <s v=""/>
    <s v="N/A"/>
    <s v="3 x 4 meter; Tidak termasuk listrik; AC; Kasur; Lemari Baju; Jendela; Wastafel; Bantal; Dapur Pribadi; Guling; K. Mandi Dalam; Kloset Duduk; Shower; WiFi; R. Jemur; Dapur; Balcon; CCTV; Jemuran; Pengurus Kos; Rooftop; Parkir Mobil; Parkir Motor; Parkir Sepeda; Parkir Motor &amp; Sepeda"/>
    <n v="1435000"/>
    <s v="Rp1.435.000"/>
    <n v="0"/>
    <m/>
    <s v="Kos Campur"/>
    <m/>
    <m/>
  </r>
  <r>
    <s v="Kost Cibanteng Raya Koja Jakarta Utara"/>
    <x v="4"/>
    <x v="93"/>
    <n v="21"/>
    <s v="3 x 7 meter"/>
    <s v="Tidak termasuk listrik"/>
    <s v=""/>
    <s v="N/A"/>
    <s v="3 x 7 meter; Tidak termasuk listrik; AC; Kasur; Lemari Baju; Bantal; Jendela; Kloset Duduk; Shower; Penjaga Kos; K. Mandi Luar; CCTV; Jemuran; Parkir Motor; Parkir Sepeda"/>
    <n v="1200000"/>
    <s v="Rp1.200.000"/>
    <n v="0"/>
    <m/>
    <s v="Kos Campur"/>
    <m/>
    <m/>
  </r>
  <r>
    <s v="Kost Ciberem Tipe A Dramaga Bogor"/>
    <x v="0"/>
    <x v="23"/>
    <n v="36"/>
    <s v="4 x 9 meter"/>
    <s v="Tidak termasuk listrik"/>
    <s v=""/>
    <s v="N/A"/>
    <s v="4 x 9 meter; Tidak termasuk listrik; Dapur Pribadi; Kloset Jongkok; Ember mandi; Balcon; Jemuran; Parkir Mobil; Parkir Motor; Parkir Sepeda; Parkir Motor &amp; Sepeda"/>
    <n v="650000"/>
    <s v="Rp650.000"/>
    <n v="0.17291666666666669"/>
    <d v="1899-12-30T04:09:00"/>
    <s v="Kos Campur"/>
    <m/>
    <m/>
  </r>
  <r>
    <s v="Kost Cibiru Cikarang Selatan Bekasi"/>
    <x v="7"/>
    <x v="27"/>
    <n v="9"/>
    <s v="3 x 3 meter"/>
    <s v="Termasuk listrik (implied)"/>
    <s v=""/>
    <s v="N/A"/>
    <s v="3 x 3 meter; Termasuk listrik; Kasur; Meja; Lemari Baju; Bantal; Cermin; Guling; Jendela; Kloset Jongkok; K. Mandi Luar; Ember mandi; Shower; WiFi; Penjaga Kos; R. Jemur; Dapur; Jemuran; Parkir Mobil; Parkir Motor; Parkir Sepeda"/>
    <n v="800000"/>
    <s v="Rp800.000"/>
    <n v="0"/>
    <m/>
    <s v="Kos Putra"/>
    <m/>
    <m/>
  </r>
  <r>
    <s v="Kost Cibubur Tipe B Gunung Putri Bogor"/>
    <x v="0"/>
    <x v="95"/>
    <n v="18"/>
    <s v="3 x 6 meter"/>
    <s v="Tidak termasuk listrik"/>
    <s v=""/>
    <s v="N/A"/>
    <s v="3 x 6 meter; Tidak termasuk listrik; AC; Kasur; Meja; Lemari Baju; Kursi; Wastafel; K. Mandi Dalam; Kloset Duduk; Shower; R. Cuci; Kulkas; Laundry; R. Jemur; Dapur; Parkir Mobil; Parkir Motor; Parkir Sepeda"/>
    <n v="1500000"/>
    <s v="Rp1.500.000"/>
    <n v="0.17291666666666669"/>
    <d v="1899-12-30T04:09:00"/>
    <s v="Kos Campur"/>
    <m/>
    <m/>
  </r>
  <r>
    <s v="Kost Cibubur Tipe C Gunung Putri Bogor"/>
    <x v="0"/>
    <x v="95"/>
    <n v="15"/>
    <s v="3 x 5 meter"/>
    <s v="Tidak termasuk listrik"/>
    <s v=""/>
    <s v="N/A"/>
    <s v="3 x 5 meter; Tidak termasuk listrik; AC; Kasur; TV; Lemari Baju; Wastafel; K. Mandi Dalam; Kloset Duduk; Shower; Air panas; WiFi; Kulkas; Dapur; Taman; Parkir Mobil; Parkir Motor; Parkir Sepeda"/>
    <n v="1700000"/>
    <s v="Rp1.700.000"/>
    <n v="0.17291666666666669"/>
    <d v="1899-12-30T04:09:00"/>
    <s v="Kos Campur"/>
    <m/>
    <m/>
  </r>
  <r>
    <s v="Kost Cidokom Tipe A Gunung Sindur Bogor"/>
    <x v="0"/>
    <x v="126"/>
    <n v="9"/>
    <s v="3 x 3 meter"/>
    <s v="Termasuk listrik (implied)"/>
    <s v=""/>
    <s v="N/A"/>
    <s v="3 x 3 meter; Termasuk listrik; Kasur; Meja; Lemari Baju; Bantal; Jendela; Kursi; Kloset Jongkok; K. Mandi Luar; Ember mandi; R. Jemur; R. Santai; Dapur; Dispenser; Jemuran; Parkir Motor; Parkir Sepeda; Parkir Motor &amp; Sepeda"/>
    <n v="500000"/>
    <s v="Rp500.000"/>
    <n v="0"/>
    <m/>
    <s v="Kos Putra"/>
    <m/>
    <m/>
  </r>
  <r>
    <s v="Kost Ciganjur Jagakarsa Jakarta Selatan"/>
    <x v="5"/>
    <x v="40"/>
    <n v="12"/>
    <s v="3 x 4 meter"/>
    <s v="Termasuk listrik (implied)"/>
    <s v=""/>
    <s v="N/A"/>
    <s v="3 x 4 meter; Termasuk listrik; AC; Kasur; Meja; TV; Lemari Baju; Ventilasi; Bantal; Cermin; Dapur Pribadi; Guling; K. Mandi Dalam; Kloset Duduk; Kloset Jongkok; K. Mandi Luar; Ember mandi; Wastafel; Shower; Bak mandi; WiFi; Penjaga Kos; R. Jemur; Mushola; R. Santai; Dapur; Balcon; CCTV; Gazebo; Jemuran; Parkir Mobil; Parkir Motor; Parkir Sepeda; Parkir Motor &amp; Sepeda"/>
    <n v="1200000"/>
    <s v="Rp1.200.000"/>
    <n v="0"/>
    <m/>
    <s v="Kos Campur"/>
    <m/>
    <m/>
  </r>
  <r>
    <s v="Kost Cikini Cozy Coliving Deluxe Menteng Jakarta Pusat"/>
    <x v="9"/>
    <x v="127"/>
    <n v="12"/>
    <s v="3 x 4 meter"/>
    <s v="Tidak termasuk listrik"/>
    <s v=""/>
    <s v="N/A"/>
    <s v="3 x 4 meter; Tidak termasuk listrik; AC; Kasur; Meja; TV; Lemari Baju; Kulkas; Ventilasi; Bantal; Cermin; Cleaning service; K. Mandi Dalam; Kloset Duduk; Wastafel; Shower; Air panas; WiFi; R. Cuci; Laundry; Penjaga Kos; R. Tamu; R. Jemur; R. Makan; R. Santai; Dapur; Parkir Mobil; Parkir Motor"/>
    <n v="3750000"/>
    <s v="Rp3.750.000"/>
    <n v="0.17222222222222225"/>
    <d v="1899-12-30T04:08:00"/>
    <s v="Kos Campur"/>
    <m/>
    <s v="Diskon 288rb"/>
  </r>
  <r>
    <s v="Kost Cikini Cozy Coliving Deluxe Window Menteng Jakarta Pusat"/>
    <x v="9"/>
    <x v="127"/>
    <n v="12"/>
    <s v="3 x 4 meter"/>
    <s v="Tidak termasuk listrik"/>
    <s v=""/>
    <s v="N/A"/>
    <s v="3 x 4 meter; Tidak termasuk listrik; AC; Kasur; Meja; TV; Kulkas; Lemari Baju; Bantal; Cermin; Cleaning service; Jendela; K. Mandi Dalam; Kloset Duduk; Wastafel; Shower; Air panas; WiFi; R. Cuci; Laundry; Penjaga Kos; R. Tamu; R. Jemur; R. Makan; R. Santai; Dapur; Parkir Mobil; Parkir Motor"/>
    <n v="4000000"/>
    <s v="Rp4.000.000"/>
    <n v="0.17083333333333331"/>
    <d v="1899-12-30T04:06:00"/>
    <s v="Kos Campur"/>
    <m/>
    <m/>
  </r>
  <r>
    <s v="Kost Cikini Cozy Coliving Exclusive Menteng Jakarta Pusat"/>
    <x v="9"/>
    <x v="127"/>
    <n v="12"/>
    <s v="3 x 4 meter"/>
    <s v="Tidak termasuk listrik"/>
    <s v=""/>
    <s v="N/A"/>
    <s v="3 x 4 meter; Tidak termasuk listrik; AC; Kasur; Dispenser; Meja; Meja Rias; TV; Kulkas; Lemari Baju; Ventilasi; Bantal; K. Mandi Dalam; Kloset Duduk; Wastafel; Shower; Air panas; WiFi; R. Cuci; Laundry; Penjaga Kos; R. Tamu; R. Jemur; R. Makan; R. Santai; Dapur; Parkir Mobil; Parkir Motor"/>
    <n v="4250000"/>
    <s v="Rp4.250.000"/>
    <n v="0.20833333333333334"/>
    <d v="1899-12-30T05:00:00"/>
    <s v="Kos Campur"/>
    <m/>
    <m/>
  </r>
  <r>
    <s v="Kost Cileungsi 1 Cileungsi Bogor"/>
    <x v="0"/>
    <x v="128"/>
    <n v="12"/>
    <s v="3 x 4 meter"/>
    <s v="Tidak termasuk listrik"/>
    <s v=""/>
    <s v="N/A"/>
    <s v="3 x 4 meter; Tidak termasuk listrik; Lemari Baju; Kipas Angin; K. Mandi Dalam; Kloset Jongkok; Parkir Mobil; Parkir Motor; Parkir Sepeda"/>
    <n v="750000"/>
    <s v="Rp750.000"/>
    <n v="8.6805555555555566E-2"/>
    <d v="1899-12-30T02:05:00"/>
    <s v="Kos Campur"/>
    <m/>
    <m/>
  </r>
  <r>
    <s v="Kost Cilincing Top Cilincing Jakarta Utara"/>
    <x v="4"/>
    <x v="49"/>
    <n v="9"/>
    <s v="3 x 3 meter"/>
    <s v="Tidak termasuk listrik"/>
    <s v=""/>
    <s v="N/A"/>
    <s v="3 x 3 meter; Tidak termasuk listrik; AC; Kasur; Meja; Lemari Baju; Cermin; Jendela; Kursi; K. Mandi Dalam; Kloset Duduk; Shower; WiFi; Penjaga Kos; R. Jemur; Balcon; CCTV; Jemuran; Parkir Motor"/>
    <n v="1500000"/>
    <s v="Rp1.500.000"/>
    <n v="0.20833333333333334"/>
    <d v="1899-12-30T05:00:00"/>
    <s v="Kos Campur"/>
    <m/>
    <s v="Diskon 85rb"/>
  </r>
  <r>
    <s v="Kost Cilobak Mansion Tipe Standart Cinere Depok"/>
    <x v="1"/>
    <x v="1"/>
    <n v="12"/>
    <s v="3 x 4 meter"/>
    <s v="Tidak termasuk listrik"/>
    <s v=""/>
    <s v="N/A"/>
    <s v="3 x 4 meter; Tidak termasuk listrik; AC; Kasur; Meja; TV; Lemari Baju; Ventilasi; Kursi; Bantal; Cermin; Guling; K. Mandi Dalam; Kloset Duduk; Wastafel; Shower; Bathtub; WiFi; R. Tamu; Penjaga Kos; Laundry; R. Makan; R. Jemur; R. Santai; R. Keluarga; K. Mandi Luar; Parkir Mobil; Parkir Motor; Parkir Sepeda"/>
    <n v="1800000"/>
    <s v="Rp1.800.000"/>
    <n v="0"/>
    <m/>
    <s v="Kos Putri"/>
    <m/>
    <m/>
  </r>
  <r>
    <s v="Kost Cimone Alam Permai 1 Putri Tipe Premium Cibodas Tangerang"/>
    <x v="6"/>
    <x v="92"/>
    <n v="3.2"/>
    <s v="2 x 1.6 meter"/>
    <s v="Termasuk listrik (implied)"/>
    <s v=""/>
    <s v="N/A"/>
    <s v="2 x 1.6 meter; Termasuk listrik; AC; Kasur; Lemari Baju; Bantal; Guling; Kloset Duduk; K. Mandi Luar; Shower; WiFi; Kulkas; R. Cuci; Laundry; Mesin Cuci; Penjaga Kos; R. Jemur; R. Santai; Dapur; Dispenser; Parkir Motor; Parkir Sepeda"/>
    <n v="1100000"/>
    <s v="Rp1.100.000"/>
    <n v="0"/>
    <m/>
    <s v="Kos Putri"/>
    <m/>
    <m/>
  </r>
  <r>
    <s v="Kost Cimone Alam Permai 1 Tipe Royal Cibodas Tangerang"/>
    <x v="6"/>
    <x v="129"/>
    <n v="4"/>
    <s v="2 x 2 meter"/>
    <s v="Termasuk listrik (implied)"/>
    <s v=""/>
    <s v="N/A"/>
    <s v="2 x 2 meter; Termasuk listrik; Kasur; Lemari Baju; Ventilasi; Bantal; Guling; Jendela; Kipas Angin; Kloset Duduk; K. Mandi Luar; Shower; WiFi; Kulkas; R. Cuci; Laundry; Mesin Cuci; Penjaga Kos; R. Jemur; R. Santai; Dapur; Dispenser; Parkir Motor; Parkir Sepeda"/>
    <n v="750000"/>
    <s v="Rp750.000"/>
    <n v="0.20833333333333334"/>
    <d v="1899-12-30T05:00:00"/>
    <s v="Kos Putri"/>
    <m/>
    <m/>
  </r>
  <r>
    <s v="Kost Cinta Single B With Bed Cikarang Barat Bekasi"/>
    <x v="7"/>
    <x v="19"/>
    <n v="9"/>
    <s v="3 x 3 meter"/>
    <s v="Tidak termasuk listrik"/>
    <s v=""/>
    <s v="N/A"/>
    <s v="3 x 3 meter; Tidak termasuk listrik; Kasur; Bantal; Guling; Jendela; K. Mandi Dalam; Kloset Jongkok; Ember mandi; WiFi; R. Jemur; CCTV; Jemuran; Parkir Motor; Parkir Sepeda"/>
    <n v="650000"/>
    <s v="Rp650.000"/>
    <n v="0"/>
    <m/>
    <s v="Kos Campur"/>
    <m/>
    <m/>
  </r>
  <r>
    <s v="Kost Citra Garden 2 Tipe A Kalideres Jakarta Barat"/>
    <x v="3"/>
    <x v="130"/>
    <n v="8.3999999999999986"/>
    <s v="2.8 x 3 meter"/>
    <s v="Tidak termasuk listrik"/>
    <s v=""/>
    <s v="N/A"/>
    <s v="2.8 x 3 meter; Tidak termasuk listrik; AC; Kasur; Meja; TV; Lemari Baju; K. Mandi Dalam; Kloset Duduk; Ember mandi; WiFi; Kulkas; Laundry; Dapur; Dispenser; K. Mandi Luar"/>
    <n v="1400000"/>
    <s v="Rp1.400.000"/>
    <n v="0.17083333333333331"/>
    <d v="1899-12-30T04:06:00"/>
    <s v="Kos Campur"/>
    <m/>
    <m/>
  </r>
  <r>
    <s v="Kost Citra Garden 2 Tipe B Kalideres Jakarta Barat"/>
    <x v="3"/>
    <x v="131"/>
    <n v="10.5"/>
    <s v="3 x 3.5 meter"/>
    <s v="Tidak termasuk listrik"/>
    <s v=""/>
    <s v="N/A"/>
    <s v="3 x 3.5 meter; Tidak termasuk listrik; AC; Kasur; Meja; TV; Lemari Baju; Kursi; Wastafel; K. Mandi Dalam; Kloset Duduk; Ember mandi; WiFi; Kulkas; R. Tamu; Laundry; R. Santai; Dapur; Dispenser; K. Mandi Luar"/>
    <n v="1300000"/>
    <s v="Rp1.300.000"/>
    <n v="0"/>
    <m/>
    <s v="Kos Putri"/>
    <m/>
    <m/>
  </r>
  <r>
    <s v="Kost Cluster Setu Baru VVIP Sukmajaya Depok"/>
    <x v="1"/>
    <x v="132"/>
    <n v="12"/>
    <s v="3 x 4 meter"/>
    <s v="Tidak termasuk listrik"/>
    <s v=""/>
    <s v="N/A"/>
    <s v="3 x 4 meter; Tidak termasuk listrik; AC; Kasur; Lemari Baju; Cermin; K. Mandi Dalam; Kloset Duduk; Shower; WiFi; Kulkas; R. Tamu; Dapur; Dispenser; Pengurus Kos; TV; Taman; Parkir Mobil; Parkir Motor"/>
    <n v="1300000"/>
    <s v="Rp1.300.000"/>
    <n v="0.17013888888888887"/>
    <d v="1899-12-30T04:05:00"/>
    <s v="Kos Campur"/>
    <m/>
    <s v="Diskon 112rb"/>
  </r>
  <r>
    <s v="Kost Co Living Flamboyan Residences Kembangan Jakarta Barat"/>
    <x v="3"/>
    <x v="133"/>
    <n v="14"/>
    <s v="3.5 x 4 meter"/>
    <s v="Tidak termasuk listrik"/>
    <s v=""/>
    <s v="N/A"/>
    <s v="3.5 x 4 meter; Tidak termasuk listrik; AC; Kasur; Meja; TV; Lemari Baju; Bantal; Cleaning service; Guling; Cermin; Jendela; K. Mandi Dalam; Kloset Duduk; Wastafel; Shower; Air panas; WiFi; R. Cuci; Kulkas; R. Tamu; Penjaga Kos; Laundry; R. Makan; R. Jemur; R. Santai; Dapur; Parkir Mobil; Parkir Motor; Parkir Sepeda"/>
    <n v="2250000"/>
    <s v="Rp2.250.000"/>
    <n v="0.1673611111111111"/>
    <d v="1899-12-30T04:01:00"/>
    <s v="Kos Campur"/>
    <m/>
    <m/>
  </r>
  <r>
    <s v="Kost Co Living Rustanto Residence Susilo Tipe A Grogol Petamburan Jakarta Barat"/>
    <x v="3"/>
    <x v="13"/>
    <n v="12"/>
    <s v="3 x 4 meter"/>
    <s v="Tidak termasuk listrik"/>
    <s v=""/>
    <s v="N/A"/>
    <s v="3 x 4 meter; Tidak termasuk listrik; AC; Kasur; Meja; Lemari Baju; Ventilasi; Kursi; Wastafel; Cleaning service; Bantal; Cermin; K. Mandi Dalam; Kloset Duduk; Shower; Air panas; WiFi; R. Cuci; Kulkas; R. Tamu; Penjaga Kos; Laundry; R. Makan; R. Jemur; R. Santai; Dapur; Parkir Mobil; Parkir Motor; Parkir Sepeda"/>
    <n v="2350000"/>
    <s v="Rp2.350.000"/>
    <n v="0.17222222222222225"/>
    <d v="1899-12-30T04:08:00"/>
    <s v="Kos Putri"/>
    <m/>
    <s v="Diskon 115rb"/>
  </r>
  <r>
    <s v="Kost Cordelia Standard Room Karangtengah Tangerang"/>
    <x v="6"/>
    <x v="134"/>
    <n v="9"/>
    <s v="3 x 3 meter"/>
    <s v="Termasuk listrik (implied)"/>
    <s v=""/>
    <s v="N/A"/>
    <s v="3 x 3 meter; Termasuk listrik; Kasur; Lemari Baju; Ventilasi; Bantal; Cermin; Jendela; Kloset Duduk; Kloset Jongkok; K. Mandi Luar; Wastafel; Ember mandi; Shower; WiFi; Kulkas; R. Cuci; R. Tamu; R. Jemur; R. Makan; R. Santai; Dapur; Balcon; CCTV; Parkir Mobil; Parkir Motor; Parkir Sepeda"/>
    <n v="850000"/>
    <s v="Rp850.000"/>
    <n v="0"/>
    <m/>
    <s v="Kos Putri"/>
    <m/>
    <m/>
  </r>
  <r>
    <s v="Kost Cortes Tipe Atas Cikarang Utara Bekasi"/>
    <x v="7"/>
    <x v="78"/>
    <n v="9"/>
    <s v="3 x 3 meter"/>
    <s v="Tidak termasuk listrik"/>
    <s v=""/>
    <s v="N/A"/>
    <s v="3 x 3 meter; Tidak termasuk listrik; AC; Kasur; Meja; Lemari Baju; Ventilasi; Bantal; Cermin; Jendela; Kursi; Kloset Duduk; K. Mandi Luar; Shower; WiFi; R. Cuci; R. Jemur; Jual Makanan; Jemuran; Balcon; Parkir Mobil; Parkir Motor; Parkir Sepeda; Parkir Motor &amp; Sepeda"/>
    <n v="1200000"/>
    <s v="Rp1.200.000"/>
    <n v="0"/>
    <m/>
    <s v="Kos Putra"/>
    <m/>
    <m/>
  </r>
  <r>
    <s v="Kost Cosmo Home 2 Tipe A Cikarang Selatan Bekasi"/>
    <x v="7"/>
    <x v="27"/>
    <n v="7.5"/>
    <s v="2.5 x 3 meter"/>
    <s v="Tidak termasuk listrik"/>
    <s v=""/>
    <s v="N/A"/>
    <s v="2.5 x 3 meter; Tidak termasuk listrik; AC; Kasur; Meja; Meja Rias; Kulkas; Lemari Baju; Ventilasi; Bantal; Cleaning service; Guling; K. Mandi Dalam; Kloset Duduk; Wastafel; Shower; Air panas; WiFi; R. Cuci; Laundry; Mesin Cuci; Penjaga Kos; R. Tamu; R. Jemur; Dapur; Dispenser; Parkir Mobil; Parkir Motor; Parkir Sepeda; Parkir Motor &amp; Sepeda"/>
    <n v="1700000"/>
    <s v="Rp1.700.000"/>
    <n v="0.17222222222222225"/>
    <d v="1899-12-30T04:08:00"/>
    <s v="Kos Campur"/>
    <m/>
    <m/>
  </r>
  <r>
    <s v="Kost Costco Coliving Tipe Deluxe Karawaci Tangerang"/>
    <x v="6"/>
    <x v="116"/>
    <n v="9"/>
    <s v="3 x 3 meter"/>
    <s v="Tidak termasuk listrik"/>
    <s v=""/>
    <s v="N/A"/>
    <s v="3 x 3 meter; Tidak termasuk listrik; AC; Kasur; Meja; TV; Lemari Baju; Ventilasi; Bantal; Cermin; Guling; Jendela; K. Mandi Dalam; Kloset Jongkok; Shower; Air panas; WiFi; Kulkas; R. Cuci; Mesin Cuci; Penjaga Kos; R. Tamu; Dapur; Dispenser; Balcon; CCTV; Parkir Motor &amp; Sepeda"/>
    <n v="1600000"/>
    <s v="Rp1.600.000"/>
    <n v="0"/>
    <m/>
    <s v="Kos Putri"/>
    <m/>
    <m/>
  </r>
  <r>
    <s v="Kost Cozy Binus Kemanggisan Averio Palmerah Jakarta Barat"/>
    <x v="3"/>
    <x v="104"/>
    <n v="12"/>
    <s v="3 x 4 meter"/>
    <s v="Tidak termasuk listrik"/>
    <s v=""/>
    <s v="N/A"/>
    <s v="3 x 4 meter; Tidak termasuk listrik; AC; Kasur; Dispenser; Meja; Meja Rias; TV; Lemari Baju; Ventilasi; Bantal; Cermin; K. Mandi Dalam; Kloset Duduk; Shower; Air panas; WiFi; Kulkas; R. Cuci; Laundry; Penjaga Kos; R. Tamu; R. Jemur; R. Makan; R. Santai; Dapur; Parkir Mobil; Parkir Motor"/>
    <n v="2750000"/>
    <s v="Rp2.750.000"/>
    <n v="0.17083333333333331"/>
    <d v="1899-12-30T04:06:00"/>
    <s v="Kos Campur"/>
    <m/>
    <m/>
  </r>
  <r>
    <s v="Kost Cozy Coliving Averio Binus Anggrek Exclusive Kebon Jeruk Jakarta Barat"/>
    <x v="3"/>
    <x v="61"/>
    <n v="15"/>
    <s v="5 x 3 meter"/>
    <s v="Tidak termasuk listrik"/>
    <s v=""/>
    <s v="N/A"/>
    <s v="5 x 3 meter; Tidak termasuk listrik; AC; Kasur; Meja; TV; Lemari Baju; Bantal; Cermin; Cleaning service; Jendela; Kursi; K. Mandi Dalam; Kloset Duduk; Shower; Air panas; WiFi; Kulkas; Laundry; R. Tamu; R. Jemur; R. Makan; R. Santai; Dapur; Dispenser; CCTV; Parkir Mobil; Parkir Motor; Parkir Sepeda"/>
    <n v="4500000"/>
    <s v="Rp4.500.000"/>
    <n v="0"/>
    <m/>
    <s v="Kos Campur"/>
    <m/>
    <m/>
  </r>
  <r>
    <s v="Kost Cozy Coliving Averio Kebon Jeruk Jakarta Barat"/>
    <x v="3"/>
    <x v="14"/>
    <n v="12"/>
    <s v="3 x 4 meter"/>
    <s v="Tidak termasuk listrik"/>
    <s v=""/>
    <s v="N/A"/>
    <s v="3 x 4 meter; Tidak termasuk listrik; AC; Kasur; Meja; TV; Lemari Baju; Kulkas; Kursi; Bantal; Cermin; K. Mandi Dalam; Kloset Duduk; Wastafel; Air panas; WiFi; R. Tamu; Mesin Cuci; Penjaga Kos; Dapur; Taman; Balcon; CCTV; Rice Cooker; Parkir Mobil; Parkir Motor; Parkir Sepeda"/>
    <n v="2750000"/>
    <s v="Rp2.750.000"/>
    <n v="0.17083333333333331"/>
    <d v="1899-12-30T04:06:00"/>
    <s v="Kos Campur"/>
    <m/>
    <m/>
  </r>
  <r>
    <s v="Kost Cozy Coliving Binus 2 Deluxe Plus Palmerah Jakarta Barat"/>
    <x v="3"/>
    <x v="104"/>
    <n v="15.75"/>
    <s v="3.5 x 4.5 meter"/>
    <s v="Tidak termasuk listrik"/>
    <s v=""/>
    <s v="N/A"/>
    <s v="3.5 x 4.5 meter; Tidak termasuk listrik; AC; Kasur; Dispenser; Meja; TV; Lemari Baju; Ventilasi; Bantal; Cermin; Cleaning service; K. Mandi Dalam; Kloset Duduk; Wastafel; Shower; Air panas; WiFi; Kulkas; Laundry; Penjaga Kos; R. Tamu; R. Jemur; R. Makan; R. Santai; Dapur; Parkir Mobil; Parkir Motor; Parkir Sepeda"/>
    <n v="4400000"/>
    <s v="Rp4.400.000"/>
    <n v="0"/>
    <m/>
    <s v="Kos Campur"/>
    <m/>
    <m/>
  </r>
  <r>
    <s v="Kost Cozy Coliving Binus 3 Kemanggisan Deluxe Palmerah Jakarta Barat"/>
    <x v="3"/>
    <x v="4"/>
    <n v="12"/>
    <s v="3 x 4 meter"/>
    <s v="Tidak termasuk listrik"/>
    <s v=""/>
    <s v="N/A"/>
    <s v="3 x 4 meter; Tidak termasuk listrik; AC; Kasur; Dispenser; Meja; Meja Rias; TV; Kulkas; Lemari Baju; Ventilasi; Bantal; K. Mandi Dalam; Kloset Jongkok; Wastafel; Shower; Air panas; WiFi; R. Cuci; Laundry; Mesin Cuci; Penjaga Kos; R. Tamu; R. Jemur; R. Makan; R. Santai; Parkir Mobil; Parkir Motor"/>
    <n v="3250000"/>
    <s v="Rp3.250.000"/>
    <n v="0.20833333333333334"/>
    <d v="1899-12-30T05:00:00"/>
    <s v="Kos Campur"/>
    <m/>
    <m/>
  </r>
  <r>
    <s v="Kost Cozy Coliving Binus Kijang Kemanggisan Palmerah Jakarta Barat Palmerah Jakarta Barat"/>
    <x v="3"/>
    <x v="104"/>
    <n v="12"/>
    <s v="3 x 4 meter"/>
    <s v="Tidak termasuk listrik"/>
    <s v=""/>
    <s v="N/A"/>
    <s v="3 x 4 meter; Tidak termasuk listrik; AC; Kasur; Dispenser; Meja; Meja Rias; TV; Kulkas; Lemari Baju; Bantal; Cermin; K. Mandi Dalam; Kloset Duduk; Wastafel; Shower; Air panas; WiFi; Laundry; Mesin Cuci; Penjaga Kos; R. Tamu; R. Jemur; R. Makan; R. Santai; Dapur; Parkir Mobil; Parkir Motor"/>
    <n v="3250000"/>
    <s v="Rp3.250.000"/>
    <n v="0.20833333333333334"/>
    <d v="1899-12-30T05:00:00"/>
    <s v="Kos Campur"/>
    <m/>
    <m/>
  </r>
  <r>
    <s v="Kost Cozy Coliving Cideng Deluxe Plus Gambir Jakarta Pusat"/>
    <x v="9"/>
    <x v="135"/>
    <n v="12"/>
    <s v="3 x 4 meter"/>
    <s v="Tidak termasuk listrik"/>
    <s v=""/>
    <s v="N/A"/>
    <s v="3 x 4 meter; Tidak termasuk listrik; AC; Kasur; Dispenser; Meja; Meja Rias; TV; Kulkas; Lemari Baju; Bantal; Cermin; K. Mandi Dalam; Kloset Duduk; Wastafel; Shower; Air panas; WiFi; Penjaga Kos; R. Tamu; R. Jemur; R. Makan; R. Santai; Dapur; CCTV; Parkir Motor"/>
    <n v="3500000"/>
    <s v="Rp3.500.000"/>
    <n v="0.20833333333333334"/>
    <d v="1899-12-30T05:00:00"/>
    <s v="Kos Campur"/>
    <m/>
    <s v="Diskon 288rb"/>
  </r>
  <r>
    <s v="Kost Cozy Coliving Cideng Exclusive Gambir Jakarta Pusat"/>
    <x v="9"/>
    <x v="62"/>
    <n v="12"/>
    <s v="3 x 4 meter"/>
    <s v="Tidak termasuk listrik"/>
    <s v=""/>
    <s v="N/A"/>
    <s v="3 x 4 meter; Tidak termasuk listrik; AC; Kasur; Dispenser; Meja; Meja Rias; TV; Kulkas; Lemari Baju; Bantal; Cermin; K. Mandi Dalam; Kloset Duduk; Wastafel; Shower; Air panas; WiFi; Penjaga Kos; R. Tamu; R. Jemur; R. Makan; R. Santai; Dapur; CCTV; Parkir Motor"/>
    <n v="3500000"/>
    <s v="Rp3.500.000"/>
    <n v="0.20833333333333334"/>
    <d v="1899-12-30T05:00:00"/>
    <s v="Kos Campur"/>
    <m/>
    <s v="Diskon 288rb"/>
  </r>
  <r>
    <s v="Kost Cozy coliving Deluxe Palmerah Jakarta Barat"/>
    <x v="3"/>
    <x v="104"/>
    <n v="13.5"/>
    <s v="3 x 4.5 meter"/>
    <s v="Tidak termasuk listrik"/>
    <s v=""/>
    <s v="N/A"/>
    <s v="3 x 4.5 meter; Tidak termasuk listrik; AC; Kasur; Meja; TV; Lemari Baju; Bantal; Cermin; Cleaning service; Jendela; Kursi; K. Mandi Dalam; Kloset Duduk; Wastafel; Shower; Air panas; WiFi; Kulkas; Laundry; Penjaga Kos; R. Tamu; R. Jemur; R. Makan; R. Santai; Dapur; Dispenser; Parkir Mobil; Parkir Motor; Parkir Sepeda"/>
    <n v="4100000"/>
    <s v="Rp4.100.000"/>
    <n v="0"/>
    <m/>
    <s v="Kos Campur"/>
    <m/>
    <m/>
  </r>
  <r>
    <s v="Kost Cozy Coliving Fatmawati Deluxe Plus Cilandak Jakarta Selatan"/>
    <x v="5"/>
    <x v="7"/>
    <n v="14.399999999999999"/>
    <s v="4.8 x 3 meter"/>
    <s v="Tidak termasuk listrik"/>
    <s v=""/>
    <s v="N/A"/>
    <s v="4.8 x 3 meter; Tidak termasuk listrik; AC; Kasur; Dispenser; Meja; Meja Rias; TV; Kulkas; Lemari Baju; Ventilasi; Bantal; K. Mandi Dalam; Kloset Duduk; Wastafel; Shower; Air panas; WiFi; R. Cuci; Laundry; Penjaga Kos; R. Tamu; R. Jemur; R. Makan; R. Santai; Dapur; Parkir Mobil; Parkir Motor; Parkir Sepeda"/>
    <n v="3750000"/>
    <s v="Rp3.750.000"/>
    <n v="0.17222222222222225"/>
    <d v="1899-12-30T04:08:00"/>
    <s v="Kos Campur"/>
    <m/>
    <s v="Diskon 193rb"/>
  </r>
  <r>
    <s v="Kost Cozy Coliving Fatmawati Exclusive Cilandak Jakarta Selatan"/>
    <x v="5"/>
    <x v="7"/>
    <n v="16.5"/>
    <s v="5.5 x 3 meter"/>
    <s v="Tidak termasuk listrik"/>
    <s v=""/>
    <s v="N/A"/>
    <s v="5.5 x 3 meter; Tidak termasuk listrik; AC; Kasur; Dispenser; Meja; Meja Rias; TV; Kulkas; Lemari Baju; Ventilasi; Bantal; K. Mandi Dalam; Kloset Duduk; Wastafel; Shower; Air panas; WiFi; R. Cuci; Laundry; Penjaga Kos; R. Tamu; R. Jemur; R. Makan; R. Santai; Dapur; Parkir Mobil; Parkir Motor; Parkir Sepeda"/>
    <n v="4000000"/>
    <s v="Rp4.000.000"/>
    <n v="0.17222222222222225"/>
    <d v="1899-12-30T04:08:00"/>
    <s v="Kos Campur"/>
    <m/>
    <s v="Diskon 193rb"/>
  </r>
  <r>
    <s v="Kost Cozy Coliving Grogol Muwardi Deluxe Grogol petamburan Jakarta Barat"/>
    <x v="3"/>
    <x v="82"/>
    <n v="12"/>
    <s v="3 x 4 meter"/>
    <s v="Tidak termasuk listrik"/>
    <s v=""/>
    <s v="N/A"/>
    <s v="3 x 4 meter; Tidak termasuk listrik; AC; Kasur; Dispenser; Meja; Meja Rias; TV; Kulkas; Lemari Baju; Bantal; Cermin; K. Mandi Dalam; Kloset Duduk; Wastafel; Shower; Air panas; WiFi; Laundry; Penjaga Kos; R. Tamu; R. Makan; R. Santai; Dapur; CCTV; Parkir Motor"/>
    <n v="2750000"/>
    <s v="Rp2.750.000"/>
    <n v="0"/>
    <m/>
    <s v="Kos Putri"/>
    <m/>
    <m/>
  </r>
  <r>
    <s v="Kost Cozy Coliving Grogol Muwardi Deluxe Plus Grogol Petamburan Jakarta Barat"/>
    <x v="3"/>
    <x v="82"/>
    <n v="12"/>
    <s v="3 x 4 meter"/>
    <s v="Tidak termasuk listrik"/>
    <s v=""/>
    <s v="N/A"/>
    <s v="3 x 4 meter; Tidak termasuk listrik; AC; Kasur; Dispenser; Meja; Meja Rias; TV; Lemari Baju; Kulkas; Bantal; Cermin; K. Mandi Dalam; Kloset Duduk; Wastafel; Shower; Air panas; WiFi; Laundry; Penjaga Kos; R. Tamu; R. Makan; R. Santai; Dapur; CCTV; Parkir Motor"/>
    <n v="3000000"/>
    <s v="Rp3.000.000"/>
    <n v="0.17013888888888887"/>
    <d v="1899-12-30T04:05:00"/>
    <s v="Kos Putri"/>
    <m/>
    <m/>
  </r>
  <r>
    <s v="Kost Cozy Coliving Mangga Besar Tipe Deluxe Taman Sari Jakarta Barat"/>
    <x v="3"/>
    <x v="136"/>
    <n v="16"/>
    <s v="4 x 4 meter"/>
    <s v="Tidak termasuk listrik"/>
    <s v=""/>
    <s v="N/A"/>
    <s v="4 x 4 meter; Tidak termasuk listrik; AC; Kasur; Meja; Dispenser; TV; Meja Rias; Lemari Baju; Ventilasi; Kursi; Wastafel; K. Mandi Dalam; Kloset Duduk; Shower; Air panas; WiFi; R. Cuci; Kulkas; R. Tamu; Mesin Cuci; Penjaga Kos; Laundry; R. Makan; R. Jemur; R. Santai; Parkir Mobil; Parkir Motor; Parkir Sepeda"/>
    <n v="2700000"/>
    <s v="Rp2.700.000"/>
    <n v="0.17291666666666669"/>
    <d v="1899-12-30T04:09:00"/>
    <s v="Kos Campur"/>
    <m/>
    <m/>
  </r>
  <r>
    <s v="Kost Cozy Coliving Pangeran Jayakarta Tipe Deluxe Plus Sawah Besar Jakarta Pusat"/>
    <x v="9"/>
    <x v="59"/>
    <n v="16"/>
    <s v="4 x 4 meter"/>
    <s v="Tidak termasuk listrik"/>
    <s v=""/>
    <s v="N/A"/>
    <s v="4 x 4 meter; Tidak termasuk listrik; AC; Kasur; Meja; TV; Lemari Baju; Kursi; Wastafel; Cleaning service; Bantal; Cermin; K. Mandi Dalam; Kloset Duduk; Shower; Air panas; WiFi; Kulkas; R. Tamu; Penjaga Kos; Laundry; R. Santai; Dapur; CCTV; Jual Makanan; Parkir Motor; Parkir Sepeda"/>
    <n v="2400000"/>
    <s v="Rp2.400.000"/>
    <n v="0.20833333333333334"/>
    <d v="1899-12-30T05:00:00"/>
    <s v="Kos Campur"/>
    <m/>
    <s v="Diskon 118rb"/>
  </r>
  <r>
    <s v="Kost Cozy Coliving Pangeran Jayakarta Tipe Deluxe Sawah Besar Jakarta Pusat"/>
    <x v="9"/>
    <x v="59"/>
    <n v="12"/>
    <s v="3 x 4 meter"/>
    <s v="Tidak termasuk listrik"/>
    <s v=""/>
    <s v="N/A"/>
    <s v="3 x 4 meter; Tidak termasuk listrik; AC; Kasur; Meja; TV; Lemari Baju; Ventilasi; Kursi; Wastafel; Cleaning service; Bantal; K. Mandi Dalam; Kloset Duduk; Shower; Air panas; WiFi; Kulkas; R. Tamu; Penjaga Kos; Laundry; R. Santai; Dapur; Dispenser; CCTV; Parkir Motor; Parkir Sepeda"/>
    <n v="2000000"/>
    <s v="Rp2.000.000"/>
    <n v="0.17083333333333331"/>
    <d v="1899-12-30T04:06:00"/>
    <s v="Kos Campur"/>
    <m/>
    <s v="Diskon 100rb"/>
  </r>
  <r>
    <s v="Kost Cozy Coliving Raden Saleh Deluxe Menteng Jakarta Pusat"/>
    <x v="9"/>
    <x v="125"/>
    <n v="12"/>
    <s v="3 x 4 meter"/>
    <s v="Tidak termasuk listrik"/>
    <s v=""/>
    <s v="N/A"/>
    <s v="3 x 4 meter; Tidak termasuk listrik; AC; Kasur; Meja; TV; Kursi; K. Mandi Dalam; Kloset Duduk; Air panas; Kulkas; R. Santai; Dapur"/>
    <n v="3750000"/>
    <s v="Rp3.750.000"/>
    <n v="0.17222222222222225"/>
    <d v="1899-12-30T04:08:00"/>
    <s v="Kos Campur"/>
    <m/>
    <s v="Diskon 288rb"/>
  </r>
  <r>
    <s v="Kost Cozy Coliving Raden Saleh Deluxe Window Menteng Jakarta Pusat"/>
    <x v="9"/>
    <x v="125"/>
    <n v="12"/>
    <s v="3 x 4 meter"/>
    <s v="Tidak termasuk listrik"/>
    <s v=""/>
    <s v="N/A"/>
    <s v="3 x 4 meter; Tidak termasuk listrik; AC; Kasur; Meja; TV; Kursi; K. Mandi Dalam; Kloset Duduk; Air panas; Kulkas; R. Santai; Dapur"/>
    <n v="4000000"/>
    <s v="Rp4.000.000"/>
    <n v="0.17083333333333331"/>
    <d v="1899-12-30T04:06:00"/>
    <s v="Kos Campur"/>
    <m/>
    <m/>
  </r>
  <r>
    <s v="Kost Cozy Coliving Raden Saleh Exclusive Hook Menteng Jakarta Pusat"/>
    <x v="9"/>
    <x v="125"/>
    <n v="12"/>
    <s v="3 x 4 meter"/>
    <s v="Tidak termasuk listrik"/>
    <s v=""/>
    <s v="N/A"/>
    <s v="3 x 4 meter; Tidak termasuk listrik; AC; Kasur; Meja; TV; Kursi; K. Mandi Dalam; Kloset Duduk; Air panas; Kulkas; R. Santai; Dapur"/>
    <n v="4500000"/>
    <s v="Rp4.500.000"/>
    <n v="0.20833333333333334"/>
    <d v="1899-12-30T05:00:00"/>
    <s v="Kos Campur"/>
    <m/>
    <m/>
  </r>
  <r>
    <s v="Kost Cozy Coliving Raden Saleh Exclusive Menteng Jakarta Pusat"/>
    <x v="9"/>
    <x v="125"/>
    <n v="12"/>
    <s v="3 x 4 meter"/>
    <s v="Tidak termasuk listrik"/>
    <s v=""/>
    <s v="N/A"/>
    <s v="3 x 4 meter; Tidak termasuk listrik; AC; Kasur; Meja; TV; Kursi; K. Mandi Dalam; Kloset Duduk; Air panas; Kulkas; R. Santai; Dapur"/>
    <n v="4250000"/>
    <s v="Rp4.250.000"/>
    <n v="0.20833333333333334"/>
    <d v="1899-12-30T05:00:00"/>
    <s v="Kos Campur"/>
    <m/>
    <m/>
  </r>
  <r>
    <s v="Kost Cozy Coliving Roxy Jembatan Lima Tipe Deluxe Plus Window Gambir Jakarta Pusat"/>
    <x v="9"/>
    <x v="135"/>
    <n v="12"/>
    <s v="3 x 4 meter"/>
    <s v="Tidak termasuk listrik"/>
    <s v=""/>
    <s v="N/A"/>
    <s v="3 x 4 meter; Tidak termasuk listrik; AC; Kasur; Dispenser; Meja; TV; Lemari Baju; Bantal; Cermin; Cleaning service; Jendela; K. Mandi Dalam; Kloset Duduk; Wastafel; Shower; Air panas; WiFi; Kulkas; R. Cuci; Laundry; Penjaga Kos; R. Tamu; R. Jemur; R. Makan; R. Santai; Dapur; Parkir Motor"/>
    <n v="3500000"/>
    <s v="Rp3.500.000"/>
    <n v="0.20833333333333334"/>
    <d v="1899-12-30T05:00:00"/>
    <s v="Kos Campur"/>
    <m/>
    <s v="Diskon 288rb"/>
  </r>
  <r>
    <s v="Kost Cozy Coliving Roxy Jembatan Lima Tipe Exclusive Gambir Jakarta Pusat"/>
    <x v="9"/>
    <x v="62"/>
    <n v="13.5"/>
    <s v="3 x 4.5 meter"/>
    <s v="Tidak termasuk listrik"/>
    <s v=""/>
    <s v="N/A"/>
    <s v="3 x 4.5 meter; Tidak termasuk listrik; AC; Kasur; Dispenser; Meja; TV; Lemari Baju; Bantal; Cermin; Cleaning service; Jendela; K. Mandi Dalam; Kloset Duduk; Wastafel; Shower; Air panas; WiFi; Kulkas; R. Cuci; Laundry; Penjaga Kos; R. Tamu; R. Jemur; R. Makan; R. Santai; Dapur; Parkir Motor"/>
    <n v="3500000"/>
    <s v="Rp3.500.000"/>
    <n v="0.20833333333333334"/>
    <d v="1899-12-30T05:00:00"/>
    <s v="Kos Campur"/>
    <m/>
    <s v="Diskon 288rb"/>
  </r>
  <r>
    <s v="Kost Cozy Coliving Roxy Jembatan Lima Tipe Exclusive Hook Gambir Jakarta Pusat"/>
    <x v="9"/>
    <x v="62"/>
    <n v="10.5"/>
    <s v="3 x 3.5 meter"/>
    <s v="Tidak termasuk listrik"/>
    <s v=""/>
    <s v="N/A"/>
    <s v="3 x 3.5 meter; Tidak termasuk listrik; AC; Kasur; Dispenser; Meja; TV; Lemari Baju; Bantal; Cermin; Cleaning service; Jendela; K. Mandi Dalam; Kloset Duduk; Wastafel; Shower; Air panas; WiFi; Kulkas; R. Cuci; Laundry; Penjaga Kos; R. Tamu; R. Jemur; R. Makan; R. Santai; Dapur; Parkir Motor"/>
    <n v="3000000"/>
    <s v="Rp3.000.000"/>
    <n v="0.17291666666666669"/>
    <d v="1899-12-30T04:09:00"/>
    <s v="Kos Campur"/>
    <m/>
    <s v="Diskon 150rb"/>
  </r>
  <r>
    <s v="Kost Cozy Coliving Roxy Jembatan Lima Tipe Exclusive Window Gambir Jakarta Pusat"/>
    <x v="9"/>
    <x v="62"/>
    <n v="13.5"/>
    <s v="3 x 4.5 meter"/>
    <s v="Tidak termasuk listrik"/>
    <s v=""/>
    <s v="N/A"/>
    <s v="3 x 4.5 meter; Tidak termasuk listrik; AC; Kasur; Dispenser; Meja; TV; Lemari Baju; Bantal; Cermin; Cleaning service; Jendela; K. Mandi Dalam; Kloset Duduk; Wastafel; Shower; Air panas; WiFi; Kulkas; R. Cuci; Laundry; Penjaga Kos; R. Tamu; R. Jemur; R. Makan; R. Santai; Dapur; Parkir Motor"/>
    <n v="3700000"/>
    <s v="Rp3.700.000"/>
    <n v="0.17222222222222225"/>
    <d v="1899-12-30T04:08:00"/>
    <s v="Kos Campur"/>
    <m/>
    <s v="Diskon 288rb"/>
  </r>
  <r>
    <s v="Kost Cozy Coliving Sunter Papanggo Tipe A Tanjung Priok Jakarta Utara"/>
    <x v="4"/>
    <x v="5"/>
    <n v="9"/>
    <s v="3 x 3 meter"/>
    <s v="Tidak termasuk listrik"/>
    <s v=""/>
    <s v="N/A"/>
    <s v="3 x 3 meter; Tidak termasuk listrik; AC; Kasur; Meja; Lemari Baju; Kursi; Cermin; Jendela; K. Mandi Dalam; Kloset Duduk; Air panas; WiFi; Kulkas; R. Tamu; Laundry; R. Makan; R. Jemur; Mushola; Dapur; Dispenser; CCTV; Parkir Motor"/>
    <n v="1700000"/>
    <s v="Rp1.700.000"/>
    <n v="0.17222222222222225"/>
    <d v="1899-12-30T04:08:00"/>
    <s v="Kos Campur"/>
    <m/>
    <s v="Diskon 83rb"/>
  </r>
  <r>
    <s v="Kost Cozy Coliving Sunter Papanggo Tipe B Tanjung Priok Jakarta Utara"/>
    <x v="4"/>
    <x v="5"/>
    <n v="16"/>
    <s v="4 x 4 meter"/>
    <s v="Tidak termasuk listrik"/>
    <s v=""/>
    <s v="N/A"/>
    <s v="4 x 4 meter; Tidak termasuk listrik; AC; Kasur; Meja; Lemari Baju; Kulkas; Kursi; Wastafel; Meja makan; microwave; Bantal; K. Mandi Dalam; Kloset Duduk; Air panas; WiFi; Laundry; Mushola; Dapur; Dispenser; Kartu Akses; Parkir Mobil; Parkir Motor"/>
    <n v="2700000"/>
    <s v="Rp2.700.000"/>
    <n v="0"/>
    <m/>
    <s v="Kos Campur"/>
    <m/>
    <m/>
  </r>
  <r>
    <s v="Kost Cozy Coliving Sunter Papanggo Tipe C Tanjung Priok Jakarta Utara"/>
    <x v="4"/>
    <x v="5"/>
    <n v="16"/>
    <s v="4 x 4 meter"/>
    <s v="Tidak termasuk listrik"/>
    <s v=""/>
    <s v="N/A"/>
    <s v="4 x 4 meter; Tidak termasuk listrik; AC; Kasur; Meja; Lemari Baju; Kulkas; Ventilasi; microwave; Bantal; Cermin; Jendela; K. Mandi Dalam; Kloset Duduk; Shower; Air panas; WiFi; Penjaga Kos; Laundry; R. Makan; Mushola; R. Santai; Dapur; Dispenser; Kartu Akses; Parkir Mobil; Parkir Motor; Parkir Sepeda"/>
    <n v="2200000"/>
    <s v="Rp2.200.000"/>
    <n v="0.17291666666666669"/>
    <d v="1899-12-30T04:09:00"/>
    <s v="Kos Campur"/>
    <m/>
    <m/>
  </r>
  <r>
    <s v="Kost Cozy Coliving Tomang Palmerah Jakarta Barat"/>
    <x v="3"/>
    <x v="4"/>
    <n v="12"/>
    <s v="3 x 4 meter"/>
    <s v="Tidak termasuk listrik"/>
    <s v=""/>
    <s v="N/A"/>
    <s v="3 x 4 meter; Tidak termasuk listrik; AC; Kasur; Meja; Dispenser; Lemari Baju; Kulkas; Kursi; Wastafel; Cleaning service; TV Kabel; K. Mandi Dalam; Kloset Duduk; Shower; Air panas; WiFi; R. Cuci; R. Tamu; Mesin Cuci; Penjaga Kos; Laundry; R. Makan; R. Jemur; Mushola; Parkir Sepeda; Parkir Motor"/>
    <n v="2700000"/>
    <s v="Rp2.700.000"/>
    <n v="0.17083333333333331"/>
    <d v="1899-12-30T04:06:00"/>
    <s v="Kos Campur"/>
    <m/>
    <s v="Diskon 138rb"/>
  </r>
  <r>
    <s v="Kost Cozy Coliving Wijaya Kusuma Jelambar Deluxe Grogol Petamburan Jakarta Barat"/>
    <x v="3"/>
    <x v="82"/>
    <n v="12"/>
    <s v="3 x 4 meter"/>
    <s v="Tidak termasuk listrik"/>
    <s v=""/>
    <s v="N/A"/>
    <s v="3 x 4 meter; Tidak termasuk listrik; Kasur; Meja; TV; Lemari Baju; Kursi; Bantal; K. Mandi Dalam; Wastafel; Air panas; R. Jemur; CCTV"/>
    <n v="3000000"/>
    <s v="Rp3.000.000"/>
    <n v="0.17083333333333331"/>
    <d v="1899-12-30T04:06:00"/>
    <s v="Kos Campur"/>
    <m/>
    <s v="Diskon 150rb"/>
  </r>
  <r>
    <s v="Kost Cozy Living Patambran Kemang Bogor"/>
    <x v="0"/>
    <x v="137"/>
    <n v="22.5"/>
    <s v="5 x 4.5 meter"/>
    <s v="Tidak termasuk listrik"/>
    <s v=""/>
    <s v="N/A"/>
    <s v="5 x 4.5 meter; Tidak termasuk listrik; Dapur Pribadi; Jendela; Kloset Jongkok; Ember mandi; Wastafel; Penjaga Kos; Dapur; CCTV; Jemuran; Parkir Mobil; Parkir Motor"/>
    <n v="1000000"/>
    <s v="Rp1.000.000"/>
    <n v="0"/>
    <m/>
    <s v="Kos Campur"/>
    <m/>
    <m/>
  </r>
  <r>
    <s v="Kost Curug Executive Gunung Sindur Bogor"/>
    <x v="0"/>
    <x v="126"/>
    <n v="20"/>
    <s v="4 x 5 meter"/>
    <s v="Termasuk listrik (implied)"/>
    <s v=""/>
    <s v="N/A"/>
    <s v="4 x 5 meter; Termasuk listrik; Kasur; Meja; Lemari Baju; Ventilasi; Bantal; Cermin; Jendela; Kursi; Wastafel; Kloset Duduk; Kloset Jongkok; K. Mandi Luar; Ember mandi; Penjaga Kos; R. Jemur; R. Santai; Dapur; Balcon; Jemuran; Jual Makanan; Pengurus Kos; Taman; Parkir Mobil; Parkir Motor &amp; Sepeda"/>
    <n v="750000"/>
    <s v="Rp750.000"/>
    <n v="0"/>
    <m/>
    <s v="Kos Putra"/>
    <m/>
    <m/>
  </r>
  <r>
    <s v="Kost Cynfel 1 Tipe C Tanjung Priok Jakarta Utara"/>
    <x v="4"/>
    <x v="5"/>
    <n v="9"/>
    <s v="3 x 3 meter"/>
    <s v="Tidak termasuk listrik"/>
    <s v=""/>
    <s v="N/A"/>
    <s v="3 x 3 meter; Tidak termasuk listrik; AC; Kasur; Meja; Lemari Baju; Ventilasi; Cermin; Jendela; Kursi; Bantal; K. Mandi Dalam; Kloset Duduk; Shower; WiFi; Kulkas; R. Jemur; R. Makan; Dapur; Balcon; CCTV; Rooftop; Jemuran; Parkir Motor"/>
    <n v="1650000"/>
    <s v="Rp1.650.000"/>
    <n v="0.17222222222222225"/>
    <d v="1899-12-30T04:08:00"/>
    <s v="Kos Campur"/>
    <m/>
    <s v="Diskon 78rb"/>
  </r>
  <r>
    <s v="Kost Cynfel 2 Tipe Standar Tanjung Priok Jakarta Utara"/>
    <x v="4"/>
    <x v="5"/>
    <n v="16"/>
    <s v="4 x 4 meter"/>
    <s v="Tidak termasuk listrik"/>
    <s v=""/>
    <s v="N/A"/>
    <s v="4 x 4 meter; Tidak termasuk listrik; AC; Kasur; Meja; Lemari Baju; Ventilasi; Bantal; Cermin; Jendela; Kursi; K. Mandi Dalam; Kloset Duduk; Shower; WiFi; CCTV; Parkir Motor; Parkir Sepeda"/>
    <n v="1850000"/>
    <s v="Rp1.850.000"/>
    <n v="0"/>
    <m/>
    <s v="Kos Campur"/>
    <m/>
    <m/>
  </r>
  <r>
    <s v="Kost D Amour Exclusive Ciputat Timur Tangerang Selatan"/>
    <x v="2"/>
    <x v="8"/>
    <n v="16"/>
    <s v="4 x 4 meter"/>
    <s v="Tidak termasuk listrik"/>
    <s v=""/>
    <s v="N/A"/>
    <s v="4 x 4 meter; Tidak termasuk listrik; AC; Kasur; Meja; Meja Rias; Lemari Baju; Ventilasi; Bantal; Cermin; Guling; Jendela; K. Mandi Dalam; Kloset Duduk; Wastafel; Shower; Kulkas; R. Tamu; R. Jemur; R. Makan; Dapur; Taman; Jemuran; Parkir Mobil; Parkir Motor"/>
    <n v="1950000"/>
    <s v="Rp1.950.000"/>
    <n v="0"/>
    <m/>
    <s v="Kos Putri"/>
    <m/>
    <m/>
  </r>
  <r>
    <s v="Kost D Orenji Cikarang Utara Bekasi"/>
    <x v="7"/>
    <x v="78"/>
    <n v="9"/>
    <s v="3 x 3 meter"/>
    <s v="Tidak termasuk listrik"/>
    <s v=""/>
    <s v="N/A"/>
    <s v="3 x 3 meter; Tidak termasuk listrik; AC; Kasur; Meja; Lemari Baju; Ventilasi; Bantal; Cermin; Jendela; Kursi; K. Mandi Dalam; Kloset Jongkok; Shower; WiFi; Kulkas; R. Jemur; R. Makan; R. Santai; Dapur; Balcon; CCTV; Jemuran; Pengurus Kos; Parkir Motor; Parkir Sepeda"/>
    <n v="1350000"/>
    <s v="Rp1.350.000"/>
    <n v="0"/>
    <m/>
    <s v="Kos Putri"/>
    <m/>
    <m/>
  </r>
  <r>
    <s v="Kost D Orenji Jababeka Cikarang Utara Bekasi"/>
    <x v="7"/>
    <x v="78"/>
    <n v="9"/>
    <s v="3 x 3 meter"/>
    <s v="Tidak termasuk listrik"/>
    <s v=""/>
    <s v="N/A"/>
    <s v="3 x 3 meter; Tidak termasuk listrik; AC; Kasur; Lemari Baju; K. Mandi Dalam; Kloset Duduk; Shower; WiFi; Kulkas; Mesin Cuci; R. Jemur; R. Santai; Dapur; Jemuran; CCTV; Parkir Motor"/>
    <n v="1250000"/>
    <s v="Rp1.250.000"/>
    <n v="0.20833333333333334"/>
    <d v="1899-12-30T05:00:00"/>
    <s v="Kos Putri"/>
    <m/>
    <m/>
  </r>
  <r>
    <s v="Kost D Tipe Executive Limo Depok"/>
    <x v="1"/>
    <x v="138"/>
    <n v="12"/>
    <s v="3 x 4 meter"/>
    <s v="Tidak termasuk listrik"/>
    <s v=""/>
    <s v="N/A"/>
    <s v="3 x 4 meter; Tidak termasuk listrik; AC; Kasur; Meja; Lemari Baju; Ventilasi; Bantal; Cermin; Guling; Jendela; Kursi; K. Mandi Dalam; Kloset Duduk; Shower; WiFi; R. Cuci; R. Tamu; R. Jemur; R. Makan; R. Santai; Dapur; Dispenser; Balcon; CCTV; Parkir Mobil; Parkir Motor; Parkir Sepeda; Parkir Motor &amp; Sepeda"/>
    <n v="1400000"/>
    <s v="Rp1.400.000"/>
    <n v="0"/>
    <m/>
    <s v="Kos Putri"/>
    <m/>
    <m/>
  </r>
  <r>
    <s v="Kost D3 Sudimara Tipe B Pinang Tangerang"/>
    <x v="6"/>
    <x v="105"/>
    <n v="9"/>
    <s v="3 x 3 meter"/>
    <s v="Tidak termasuk listrik"/>
    <s v=""/>
    <s v="N/A"/>
    <s v="3 x 3 meter; Tidak termasuk listrik; AC; Kasur; Meja; Lemari Baju; Kursi; K. Mandi Dalam; Kloset Jongkok; Ember mandi; WiFi; R. Cuci; Kulkas; R. Tamu; Penjaga Kos; R. Makan; R. Jemur; R. Santai; Dapur; Dispenser; Parkir Mobil; Parkir Motor; Parkir Sepeda"/>
    <n v="1300000"/>
    <s v="Rp1.300.000"/>
    <n v="0.20833333333333334"/>
    <d v="1899-12-30T05:00:00"/>
    <s v="Kos Campur"/>
    <m/>
    <m/>
  </r>
  <r>
    <s v="Kost Daan Mogot Le Paris Syariah Residence Tipe A Tangerang"/>
    <x v="6"/>
    <x v="90"/>
    <n v="9"/>
    <s v="3 x 3 meter"/>
    <s v="Tidak termasuk listrik"/>
    <s v=""/>
    <s v="N/A"/>
    <s v="3 x 3 meter; Tidak termasuk listrik; AC; Kasur; Meja; TV; Lemari Baju; Ventilasi; Bantal; Cermin; Cleaning service; Guling; K. Mandi Dalam; Kloset Duduk; Shower; Air panas; WiFi; Penjaga Kos; R. Tamu; R. Jemur; R. Santai; Dispenser; CCTV; Pengurus Kos; Parkir Motor; Parkir Sepeda"/>
    <n v="2070000"/>
    <s v="Rp2.070.000"/>
    <n v="0.16874999999999998"/>
    <d v="1899-12-30T04:03:00"/>
    <s v="Kos Campur"/>
    <m/>
    <s v="Diskon 95rb"/>
  </r>
  <r>
    <s v="Kost Daan Mogot Le Paris Syariah Residence Tipe B Tangerang"/>
    <x v="6"/>
    <x v="90"/>
    <n v="9"/>
    <s v="3 x 3 meter"/>
    <s v="Tidak termasuk listrik"/>
    <s v=""/>
    <s v="N/A"/>
    <s v="3 x 3 meter; Tidak termasuk listrik; AC; Kasur; TV; Lemari Baju; Ventilasi; Bantal; Cermin; Cleaning service; Guling; Jendela; K. Mandi Dalam; Kloset Duduk; Air panas; WiFi; Kulkas; Penjaga Kos; R. Tamu; Mushola; R. Jemur; Dispenser; Dapur; Balcon; Parkir Motor"/>
    <n v="1760000"/>
    <s v="Rp1.760.000"/>
    <n v="0.16944444444444443"/>
    <d v="1899-12-30T04:04:00"/>
    <s v="Kos Campur"/>
    <m/>
    <s v="Diskon 90rb"/>
  </r>
  <r>
    <s v="Kost Daan Mogot Le Paris Syariah Residence Tipe C Tangerang"/>
    <x v="6"/>
    <x v="90"/>
    <n v="9"/>
    <s v="3 x 3 meter"/>
    <s v="Tidak termasuk listrik"/>
    <s v=""/>
    <s v="N/A"/>
    <s v="3 x 3 meter; Tidak termasuk listrik; AC; Kasur; Meja; TV; Lemari Baju; Bantal; Cermin; Kloset Duduk; K. Mandi Luar; Air panas; WiFi; Kulkas; Penjaga Kos; R. Tamu; Mushola; R. Makan; R. Santai; Dapur; Dispenser; Parkir Motor"/>
    <n v="1650000"/>
    <s v="Rp1.650.000"/>
    <n v="0.17222222222222225"/>
    <d v="1899-12-30T04:08:00"/>
    <s v="Kos Campur"/>
    <m/>
    <s v="Diskon 90rb"/>
  </r>
  <r>
    <s v="Kost Daan Mogot Le Paris Syariah Residence Tipe D Tangerang"/>
    <x v="6"/>
    <x v="22"/>
    <n v="9"/>
    <s v="3 x 3 meter"/>
    <s v="Tidak termasuk listrik"/>
    <s v=""/>
    <s v="N/A"/>
    <s v="3 x 3 meter; Tidak termasuk listrik; AC; Kasur; Meja; TV; Lemari Baju; Ventilasi; Bantal; Cermin; Cleaning service; Jendela; K. Mandi Dalam; Kloset Duduk; Shower; Air panas; WiFi; Penjaga Kos; R. Tamu; R. Jemur; R. Santai; Dispenser; CCTV; Pengurus Kos; Parkir Motor; Parkir Sepeda"/>
    <n v="1960000"/>
    <s v="Rp1.960.000"/>
    <n v="0.16666666666666666"/>
    <d v="1899-12-30T04:00:00"/>
    <s v="Kos Campur"/>
    <m/>
    <s v="Diskon 90rb"/>
  </r>
  <r>
    <s v="Kost Daan Mogot Le Paris Syariah Residence Tipe E Tangerang Tangerang"/>
    <x v="6"/>
    <x v="90"/>
    <n v="9"/>
    <s v="3 x 3 meter"/>
    <s v="Tidak termasuk listrik"/>
    <s v=""/>
    <s v="N/A"/>
    <s v="3 x 3 meter; Tidak termasuk listrik; AC; Kasur; Meja; TV; Lemari Baju; Ventilasi; Bantal; Cermin; Cleaning service; Kursi; K. Mandi Dalam; Kloset Duduk; Shower; Air panas; WiFi; Kulkas; Penjaga Kos; R. Tamu; R. Jemur; Mushola; R. Santai; Dispenser; Dapur; Parkir Motor; Parkir Sepeda"/>
    <n v="1850000"/>
    <s v="Rp1.850.000"/>
    <n v="0.17222222222222225"/>
    <d v="1899-12-30T04:08:00"/>
    <s v="Kos Campur"/>
    <m/>
    <s v="Diskon 90rb"/>
  </r>
  <r>
    <s v="Kost Dahlia Tipe A Cikarang Utara Bekasi"/>
    <x v="7"/>
    <x v="78"/>
    <n v="13.5"/>
    <s v="3 x 4.5 meter"/>
    <s v="Tidak termasuk listrik"/>
    <s v=""/>
    <s v="N/A"/>
    <s v="3 x 4.5 meter; Tidak termasuk listrik; AC; Kasur; Meja; Lemari Baju; Bantal; Jendela; Kursi; Wastafel; K. Mandi Dalam; Kloset Duduk; Ember mandi; Shower; WiFi; Dapur; CCTV; Pengurus Kos; Parkir Motor &amp; Sepeda"/>
    <n v="1200000"/>
    <s v="Rp1.200.000"/>
    <n v="0.17083333333333331"/>
    <d v="1899-12-30T04:06:00"/>
    <s v="Kos Campur"/>
    <m/>
    <m/>
  </r>
  <r>
    <s v="Kost Daily Margonda Beji Depok"/>
    <x v="1"/>
    <x v="15"/>
    <n v="18"/>
    <s v="3 x 6 meter"/>
    <s v="Tidak termasuk listrik"/>
    <s v=""/>
    <s v="N/A"/>
    <s v="3 x 6 meter; Tidak termasuk listrik; AC; Kasur; Meja; Lemari Baju; Ventilasi; Bantal; Jendela; Kursi; K. Mandi Dalam; Kloset Duduk; Ember mandi; Shower; WiFi; Kulkas; R. Jemur; Dapur; Balcon; Jemuran; Pengurus Kos; CCTV; Parkir Mobil; Parkir Motor"/>
    <n v="1700000"/>
    <s v="Rp1.700.000"/>
    <n v="0.20833333333333334"/>
    <d v="1899-12-30T05:00:00"/>
    <s v="Kos Campur"/>
    <m/>
    <s v="Diskon 151rb"/>
  </r>
  <r>
    <s v="Kost Damai 51 Tipe Exhaust Fan Tangerang"/>
    <x v="6"/>
    <x v="90"/>
    <n v="12"/>
    <s v="3 x 4 meter"/>
    <s v="Tidak termasuk listrik"/>
    <s v=""/>
    <s v="N/A"/>
    <s v="3 x 4 meter; Tidak termasuk listrik; Kasur; Lemari Baju; Ventilasi; Bantal; Guling; Jendela; Kipas Angin; K. Mandi Dalam; Kloset Jongkok; Ember mandi; Shower; WiFi; Kulkas; Penjaga Kos; R. Tamu; Mushola; R. Jemur; R. Makan; R. Santai; Dapur; CCTV; Parkir Mobil; Parkir Motor"/>
    <n v="1050000"/>
    <s v="Rp1.050.000"/>
    <n v="0"/>
    <m/>
    <s v="Kos Campur"/>
    <m/>
    <m/>
  </r>
  <r>
    <s v="Kost Damarsari 27 Pasar Minggu Jakarta Selatan"/>
    <x v="5"/>
    <x v="43"/>
    <n v="9"/>
    <s v="3 x 3 meter"/>
    <s v="Tidak termasuk listrik"/>
    <s v=""/>
    <s v="N/A"/>
    <s v="3 x 3 meter; Tidak termasuk listrik; AC; Kasur; Meja; Meja Rias; Lemari Baju; Kursi; K. Mandi Dalam; Kloset Duduk; Wastafel; Shower; Air panas; WiFi; R. Cuci; Kulkas; R. Tamu; Penjaga Kos; R. Makan; R. Jemur; R. Santai; Dapur; TV; Parkir Mobil; Parkir Motor; Parkir Sepeda"/>
    <n v="2000000"/>
    <s v="Rp2.000.000"/>
    <n v="0.16666666666666666"/>
    <d v="1899-12-30T04:00:00"/>
    <s v="Kos Putri"/>
    <m/>
    <s v="Diskon 104rb"/>
  </r>
  <r>
    <s v="Kost Danyshom Backpaker Lippo Cikarang Selatan Bekasi"/>
    <x v="7"/>
    <x v="27"/>
    <n v="8.75"/>
    <s v="2.5 x 3.5 meter"/>
    <s v="Termasuk listrik (implied)"/>
    <s v=""/>
    <s v="N/A"/>
    <s v="2.5 x 3.5 meter; Termasuk listrik; AC; Kasur; Meja; TV; Lemari Baju; Kursi; Bantal; Cermin; Guling; Jendela; K. Mandi Dalam; Kloset Duduk; Wastafel; Shower; WiFi; Kulkas; R. Tamu; Mesin Cuci; R. Jemur; Dapur; Dispenser; Balcon; CCTV; Jemuran"/>
    <n v="1600000"/>
    <s v="Rp1.600.000"/>
    <n v="0"/>
    <m/>
    <s v="Kos Putra"/>
    <m/>
    <m/>
  </r>
  <r>
    <s v="Kost Dary Sirkuit Sentul Citeureup Bogor"/>
    <x v="0"/>
    <x v="109"/>
    <n v="12"/>
    <s v="3 x 4 meter"/>
    <s v="Termasuk listrik (implied)"/>
    <s v=""/>
    <s v="N/A"/>
    <s v="3 x 4 meter; Termasuk listrik; Kasur; Meja; Lemari Baju; Ventilasi; Kursi; Bantal; Cermin; Guling; Jendela; K. Mandi Dalam; Kloset Jongkok; Ember mandi; WiFi; R. Jemur; R. Santai; Balcon; Pengurus Kos; Jemuran; Parkir Mobil; Parkir Motor; Parkir Sepeda"/>
    <n v="1200000"/>
    <s v="Rp1.200.000"/>
    <n v="0"/>
    <m/>
    <s v="Kos Putra"/>
    <m/>
    <m/>
  </r>
  <r>
    <s v="Kost Days Standard Non AC Pinang Tangerang"/>
    <x v="6"/>
    <x v="17"/>
    <n v="12"/>
    <s v="3 x 4 meter"/>
    <s v="Tidak termasuk listrik"/>
    <s v=""/>
    <s v="N/A"/>
    <s v="3 x 4 meter; Tidak termasuk listrik; Kasur; Lemari Baju; Ventilasi; Bantal; Cermin; Jendela; Kipas Angin; K. Mandi Dalam; Kloset Jongkok; Ember mandi; Shower; WiFi; Penjaga Kos; R. Tamu; R. Jemur; Balcon; CCTV; Jemuran; Jual Makanan; Parkir Motor"/>
    <n v="850000"/>
    <s v="Rp850.000"/>
    <n v="0.20833333333333334"/>
    <d v="1899-12-30T05:00:00"/>
    <s v="Kos Campur"/>
    <m/>
    <m/>
  </r>
  <r>
    <s v="Kost Days Tipe Non AC Pinang Tangerang"/>
    <x v="6"/>
    <x v="17"/>
    <n v="9"/>
    <s v="3 x 3 meter"/>
    <s v="Tidak termasuk listrik"/>
    <s v=""/>
    <s v="N/A"/>
    <s v="3 x 3 meter; Tidak termasuk listrik; AC; Kasur; Lemari Baju; Ventilasi; Cermin; Jendela; K. Mandi Dalam; Kloset Jongkok; Ember mandi; Shower; WiFi; Penjaga Kos; R. Tamu; R. Jemur; Balcon; CCTV; Jemuran; Jual Makanan; Parkir Motor"/>
    <n v="1300000"/>
    <s v="Rp1.300.000"/>
    <n v="0.17013888888888887"/>
    <d v="1899-12-30T04:05:00"/>
    <s v="Kos Campur"/>
    <m/>
    <m/>
  </r>
  <r>
    <s v="Kost Days Tipe Standard AC Pinang Tangerang"/>
    <x v="6"/>
    <x v="17"/>
    <n v="9"/>
    <s v="3 x 3 meter"/>
    <s v="Tidak termasuk listrik"/>
    <s v=""/>
    <s v="N/A"/>
    <s v="3 x 3 meter; Tidak termasuk listrik; Kasur; Lemari Baju; Ventilasi; Cermin; Jendela; Bantal; Kipas Angin; K. Mandi Dalam; Kloset Jongkok; Ember mandi; Shower; WiFi; Penjaga Kos; R. Tamu; R. Jemur; Balcon; CCTV; Jemuran; Jual Makanan; Parkir Motor"/>
    <n v="1300000"/>
    <s v="Rp1.300.000"/>
    <n v="0.17013888888888887"/>
    <d v="1899-12-30T04:05:00"/>
    <s v="Kos Campur"/>
    <m/>
    <m/>
  </r>
  <r>
    <s v="Kost De Alcatraz 3 Tipe Hayden Kelapa Gading Jakarta Utara"/>
    <x v="4"/>
    <x v="111"/>
    <n v="8.5"/>
    <s v="3.4 x 2.5 meter"/>
    <s v="Tidak termasuk listrik"/>
    <s v=""/>
    <s v="N/A"/>
    <s v="3.4 x 2.5 meter; Tidak termasuk listrik; AC; Kasur; Meja; Lemari Baju; Bantal; Cermin; Kursi; Wastafel; K. Mandi Dalam; Kloset Duduk; Shower; Air panas; WiFi; Kulkas; Penjaga Kos; R. Jemur; Dapur; Dispenser; CCTV; Jemuran; K. Mandi Luar; Kartu Akses; Parkir Mobil; Parkir Motor &amp; Sepeda"/>
    <n v="2300000"/>
    <s v="Rp2.300.000"/>
    <n v="0.17013888888888887"/>
    <d v="1899-12-30T04:05:00"/>
    <s v="Kos Campur"/>
    <m/>
    <s v="Diskon 105rb"/>
  </r>
  <r>
    <s v="Kost De Breeze Mansion Beji Depok"/>
    <x v="1"/>
    <x v="16"/>
    <n v="20.25"/>
    <s v="4.5 x 4.5 meter"/>
    <s v="Termasuk listrik (implied)"/>
    <s v=""/>
    <s v="N/A"/>
    <s v="4.5 x 4.5 meter; Termasuk listrik; AC; Kasur; Meja; TV; Meja Rias; Lemari Baju; Kursi; Wastafel; Cleaning service; K. Mandi Dalam; Kloset Duduk; Shower; WiFi; R. Tamu; Penjaga Kos; R. Makan; Kartu Akses; Parkir Mobil; Parkir Motor; Parkir Sepeda"/>
    <n v="2500000"/>
    <s v="Rp2.500.000"/>
    <n v="0"/>
    <m/>
    <s v="Kos Campur"/>
    <m/>
    <m/>
  </r>
  <r>
    <s v="Kost De Raincity Dramaga Bogor"/>
    <x v="0"/>
    <x v="73"/>
    <n v="12"/>
    <s v="3 x 4 meter"/>
    <s v="Tidak termasuk listrik"/>
    <s v=""/>
    <s v="N/A"/>
    <s v="3 x 4 meter; Tidak termasuk listrik; AC; Kasur; Meja; TV; Lemari Baju; Ventilasi; Bantal; Cermin; Jendela; K. Mandi Dalam; Kloset Duduk; Ember mandi; Shower; WiFi; Penjaga Kos; Dispenser; Taman; Parkir Mobil; Parkir Motor; Parkir Sepeda"/>
    <n v="1650000"/>
    <s v="Rp1.650.000"/>
    <n v="0"/>
    <m/>
    <s v="Kos Campur"/>
    <m/>
    <m/>
  </r>
  <r>
    <s v="Kost De Ruci 1 Senen Jakarta Pusat"/>
    <x v="9"/>
    <x v="68"/>
    <n v="9"/>
    <s v="3 x 3 meter"/>
    <s v="Tidak termasuk listrik"/>
    <s v=""/>
    <s v="N/A"/>
    <s v="3 x 3 meter; Tidak termasuk listrik; Ventilasi; K. Mandi Dalam; Kloset Duduk; Shower"/>
    <n v="1150000"/>
    <s v="Rp1.150.000"/>
    <n v="0.20833333333333334"/>
    <d v="1899-12-30T05:00:00"/>
    <s v="Kos Campur"/>
    <m/>
    <m/>
  </r>
  <r>
    <s v="Kost De Saari 21 Tipe Non Ac Tanjung Priok Jakarta Utara"/>
    <x v="4"/>
    <x v="10"/>
    <n v="9"/>
    <s v="3 x 3 meter"/>
    <s v="Termasuk listrik (implied)"/>
    <s v=""/>
    <s v="N/A"/>
    <s v="3 x 3 meter; Termasuk listrik; Kasur; Lemari Baju; Kulkas; Ventilasi; Cleaning service; Jendela; Kipas Angin; Bantal; Kloset Duduk; Kloset Jongkok; K. Mandi Luar; Shower; WiFi; R. Cuci; Penjaga Kos; R. Tamu; R. Jemur; R. Santai; Dispenser; Balcon; CCTV; Parkir Motor; Parkir Sepeda"/>
    <n v="1050000"/>
    <s v="Rp1.050.000"/>
    <n v="0.20833333333333334"/>
    <d v="1899-12-30T05:00:00"/>
    <s v="Kos Campur"/>
    <m/>
    <s v="Diskon 50rb"/>
  </r>
  <r>
    <s v="Kost Dea Tipe B Parung Panjang Bogor"/>
    <x v="0"/>
    <x v="139"/>
    <n v="9"/>
    <s v="3 x 3 meter"/>
    <s v="Tidak termasuk listrik"/>
    <s v=""/>
    <s v="N/A"/>
    <s v="3 x 3 meter; Tidak termasuk listrik; Kasur; Lemari Baju; Bantal; Guling; Jendela; Kipas Angin; Sofa; K. Mandi Dalam; Kloset Duduk; Shower; R. Tamu; Dapur; CCTV; Parkir Mobil"/>
    <n v="1200000"/>
    <s v="Rp1.200.000"/>
    <n v="0"/>
    <m/>
    <s v="Kos Campur"/>
    <m/>
    <m/>
  </r>
  <r>
    <s v="Kost Dean 2 Dramaga Bogor"/>
    <x v="0"/>
    <x v="73"/>
    <n v="12.25"/>
    <s v="3.5 x 3.5 meter"/>
    <s v="Tidak termasuk listrik"/>
    <s v=""/>
    <s v="N/A"/>
    <s v="3.5 x 3.5 meter; Tidak termasuk listrik; AC; Kasur; Meja; Meja Rias; TV; Kulkas; Lemari Baju; Ventilasi; Bantal; Cermin; K. Mandi Dalam; Kloset Duduk; Wastafel; Shower; WiFi; Penjaga Kos; Dapur; CCTV; Kartu Akses; Pengurus Kos; Rooftop; Taman; Parkir Mobil; Parkir Motor; Parkir Sepeda; Parkir Motor &amp; Sepeda"/>
    <n v="1700000"/>
    <s v="Rp1.700.000"/>
    <n v="0"/>
    <m/>
    <s v="Kos Putri"/>
    <m/>
    <m/>
  </r>
  <r>
    <s v="Kost Dean Dramaga Bogor"/>
    <x v="0"/>
    <x v="23"/>
    <n v="9"/>
    <s v="3 x 3 meter"/>
    <s v="Tidak termasuk listrik"/>
    <s v=""/>
    <s v="N/A"/>
    <s v="3 x 3 meter; Tidak termasuk listrik; AC; Kasur; Meja; Meja Rias; TV; Kulkas; Lemari Baju; Ventilasi; Bantal; Cermin; K. Mandi Dalam; Kloset Duduk; Wastafel; Shower; Air panas; WiFi; Penjaga Kos; Mushola; Dapur; Dispenser; Balcon; CCTV; Gazebo; Jemuran; Parkir Mobil; Parkir Motor"/>
    <n v="1700000"/>
    <s v="Rp1.700.000"/>
    <n v="0"/>
    <m/>
    <s v="Kos Putri"/>
    <m/>
    <m/>
  </r>
  <r>
    <s v="Kost Dean Residence 10 Tipe Deluxe Karang Tengah Tangerang"/>
    <x v="6"/>
    <x v="121"/>
    <n v="28"/>
    <s v="7 x 4 meter"/>
    <s v="Tidak termasuk listrik"/>
    <s v=""/>
    <s v="N/A"/>
    <s v="7 x 4 meter; Tidak termasuk listrik; AC; Kasur; Meja; Dispenser; TV; Meja Rias; Kulkas; Lemari Baju; Ventilasi; Bantal; K. Mandi Dalam; Kloset Duduk; Wastafel; Shower; Air panas; WiFi; Laundry; Penjaga Kos; R. Makan; R. Santai; Dapur; Balcon; CCTV; Parkir Mobil; Parkir Motor; Parkir Sepeda"/>
    <n v="2500000"/>
    <s v="Rp2.500.000"/>
    <n v="0"/>
    <m/>
    <s v="Kos Campur"/>
    <m/>
    <m/>
  </r>
  <r>
    <s v="Kost Dekat Stadion JIS Tanjung Priok Jakarta Utara"/>
    <x v="4"/>
    <x v="10"/>
    <n v="12"/>
    <s v="3 x 4 meter"/>
    <s v="Tidak termasuk listrik"/>
    <s v=""/>
    <s v="N/A"/>
    <s v="3 x 4 meter; Tidak termasuk listrik; AC; Kasur; Meja; Lemari Baju; Ventilasi; Bantal; Cermin; Jendela; Kursi; Wastafel; K. Mandi Dalam; Kloset Duduk; Shower; WiFi; Kulkas; R. Jemur; Dapur; Balcon; CCTV; Taman; Parkir Motor &amp; Sepeda"/>
    <n v="1200000"/>
    <s v="Rp1.200.000"/>
    <n v="0"/>
    <m/>
    <s v="Kos Campur"/>
    <m/>
    <m/>
  </r>
  <r>
    <s v="Kost Delan Tipe A Tapos Depok"/>
    <x v="1"/>
    <x v="99"/>
    <n v="24"/>
    <s v="4 x 6 meter"/>
    <s v="Termasuk listrik (implied)"/>
    <s v=""/>
    <s v="N/A"/>
    <s v="4 x 6 meter; Termasuk listrik; AC; Kasur; Meja; Ventilasi; Bantal; Cermin; Dapur Pribadi; Guling; Jendela; Kipas Angin; K. Mandi Dalam; Kloset Duduk; Wastafel; Shower; WiFi; Kulkas; Penjaga Kos; R. Tamu; R. Jemur; R. Makan; R. Santai; Dapur; Balcon; CCTV; Parkir Mobil; Parkir Motor; Parkir Sepeda"/>
    <n v="1500000"/>
    <s v="Rp1.500.000"/>
    <n v="0"/>
    <m/>
    <s v="Kos Campur"/>
    <m/>
    <m/>
  </r>
  <r>
    <s v="Kost Delima Tipe Diamond Grogol Petamburan Jakarta Barat"/>
    <x v="3"/>
    <x v="82"/>
    <n v="10.5"/>
    <s v="3 x 3.5 meter"/>
    <s v="Tidak termasuk listrik"/>
    <s v=""/>
    <s v="N/A"/>
    <s v="3 x 3.5 meter; Tidak termasuk listrik; AC; Kasur; Dispenser; Meja; TV; Kulkas; Lemari Baju; Ventilasi; Bantal; Cermin; K. Mandi Dalam; Kloset Duduk; Wastafel; Shower; Air panas"/>
    <n v="2250000"/>
    <s v="Rp2.250.000"/>
    <n v="0"/>
    <m/>
    <s v="Kos Campur"/>
    <m/>
    <m/>
  </r>
  <r>
    <s v="Kost Delta Murah Tipe Eco Cikarang Selatan Bekasi"/>
    <x v="7"/>
    <x v="27"/>
    <n v="9"/>
    <s v="3 x 3 meter"/>
    <s v="Termasuk listrik (implied)"/>
    <s v=""/>
    <s v="N/A"/>
    <s v="3 x 3 meter; Termasuk listrik; Kloset Duduk; Kloset Jongkok; K. Mandi Luar; Ember mandi; Shower; R. Cuci; R. Tamu; R. Jemur; R. Makan; R. Santai; Dapur; Dispenser; CCTV; Jemuran; Joglo; Parkir Mobil; Parkir Motor; Parkir Sepeda; Parkir Motor &amp; Sepeda"/>
    <n v="500000"/>
    <s v="Rp500.000"/>
    <n v="0"/>
    <m/>
    <s v="Kos Campur"/>
    <m/>
    <m/>
  </r>
  <r>
    <s v="Kost DENLI Residence Thamrin Tanah Abang Jakarta Pusat Tipe A Tanah Abang Jakarta Pusat"/>
    <x v="9"/>
    <x v="42"/>
    <n v="9"/>
    <s v="3 x 3 meter"/>
    <s v="Termasuk listrik (implied)"/>
    <s v=""/>
    <s v="N/A"/>
    <s v="3 x 3 meter; Termasuk listrik; AC; Kasur; Meja; TV; Meja Rias; Lemari Baju; Kulkas; Ventilasi; Kursi; Cleaning service; K. Mandi Dalam; Kloset Duduk; Wastafel; Shower; Air panas; WiFi; R. Cuci; R. Tamu; Mesin Cuci; Penjaga Kos; R. Makan; R. Jemur; R. Santai; Dapur; Parkir Mobil; Parkir Motor"/>
    <n v="2650000"/>
    <s v="Rp2.650.000"/>
    <n v="0.17083333333333331"/>
    <d v="1899-12-30T04:06:00"/>
    <s v="Kos Campur"/>
    <m/>
    <m/>
  </r>
  <r>
    <s v="Kost Desty Tipe D Daisy Grogol Petamburan Jakarta Barat"/>
    <x v="3"/>
    <x v="13"/>
    <n v="16"/>
    <s v="4 x 4 meter"/>
    <s v="Termasuk listrik (implied)"/>
    <s v=""/>
    <s v="N/A"/>
    <s v="4 x 4 meter; Termasuk listrik; AC; Kasur; Lemari Baju; Bantal; Jendela; K. Mandi Dalam; Kloset Duduk; Ember mandi; Shower; WiFi; R. Jemur; Jemuran; CCTV; Parkir Sepeda; Parkir Motor; Parkir Motor &amp; Sepeda"/>
    <n v="1900000"/>
    <s v="Rp1.900.000"/>
    <n v="0.17291666666666669"/>
    <d v="1899-12-30T04:09:00"/>
    <s v="Kos Campur"/>
    <m/>
    <s v="Diskon 160rb"/>
  </r>
  <r>
    <s v="Kost Dewa Ruci Business D6 Cikarang Utara Bekasi"/>
    <x v="7"/>
    <x v="33"/>
    <n v="12"/>
    <s v="3 x 4 meter"/>
    <s v="Tidak termasuk listrik"/>
    <s v=""/>
    <s v="N/A"/>
    <s v="3 x 4 meter; Tidak termasuk listrik; AC; Kasur; Meja; TV; Lemari Baju; Cermin; Jendela; Wastafel; K. Mandi Dalam; Kloset Duduk; WiFi; Penjaga Kos; Mushola; CCTV; Jemuran; Jual Makanan; K. Mandi Luar; Pengurus Kos; Parkir Mobil; Parkir Motor"/>
    <n v="1500000"/>
    <s v="Rp1.500.000"/>
    <n v="0"/>
    <m/>
    <s v="Kos Campur"/>
    <m/>
    <m/>
  </r>
  <r>
    <s v="Kost Dewa Ruci Business D6 Cikarang Utara Bekasi"/>
    <x v="7"/>
    <x v="33"/>
    <n v="12"/>
    <s v="3 x 4 meter"/>
    <s v="Tidak termasuk listrik"/>
    <s v=""/>
    <s v="N/A"/>
    <s v="3 x 4 meter; Tidak termasuk listrik; AC; Kasur; Meja; TV; Lemari Baju; Cermin; Jendela; Wastafel; K. Mandi Dalam; Kloset Duduk; WiFi; Penjaga Kos; Mushola; CCTV; Jemuran; Jual Makanan; K. Mandi Luar; Pengurus Kos"/>
    <n v="1500000"/>
    <s v="Rp1.500.000"/>
    <n v="0"/>
    <m/>
    <s v="Kos Campur"/>
    <m/>
    <m/>
  </r>
  <r>
    <s v="Kost Dewa Ruci TIpe Business D Cikarang Utara Bekasi"/>
    <x v="7"/>
    <x v="33"/>
    <n v="15"/>
    <s v="3 x 5 meter"/>
    <s v="Tidak termasuk listrik"/>
    <s v=""/>
    <s v="N/A"/>
    <s v="3 x 5 meter; Tidak termasuk listrik; AC; Kasur; Dispenser; Meja; TV; Lemari Baju; Ventilasi; Bantal; Guling; Jendela; K. Mandi Dalam; Kloset Duduk; Wastafel; Shower; WiFi; Penjaga Kos; Mushola; CCTV; Jemuran; Jual Makanan; K. Mandi Luar; Pengurus Kos; Parkir Mobil; Parkir Motor"/>
    <n v="1400000"/>
    <s v="Rp1.400.000"/>
    <n v="0"/>
    <m/>
    <s v="Kos Campur"/>
    <m/>
    <m/>
  </r>
  <r>
    <s v="Kost Dewi J1 Cipondoh Tangerang"/>
    <x v="6"/>
    <x v="98"/>
    <n v="12"/>
    <s v="3 x 4 meter"/>
    <s v="Tidak termasuk listrik"/>
    <s v=""/>
    <s v="N/A"/>
    <s v="3 x 4 meter; Tidak termasuk listrik; AC; Kasur; Lemari Baju; Ventilasi; Bantal; Guling; Jendela; K. Mandi Dalam; Kloset Duduk; Ember mandi; Shower; WiFi; R. Cuci; Penjaga Kos; R. Tamu; R. Jemur; Dapur; Dispenser; Jemuran; Pengurus Kos; Parkir Motor; Parkir Sepeda"/>
    <n v="1300000"/>
    <s v="Rp1.300.000"/>
    <n v="0.17222222222222225"/>
    <d v="1899-12-30T04:08:00"/>
    <s v="Kos Putri"/>
    <m/>
    <s v="Diskon 125rb"/>
  </r>
  <r>
    <s v="Kost D'Green House Tipe C Tangerang Tangerang"/>
    <x v="6"/>
    <x v="90"/>
    <n v="12"/>
    <s v="3 x 4 meter"/>
    <s v="Tidak termasuk listrik"/>
    <s v=""/>
    <s v="N/A"/>
    <s v="3 x 4 meter; Tidak termasuk listrik; AC; Kasur; Meja; Dispenser; TV; Lemari Baju; Ventilasi; Kursi; Bantal; Guling; K. Mandi Dalam; Kloset Duduk; Shower; WiFi; R. Cuci; R. Tamu; R. Santai; Dapur; Taman; CCTV; Jemuran; Parkir Mobil; Parkir Motor; Parkir Sepeda"/>
    <n v="1400000"/>
    <s v="Rp1.400.000"/>
    <n v="0.17291666666666669"/>
    <d v="1899-12-30T04:09:00"/>
    <s v="Kos Putri"/>
    <m/>
    <m/>
  </r>
  <r>
    <s v="Kost DGreen Tipe A Beji Depok"/>
    <x v="1"/>
    <x v="15"/>
    <n v="12"/>
    <s v="3 x 4 meter"/>
    <s v="Termasuk listrik (implied)"/>
    <s v=""/>
    <s v="N/A"/>
    <s v="3 x 4 meter; Termasuk listrik; AC; Kasur; Meja; Lemari Baju; Kursi; Cleaning service; K. Mandi Dalam; Kloset Duduk; Ember mandi; Shower; WiFi; R. Cuci; R. Tamu; Mesin Cuci; Penjaga Kos; R. Makan; R. Jemur; R. Santai; Dapur; Taman; Parkir Motor; Parkir Sepeda"/>
    <n v="1800000"/>
    <s v="Rp1.800.000"/>
    <n v="0.20833333333333334"/>
    <d v="1899-12-30T05:00:00"/>
    <s v="Kos Putri"/>
    <m/>
    <s v="Diskon 160rb"/>
  </r>
  <r>
    <s v="Kost D'Green Tipe C Beji Depok"/>
    <x v="1"/>
    <x v="15"/>
    <n v="10.8"/>
    <s v="2.7 x 4 meter"/>
    <s v="Termasuk listrik (implied)"/>
    <s v=""/>
    <s v="N/A"/>
    <s v="2.7 x 4 meter; Termasuk listrik; AC; Kasur; Meja; Dispenser; Lemari Baju; Kursi; Cleaning service; K. Mandi Dalam; Kloset Duduk; Ember mandi; Shower; WiFi; R. Cuci; Kulkas; R. Tamu; Mesin Cuci; Penjaga Kos; R. Makan; R. Jemur; R. Santai; Dapur; Parkir Motor; Parkir Sepeda"/>
    <n v="1500000"/>
    <s v="Rp1.500.000"/>
    <n v="0.17291666666666669"/>
    <d v="1899-12-30T04:09:00"/>
    <s v="Kos Putri"/>
    <m/>
    <s v="Diskon 160rb"/>
  </r>
  <r>
    <s v="Kost Dhea Nia Cikarang Pusat Bekasi"/>
    <x v="7"/>
    <x v="100"/>
    <n v="9"/>
    <s v="3 x 3 meter"/>
    <s v="Tidak termasuk listrik"/>
    <s v=""/>
    <s v="N/A"/>
    <s v="3 x 3 meter; Tidak termasuk listrik; AC; Kasur; Meja; TV; Lemari Baju; Ventilasi; Bantal; Cermin; Guling; Jendela; Kloset Duduk; Shower; Air panas; WiFi; Kulkas; Laundry; Dapur; Dispenser; CCTV; Kartu Akses; Rice Cooker; Parkir Mobil; Parkir Motor; Parkir Sepeda; Parkir Motor &amp; Sepeda"/>
    <n v="1500000"/>
    <s v="Rp1.500.000"/>
    <n v="0"/>
    <m/>
    <s v="Kos Putra"/>
    <m/>
    <m/>
  </r>
  <r>
    <s v="Kost Dhio Dhea Ciledug Tangerang"/>
    <x v="6"/>
    <x v="140"/>
    <n v="9"/>
    <s v="3 x 3 meter"/>
    <s v="Tidak termasuk listrik"/>
    <s v=""/>
    <s v="N/A"/>
    <s v="3 x 3 meter; Tidak termasuk listrik; Kasur; Meja; Lemari Baju; Ventilasi; Bantal; Guling; Jendela; Kipas Angin; K. Mandi Dalam; Kloset Jongkok; Ember mandi; WiFi; Kulkas; Dapur; Balcon; Jemuran; Parkir Motor; Parkir Motor &amp; Sepeda"/>
    <n v="800000"/>
    <s v="Rp800.000"/>
    <n v="0"/>
    <m/>
    <s v="Kos Campur"/>
    <m/>
    <m/>
  </r>
  <r>
    <s v="Kost Dhome Tipe A Cikarang Utara Bekasi"/>
    <x v="7"/>
    <x v="33"/>
    <n v="9"/>
    <s v="3 x 3 meter"/>
    <s v="Tidak termasuk listrik"/>
    <s v=""/>
    <s v="N/A"/>
    <s v="3 x 3 meter; Tidak termasuk listrik; AC; Kasur; Bantal; Cermin; Jendela; K. Mandi Dalam; Kloset Jongkok; Ember mandi; Shower; WiFi; Kulkas; R. Jemur; Dapur; Balcon; Jemuran; Pengurus Kos; Parkir Motor"/>
    <n v="1300000"/>
    <s v="Rp1.300.000"/>
    <n v="0"/>
    <m/>
    <s v="Kos Putri"/>
    <m/>
    <m/>
  </r>
  <r>
    <s v="Kost Dhome Tipe A Cikarang Utara Bekasi"/>
    <x v="7"/>
    <x v="33"/>
    <n v="9"/>
    <s v="3 x 3 meter"/>
    <s v="Tidak termasuk listrik"/>
    <s v=""/>
    <s v="N/A"/>
    <s v="3 x 3 meter; Tidak termasuk listrik; AC; Kasur; Bantal; Cermin; Jendela; K. Mandi Dalam; Kloset Jongkok; Ember mandi; Shower; WiFi; Kulkas; R. Jemur; Dapur; Balcon; Jemuran; Pengurus Kos"/>
    <n v="1300000"/>
    <s v="Rp1.300.000"/>
    <n v="0"/>
    <m/>
    <s v="Kos Putri"/>
    <m/>
    <m/>
  </r>
  <r>
    <s v="Kost Dhome Tipe A Cikarang Utara Bekasi"/>
    <x v="7"/>
    <x v="33"/>
    <n v="9"/>
    <s v="3 x 3 meter"/>
    <s v="Tidak termasuk listrik"/>
    <s v=""/>
    <s v="N/A"/>
    <s v="3 x 3 meter; Tidak termasuk listrik; AC; Kasur; Bantal; Cermin; Jendela; K. Mandi Dalam; Kloset Jongkok; Ember mandi; Shower; Parkir Motor"/>
    <n v="1300000"/>
    <s v="Rp1.300.000"/>
    <n v="0"/>
    <m/>
    <s v="Kos Putri"/>
    <m/>
    <m/>
  </r>
  <r>
    <s v="Kost Dhome Tipe A Cikarang Utara Bekasi"/>
    <x v="7"/>
    <x v="33"/>
    <n v="9"/>
    <s v="3 x 3 meter"/>
    <s v="Tidak termasuk listrik"/>
    <s v=""/>
    <s v="N/A"/>
    <s v="3 x 3 meter; Tidak termasuk listrik; AC; Kasur; Bantal; Cermin; Jendela; K. Mandi Dalam; Kloset Jongkok; Ember mandi; Shower"/>
    <n v="1300000"/>
    <s v="Rp1.300.000"/>
    <n v="0"/>
    <m/>
    <s v="Kos Putri"/>
    <m/>
    <m/>
  </r>
  <r>
    <s v="Kost Dhome Tipe B Cikarang Utara Bekasi"/>
    <x v="7"/>
    <x v="78"/>
    <n v="9"/>
    <s v="3 x 3 meter"/>
    <s v="Tidak termasuk listrik"/>
    <s v=""/>
    <s v="N/A"/>
    <s v="3 x 3 meter; Tidak termasuk listrik; Kasur; Lemari Baju; Ventilasi; Bantal; Cermin; Jendela; Kipas Angin; Kloset Jongkok; K. Mandi Luar; Wastafel; Shower; WiFi; Kulkas; R. Jemur; Dapur; Balcon; Jemuran; Parkir Motor; Parkir Sepeda"/>
    <n v="780000"/>
    <s v="Rp780.000"/>
    <n v="0.1673611111111111"/>
    <d v="1899-12-30T04:01:00"/>
    <s v="Kos Putri"/>
    <m/>
    <m/>
  </r>
  <r>
    <s v="Kost Dian Tipe A Tangerang"/>
    <x v="6"/>
    <x v="22"/>
    <n v="4.5999999999999996"/>
    <s v="2 x 2.3 meter"/>
    <s v="Tidak termasuk listrik"/>
    <s v=""/>
    <s v="N/A"/>
    <s v="2 x 2.3 meter; Tidak termasuk listrik; AC; Kasur; Meja; Dispenser; Lemari Baju; Kulkas; Kursi; Kloset Duduk; K. Mandi Luar; Shower; WiFi; R. Cuci; R. Tamu; R. Makan; R. Jemur; Mushola; R. Santai; Dapur; Taman; Parkir Mobil; Parkir Motor; Parkir Sepeda"/>
    <n v="1300000"/>
    <s v="Rp1.300.000"/>
    <n v="0.17083333333333331"/>
    <d v="1899-12-30T04:06:00"/>
    <s v="Kos Campur"/>
    <m/>
    <s v="Diskon 112rb"/>
  </r>
  <r>
    <s v="Kost Dion 2 Gunung Sindur Bogor"/>
    <x v="0"/>
    <x v="126"/>
    <n v="15"/>
    <s v="5 x 3 meter"/>
    <s v="Tidak termasuk listrik"/>
    <s v=""/>
    <s v="N/A"/>
    <s v="5 x 3 meter; Tidak termasuk listrik; Kasur; K. Mandi Dalam; Kloset Jongkok; Dapur; Jemuran; Parkir Motor"/>
    <n v="500000"/>
    <s v="Rp500.000"/>
    <n v="0"/>
    <m/>
    <s v="Kos Campur"/>
    <m/>
    <m/>
  </r>
  <r>
    <s v="Kost Diva Perum 2 Tipe A1 Cibodas Tangerang"/>
    <x v="6"/>
    <x v="129"/>
    <n v="12"/>
    <s v="3 x 4 meter"/>
    <s v="Tidak termasuk listrik"/>
    <s v=""/>
    <s v="N/A"/>
    <s v="3 x 4 meter; Tidak termasuk listrik; AC; Kasur; Lemari Baju; Ventilasi; Bantal; Cermin; Jendela; K. Mandi Dalam; Kloset Jongkok; WiFi; Kulkas; R. Tamu; R. Makan; R. Jemur; R. Santai; Dapur; CCTV; Jemuran; Pengurus Kos; Parkir Motor; Parkir Sepeda; Parkir Motor &amp; Sepeda"/>
    <n v="1100000"/>
    <s v="Rp1.100.000"/>
    <n v="0"/>
    <m/>
    <s v="Kos Campur"/>
    <m/>
    <m/>
  </r>
  <r>
    <s v="Kost Diva Perum 2 Tipe Executive Cibodas Tangerang"/>
    <x v="6"/>
    <x v="129"/>
    <n v="15"/>
    <s v="3 x 5 meter"/>
    <s v="Tidak termasuk listrik"/>
    <s v=""/>
    <s v="N/A"/>
    <s v="3 x 5 meter; Tidak termasuk listrik; AC; Kasur; Lemari Baju; Bantal; Cermin; Jendela; K. Mandi Dalam; Kloset Duduk; Shower; WiFi; Kulkas; R. Jemur; R. Makan; R. Santai; CCTV; Balcon; Jemuran; Jual Makanan; Parkir Mobil; Parkir Motor"/>
    <n v="1300000"/>
    <s v="Rp1.300.000"/>
    <n v="0"/>
    <m/>
    <s v="Kos Campur"/>
    <m/>
    <m/>
  </r>
  <r>
    <s v="Kost DKos Eklusive Tipe A Tambun Selatan Bekasi"/>
    <x v="7"/>
    <x v="101"/>
    <n v="12.5"/>
    <s v="2.5 x 5 meter"/>
    <s v="Tidak termasuk listrik"/>
    <s v=""/>
    <s v="N/A"/>
    <s v="2.5 x 5 meter; Tidak termasuk listrik; AC; Kasur; Lemari Baju; Ventilasi; Bantal; Jendela; Wastafel; K. Mandi Dalam; Kloset Jongkok; Ember mandi; WiFi; Kulkas; R. Jemur; Dapur; Balcon; CCTV; Jemuran; TV; Parkir Motor"/>
    <n v="800000"/>
    <s v="Rp800.000"/>
    <n v="0"/>
    <m/>
    <s v="Kos Putri"/>
    <m/>
    <m/>
  </r>
  <r>
    <s v="Kost Don Juan 1 Tipe A Cakung Jakarta Timur"/>
    <x v="8"/>
    <x v="119"/>
    <n v="9"/>
    <s v="3 x 3 meter"/>
    <s v="Tidak termasuk listrik"/>
    <s v=""/>
    <s v="N/A"/>
    <s v="3 x 3 meter; Tidak termasuk listrik; AC; Kasur; Meja; TV; Lemari Baju; Ventilasi; Bantal; Cermin; Cleaning service; Kursi; K. Mandi Dalam; Kloset Duduk; Wastafel; Shower; WiFi; Kulkas; Laundry; Penjaga Kos; R. Tamu; R. Makan; R. Santai; Dapur; CCTV; Balcon; Parkir Motor"/>
    <n v="1700000"/>
    <s v="Rp1.700.000"/>
    <n v="0.20833333333333334"/>
    <d v="1899-12-30T05:00:00"/>
    <s v="Kos Campur"/>
    <m/>
    <m/>
  </r>
  <r>
    <s v="Kost Dona I Karawaci Tangerang"/>
    <x v="6"/>
    <x v="141"/>
    <n v="12"/>
    <s v="3 x 4 meter"/>
    <s v="Tidak termasuk listrik"/>
    <s v=""/>
    <s v="N/A"/>
    <s v="3 x 4 meter; Tidak termasuk listrik; Kasur; Meja; Lemari Baju; Ventilasi; Bantal; Cermin; Guling; Kipas Angin; Kursi; K. Mandi Dalam; Kloset Jongkok; Ember mandi; WiFi; R. Tamu; R. Santai; Dapur; Dispenser; CCTV; Jemuran; Pengurus Kos; Parkir Motor; Parkir Sepeda"/>
    <n v="700000"/>
    <s v="Rp700.000"/>
    <n v="0"/>
    <m/>
    <s v="Kos Putri"/>
    <m/>
    <m/>
  </r>
  <r>
    <s v="Kost Dorayon Tipe Medium Cakung Jakarta Timur"/>
    <x v="8"/>
    <x v="48"/>
    <n v="9"/>
    <s v="3 x 3 meter"/>
    <s v="Termasuk listrik (implied)"/>
    <s v=""/>
    <s v="N/A"/>
    <s v="3 x 3 meter; Termasuk listrik; Kasur; Lemari Baju; Ventilasi; Bantal; Guling; Jendela; Kipas Angin; K. Mandi Dalam; Kloset Jongkok; WiFi; R. Cuci; Penjaga Kos; R. Jemur; CCTV; Jemuran; Parkir Motor; Parkir Sepeda; Parkir Motor &amp; Sepeda"/>
    <n v="900000"/>
    <s v="Rp900.000"/>
    <n v="0"/>
    <m/>
    <s v="Kos Campur"/>
    <m/>
    <m/>
  </r>
  <r>
    <s v="Kost Dpeak Cikarang Utara Bekasi"/>
    <x v="7"/>
    <x v="33"/>
    <n v="9"/>
    <s v="3 x 3 meter"/>
    <s v="Tidak termasuk listrik"/>
    <s v=""/>
    <s v="N/A"/>
    <s v="3 x 3 meter; Tidak termasuk listrik; AC; Kasur; Lemari Baju; Ventilasi; Bantal; Cermin; Jendela; K. Mandi Dalam; Kloset Jongkok; Shower; WiFi; Kulkas; R. Cuci; R. Jemur; Dapur; Balcon; CCTV; Jemuran; Pengurus Kos; Parkir Motor; Parkir Sepeda"/>
    <n v="1200000"/>
    <s v="Rp1.200.000"/>
    <n v="0"/>
    <m/>
    <s v="Kos Putri"/>
    <m/>
    <m/>
  </r>
  <r>
    <s v="Kost Dramaga F17 Dramaga Bogor"/>
    <x v="0"/>
    <x v="73"/>
    <n v="12"/>
    <s v="3 x 4 meter"/>
    <s v="Tidak termasuk listrik"/>
    <s v=""/>
    <s v="N/A"/>
    <s v="3 x 4 meter; Tidak termasuk listrik; Jendela; Kloset Jongkok; Ember mandi; Dapur; Parkir Mobil; Parkir Motor"/>
    <n v="600000"/>
    <s v="Rp600.000"/>
    <n v="0"/>
    <m/>
    <s v="Kos Putra"/>
    <m/>
    <m/>
  </r>
  <r>
    <s v="Kost Dramaga Tipe A Dramaga Bogor"/>
    <x v="0"/>
    <x v="73"/>
    <n v="12"/>
    <s v="3 x 4 meter"/>
    <s v="Tidak termasuk listrik"/>
    <s v=""/>
    <s v="N/A"/>
    <s v="3 x 4 meter; Tidak termasuk listrik; Kasur; Meja; Lemari Baju; Ventilasi; Bantal; Cermin; Cleaning service; Dapur Pribadi; Guling; Jendela; K. Mandi Dalam; Kloset Duduk; Ember mandi; Wastafel; Shower; Bak mandi; Laundry; Penjaga Kos; Balcon; Jual Makanan; Pengurus Kos; Parkir Mobil; Parkir Motor; Parkir Sepeda; Parkir Motor &amp; Sepeda"/>
    <n v="800000"/>
    <s v="Rp800.000"/>
    <n v="0.20833333333333334"/>
    <d v="1899-12-30T05:00:00"/>
    <s v="Kos Campur"/>
    <m/>
    <m/>
  </r>
  <r>
    <s v="Kost Dream House Tipe A Dramaga Bogor"/>
    <x v="0"/>
    <x v="23"/>
    <n v="12"/>
    <s v="3 x 4 meter"/>
    <s v="Tidak termasuk listrik"/>
    <s v=""/>
    <s v="N/A"/>
    <s v="3 x 4 meter; Tidak termasuk listrik; AC; Kasur; Meja; Lemari Baju; Bantal; Cermin; Jendela; Kursi; K. Mandi Dalam; Kloset Duduk; Shower; Air panas; WiFi; Kulkas; R. Cuci; R. Tamu; R. Jemur; R. Makan; R. Santai; Dapur; Balcon; CCTV; Parkir Mobil; Parkir Motor"/>
    <n v="1550000"/>
    <s v="Rp1.550.000"/>
    <n v="0"/>
    <m/>
    <s v="Kos Putri"/>
    <m/>
    <m/>
  </r>
  <r>
    <s v="Kost Dreamland Cipondoh Tangerang"/>
    <x v="6"/>
    <x v="97"/>
    <n v="12"/>
    <s v="3 x 4 meter"/>
    <s v="Termasuk listrik (implied)"/>
    <s v=""/>
    <s v="N/A"/>
    <s v="3 x 4 meter; Termasuk listrik; Kasur; Meja; Lemari Baju; Cermin; Jendela; Kipas Angin; Kursi; K. Mandi Dalam; Kloset Duduk; Ember mandi; Shower; WiFi; Kulkas; R. Tamu; R. Makan; Dapur; Dispenser; Balcon; Jemuran; Pengurus Kos; Parkir Motor; Parkir Sepeda; Parkir Motor &amp; Sepeda"/>
    <n v="1200000"/>
    <s v="Rp1.200.000"/>
    <n v="0.17291666666666669"/>
    <d v="1899-12-30T04:09:00"/>
    <s v="Kos Putri"/>
    <m/>
    <m/>
  </r>
  <r>
    <s v="Kost Dslipi Palmerah Jakarta Barat"/>
    <x v="3"/>
    <x v="104"/>
    <n v="12"/>
    <s v="3 x 4 meter"/>
    <s v="Tidak termasuk listrik"/>
    <s v=""/>
    <s v="N/A"/>
    <s v="3 x 4 meter; Tidak termasuk listrik; AC; Kasur; Meja; TV; Lemari Baju; Cermin; Jendela; Kursi; K. Mandi Dalam; Kloset Duduk; Wastafel; Shower; Air panas; WiFi; Kulkas; R. Cuci; Laundry; Penjaga Kos; R. Tamu; R. Jemur; R. Makan; R. Santai; Dapur; Parkir Mobil; Parkir Motor; Parkir Sepeda"/>
    <n v="3000000"/>
    <s v="Rp3.000.000"/>
    <n v="0.17291666666666669"/>
    <d v="1899-12-30T04:09:00"/>
    <s v="Kos Campur"/>
    <m/>
    <m/>
  </r>
  <r>
    <s v="Kost Durian 35 Tipe B Tambun Selatan Bekasi"/>
    <x v="7"/>
    <x v="113"/>
    <n v="9"/>
    <s v="3 x 3 meter"/>
    <s v="Tidak termasuk listrik"/>
    <s v=""/>
    <s v="N/A"/>
    <s v="3 x 3 meter; Tidak termasuk listrik; AC; Kasur; Dispenser; Lemari Baju; Kulkas; Cleaning service; Kloset Duduk; Kloset Jongkok; Wastafel; Ember mandi; Shower; Bak mandi; WiFi; R. Cuci; Laundry; R. Jemur; Dapur; Taman; K. Mandi Luar; Parkir Mobil; Parkir Motor"/>
    <n v="850000"/>
    <s v="Rp850.000"/>
    <n v="0"/>
    <m/>
    <s v="Kos Putri"/>
    <m/>
    <m/>
  </r>
  <r>
    <s v="Kost Duta Cileungsi Bogor"/>
    <x v="0"/>
    <x v="31"/>
    <n v="9"/>
    <s v="3 x 3 meter"/>
    <s v="Termasuk listrik (implied)"/>
    <s v=""/>
    <s v="N/A"/>
    <s v="3 x 3 meter; Termasuk listrik; AC; Kasur; Meja; Lemari Baju; Kulkas; Ventilasi; Kursi; Kipas Angin; Sofa; Bantal; Kloset Jongkok; K. Mandi Luar; Ember mandi; Bak mandi; R. Tamu; Penjaga Kos; R. Jemur; Dapur; Taman; Jemuran; Pengurus Kos; Parkir Mobil; Parkir Motor; Parkir Sepeda"/>
    <n v="600000"/>
    <s v="Rp600.000"/>
    <n v="0.20833333333333334"/>
    <d v="1899-12-30T05:00:00"/>
    <s v="Kos Putri"/>
    <m/>
    <m/>
  </r>
  <r>
    <s v="Kost Duta Garden Benda Tangerang"/>
    <x v="6"/>
    <x v="122"/>
    <n v="16"/>
    <s v="4 x 4 meter"/>
    <s v="Tidak termasuk listrik"/>
    <s v=""/>
    <s v="N/A"/>
    <s v="4 x 4 meter; Tidak termasuk listrik; AC; Kasur; Meja; Lemari Baju; Ventilasi; Bantal; Cermin; Guling; Jendela; Kursi; K. Mandi Dalam; Kloset Duduk; Wastafel; Shower; WiFi; R. Jemur; Dapur; Balcon; CCTV; Jemuran; Parkir Mobil; Parkir Motor"/>
    <n v="1900000"/>
    <s v="Rp1.900.000"/>
    <n v="0.17083333333333331"/>
    <d v="1899-12-30T04:06:00"/>
    <s v="Kos Campur"/>
    <m/>
    <s v="Diskon 95rb"/>
  </r>
  <r>
    <s v="Kost Dyta Ciomas Bogor"/>
    <x v="0"/>
    <x v="142"/>
    <n v="15"/>
    <s v="3 x 5 meter"/>
    <s v="Termasuk listrik (implied)"/>
    <s v=""/>
    <s v="N/A"/>
    <s v="3 x 5 meter; Termasuk listrik; Kasur; Meja; Lemari Baju; Kursi; TV Kabel; K. Mandi Dalam; Kloset Duduk; Shower; R. Tamu; Penjaga Kos; Parkir Motor"/>
    <n v="800000"/>
    <s v="Rp800.000"/>
    <n v="0"/>
    <m/>
    <s v="Kos Putri"/>
    <m/>
    <m/>
  </r>
  <r>
    <s v="Kost Dzahline Larangan Tangerang"/>
    <x v="6"/>
    <x v="87"/>
    <n v="9"/>
    <s v="3 x 3 meter"/>
    <s v="Tidak termasuk listrik"/>
    <s v=""/>
    <s v="N/A"/>
    <s v="3 x 3 meter; Tidak termasuk listrik; Kasur; Lemari Baju; Ventilasi; Bantal; Guling; Jendela; Kloset Jongkok; K. Mandi Luar; Ember mandi; Kulkas; R. Cuci; Laundry; Mushola; R. Jemur; Jemuran; Jual Makanan; Pengurus Kos; Parkir Motor; Parkir Sepeda"/>
    <n v="600000"/>
    <s v="Rp600.000"/>
    <n v="0.17222222222222225"/>
    <d v="1899-12-30T04:08:00"/>
    <s v="Kos Putri"/>
    <m/>
    <m/>
  </r>
  <r>
    <s v="Kost East 99 Residence Cakung Jakarta Timur"/>
    <x v="8"/>
    <x v="119"/>
    <n v="21"/>
    <s v="3.5 x 6 meter"/>
    <s v="Tidak termasuk listrik"/>
    <s v=""/>
    <s v="N/A"/>
    <s v="3.5 x 6 meter; Tidak termasuk listrik; AC; Kasur; TV; Wastafel; Bantal; Cermin; Jendela; K. Mandi Dalam; Kloset Duduk; Shower; Air panas; WiFi; Penjaga Kos; Dapur; K. Mandi Luar; Kartu Akses; CCTV; Pengurus Kos; Parkir Mobil; Parkir Motor"/>
    <n v="2100000"/>
    <s v="Rp2.100.000"/>
    <n v="0.17013888888888887"/>
    <d v="1899-12-30T04:05:00"/>
    <s v="Kos Campur"/>
    <m/>
    <m/>
  </r>
  <r>
    <s v="Kost Edelweis Tipe A Cibinong Bogor"/>
    <x v="0"/>
    <x v="35"/>
    <n v="6.25"/>
    <s v="2.5 x 2.5 meter"/>
    <s v="Tidak termasuk listrik"/>
    <s v=""/>
    <s v="N/A"/>
    <s v="2.5 x 2.5 meter; Tidak termasuk listrik; AC; Kasur; Lemari Baju; Bantal; Cermin; Guling; K. Mandi Dalam; Kloset Duduk; Ember mandi; Shower; WiFi; R. Cuci; Kulkas; R. Tamu; Penjaga Kos; R. Jemur; Dapur; CCTV; Rice Cooker; Parkir Motor; Parkir Sepeda"/>
    <n v="900000"/>
    <s v="Rp900.000"/>
    <n v="0.1673611111111111"/>
    <d v="1899-12-30T04:01:00"/>
    <s v="Kos Putri"/>
    <m/>
    <m/>
  </r>
  <r>
    <s v="Kost Edi Non AC Pulogadung Jakarta Timur"/>
    <x v="8"/>
    <x v="32"/>
    <n v="12"/>
    <s v="3 x 4 meter"/>
    <s v="Tidak termasuk listrik"/>
    <s v=""/>
    <s v="N/A"/>
    <s v="3 x 4 meter; Tidak termasuk listrik; Kasur; Meja; Lemari Baju; Ventilasi; Kipas Angin; Jendela; Bantal; K. Mandi Dalam; Shower; WiFi; Laundry; Penjaga Kos; R. Tamu; Mushola; R. Jemur; R. Makan; R. Santai; Dapur; CCTV; Parkir Mobil; Parkir Motor; Parkir Sepeda"/>
    <n v="1100000"/>
    <s v="Rp1.100.000"/>
    <n v="0.20833333333333334"/>
    <d v="1899-12-30T05:00:00"/>
    <s v="Kos Campur"/>
    <m/>
    <m/>
  </r>
  <r>
    <s v="Kost Editha Cibitung Bekasi"/>
    <x v="7"/>
    <x v="110"/>
    <n v="12"/>
    <s v="3 x 4 meter"/>
    <s v="Tidak termasuk listrik"/>
    <s v=""/>
    <s v="N/A"/>
    <s v="3 x 4 meter; Tidak termasuk listrik; Kasur; Lemari Baju; Bantal; K. Mandi Dalam; Kloset Jongkok; Ember mandi; Shower; WiFi; Balcon; CCTV; Jemuran; Jual Makanan; Pengurus Kos; Parkir Motor"/>
    <n v="750000"/>
    <s v="Rp750.000"/>
    <n v="0.20833333333333334"/>
    <d v="1899-12-30T05:00:00"/>
    <s v="Kos Putra"/>
    <m/>
    <m/>
  </r>
  <r>
    <s v="Kost EHA Tipe B Palmerah Jakarta Barat"/>
    <x v="3"/>
    <x v="104"/>
    <n v="9"/>
    <s v="3 x 3 meter"/>
    <s v="Termasuk listrik (implied)"/>
    <s v=""/>
    <s v="N/A"/>
    <s v="3 x 3 meter; Termasuk listrik; Kasur; Meja; Lemari Baju; Ventilasi; Jendela; K. Mandi Dalam; Kloset Jongkok; Ember mandi; Shower; WiFi; R. Tamu; Jemuran; Parkir Motor; Parkir Motor &amp; Sepeda"/>
    <n v="900000"/>
    <s v="Rp900.000"/>
    <n v="0"/>
    <m/>
    <s v="Kos Campur"/>
    <m/>
    <m/>
  </r>
  <r>
    <s v="Kost Eka Jombang Tipe B Ciputat Tangerang Selatan"/>
    <x v="2"/>
    <x v="103"/>
    <n v="12"/>
    <s v="3 x 4 meter"/>
    <s v="Tidak termasuk listrik"/>
    <s v=""/>
    <s v="N/A"/>
    <s v="3 x 4 meter; Tidak termasuk listrik; Kasur; Meja; Lemari Baju; Bantal; Cermin; Dapur Pribadi; Jendela; Kipas Angin; Kursi; K. Mandi Dalam; Shower; Bak mandi; R. Cuci; Laundry; Penjaga Kos; R. Tamu; R. Jemur; R. Makan; R. Santai; Dapur; Dispenser; Balcon; Parkir Mobil; Parkir Motor; Parkir Sepeda"/>
    <n v="1004999"/>
    <s v="Rp1.004.999"/>
    <n v="0"/>
    <m/>
    <s v="Kos Campur"/>
    <m/>
    <m/>
  </r>
  <r>
    <s v="Kost Eka Tipe S Ciputat Tangerang Selatan"/>
    <x v="2"/>
    <x v="65"/>
    <n v="12"/>
    <s v="3 x 4 meter"/>
    <s v="Tidak termasuk listrik"/>
    <s v=""/>
    <s v="N/A"/>
    <s v="3 x 4 meter; Tidak termasuk listrik; Kasur; Bantal; Jendela; Kipas Angin; Kloset Jongkok; K. Mandi Luar; Ember mandi; R. Cuci; Penjaga Kos; R. Tamu; R. Jemur; R. Santai; Dapur; Dispenser; CCTV; Jemuran; Jual Makanan; Parkir Mobil; Parkir Motor; Parkir Sepeda"/>
    <n v="1200000"/>
    <s v="Rp1.200.000"/>
    <n v="0"/>
    <m/>
    <s v="Kos Campur"/>
    <m/>
    <m/>
  </r>
  <r>
    <s v="Kost Eksekutif Boulevard Kelapa Gading Jakarta Utara"/>
    <x v="4"/>
    <x v="79"/>
    <n v="16"/>
    <s v="4 x 4 meter"/>
    <s v="Termasuk listrik (implied)"/>
    <s v=""/>
    <s v="N/A"/>
    <s v="4 x 4 meter; Termasuk listrik; AC; Kasur; Meja; Dispenser; TV; Meja Rias; Lemari Baju; Kulkas; Ventilasi; Kursi; K. Mandi Dalam; Kloset Duduk; Wastafel; Shower; Air panas; WiFi; R. Cuci; R. Tamu; Mesin Cuci; Penjaga Kos; Laundry; R. Makan; R. Santai; Parkir Mobil; Parkir Motor; Parkir Sepeda"/>
    <n v="3001500"/>
    <s v="Rp3.001.500"/>
    <n v="0"/>
    <m/>
    <s v="Kos Campur"/>
    <m/>
    <m/>
  </r>
  <r>
    <s v="Kost Eksekutif Duren Sawit Jakarta Timur"/>
    <x v="8"/>
    <x v="39"/>
    <n v="12"/>
    <s v="3 x 4 meter"/>
    <s v="Termasuk listrik (implied)"/>
    <s v=""/>
    <s v="N/A"/>
    <s v="3 x 4 meter; Termasuk listrik; AC; Kasur; Meja; Lemari Baju; Ventilasi; Kursi; Bantal; Jendela; Kloset Duduk; Kloset Jongkok; Wastafel; Shower; Air panas; WiFi; R. Cuci; Kulkas; R. Tamu; Mesin Cuci; R. Makan; R. Jemur; R. Santai; Dapur; Dispenser; Parkir Mobil; Parkir Motor; Parkir Sepeda"/>
    <n v="1300000"/>
    <s v="Rp1.300.000"/>
    <n v="0.20833333333333334"/>
    <d v="1899-12-30T05:00:00"/>
    <s v="Kos Putri"/>
    <m/>
    <s v="Diskon 65rb"/>
  </r>
  <r>
    <s v="Kost Eksekutif MGD Tipe Single Babakan Madang Bogor"/>
    <x v="0"/>
    <x v="0"/>
    <n v="12"/>
    <s v="3 x 4 meter"/>
    <s v="Tidak termasuk listrik"/>
    <s v=""/>
    <s v="N/A"/>
    <s v="3 x 4 meter; Tidak termasuk listrik; AC; Kasur; Meja; TV; Meja Rias; Lemari Baju; Kursi; Cleaning service; TV Kabel; K. Mandi Dalam; Kloset Duduk; Ember mandi; Shower; Air panas; WiFi; Kulkas; R. Tamu; Laundry; R. Makan; R. Jemur; R. Santai; Dapur; R. Keluarga; Parkir Mobil; Parkir Motor"/>
    <n v="1800000"/>
    <s v="Rp1.800.000"/>
    <n v="0"/>
    <m/>
    <s v="Kos Campur"/>
    <m/>
    <m/>
  </r>
  <r>
    <s v="Kost Eksklusif AC Pasar Minggu Jakarta Selatan"/>
    <x v="5"/>
    <x v="43"/>
    <n v="12"/>
    <s v="3 x 4 meter"/>
    <s v="Termasuk listrik (implied)"/>
    <s v=""/>
    <s v="N/A"/>
    <s v="3 x 4 meter; Termasuk listrik; AC; Kasur; Lemari Baju; Ventilasi; Bantal; Kipas Angin; K. Mandi Dalam; Ember mandi; WiFi; Kulkas; Penjaga Kos; R. Jemur; Dapur; Jemuran; Parkir Motor; Parkir Sepeda"/>
    <n v="1000000"/>
    <s v="Rp1.000.000"/>
    <n v="0"/>
    <m/>
    <s v="Kos Campur"/>
    <m/>
    <m/>
  </r>
  <r>
    <s v="Kost Eksklusif Bidan Nurjanah Tambun Selatan Bekasi"/>
    <x v="7"/>
    <x v="101"/>
    <n v="21.6"/>
    <s v="3.6 x 6 meter"/>
    <s v="Termasuk listrik (implied)"/>
    <s v=""/>
    <s v="N/A"/>
    <s v="3.6 x 6 meter; Termasuk listrik; AC; Kasur; Meja; Meja Rias; Lemari Baju; Ventilasi; Bantal; Cermin; Guling; Jendela; K. Mandi Dalam; Ember mandi; WiFi; Penjaga Kos; R. Jemur; CCTV; Gazebo; Jemuran; Jual Makanan; Taman; Parkir Motor"/>
    <n v="1300000"/>
    <s v="Rp1.300.000"/>
    <n v="0"/>
    <m/>
    <s v="Kos Putra"/>
    <m/>
    <m/>
  </r>
  <r>
    <s v="Kost Eksklusif In Meadow Green Lippo Tipe A Cikarang Selatan Bekasi"/>
    <x v="7"/>
    <x v="27"/>
    <n v="9"/>
    <s v="3 x 3 meter"/>
    <s v="Tidak termasuk listrik"/>
    <s v=""/>
    <s v="N/A"/>
    <s v="3 x 3 meter; Tidak termasuk listrik; AC; Kasur; Meja; Dispenser; Lemari Baju; Ventilasi; Bantal; Cermin; Guling; Jendela; K. Mandi Dalam; Kloset Duduk; Shower; Air panas; WiFi; Kulkas; Penjaga Kos; Dapur; CCTV; Pengurus Kos; Parkir Mobil; Parkir Motor; Parkir Sepeda; Parkir Motor &amp; Sepeda"/>
    <n v="1500000"/>
    <s v="Rp1.500.000"/>
    <n v="0.17222222222222225"/>
    <d v="1899-12-30T04:08:00"/>
    <s v="Kos Campur"/>
    <m/>
    <m/>
  </r>
  <r>
    <s v="Kost Eksklusif M25 Residence Benda Tangerang"/>
    <x v="6"/>
    <x v="24"/>
    <n v="12"/>
    <s v="3 x 4 meter"/>
    <s v="Tidak termasuk listrik"/>
    <s v=""/>
    <s v="N/A"/>
    <s v="3 x 4 meter; Tidak termasuk listrik; AC; Kasur; Meja; Dispenser; TV; Lemari Baju; Kulkas; Kursi; Wastafel; Cleaning service; K. Mandi Dalam; Kloset Duduk; Shower; Air panas; WiFi; R. Tamu; Penjaga Kos; R. Makan; Mushola; R. Santai; Dapur; Parkir Mobil; Parkir Motor; Parkir Sepeda"/>
    <n v="2400000"/>
    <s v="Rp2.400.000"/>
    <n v="0"/>
    <m/>
    <s v="Kos Campur"/>
    <m/>
    <m/>
  </r>
  <r>
    <s v="Kost Eksklusif M25 Tipe A Benda Tangerang"/>
    <x v="6"/>
    <x v="24"/>
    <n v="8"/>
    <s v="2 x 4 meter"/>
    <s v="Tidak termasuk listrik"/>
    <s v=""/>
    <s v="N/A"/>
    <s v="2 x 4 meter; Tidak termasuk listrik; AC; Kasur; Meja; TV; Meja Rias; Lemari Baju; Kulkas; Kursi; Wastafel; Cleaning service; K. Mandi Dalam; Kloset Duduk; Shower; Air panas; WiFi; R. Tamu; R. Makan; R. Santai; Dapur; Dispenser; Locker; R. Keluarga; Parkir Mobil; Parkir Motor; Parkir Sepeda"/>
    <n v="2300000"/>
    <s v="Rp2.300.000"/>
    <n v="0.16666666666666666"/>
    <d v="1899-12-30T04:00:00"/>
    <s v="Kos Campur"/>
    <m/>
    <m/>
  </r>
  <r>
    <s v="Kost Eksklusif M25 Tipe E Benda Tangerang"/>
    <x v="6"/>
    <x v="24"/>
    <n v="18"/>
    <s v="3 x 6 meter"/>
    <s v="Tidak termasuk listrik"/>
    <s v=""/>
    <s v="N/A"/>
    <s v="3 x 6 meter; Tidak termasuk listrik; AC; Kasur; Meja; Dispenser; TV; Meja Rias; Lemari Baju; Kulkas; Kursi; Wastafel; K. Mandi Dalam; Kloset Duduk; Shower; Air panas; WiFi; R. Tamu; Penjaga Kos; R. Makan; Mushola; R. Santai; Dapur; Parkir Mobil; Parkir Motor; Parkir Sepeda"/>
    <n v="3500000"/>
    <s v="Rp3.500.000"/>
    <n v="0"/>
    <m/>
    <s v="Kos Campur"/>
    <m/>
    <m/>
  </r>
  <r>
    <s v="Kost Eksklusif Mara Juara Tipe Large Bedroom Beji Depok"/>
    <x v="1"/>
    <x v="143"/>
    <n v="16"/>
    <s v="4 x 4 meter"/>
    <s v="Tidak termasuk listrik"/>
    <s v=""/>
    <s v="N/A"/>
    <s v="4 x 4 meter; Tidak termasuk listrik; AC; Kasur; Meja; TV; Lemari Baju; Ventilasi; Kursi; Cleaning service; Bantal; Cermin; K. Mandi Dalam; Kloset Duduk; Wastafel; Shower; Air panas; WiFi; R. Cuci; Kulkas; R. Tamu; Mesin Cuci; Penjaga Kos; Laundry; R. Makan; R. Jemur; R. Santai; Parkir Mobil; Parkir Motor; Parkir Sepeda"/>
    <n v="2399000"/>
    <s v="Rp2.399.000"/>
    <n v="0"/>
    <m/>
    <s v="Kos Campur"/>
    <m/>
    <m/>
  </r>
  <r>
    <s v="Kost Eksklusif Mara Juara Tipe Reguler Bedroom Beji Depok"/>
    <x v="1"/>
    <x v="143"/>
    <n v="9"/>
    <s v="3 x 3 meter"/>
    <s v="Tidak termasuk listrik"/>
    <s v=""/>
    <s v="N/A"/>
    <s v="3 x 3 meter; Tidak termasuk listrik; AC; Kasur; Meja; TV; Lemari Baju; Ventilasi; Kursi; Cleaning service; Bantal; Cermin; K. Mandi Dalam; Kloset Duduk; Wastafel; Shower; Air panas; WiFi; R. Cuci; Kulkas; R. Tamu; Mesin Cuci; Penjaga Kos; Laundry; R. Makan; R. Jemur; R. Santai; Parkir Mobil; Parkir Motor; Parkir Sepeda"/>
    <n v="1699000"/>
    <s v="Rp1.699.000"/>
    <n v="0.17291666666666669"/>
    <d v="1899-12-30T04:09:00"/>
    <s v="Kos Campur"/>
    <m/>
    <s v="Diskon 90rb"/>
  </r>
  <r>
    <s v="Kost Eksklusif Tipe Ekonomis Kelapa Gading Jakarta Utara"/>
    <x v="4"/>
    <x v="111"/>
    <n v="12"/>
    <s v="3 x 4 meter"/>
    <s v="Tidak termasuk listrik"/>
    <s v=""/>
    <s v="N/A"/>
    <s v="3 x 4 meter; Tidak termasuk listrik; AC; Kasur; Meja; TV; Lemari Baju; Ventilasi; Kursi; Cleaning service; Bantal; Cermin; K. Mandi Dalam; Kloset Duduk; Ember mandi; Shower; WiFi; R. Cuci; Kulkas; R. Tamu; Penjaga Kos; Laundry; R. Makan; R. Jemur; R. Santai; Dapur; Parkir Mobil; Parkir Motor; Parkir Sepeda"/>
    <n v="1900000"/>
    <s v="Rp1.900.000"/>
    <n v="0.16666666666666666"/>
    <d v="1899-12-30T04:00:00"/>
    <s v="Kos Campur"/>
    <m/>
    <m/>
  </r>
  <r>
    <s v="Kost Eksklusif Wisma Rosa II VVIP Cempaka Putih Jakarta Pusat"/>
    <x v="9"/>
    <x v="66"/>
    <n v="20"/>
    <s v="4 x 5 meter"/>
    <s v="Tidak termasuk listrik"/>
    <s v=""/>
    <s v="N/A"/>
    <s v="4 x 5 meter; Tidak termasuk listrik; AC; Kasur; Meja; Dispenser; Lemari Baju; Ventilasi; Bantal; Cermin; Guling; Jendela; K. Mandi Dalam; Kloset Duduk; Ember mandi; Shower; WiFi; Kulkas; Penjaga Kos; R. Tamu; R. Jemur; R. Makan; Dapur; CCTV; Jemuran; Parkir Mobil; Parkir Motor; Parkir Sepeda; Parkir Motor &amp; Sepeda"/>
    <n v="2300000"/>
    <s v="Rp2.300.000"/>
    <n v="0.17083333333333331"/>
    <d v="1899-12-30T04:06:00"/>
    <s v="Kos Campur"/>
    <m/>
    <s v="Diskon 115rb"/>
  </r>
  <r>
    <s v="Kost Ekslusif Bandaramas Tipe Vvip Neglasari Tangerang"/>
    <x v="6"/>
    <x v="144"/>
    <n v="16"/>
    <s v="4 x 4 meter"/>
    <s v="Tidak termasuk listrik"/>
    <s v=""/>
    <s v="N/A"/>
    <s v="4 x 4 meter; Tidak termasuk listrik; AC; Kasur; Meja; Dispenser; TV; Meja Rias; Lemari Baju; Kulkas; Ventilasi; Kursi; K. Mandi Dalam; Kloset Duduk; Wastafel; Ember mandi; Shower; Air panas; WiFi; R. Cuci; R. Tamu; Penjaga Kos; R. Makan; R. Jemur; R. Santai; Dapur; Parkir Mobil; Parkir Motor; Parkir Sepeda"/>
    <n v="1500000"/>
    <s v="Rp1.500.000"/>
    <n v="0.20833333333333334"/>
    <d v="1899-12-30T05:00:00"/>
    <s v="Kos Campur"/>
    <m/>
    <m/>
  </r>
  <r>
    <s v="Kost Elements Tipe Deluxe Grogol Petamburan Jakarta Barat"/>
    <x v="3"/>
    <x v="82"/>
    <n v="9"/>
    <s v="3 x 3 meter"/>
    <s v="Tidak termasuk listrik"/>
    <s v=""/>
    <s v="N/A"/>
    <s v="3 x 3 meter; Tidak termasuk listrik; AC; Kasur; Meja; TV; Lemari Baju; Ventilasi; Bantal; Cermin; Guling; Jendela; K. Mandi Dalam; Kloset Duduk; Shower; Air panas; WiFi; Kulkas; Laundry; Penjaga Kos; R. Tamu; R. Jemur; R. Makan; R. Santai; Dapur; Dispenser; Parkir Motor; Parkir Sepeda; Parkir Motor &amp; Sepeda"/>
    <n v="2500000"/>
    <s v="Rp2.500.000"/>
    <n v="0.17083333333333331"/>
    <d v="1899-12-30T04:06:00"/>
    <s v="Kos Campur"/>
    <m/>
    <s v="Diskon 184rb"/>
  </r>
  <r>
    <s v="Kost Elisabet Cikarang Selatan Bekasi"/>
    <x v="7"/>
    <x v="27"/>
    <n v="7.5"/>
    <s v="3 x 2.5 meter"/>
    <s v="Tidak termasuk listrik"/>
    <s v=""/>
    <s v="N/A"/>
    <s v="3 x 2.5 meter; Tidak termasuk listrik; AC; Kasur; Meja; TV; Lemari Baju; Ventilasi; Bantal; Cermin; Cleaning service; Guling; K. Mandi Dalam; Kloset Duduk; Wastafel; Shower; Air panas; WiFi; Kulkas; R. Cuci; Laundry; Penjaga Kos; R. Tamu; R. Jemur; R. Makan; R. Santai; Dapur; Parkir Mobil; Parkir Motor; Parkir Sepeda; Parkir Motor &amp; Sepeda"/>
    <n v="1200000"/>
    <s v="Rp1.200.000"/>
    <n v="0"/>
    <m/>
    <s v="Kos Campur"/>
    <m/>
    <m/>
  </r>
  <r>
    <s v="Kost Ellisabeth Tipe A Pulo Gadung Jakarta Timur"/>
    <x v="8"/>
    <x v="32"/>
    <n v="10.5"/>
    <s v="3.5 x 3 meter"/>
    <s v="Termasuk listrik (implied)"/>
    <s v=""/>
    <s v="N/A"/>
    <s v="3.5 x 3 meter; Termasuk listrik; Kasur; Lemari Baju; Ventilasi; Bantal; Kipas Angin; Guling; Kloset Jongkok; K. Mandi Luar; Ember mandi; R. Cuci; R. Tamu; R. Jemur; R. Santai; Jemuran; Balcon; Pengurus Kos; Jual Makanan; Parkir Motor; Parkir Sepeda"/>
    <n v="700000"/>
    <s v="Rp700.000"/>
    <n v="0.13125000000000001"/>
    <d v="1899-12-30T03:09:00"/>
    <s v="Kos Putra"/>
    <m/>
    <s v="Diskon 81rb"/>
  </r>
  <r>
    <s v="Kost Ellok Tipe A Kelapa Gading Jakarta Utara"/>
    <x v="4"/>
    <x v="111"/>
    <n v="9"/>
    <s v="3 x 3 meter"/>
    <s v="Tidak termasuk listrik"/>
    <s v=""/>
    <s v="N/A"/>
    <s v="3 x 3 meter; Tidak termasuk listrik; AC; Kasur; Meja; TV; Lemari Baju; Ventilasi; Bantal; Cermin; Cleaning service; Jendela; K. Mandi Dalam; Kloset Jongkok; Wastafel; Shower; Air panas; WiFi; Kulkas; Penjaga Kos; R. Tamu; R. Santai; Dispenser; CCTV; Pengurus Kos"/>
    <n v="2450000"/>
    <s v="Rp2.450.000"/>
    <n v="0.17222222222222225"/>
    <d v="1899-12-30T04:08:00"/>
    <s v="Kos Putri"/>
    <m/>
    <s v="Diskon 110rb"/>
  </r>
  <r>
    <s v="Kost Elok Pavilion Tipe A Jatinegara Jakarta Timur"/>
    <x v="8"/>
    <x v="58"/>
    <n v="18"/>
    <s v="3 x 6 meter"/>
    <s v="Tidak termasuk listrik"/>
    <s v=""/>
    <s v="N/A"/>
    <s v="3 x 6 meter; Tidak termasuk listrik; AC; Kasur; Meja; TV; Lemari Baju; Kulkas; Ventilasi; Kursi; Wastafel; Cermin; K. Mandi Dalam; Kloset Duduk; Shower; Air panas; WiFi; R. Cuci; R. Tamu; Penjaga Kos; R. Makan; R. Jemur; R. Santai; Dapur; Taman; Parkir Mobil; Parkir Motor; Parkir Sepeda"/>
    <n v="3500000"/>
    <s v="Rp3.500.000"/>
    <n v="0"/>
    <m/>
    <s v="Kos Campur"/>
    <m/>
    <m/>
  </r>
  <r>
    <s v="Kost Emerald Dramaga Bogor"/>
    <x v="0"/>
    <x v="73"/>
    <n v="12"/>
    <s v="3 x 4 meter"/>
    <s v="Tidak termasuk listrik"/>
    <s v=""/>
    <s v="N/A"/>
    <s v="3 x 4 meter; Tidak termasuk listrik; AC; Kasur; Meja Rias; Lemari Baju; Bantal; Jendela; Kursi; K. Mandi Dalam; Kloset Duduk; Shower; WiFi; Kulkas; R. Cuci; Mesin Cuci; Penjaga Kos; R. Jemur; R. Santai; Dapur; Dispenser; Jemuran; Parkir Motor &amp; Sepeda"/>
    <n v="1650000"/>
    <s v="Rp1.650.000"/>
    <n v="0.20833333333333334"/>
    <d v="1899-12-30T05:00:00"/>
    <s v="Kos Putri"/>
    <m/>
    <m/>
  </r>
  <r>
    <s v="Kost Emir 3 Tipe A Gunung Sindur Bogor"/>
    <x v="0"/>
    <x v="126"/>
    <n v="9"/>
    <s v="3 x 3 meter"/>
    <s v="Tidak termasuk listrik"/>
    <s v=""/>
    <s v="N/A"/>
    <s v="3 x 3 meter; Tidak termasuk listrik; AC; Kasur; Meja; Lemari Baju; Ventilasi; Bantal; Cermin; Jendela; Kursi; Kipas Angin; Kloset Duduk; Kloset Jongkok; K. Mandi Luar; Ember mandi; Shower; Air panas; WiFi; R. Tamu; R. Jemur; R. Makan; Dapur; CCTV; Taman; Parkir Mobil; Parkir Motor; Parkir Sepeda"/>
    <n v="1000000"/>
    <s v="Rp1.000.000"/>
    <n v="0"/>
    <m/>
    <s v="Kos Putri"/>
    <m/>
    <m/>
  </r>
  <r>
    <s v="Kost Emir Viktor Setu Tangerang Selatan"/>
    <x v="2"/>
    <x v="21"/>
    <n v="12"/>
    <s v="3 x 4 meter"/>
    <s v="Tidak termasuk listrik"/>
    <s v=""/>
    <s v="N/A"/>
    <s v="3 x 4 meter; Tidak termasuk listrik; AC; Kasur; Meja; Lemari Baju; Bantal; Jendela; Kursi; K. Mandi Dalam; Kloset Duduk; Shower; WiFi; Kulkas; R. Cuci; R. Jemur; R. Santai; Dapur; CCTV; Jemuran; K. Mandi Luar; Parkir Mobil; Parkir Motor; Parkir Sepeda"/>
    <n v="1200000"/>
    <s v="Rp1.200.000"/>
    <n v="0"/>
    <m/>
    <s v="Kos Putri"/>
    <m/>
    <m/>
  </r>
  <r>
    <s v="Kost Emmy Tipe A Duren Sawit Jakarta Timur"/>
    <x v="8"/>
    <x v="115"/>
    <n v="12"/>
    <s v="3 x 4 meter"/>
    <s v="Tidak termasuk listrik"/>
    <s v=""/>
    <s v="N/A"/>
    <s v="3 x 4 meter; Tidak termasuk listrik; Ventilasi; Jendela; K. Mandi Dalam; Kloset Jongkok; WiFi; Penjaga Kos; R. Jemur; Taman; Parkir Mobil; Parkir Motor; Parkir Sepeda"/>
    <n v="700000"/>
    <s v="Rp700.000"/>
    <n v="0"/>
    <m/>
    <s v="Kos Campur"/>
    <m/>
    <m/>
  </r>
  <r>
    <s v="Kost Eno Tipe A Benda Tangerang"/>
    <x v="6"/>
    <x v="122"/>
    <n v="12"/>
    <s v="3 x 4 meter"/>
    <s v="Tidak termasuk listrik"/>
    <s v=""/>
    <s v="N/A"/>
    <s v="3 x 4 meter; Tidak termasuk listrik; AC; Kasur; Dispenser; Meja; TV; Lemari Baju; Kulkas; Ventilasi; Wastafel; Cleaning service; K. Mandi Dalam; Kloset Duduk; Ember mandi; Shower; Air panas; WiFi; R. Cuci; R. Tamu; Penjaga Kos; R. Makan; R. Jemur; R. Santai; Dapur; Parkir Mobil; Parkir Motor; Parkir Sepeda; Parkir Motor &amp; Sepeda"/>
    <n v="2200000"/>
    <s v="Rp2.200.000"/>
    <n v="0"/>
    <m/>
    <s v="Kos Campur"/>
    <m/>
    <m/>
  </r>
  <r>
    <s v="Kost Erisa House Beji Depok"/>
    <x v="1"/>
    <x v="15"/>
    <e v="#VALUE!"/>
    <s v="N/A"/>
    <s v="Tidak termasuk listrik"/>
    <s v=""/>
    <s v="N/A"/>
    <s v="3 x 3,6 meter; Tidak termasuk listrik; AC; Kasur; Meja; Lemari Baju; Kursi; Bantal; Guling; Jendela; K. Mandi Dalam; Kloset Duduk; Ember mandi; Shower; WiFi; R. Cuci; Kulkas; Penjaga Kos; Laundry; R. Jemur; Dapur; Dispenser; TV; K. Mandi Luar; Parkir Motor; Parkir Sepeda"/>
    <n v="1500000"/>
    <s v="Rp1.500.000"/>
    <n v="0.17222222222222225"/>
    <d v="1899-12-30T04:08:00"/>
    <s v="Kos Putri"/>
    <m/>
    <s v="Diskon 160rb"/>
  </r>
  <r>
    <s v="Kost Ero Residence Ciputat Timur Tangerang Selatan"/>
    <x v="2"/>
    <x v="52"/>
    <n v="9"/>
    <s v="3 x 3 meter"/>
    <s v="Tidak termasuk listrik"/>
    <s v=""/>
    <s v="N/A"/>
    <s v="3 x 3 meter; Tidak termasuk listrik; AC; Kasur; Meja; Dispenser; TV; Meja Rias; Lemari Baju; Kulkas; Ventilasi; Kursi; K. Mandi Dalam; Kloset Duduk; Shower; Air panas; WiFi; R. Cuci; R. Tamu; Mesin Cuci; R. Makan; R. Jemur; R. Santai; Dapur; Parkir Motor; Parkir Sepeda"/>
    <n v="1700000"/>
    <s v="Rp1.700.000"/>
    <n v="0.20833333333333334"/>
    <d v="1899-12-30T05:00:00"/>
    <s v="Kos Putri"/>
    <m/>
    <m/>
  </r>
  <r>
    <s v="Kost Ethan Cikarang Utara Bekasi"/>
    <x v="7"/>
    <x v="33"/>
    <n v="9"/>
    <s v="3 x 3 meter"/>
    <s v="Termasuk listrik (implied)"/>
    <s v=""/>
    <s v="N/A"/>
    <s v="3 x 3 meter; Termasuk listrik; Kasur; Lemari Baju; Bantal; Jendela; Kloset Jongkok; K. Mandi Luar; Ember mandi; WiFi; R. Jemur; Jemuran; Pengurus Kos; Parkir Motor; Parkir Sepeda; Parkir Motor &amp; Sepeda"/>
    <n v="650000"/>
    <s v="Rp650.000"/>
    <n v="0"/>
    <m/>
    <s v="Kos Putra"/>
    <m/>
    <m/>
  </r>
  <r>
    <s v="Kost Exclusive 96 Joglo Residence Kembangan Jakarta Barat"/>
    <x v="3"/>
    <x v="71"/>
    <n v="18"/>
    <s v="3 x 6 meter"/>
    <s v="Tidak termasuk listrik"/>
    <s v=""/>
    <s v="N/A"/>
    <s v="3 x 6 meter; Tidak termasuk listrik; AC; Kasur; Meja; Lemari Baju; Bantal; Cermin; Dapur Pribadi; Wastafel; K. Mandi Dalam; Kloset Duduk; Shower; WiFi; Kulkas; Penjaga Kos; R. Tamu; Dapur; Dispenser; Balcon; CCTV; Kartu Akses; Pengurus Kos; Parkir Mobil; Parkir Motor; Parkir Sepeda"/>
    <n v="3100000"/>
    <s v="Rp3.100.000"/>
    <n v="0"/>
    <m/>
    <s v="Kos Campur"/>
    <m/>
    <m/>
  </r>
  <r>
    <s v="Kost Exclusive Jl Serayu Raya Semper Cilincing Jakarta Utara"/>
    <x v="4"/>
    <x v="145"/>
    <n v="12"/>
    <s v="3 x 4 meter"/>
    <s v="Tidak termasuk listrik"/>
    <s v=""/>
    <s v="N/A"/>
    <s v="3 x 4 meter; Tidak termasuk listrik; AC; K. Mandi Dalam; Kloset Duduk; Shower; Air panas; TV; Parkir Mobil"/>
    <n v="1500000"/>
    <s v="Rp1.500.000"/>
    <n v="0"/>
    <m/>
    <s v="Kos Campur"/>
    <m/>
    <m/>
  </r>
  <r>
    <s v="Kost Exclusive Mumtaz Sufya 16F Matraman Jakarta Timur"/>
    <x v="8"/>
    <x v="83"/>
    <n v="30"/>
    <s v="6 x 5 meter"/>
    <s v="Tidak termasuk listrik"/>
    <s v=""/>
    <s v="N/A"/>
    <s v="6 x 5 meter; Tidak termasuk listrik; AC; Kasur; Dispenser; Meja; TV; Kulkas; Lemari Baju; Ventilasi; Bantal; Cermin; K. Mandi Dalam; Kloset Duduk; Wastafel; Shower; Air panas; WiFi; Penjaga Kos; R. Tamu; R. Makan; R. Santai; Dapur; Balcon; CCTV; Parkir Mobil; Parkir Motor; Parkir Sepeda"/>
    <n v="3500000"/>
    <s v="Rp3.500.000"/>
    <n v="0.17291666666666669"/>
    <d v="1899-12-30T04:09:00"/>
    <s v="Kos Campur"/>
    <m/>
    <s v="Diskon 272rb"/>
  </r>
  <r>
    <s v="Kost Exclusive Mumtaz Sufya 16F Matraman Jakarta Timur"/>
    <x v="8"/>
    <x v="83"/>
    <n v="30"/>
    <s v="6 x 5 meter"/>
    <s v="Tidak termasuk listrik"/>
    <s v=""/>
    <s v="N/A"/>
    <s v="6 x 5 meter; Tidak termasuk listrik; AC; Kasur; Dispenser; Meja; TV; Kulkas; Lemari Baju; Ventilasi; Bantal; Cermin; K. Mandi Dalam; Kloset Duduk; Wastafel; Shower; Air panas; WiFi; Penjaga Kos; R. Tamu; R. Makan; R. Santai; Dapur; Balcon; CCTV; Parkir Mobil; Parkir Motor; Parkir Sepeda"/>
    <n v="3500000"/>
    <s v="Rp3.500.000"/>
    <n v="0.17222222222222225"/>
    <d v="1899-12-30T04:08:00"/>
    <s v="Kos Campur"/>
    <m/>
    <s v="Diskon 272rb"/>
  </r>
  <r>
    <s v="Kost Exclusive Pavilion Tipe A Cikarang Utara Bekasi"/>
    <x v="7"/>
    <x v="33"/>
    <n v="9"/>
    <s v="3 x 3 meter"/>
    <s v="Tidak termasuk listrik"/>
    <s v=""/>
    <s v="N/A"/>
    <s v="3 x 3 meter; Tidak termasuk listrik; AC; Kasur; Meja; TV; Lemari Baju; Bantal; Cermin; Guling; Kursi; Wastafel; K. Mandi Dalam; Kloset Duduk; Air panas; WiFi; Kulkas; Penjaga Kos; R. Tamu; R. Makan; R. Santai; Dispenser; Dapur; Jemuran; Parkir Mobil; Parkir Motor"/>
    <n v="1700000"/>
    <s v="Rp1.700.000"/>
    <n v="0"/>
    <m/>
    <s v="Kos Putri"/>
    <m/>
    <m/>
  </r>
  <r>
    <s v="Kost Exclusive Tipe A Babakan Madang Bogor"/>
    <x v="0"/>
    <x v="80"/>
    <n v="20"/>
    <s v="4 x 5 meter"/>
    <s v="Termasuk listrik (implied)"/>
    <s v=""/>
    <s v="N/A"/>
    <s v="4 x 5 meter; Termasuk listrik; AC; Kasur; Meja; Bantal; Cermin; Guling; Jendela; K. Mandi Dalam; Kloset Duduk; Wastafel; Shower; Kulkas; R. Tamu; R. Jemur; R. Makan; R. Santai; Dapur; Dispenser; Jemuran; K. Mandi Luar; R. Keluarga; Parkir Mobil; Parkir Motor; Parkir Sepeda"/>
    <n v="1700000"/>
    <s v="Rp1.700.000"/>
    <n v="0.20833333333333334"/>
    <d v="1899-12-30T05:00:00"/>
    <s v="Kos Putri"/>
    <m/>
    <m/>
  </r>
  <r>
    <s v="Kost Exclusive Tipe A Gunung Putri Bogor"/>
    <x v="0"/>
    <x v="95"/>
    <n v="9"/>
    <s v="3 x 3 meter"/>
    <s v="Termasuk listrik (implied)"/>
    <s v=""/>
    <s v="N/A"/>
    <s v="3 x 3 meter; Termasuk listrik; AC; Kasur; Lemari Baju; Kloset Duduk; K. Mandi Luar; Shower; R. Tamu; R. Santai; Dapur; R. Keluarga; Parkir Mobil; Parkir Motor; Parkir Sepeda"/>
    <n v="1650000"/>
    <s v="Rp1.650.000"/>
    <n v="0.17291666666666669"/>
    <d v="1899-12-30T04:09:00"/>
    <s v="Kos Campur"/>
    <m/>
    <m/>
  </r>
  <r>
    <s v="Kost Exclusive Tipe D Gunung Putri Bogor"/>
    <x v="0"/>
    <x v="95"/>
    <n v="12"/>
    <s v="3 x 4 meter"/>
    <s v="Tidak termasuk listrik"/>
    <s v=""/>
    <s v="N/A"/>
    <s v="3 x 4 meter; Tidak termasuk listrik; AC; Kasur; K. Mandi Dalam; Kloset Duduk; Shower; R. Tamu; R. Santai; Dapur; R. Keluarga; Parkir Mobil; Parkir Motor; Parkir Sepeda"/>
    <n v="2250000"/>
    <s v="Rp2.250.000"/>
    <n v="0"/>
    <m/>
    <s v="Kos Campur"/>
    <m/>
    <m/>
  </r>
  <r>
    <s v="Kost Executive Wahy Tipe A Pedurungan Semarang"/>
    <x v="6"/>
    <x v="146"/>
    <n v="12"/>
    <s v="3 x 4 meter"/>
    <s v="Tidak termasuk listrik"/>
    <s v=""/>
    <s v="N/A"/>
    <s v="3 x 4 meter; Tidak termasuk listrik; AC; Kasur; Meja; TV; Lemari Baju; Ventilasi; Bantal; Cermin; Cleaning service; Guling; K. Mandi Dalam; Kloset Jongkok; Ember mandi; Shower; WiFi; R. Cuci; Penjaga Kos; R. Tamu; R. Jemur; R. Makan; R. Santai; Dapur; Balcon; CCTV; Parkir Mobil; Parkir Motor; Parkir Motor &amp; Sepeda"/>
    <n v="975000"/>
    <s v="Rp975.000"/>
    <n v="0"/>
    <m/>
    <s v="Kos Putra"/>
    <m/>
    <m/>
  </r>
  <r>
    <s v="Kost Fadilah 1 Beji Depok"/>
    <x v="1"/>
    <x v="15"/>
    <n v="12"/>
    <s v="3 x 4 meter"/>
    <s v="Termasuk listrik (implied)"/>
    <s v=""/>
    <s v="N/A"/>
    <s v="3 x 4 meter; Termasuk listrik; Kasur; Meja; Lemari Baju; Ventilasi; Kursi; K. Mandi Dalam; Kloset Jongkok; Ember mandi; WiFi; Kulkas; R. Tamu; R. Jemur; Dapur; Jemuran; Pengurus Kos"/>
    <n v="900000"/>
    <s v="Rp900.000"/>
    <n v="0.17291666666666669"/>
    <d v="1899-12-30T04:09:00"/>
    <s v="Kos Putri"/>
    <m/>
    <s v="Diskon 90rb"/>
  </r>
  <r>
    <s v="Kost Fadilah 1 Beji Depok"/>
    <x v="1"/>
    <x v="15"/>
    <n v="12"/>
    <s v="3 x 4 meter"/>
    <s v="Termasuk listrik (implied)"/>
    <s v=""/>
    <s v="N/A"/>
    <s v="3 x 4 meter; Termasuk listrik; Kasur; Meja; Lemari Baju; Ventilasi; Kursi; K. Mandi Dalam; Kloset Jongkok; Ember mandi; WiFi; Kulkas; R. Tamu; R. Jemur; Dapur; Jemuran; Pengurus Kos"/>
    <n v="900000"/>
    <s v="Rp900.000"/>
    <n v="0.17083333333333331"/>
    <d v="1899-12-30T04:06:00"/>
    <s v="Kos Putri"/>
    <m/>
    <s v="Diskon 90rb"/>
  </r>
  <r>
    <s v="Kost Fahrani Ciputat Tangerang Selatan"/>
    <x v="2"/>
    <x v="52"/>
    <n v="9"/>
    <s v="3 x 3 meter"/>
    <s v="Tidak termasuk listrik"/>
    <s v=""/>
    <s v="N/A"/>
    <s v="3 x 3 meter; Tidak termasuk listrik; AC; Kipas Angin; K. Mandi Dalam; WiFi; TV"/>
    <n v="1500000"/>
    <s v="Rp1.500.000"/>
    <n v="0.17291666666666669"/>
    <d v="1899-12-30T04:09:00"/>
    <s v="Kos Putri"/>
    <m/>
    <s v="Diskon 75rb"/>
  </r>
  <r>
    <s v="Kost Fajar Tipe A Kebayoran Baru Jakarta Selatan"/>
    <x v="6"/>
    <x v="6"/>
    <n v="9"/>
    <s v="3 x 3 meter"/>
    <s v="Tidak termasuk listrik"/>
    <s v=""/>
    <s v="N/A"/>
    <s v="3 x 3 meter; Tidak termasuk listrik; AC; Kasur; Lemari Baju; K. Mandi Dalam; WiFi; Dapur; Parkir Mobil; Parkir Motor"/>
    <n v="1600000"/>
    <s v="Rp1.600.000"/>
    <n v="0.17013888888888887"/>
    <d v="1899-12-30T04:05:00"/>
    <s v="Kos Campur"/>
    <m/>
    <m/>
  </r>
  <r>
    <s v="Kost Familly 701 Cipondoh Tangerang"/>
    <x v="6"/>
    <x v="98"/>
    <n v="9"/>
    <s v="3 x 3 meter"/>
    <s v="Tidak termasuk listrik"/>
    <s v=""/>
    <s v="N/A"/>
    <s v="3 x 3 meter; Tidak termasuk listrik; Kasur; Kulkas; Lemari Baju; Ventilasi; Bantal; Guling; Jendela; Kursi; Wastafel; K. Mandi Dalam; Kloset Jongkok; K. Mandi Luar; Ember mandi; Shower; R. Cuci; R. Jemur; R. Santai; Dapur; Balcon; CCTV; Jemuran; Jual Makanan; Pengurus Kos; Parkir Motor; Parkir Sepeda; Parkir Motor &amp; Sepeda"/>
    <n v="650000"/>
    <s v="Rp650.000"/>
    <n v="0"/>
    <m/>
    <s v="Kos Putri"/>
    <m/>
    <m/>
  </r>
  <r>
    <s v="Kost Family Tipe A Cikarang Pusat Bekasi"/>
    <x v="7"/>
    <x v="118"/>
    <n v="12"/>
    <s v="3 x 4 meter"/>
    <s v="Tidak termasuk listrik"/>
    <s v=""/>
    <s v="N/A"/>
    <s v="3 x 4 meter; Tidak termasuk listrik; AC; Kasur; Lemari Baju; Ventilasi; Bantal; Jendela; Kipas Angin; K. Mandi Dalam; Kloset Jongkok; Ember mandi; Penjaga Kos; R. Jemur; Balcon; Jemuran; Pengurus Kos; CCTV; Parkir Motor; Parkir Sepeda; Parkir Motor &amp; Sepeda"/>
    <n v="1200000"/>
    <s v="Rp1.200.000"/>
    <n v="0.16666666666666666"/>
    <d v="1899-12-30T04:00:00"/>
    <s v="Kos Campur"/>
    <m/>
    <m/>
  </r>
  <r>
    <s v="Kost Fantasy Kelapa Gading Jakarta Utara"/>
    <x v="4"/>
    <x v="79"/>
    <n v="6"/>
    <s v="2 x 3 meter"/>
    <s v="Termasuk listrik (implied)"/>
    <s v=""/>
    <s v="N/A"/>
    <s v="2 x 3 meter; Termasuk listrik; AC; Kasur; Meja; Lemari Baju; Ventilasi; Bantal; Cermin; Kloset Duduk; K. Mandi Luar; Wastafel; Shower; WiFi; R. Cuci; Kulkas; Mesin Cuci; R. Jemur; Dapur; Dispenser; Balcon; CCTV; Jemuran; Parkir Motor; Parkir Sepeda"/>
    <n v="1550000"/>
    <s v="Rp1.550.000"/>
    <n v="0.17291666666666669"/>
    <d v="1899-12-30T04:09:00"/>
    <s v="Kos Putri"/>
    <m/>
    <m/>
  </r>
  <r>
    <s v="Kost Farandole Tipe A Serpong Tangerang Selatan"/>
    <x v="2"/>
    <x v="106"/>
    <n v="6"/>
    <s v="2 x 3 meter"/>
    <s v="Tidak termasuk listrik"/>
    <s v=""/>
    <s v="N/A"/>
    <s v="2 x 3 meter; Tidak termasuk listrik; AC; Kasur; Meja; TV; Lemari Baju; Ventilasi; Bantal; Cermin; Guling; Jendela; K. Mandi Dalam; Kloset Duduk; Shower; Air panas; WiFi; Kulkas; R. Cuci; Laundry; Mesin Cuci; Penjaga Kos; R. Jemur; Dapur; Dispenser; CCTV; Parkir Motor; Parkir Motor &amp; Sepeda"/>
    <n v="1600000"/>
    <s v="Rp1.600.000"/>
    <n v="0.20833333333333334"/>
    <d v="1899-12-30T05:00:00"/>
    <s v="Kos Campur"/>
    <m/>
    <m/>
  </r>
  <r>
    <s v="Kost Fatih Resort Dramaga Bogor"/>
    <x v="0"/>
    <x v="23"/>
    <n v="9"/>
    <s v="3 x 3 meter"/>
    <s v="Tidak termasuk listrik"/>
    <s v=""/>
    <s v="N/A"/>
    <s v="3 x 3 meter; Tidak termasuk listrik; AC; Kasur; Dispenser; Meja; Meja Rias; Lemari Baju; Ventilasi; Bantal; Cermin; Cleaning service; K. Mandi Dalam; Kloset Duduk; Ember mandi; Shower; WiFi; Kulkas; Penjaga Kos; Dapur; CCTV; Pengurus Kos; Parkir Mobil; Parkir Motor; Parkir Sepeda; Parkir Motor &amp; Sepeda"/>
    <n v="1500000"/>
    <s v="Rp1.500.000"/>
    <n v="0"/>
    <m/>
    <s v="Kos Campur"/>
    <m/>
    <m/>
  </r>
  <r>
    <s v="Kost Fatmawati Deluxe + Cilandak Jakarta Selatan"/>
    <x v="5"/>
    <x v="7"/>
    <n v="15"/>
    <s v="3 x 5 meter"/>
    <s v="Tidak termasuk listrik"/>
    <s v=""/>
    <s v="N/A"/>
    <s v="3 x 5 meter; Tidak termasuk listrik; AC; Kasur; Dispenser; Meja; Meja Rias; TV; Kulkas; Lemari Baju; Ventilasi; Bantal; K. Mandi Dalam; Kloset Duduk; Kloset Jongkok; K. Mandi Luar; Ember mandi; Wastafel; Shower; Air panas; Bathtub; WiFi; R. Cuci; Laundry; Mesin Cuci; Penjaga Kos; R. Tamu; Mushola; R. Jemur; R. Makan; Parkir Mobil; Parkir Motor; Parkir Sepeda"/>
    <n v="3750000"/>
    <s v="Rp3.750.000"/>
    <n v="0.17083333333333331"/>
    <d v="1899-12-30T04:06:00"/>
    <s v="Kos Campur"/>
    <m/>
    <s v="Diskon 193rb"/>
  </r>
  <r>
    <s v="Kost Fatmawati Excecutive Cilandak Jakarta Selatan"/>
    <x v="5"/>
    <x v="7"/>
    <n v="13.5"/>
    <s v="3 x 4.5 meter"/>
    <s v="Tidak termasuk listrik"/>
    <s v=""/>
    <s v="N/A"/>
    <s v="3 x 4.5 meter; Tidak termasuk listrik; AC; Kasur; Dispenser; Meja; Meja Rias; TV; Kulkas; Lemari Baju; Ventilasi; Bantal; K. Mandi Dalam; Kloset Duduk; Kloset Jongkok; K. Mandi Luar; Ember mandi; Wastafel; Shower; Air panas; Bathtub; WiFi; R. Cuci; Laundry; Mesin Cuci; Penjaga Kos; R. Tamu; Mushola; R. Jemur; R. Makan; Parkir Mobil; Parkir Motor; Parkir Sepeda"/>
    <n v="4000000"/>
    <s v="Rp4.000.000"/>
    <n v="0.17083333333333331"/>
    <d v="1899-12-30T04:06:00"/>
    <s v="Kos Campur"/>
    <m/>
    <s v="Diskon 193rb"/>
  </r>
  <r>
    <s v="Kost Fatmawati Executive 2 Cilandak Jakarta Selatan"/>
    <x v="5"/>
    <x v="7"/>
    <n v="16.5"/>
    <s v="3 x 5.5 meter"/>
    <s v="Tidak termasuk listrik"/>
    <s v=""/>
    <s v="N/A"/>
    <s v="3 x 5.5 meter; Tidak termasuk listrik; AC; Kasur; Dispenser; Meja; Meja Rias; TV; Kulkas; Lemari Baju; Ventilasi; Bantal; K. Mandi Dalam; Kloset Duduk; Kloset Jongkok; K. Mandi Luar; Ember mandi; Wastafel; Shower; Air panas; Bathtub; WiFi; R. Cuci; Laundry; Mesin Cuci; Penjaga Kos; R. Tamu; Mushola; R. Jemur; R. Makan; Parkir Mobil; Parkir Motor; Parkir Sepeda"/>
    <n v="4000000"/>
    <s v="Rp4.000.000"/>
    <n v="0.17083333333333331"/>
    <d v="1899-12-30T04:06:00"/>
    <s v="Kos Campur"/>
    <m/>
    <s v="Diskon 193rb"/>
  </r>
  <r>
    <s v="Kost Finch Deluxe Ciledug Tangerang"/>
    <x v="6"/>
    <x v="147"/>
    <n v="9"/>
    <s v="3 x 3 meter"/>
    <s v="Tidak termasuk listrik"/>
    <s v=""/>
    <s v="N/A"/>
    <s v="3 x 3 meter; Tidak termasuk listrik; AC; Kasur; Dispenser; Meja; TV; Kulkas; Lemari Baju; Bantal; Cermin; Cleaning service; Kloset Duduk; K. Mandi Luar; Shower; WiFi; Laundry; Penjaga Kos; R. Tamu; R. Makan; R. Santai; Dapur; Balcon; Parkir Mobil; Parkir Motor; Parkir Sepeda; Parkir Motor &amp; Sepeda"/>
    <n v="1500000"/>
    <s v="Rp1.500.000"/>
    <n v="0"/>
    <m/>
    <s v="Kos Putri"/>
    <m/>
    <m/>
  </r>
  <r>
    <s v="Kost Finch Tipe Executive Ciledug Tangerang"/>
    <x v="6"/>
    <x v="140"/>
    <n v="18"/>
    <s v="3 x 6 meter"/>
    <s v="Tidak termasuk listrik"/>
    <s v=""/>
    <s v="N/A"/>
    <s v="3 x 6 meter; Tidak termasuk listrik; AC; Kasur; Meja; TV; Bantal; Cermin; Dapur Pribadi; Jendela; Kursi; K. Mandi Dalam; Kloset Duduk; Shower; Penjaga Kos; R. Makan; Dapur; Pengurus Kos; Parkir Mobil; Parkir Motor; Parkir Sepeda; Parkir Motor &amp; Sepeda"/>
    <n v="2300000"/>
    <s v="Rp2.300.000"/>
    <n v="0"/>
    <m/>
    <s v="Kos Campur"/>
    <m/>
    <m/>
  </r>
  <r>
    <s v="Kost Flamboyan A One Ciputat Timur Tangerang Selatan"/>
    <x v="2"/>
    <x v="8"/>
    <n v="9"/>
    <s v="3 x 3 meter"/>
    <s v="Tidak termasuk listrik"/>
    <s v=""/>
    <s v="N/A"/>
    <s v="3 x 3 meter; Tidak termasuk listrik; AC; Kasur; Meja; Meja Rias; Lemari Baju; Ventilasi; Kursi; Cleaning service; Bantal; Cermin; K. Mandi Dalam; Kloset Duduk; Shower; Air panas; WiFi; Kulkas; R. Tamu; Penjaga Kos; Laundry; R. Makan; R. Jemur; R. Santai; Dapur; CCTV; Parkir Motor"/>
    <n v="1500000"/>
    <s v="Rp1.500.000"/>
    <n v="0.20833333333333334"/>
    <d v="1899-12-30T05:00:00"/>
    <s v="Kos Campur"/>
    <m/>
    <m/>
  </r>
  <r>
    <s v="Kost Flower Tipe B Tambun Selatan Bekasi"/>
    <x v="7"/>
    <x v="113"/>
    <n v="12"/>
    <s v="3 x 4 meter"/>
    <s v="Tidak termasuk listrik"/>
    <s v=""/>
    <s v="N/A"/>
    <s v="3 x 4 meter; Tidak termasuk listrik; AC; Kasur; Meja; TV; Lemari Baju; Ventilasi; Kursi; Wastafel; Sofa; Bantal; K. Mandi Dalam; Kloset Jongkok; Ember mandi; WiFi; R. Cuci; R. Tamu; R. Jemur; Dapur; R. Keluarga; CCTV; Pengurus Kos; Jemuran; Parkir Motor; Parkir Sepeda"/>
    <n v="1200000"/>
    <s v="Rp1.200.000"/>
    <n v="0"/>
    <m/>
    <s v="Kos Campur"/>
    <m/>
    <m/>
  </r>
  <r>
    <s v="Kost FMO Tipe B Karawaci Tangerang"/>
    <x v="6"/>
    <x v="141"/>
    <n v="8.75"/>
    <s v="3.5 x 2.5 meter"/>
    <s v="Tidak termasuk listrik"/>
    <s v=""/>
    <s v="N/A"/>
    <s v="3.5 x 2.5 meter; Tidak termasuk listrik; Kasur; Lemari Baju; Bantal; Cermin; Guling; Jendela; K. Mandi Dalam; Kloset Duduk; Shower; WiFi; Kulkas; Mesin Cuci; R. Jemur; Dapur; Balcon; CCTV; Jemuran; Parkir Motor; Parkir Sepeda"/>
    <n v="1050000"/>
    <s v="Rp1.050.000"/>
    <n v="0.17291666666666669"/>
    <d v="1899-12-30T04:09:00"/>
    <s v="Kos Putri"/>
    <m/>
    <m/>
  </r>
  <r>
    <s v="Kost G2 Grogol Petamburan Jakarta Barat"/>
    <x v="3"/>
    <x v="13"/>
    <n v="9"/>
    <s v="3 x 3 meter"/>
    <s v="Tidak termasuk listrik"/>
    <s v=""/>
    <s v="N/A"/>
    <s v="3 x 3 meter; Tidak termasuk listrik; AC; Kasur; Meja; TV; Lemari Baju; Ventilasi; Bantal; Cermin; Cleaning service; Jendela; K. Mandi Dalam; Kloset Duduk; Shower; WiFi; Kulkas; Penjaga Kos; R. Tamu; R. Jemur; R. Makan; R. Santai; Dapur; Dispenser; Balcon; Parkir Mobil; Parkir Motor"/>
    <n v="2600000"/>
    <s v="Rp2.600.000"/>
    <n v="0.17083333333333331"/>
    <d v="1899-12-30T04:06:00"/>
    <s v="Kos Campur"/>
    <m/>
    <m/>
  </r>
  <r>
    <s v="Kost Gabriela Tipe L Cikarang Selatan Bekasi"/>
    <x v="7"/>
    <x v="27"/>
    <n v="12"/>
    <s v="3 x 4 meter"/>
    <s v="Tidak termasuk listrik"/>
    <s v=""/>
    <s v="N/A"/>
    <s v="3 x 4 meter; Tidak termasuk listrik; AC; Kasur; Meja; Lemari Baju; Ventilasi; Bantal; Cermin; Guling; Kursi; Cleaning service; K. Mandi Dalam; Kloset Duduk; Shower; Air panas"/>
    <n v="1650000"/>
    <s v="Rp1.650.000"/>
    <n v="0.17222222222222225"/>
    <d v="1899-12-30T04:08:00"/>
    <s v="Kos Campur"/>
    <m/>
    <m/>
  </r>
  <r>
    <s v="Kost Gading Elok Kelapa Gading Jakarta Utara"/>
    <x v="4"/>
    <x v="79"/>
    <n v="7.5"/>
    <s v="2.5 x 3 meter"/>
    <s v="Tidak termasuk listrik"/>
    <s v=""/>
    <s v="N/A"/>
    <s v="2.5 x 3 meter; Tidak termasuk listrik; AC; Kasur; Meja; Dispenser; Lemari Baju; Kulkas; Ventilasi; Kursi; Wastafel; Bantal; Kloset Duduk; K. Mandi Luar; Ember mandi; Shower; WiFi; R. Cuci; Mesin Cuci; R. Jemur; Dapur; Balcon; CCTV; Parkir Motor; Parkir Sepeda"/>
    <n v="1400000"/>
    <s v="Rp1.400.000"/>
    <n v="0"/>
    <m/>
    <s v="Kos Campur"/>
    <m/>
    <m/>
  </r>
  <r>
    <s v="Kost Gading Elok Residence II Queensize Bedroom Kelapa Gading Jakarta Utara"/>
    <x v="4"/>
    <x v="79"/>
    <n v="10.240000000000002"/>
    <s v="3.2 x 3.2 meter"/>
    <s v="Tidak termasuk listrik"/>
    <s v=""/>
    <s v="N/A"/>
    <s v="3.2 x 3.2 meter; Tidak termasuk listrik; AC; Kasur; Dispenser; TV; Lemari Baju; Kulkas; Ventilasi; Meja makan; Cermin; Jendela; K. Mandi Dalam; Kloset Duduk; Shower; Air panas; WiFi; R. Cuci; Mesin Cuci; Penjaga Kos; R. Tamu; R. Makan; R. Jemur; R. Santai; Dapur; Parkir Mobil; Parkir Motor; Parkir Sepeda"/>
    <n v="2900000"/>
    <s v="Rp2.900.000"/>
    <n v="0.17013888888888887"/>
    <d v="1899-12-30T04:05:00"/>
    <s v="Kos Campur"/>
    <m/>
    <s v="Diskon 236rb"/>
  </r>
  <r>
    <s v="Kost Gading Elok Residence II Single Bedroom Kelapa Gading Jakarta Utara"/>
    <x v="4"/>
    <x v="79"/>
    <n v="9"/>
    <s v="3 x 3 meter"/>
    <s v="Tidak termasuk listrik"/>
    <s v=""/>
    <s v="N/A"/>
    <s v="3 x 3 meter; Tidak termasuk listrik; AC; Kasur; Dispenser; TV; Lemari Baju; Kulkas; Ventilasi; Meja makan; Bantal; Cermin; K. Mandi Dalam; Kloset Duduk; Shower; Air panas; WiFi; R. Cuci; Mesin Cuci; Penjaga Kos; R. Tamu; R. Makan; R. Jemur; R. Santai; Dapur; Parkir Mobil; Parkir Motor; Parkir Sepeda"/>
    <n v="2200000"/>
    <s v="Rp2.200.000"/>
    <n v="0.17291666666666669"/>
    <d v="1899-12-30T04:09:00"/>
    <s v="Kos Campur"/>
    <m/>
    <m/>
  </r>
  <r>
    <s v="Kost Gading Pavillion Tipe A Kelapa Gading Jakarta Utara"/>
    <x v="4"/>
    <x v="79"/>
    <n v="12"/>
    <s v="3 x 4 meter"/>
    <s v="Tidak termasuk listrik"/>
    <s v=""/>
    <s v="N/A"/>
    <s v="3 x 4 meter; Tidak termasuk listrik; AC; Kasur; Meja; TV; Lemari Baju; Kulkas; Ventilasi; Kursi; Wastafel; Cleaning service; K. Mandi Dalam; Kloset Duduk; Shower; Air panas; WiFi; R. Tamu; Penjaga Kos; R. Makan; R. Jemur; R. Santai; Dapur; Balcon; Parkir Motor"/>
    <n v="2100000"/>
    <s v="Rp2.100.000"/>
    <n v="0.20833333333333334"/>
    <d v="1899-12-30T05:00:00"/>
    <s v="Kos Putri"/>
    <m/>
    <m/>
  </r>
  <r>
    <s v="Kost Gading Surya Tipe E Kelapa Gading Jakarta Utara"/>
    <x v="4"/>
    <x v="79"/>
    <n v="4"/>
    <s v="2 x 2 meter"/>
    <s v="Termasuk listrik (implied)"/>
    <s v=""/>
    <s v="N/A"/>
    <s v="2 x 2 meter; Termasuk listrik; Kasur; Lemari Baju; Ventilasi; Bantal; Kipas Angin; Kloset Duduk; K. Mandi Luar; Wastafel; Shower; WiFi; R. Cuci; Kulkas; R. Tamu; Penjaga Kos; R. Makan; R. Jemur; R. Santai; Dapur; Dispenser; Parkir Motor; Parkir Sepeda"/>
    <n v="750000"/>
    <s v="Rp750.000"/>
    <n v="0.16874999999999998"/>
    <d v="1899-12-30T04:03:00"/>
    <s v="Kos Campur"/>
    <m/>
    <m/>
  </r>
  <r>
    <s v="Kost Gading Surya Tipe E Kelapa Gading Jakarta Utara"/>
    <x v="4"/>
    <x v="79"/>
    <n v="4"/>
    <s v="2 x 2 meter"/>
    <s v="Termasuk listrik (implied)"/>
    <s v=""/>
    <s v="N/A"/>
    <s v="2 x 2 meter; Termasuk listrik; Kasur; Lemari Baju; Ventilasi; Bantal; Kipas Angin; Kloset Duduk; K. Mandi Luar; Wastafel; Shower; WiFi; R. Cuci; Kulkas; R. Tamu; Penjaga Kos; R. Makan; R. Jemur; R. Santai; Dapur; Dispenser; Parkir Motor; Parkir Sepeda"/>
    <n v="750000"/>
    <s v="Rp750.000"/>
    <n v="0.17013888888888887"/>
    <d v="1899-12-30T04:05:00"/>
    <s v="Kos Campur"/>
    <m/>
    <m/>
  </r>
  <r>
    <s v="Kost Gading Surya Tipe G Kelapa Gading Jakarta Utara"/>
    <x v="4"/>
    <x v="79"/>
    <n v="5"/>
    <s v="2.5 x 2 meter"/>
    <s v="Termasuk listrik (implied)"/>
    <s v=""/>
    <s v="N/A"/>
    <s v="2.5 x 2 meter; Termasuk listrik; Kasur; Meja; Meja Rias; Lemari Baju; Ventilasi; Kursi; Bantal; Cermin; Guling; Jendela; Kloset Duduk; K. Mandi Luar; Wastafel; Ember mandi; Shower; WiFi; R. Cuci; Kulkas; R. Tamu; Penjaga Kos; R. Makan; R. Jemur; R. Santai; Dapur; Dispenser; Parkir Motor; Parkir Sepeda"/>
    <n v="950000"/>
    <s v="Rp950.000"/>
    <n v="0"/>
    <m/>
    <s v="Kos Campur"/>
    <m/>
    <m/>
  </r>
  <r>
    <s v="Kost Gading Surya Tipe H Kelapa Gading Jakarta Utara"/>
    <x v="4"/>
    <x v="79"/>
    <n v="9"/>
    <s v="3 x 3 meter"/>
    <s v="Termasuk listrik (implied)"/>
    <s v=""/>
    <s v="N/A"/>
    <s v="3 x 3 meter; Termasuk listrik; Kasur; Lemari Baju; Ventilasi; Bantal; Guling; Kipas Angin; Kloset Duduk; K. Mandi Luar; Wastafel; Shower; WiFi; R. Cuci; Kulkas; R. Tamu; Penjaga Kos; R. Makan; R. Jemur; R. Santai; Dapur; Dispenser; Parkir Motor; Parkir Sepeda"/>
    <n v="950000"/>
    <s v="Rp950.000"/>
    <n v="0.17083333333333331"/>
    <d v="1899-12-30T04:06:00"/>
    <s v="Kos Campur"/>
    <m/>
    <s v="Diskon 84rb"/>
  </r>
  <r>
    <s v="Kost Gajahmada Icon Residence Royal Taman Sari Jakarta Barat"/>
    <x v="3"/>
    <x v="136"/>
    <n v="9"/>
    <s v="3 x 3 meter"/>
    <s v="Tidak termasuk listrik"/>
    <s v=""/>
    <s v="N/A"/>
    <s v="3 x 3 meter; Tidak termasuk listrik; AC; Kasur; Meja; TV; Lemari Baju; Ventilasi; Bantal; Cermin; Guling; Jendela; K. Mandi Dalam; Kloset Duduk; Shower; Air panas; WiFi; Kulkas; R. Cuci; Laundry; Mesin Cuci; Penjaga Kos; R. Tamu; R. Jemur; R. Makan; R. Santai; Parkir Motor; Parkir Sepeda"/>
    <n v="2300000"/>
    <s v="Rp2.300.000"/>
    <n v="0.20833333333333334"/>
    <d v="1899-12-30T05:00:00"/>
    <s v="Kos Campur"/>
    <m/>
    <s v="Diskon 118rb"/>
  </r>
  <r>
    <s v="Kost Galunggung Limo Depok"/>
    <x v="1"/>
    <x v="9"/>
    <n v="12"/>
    <s v="3 x 4 meter"/>
    <s v="Tidak termasuk listrik"/>
    <s v=""/>
    <s v="N/A"/>
    <s v="3 x 4 meter; Tidak termasuk listrik; AC; Kasur; Meja; Lemari Baju; Bantal; Guling; Kursi; K. Mandi Dalam; Kloset Duduk; Ember mandi; Shower; WiFi; Penjaga Kos; Mushola; CCTV; Parkir Mobil; Parkir Motor; Parkir Sepeda"/>
    <n v="1550000"/>
    <s v="Rp1.550.000"/>
    <n v="0.20833333333333334"/>
    <d v="1899-12-30T05:00:00"/>
    <s v="Kos Campur"/>
    <m/>
    <m/>
  </r>
  <r>
    <s v="Kost Gambyong Tipe A Kelapa Gading Jakarta Utara"/>
    <x v="4"/>
    <x v="79"/>
    <n v="9"/>
    <s v="3 x 3 meter"/>
    <s v="Tidak termasuk listrik"/>
    <s v=""/>
    <s v="N/A"/>
    <s v="3 x 3 meter; Tidak termasuk listrik; AC; Kasur; Meja; TV; Lemari Baju; Bantal; Cermin; Guling; Kursi; K. Mandi Dalam; Kloset Jongkok; K. Mandi Luar; Ember mandi; Shower; WiFi; Kulkas; R. Tamu; R. Jemur; Dapur; CCTV; Jemuran; Pengurus Kos; Parkir Motor"/>
    <n v="1600000"/>
    <s v="Rp1.600.000"/>
    <n v="0"/>
    <m/>
    <s v="Kos Campur"/>
    <m/>
    <m/>
  </r>
  <r>
    <s v="Kost Gandaria Pak Rudy Bojonggede Bogor"/>
    <x v="0"/>
    <x v="148"/>
    <n v="21"/>
    <s v="3 x 7 meter"/>
    <s v="Tidak termasuk listrik"/>
    <s v=""/>
    <s v="N/A"/>
    <s v="3 x 7 meter; Tidak termasuk listrik; Dapur Pribadi; K. Mandi Dalam; Kloset Jongkok; Wastafel; Bak mandi; Balcon; Parkir Motor &amp; Sepeda"/>
    <n v="750000"/>
    <s v="Rp750.000"/>
    <n v="0"/>
    <m/>
    <s v="Kos Campur"/>
    <m/>
    <m/>
  </r>
  <r>
    <s v="Kost Gaps House 2 Tipe A Cipayung Jakarta Timur"/>
    <x v="8"/>
    <x v="25"/>
    <n v="12"/>
    <s v="3 x 4 meter"/>
    <s v="Tidak termasuk listrik"/>
    <s v=""/>
    <s v="N/A"/>
    <s v="3 x 4 meter; Tidak termasuk listrik; AC; Kasur; Lemari Baju; Cermin; Dapur Pribadi; Jendela; Kloset Duduk; Shower; WiFi; Kulkas; R. Cuci; Penjaga Kos; R. Tamu; R. Jemur; R. Makan; R. Santai; Dapur; Dispenser; Parkir Mobil; Parkir Motor; Parkir Sepeda; Parkir Motor &amp; Sepeda"/>
    <n v="1600000"/>
    <s v="Rp1.600.000"/>
    <n v="0.17222222222222225"/>
    <d v="1899-12-30T04:08:00"/>
    <s v="Kos Campur"/>
    <m/>
    <m/>
  </r>
  <r>
    <s v="Kost Garden Tipe B Taman Sari Jakarta Barat"/>
    <x v="3"/>
    <x v="149"/>
    <n v="8.14"/>
    <s v="2.2 x 3.7 meter"/>
    <s v="Tidak termasuk listrik"/>
    <s v=""/>
    <s v="N/A"/>
    <s v="2.2 x 3.7 meter; Tidak termasuk listrik; AC; Kasur; Meja; Lemari Baju; Ventilasi; Cermin; Jendela; Bantal; Cleaning service; K. Mandi Dalam; Kloset Duduk; Ember mandi; Shower; WiFi; Kulkas; R. Cuci; Penjaga Kos; R. Jemur; Dapur; CCTV; Jemuran; Jual Makanan; Pengurus Kos; Parkir Motor; Parkir Sepeda"/>
    <n v="1750000"/>
    <s v="Rp1.750.000"/>
    <n v="0.13055555555555556"/>
    <d v="1899-12-30T03:08:00"/>
    <s v="Kos Putri"/>
    <m/>
    <m/>
  </r>
  <r>
    <s v="Kost Gardenia Dramaga Bogor"/>
    <x v="0"/>
    <x v="23"/>
    <n v="6"/>
    <s v="2 x 3 meter"/>
    <s v="Tidak termasuk listrik"/>
    <s v=""/>
    <s v="N/A"/>
    <s v="2 x 3 meter; Tidak termasuk listrik; Kasur; Meja; Lemari Baju; Kursi; K. Mandi Dalam; Kloset Jongkok; Ember mandi; R. Jemur; Dapur; Parkir Motor"/>
    <n v="650000"/>
    <s v="Rp650.000"/>
    <n v="0.20833333333333334"/>
    <d v="1899-12-30T05:00:00"/>
    <s v="Kos Putri"/>
    <m/>
    <m/>
  </r>
  <r>
    <s v="Kost Gayatri House 1 Beji Depok"/>
    <x v="1"/>
    <x v="16"/>
    <n v="12"/>
    <s v="3 x 4 meter"/>
    <s v="Termasuk listrik (implied)"/>
    <s v=""/>
    <s v="N/A"/>
    <s v="3 x 4 meter; Termasuk listrik; AC; Kasur; Meja; Bantal; Guling; Jendela; Wastafel; Kursi; K. Mandi Dalam; Kloset Duduk; Shower; Air panas; WiFi; Penjaga Kos; Mushola; R. Makan; R. Santai; Dapur; CCTV; Pengurus Kos; Parkir Mobil; Parkir Motor"/>
    <n v="2350000"/>
    <s v="Rp2.350.000"/>
    <n v="0"/>
    <m/>
    <s v="Kos Campur"/>
    <m/>
    <m/>
  </r>
  <r>
    <s v="Kost GDC Cilodong Depok"/>
    <x v="1"/>
    <x v="150"/>
    <n v="18"/>
    <s v="3 x 6 meter"/>
    <s v="Tidak termasuk listrik"/>
    <s v=""/>
    <s v="N/A"/>
    <s v="3 x 6 meter; Tidak termasuk listrik; Dapur Pribadi; Jendela; K. Mandi Dalam; Kloset Jongkok; Penjaga Kos; R. Tamu; R. Jemur; Dapur; Jemuran; R. Keluarga; Parkir Motor; Parkir Sepeda"/>
    <n v="650000"/>
    <s v="Rp650.000"/>
    <n v="0"/>
    <m/>
    <s v="Kos Campur"/>
    <m/>
    <m/>
  </r>
  <r>
    <s v="Kost Gepin Tajur Halang Bogor"/>
    <x v="0"/>
    <x v="151"/>
    <n v="12"/>
    <s v="3 x 4 meter"/>
    <s v="Termasuk listrik (implied)"/>
    <s v=""/>
    <s v="N/A"/>
    <s v="3 x 4 meter; Termasuk listrik; Kasur; Meja; Bantal; Cermin; Jendela; Kursi; Kloset Duduk; K. Mandi Luar; Ember mandi; Wastafel; WiFi; Kulkas; R. Tamu; R. Makan; R. Santai; Dapur; Dispenser; Jemuran; Rice Cooker; Parkir Mobil; Parkir Motor; Parkir Sepeda; Parkir Motor &amp; Sepeda"/>
    <n v="500000"/>
    <s v="Rp500.000"/>
    <n v="0"/>
    <m/>
    <s v="Kos Putri"/>
    <m/>
    <m/>
  </r>
  <r>
    <s v="Kost Gilimanuk Tipe Paviliun Cikarang Selatan Bekasi"/>
    <x v="7"/>
    <x v="27"/>
    <n v="9"/>
    <s v="3 x 3 meter"/>
    <s v="Tidak termasuk listrik"/>
    <s v=""/>
    <s v="N/A"/>
    <s v="3 x 3 meter; Tidak termasuk listrik; AC; Kasur; Meja; Lemari Baju; Ventilasi; Bantal; Guling; Jendela; Kursi; K. Mandi Dalam; Kloset Duduk; Shower; WiFi; Jemuran; CCTV; Parkir Mobil; Parkir Motor"/>
    <n v="1250000"/>
    <s v="Rp1.250.000"/>
    <n v="0"/>
    <m/>
    <s v="Kos Putra"/>
    <m/>
    <m/>
  </r>
  <r>
    <s v="Kost Glenn Eksklusif Tipe Big Kelapa Gading Jakarta Utara"/>
    <x v="4"/>
    <x v="111"/>
    <n v="24"/>
    <s v="6 x 4 meter"/>
    <s v="Tidak termasuk listrik"/>
    <s v=""/>
    <s v="N/A"/>
    <s v="6 x 4 meter; Tidak termasuk listrik; AC; Kasur; Meja; TV; Lemari Baju; Ventilasi; Kursi; Cleaning service; Bantal; Cermin; K. Mandi Dalam; Kloset Duduk; Ember mandi; Shower; WiFi; R. Cuci; Kulkas; R. Tamu; Penjaga Kos; Laundry; R. Makan; R. Jemur; R. Santai; Dapur; Parkir Mobil; Parkir Motor; Parkir Sepeda"/>
    <n v="2500000"/>
    <s v="Rp2.500.000"/>
    <n v="0"/>
    <m/>
    <s v="Kos Campur"/>
    <m/>
    <m/>
  </r>
  <r>
    <s v="Kost Glenn Eksklusif Tipe Sedang Kelapa Gading Jakarta Utara"/>
    <x v="4"/>
    <x v="111"/>
    <n v="12"/>
    <s v="3 x 4 meter"/>
    <s v="Tidak termasuk listrik"/>
    <s v=""/>
    <s v="N/A"/>
    <s v="3 x 4 meter; Tidak termasuk listrik; AC; Kasur; Meja; TV; Lemari Baju; Ventilasi; Kursi; Cleaning service; TV Kabel; Bantal; K. Mandi Dalam; Kloset Duduk; Shower; WiFi; R. Cuci; Kulkas; R. Tamu; Laundry; R. Makan; R. Jemur; R. Santai; Dapur; Dispenser; Parkir Mobil; Parkir Motor; Parkir Sepeda"/>
    <n v="1950000"/>
    <s v="Rp1.950.000"/>
    <n v="0.16666666666666666"/>
    <d v="1899-12-30T04:00:00"/>
    <s v="Kos Campur"/>
    <m/>
    <m/>
  </r>
  <r>
    <s v="Kost Go 8 Periuk Tangerang"/>
    <x v="6"/>
    <x v="152"/>
    <n v="9"/>
    <s v="3 x 3 meter"/>
    <s v="Tidak termasuk listrik"/>
    <s v=""/>
    <s v="N/A"/>
    <s v="3 x 3 meter; Tidak termasuk listrik; AC; Kasur; Meja; Lemari Baju; Ventilasi; Bantal; Guling; Jendela; Kursi; Kloset Duduk; K. Mandi Luar; Wastafel; Shower; WiFi; Kulkas; Dapur; Dispenser; Balcon; CCTV; Kartu Akses; Rice Cooker; Parkir Mobil; Parkir Motor"/>
    <n v="1200000"/>
    <s v="Rp1.200.000"/>
    <n v="0.16944444444444443"/>
    <d v="1899-12-30T04:04:00"/>
    <s v="Kos Putra"/>
    <m/>
    <m/>
  </r>
  <r>
    <s v="Kost Go Jababeka Tipe Eksekutif Cikarang Pusat Bekasi"/>
    <x v="7"/>
    <x v="100"/>
    <n v="9"/>
    <s v="3 x 3 meter"/>
    <s v="Tidak termasuk listrik"/>
    <s v=""/>
    <s v="N/A"/>
    <s v="3 x 3 meter; Tidak termasuk listrik; AC; Kasur; Meja; Lemari Baju; Bantal; Cermin; Cleaning service; Guling; Jendela; Kursi; K. Mandi Dalam; Kloset Duduk; Shower; WiFi; Kulkas; Laundry; Penjaga Kos; R. Jemur; Dispenser; Dapur; CCTV; Jemuran; Kartu Akses; Parkir Motor; Parkir Sepeda"/>
    <n v="1400000"/>
    <s v="Rp1.400.000"/>
    <n v="0.17083333333333331"/>
    <d v="1899-12-30T04:06:00"/>
    <s v="Kos Putra"/>
    <m/>
    <m/>
  </r>
  <r>
    <s v="Kost Go Kancil 2 Cikarang Jababeka Cikarang Timur Bekasi"/>
    <x v="7"/>
    <x v="112"/>
    <n v="12"/>
    <s v="3 x 4 meter"/>
    <s v="Tidak termasuk listrik"/>
    <s v=""/>
    <s v="N/A"/>
    <s v="3 x 4 meter; Tidak termasuk listrik; AC; Kasur; Meja; TV; Lemari Baju; Bantal; Cermin; Guling; Jendela; Kursi; K. Mandi Dalam; Kloset Duduk; Shower; WiFi; Kulkas; Laundry; Penjaga Kos; Dapur; Dispenser; Parkir Motor"/>
    <n v="1600000"/>
    <s v="Rp1.600.000"/>
    <n v="0"/>
    <m/>
    <s v="Kos Putra"/>
    <m/>
    <m/>
  </r>
  <r>
    <s v="Kost Go Panda 4 Jababeka Cikarang Pusat Bekasi"/>
    <x v="7"/>
    <x v="118"/>
    <n v="12"/>
    <s v="3 x 4 meter"/>
    <s v="Tidak termasuk listrik"/>
    <s v=""/>
    <s v="N/A"/>
    <s v="3 x 4 meter; Tidak termasuk listrik; AC; Meja; Lemari Baju; Bantal; Cermin; Kursi; TV Kabel; K. Mandi Dalam; WiFi; Laundry; Parkir Motor"/>
    <n v="1700000"/>
    <s v="Rp1.700.000"/>
    <n v="0"/>
    <m/>
    <s v="Kos Putri"/>
    <m/>
    <m/>
  </r>
  <r>
    <s v="Kost Go Rusa Premium Tipe 1 Cikarang Timur Bekasi"/>
    <x v="7"/>
    <x v="91"/>
    <n v="9"/>
    <s v="3 x 3 meter"/>
    <s v="Tidak termasuk listrik"/>
    <s v=""/>
    <s v="N/A"/>
    <s v="3 x 3 meter; Tidak termasuk listrik; AC; Kasur; Meja; TV; Lemari Baju; Bantal; Cermin; Guling; Jendela; Kursi; K. Mandi Dalam; Kloset Duduk; Shower; WiFi; Kulkas; Penjaga Kos; Dapur; Dispenser; CCTV; Kartu Akses; Parkir Motor"/>
    <n v="1500000"/>
    <s v="Rp1.500.000"/>
    <n v="0"/>
    <m/>
    <s v="Kos Putra"/>
    <m/>
    <m/>
  </r>
  <r>
    <s v="Kost Golden Leaf Residence Tomang Palmerah Jakarta Barat"/>
    <x v="3"/>
    <x v="4"/>
    <n v="15"/>
    <s v="3 x 5 meter"/>
    <s v="Tidak termasuk listrik"/>
    <s v=""/>
    <s v="N/A"/>
    <s v="3 x 5 meter; Tidak termasuk listrik; AC; Kasur; Meja; TV; Lemari Baju; Ventilasi; Cleaning service; Bantal; Cermin; Jendela; K. Mandi Dalam; Kloset Duduk; Wastafel; Shower; Air panas; WiFi; Kulkas; Penjaga Kos; Laundry; R. Makan; R. Jemur; R. Santai; Dapur; Dispenser; CCTV; Parkir Mobil; Parkir Motor; Parkir Sepeda"/>
    <n v="3200000"/>
    <s v="Rp3.200.000"/>
    <n v="0.20833333333333334"/>
    <d v="1899-12-30T05:00:00"/>
    <s v="Kos Campur"/>
    <m/>
    <m/>
  </r>
  <r>
    <s v="Kost Gorat Cipayung Jakarta Timur"/>
    <x v="8"/>
    <x v="25"/>
    <n v="12"/>
    <s v="3 x 4 meter"/>
    <s v="Tidak termasuk listrik"/>
    <s v=""/>
    <s v="N/A"/>
    <s v="3 x 4 meter; Tidak termasuk listrik; AC; Kasur; Meja; TV; Lemari Baju; Wastafel; Kipas Angin; K. Mandi Dalam; Kloset Duduk; Shower; Kulkas; R. Tamu; Mesin Cuci; R. Jemur; R. Santai; Dapur; K. Mandi Luar; Parkir Mobil; Parkir Motor"/>
    <n v="1500000"/>
    <s v="Rp1.500.000"/>
    <n v="0.17222222222222225"/>
    <d v="1899-12-30T04:08:00"/>
    <s v="Kos Campur"/>
    <m/>
    <m/>
  </r>
  <r>
    <s v="Kost Grace Cilincing Jakarta Utara"/>
    <x v="4"/>
    <x v="49"/>
    <n v="6"/>
    <s v="2 x 3 meter"/>
    <s v="Tidak termasuk listrik"/>
    <s v=""/>
    <s v="N/A"/>
    <s v="2 x 3 meter; Tidak termasuk listrik; AC; Kasur; Meja; Lemari Baju; Kursi; Bantal; Guling; Kloset Duduk; K. Mandi Luar; Ember mandi; Shower; WiFi; R. Makan; Balcon; Jemuran; Parkir Motor; Parkir Sepeda; Parkir Motor &amp; Sepeda"/>
    <n v="1350000"/>
    <s v="Rp1.350.000"/>
    <n v="0.20833333333333334"/>
    <d v="1899-12-30T05:00:00"/>
    <s v="Kos Campur"/>
    <m/>
    <m/>
  </r>
  <r>
    <s v="Kost Grace House Taman Beverly Cikarang Selatan Bekasi"/>
    <x v="7"/>
    <x v="27"/>
    <n v="20"/>
    <s v="4 x 5 meter"/>
    <s v="Tidak termasuk listrik"/>
    <s v=""/>
    <s v="N/A"/>
    <s v="4 x 5 meter; Tidak termasuk listrik; AC; Kasur; Meja; Dispenser; TV; Meja Rias; Lemari Baju; Kulkas; Kursi; Wastafel; K. Mandi Dalam; Kloset Duduk; Shower; Air panas; WiFi; R. Cuci; Laundry; R. Jemur; Dapur; Balcon; K. Mandi Luar; Parkir Mobil; Parkir Motor; Parkir Sepeda"/>
    <n v="3000000"/>
    <s v="Rp3.000.000"/>
    <n v="0.17291666666666669"/>
    <d v="1899-12-30T04:09:00"/>
    <s v="Kos Campur"/>
    <m/>
    <m/>
  </r>
  <r>
    <s v="Kost Grace Residence Tipe Lorong Tanjung Priok Jakarta Utara"/>
    <x v="4"/>
    <x v="10"/>
    <n v="7.5"/>
    <s v="3 x 2.5 meter"/>
    <s v="Tidak termasuk listrik"/>
    <s v=""/>
    <s v="N/A"/>
    <s v="3 x 2.5 meter; Tidak termasuk listrik; AC; Kasur; Meja; Lemari Baju; Ventilasi; Jendela; Kursi; K. Mandi Dalam; Kloset Duduk; Shower; Air panas; WiFi; Kulkas; Penjaga Kos; Dapur; CCTV; Jemuran; Parkir Motor; Parkir Sepeda"/>
    <n v="1600000"/>
    <s v="Rp1.600.000"/>
    <n v="0.1673611111111111"/>
    <d v="1899-12-30T04:01:00"/>
    <s v="Kos Putri"/>
    <m/>
    <m/>
  </r>
  <r>
    <s v="Kost Grace Residence Tipe Lorong Tanjung Priok Jakarta Utara"/>
    <x v="4"/>
    <x v="10"/>
    <n v="7.5"/>
    <s v="3 x 2.5 meter"/>
    <s v="Tidak termasuk listrik"/>
    <s v=""/>
    <s v="N/A"/>
    <s v="3 x 2.5 meter; Tidak termasuk listrik; AC; Kasur; Meja; Lemari Baju; Ventilasi; Jendela; Kursi; K. Mandi Dalam; Kloset Duduk; Shower; Air panas; WiFi; Kulkas; Penjaga Kos; Dapur; CCTV; Jemuran; Parkir Motor; Parkir Sepeda"/>
    <n v="1600000"/>
    <s v="Rp1.600.000"/>
    <n v="0.20833333333333334"/>
    <d v="1899-12-30T05:00:00"/>
    <s v="Kos Putri"/>
    <m/>
    <m/>
  </r>
  <r>
    <s v="Kost Grade Tulip Tipe A Kebon Jeruk Jakarta Barat"/>
    <x v="3"/>
    <x v="14"/>
    <n v="20"/>
    <s v="4 x 5 meter"/>
    <s v="Tidak termasuk listrik"/>
    <s v=""/>
    <s v="N/A"/>
    <s v="4 x 5 meter; Tidak termasuk listrik; AC; Kasur; Meja; TV; Meja Rias; Lemari Baju; Kulkas; Ventilasi; Kursi; Wastafel; K. Mandi Dalam; Kloset Duduk; Shower; Air panas; WiFi; R. Tamu; Penjaga Kos; R. Jemur; Dapur; Balcon; Pengurus Kos; Parkir Mobil; Parkir Motor"/>
    <n v="3500000"/>
    <s v="Rp3.500.000"/>
    <n v="0"/>
    <m/>
    <s v="Kos Campur"/>
    <m/>
    <m/>
  </r>
  <r>
    <s v="Kost Graha Bintang Tipe VVIP Menteng Jakarta Pusat"/>
    <x v="9"/>
    <x v="127"/>
    <n v="12"/>
    <s v="3 x 4 meter"/>
    <s v="Tidak termasuk listrik"/>
    <s v=""/>
    <s v="N/A"/>
    <s v="3 x 4 meter; Tidak termasuk listrik; AC; Kasur; Meja; TV; Kulkas; Lemari Baju; Bantal; Cermin; Guling; Jendela; K. Mandi Dalam; Kloset Duduk; Shower; Air panas; WiFi; Penjaga Kos; Mushola; CCTV; Parkir Mobil; Parkir Motor; Parkir Sepeda; Parkir Motor &amp; Sepeda"/>
    <n v="3000000"/>
    <s v="Rp3.000.000"/>
    <n v="0.12847222222222224"/>
    <d v="1899-12-30T03:05:00"/>
    <s v="Kos Campur"/>
    <m/>
    <m/>
  </r>
  <r>
    <s v="Kost Graha Indonesia Tipe VVIP Cikarang Pusat Bekasi"/>
    <x v="7"/>
    <x v="100"/>
    <n v="12"/>
    <s v="3 x 4 meter"/>
    <s v="Tidak termasuk listrik"/>
    <s v=""/>
    <s v="N/A"/>
    <s v="3 x 4 meter; Tidak termasuk listrik; AC; Kasur; Lemari Baju; Ventilasi; Bantal; Guling; Jendela; K. Mandi Dalam; Kloset Duduk; Wastafel; Shower; Air panas; WiFi; Kulkas; R. Cuci; Mesin Cuci; R. Tamu; R. Jemur; Dapur; Jemuran; Pengurus Kos; R. Keluarga; Parkir Mobil; Parkir Motor; Parkir Motor &amp; Sepeda"/>
    <n v="1700000"/>
    <s v="Rp1.700.000"/>
    <n v="0"/>
    <m/>
    <s v="Kos Putri"/>
    <m/>
    <m/>
  </r>
  <r>
    <s v="Kost Graha Rahayu Tipe A Cimanggis Depok"/>
    <x v="1"/>
    <x v="114"/>
    <n v="15.75"/>
    <s v="3.5 x 4.5 meter"/>
    <s v="Tidak termasuk listrik"/>
    <s v=""/>
    <s v="N/A"/>
    <s v="3.5 x 4.5 meter; Tidak termasuk listrik; AC; Kasur; Meja; Lemari Baju; Jendela; Kursi; K. Mandi Dalam; Kloset Duduk; Shower; WiFi; Kulkas; R. Jemur; Dapur; Balcon; Jemuran; Pengurus Kos; Taman; Parkir Motor"/>
    <n v="1150000"/>
    <s v="Rp1.150.000"/>
    <n v="0.17083333333333331"/>
    <d v="1899-12-30T04:06:00"/>
    <s v="Kos Putri"/>
    <m/>
    <m/>
  </r>
  <r>
    <s v="Kost Grandvil Tajur Halang Bogor"/>
    <x v="0"/>
    <x v="151"/>
    <n v="12"/>
    <s v="3 x 4 meter"/>
    <s v="Tidak termasuk listrik"/>
    <s v=""/>
    <s v="N/A"/>
    <s v="3 x 4 meter; Tidak termasuk listrik; Kloset Duduk; K. Mandi Luar; Shower; R. Cuci; R. Tamu; R. Jemur; R. Makan; R. Keluarga; Taman; Parkir Mobil; Parkir Motor; Parkir Sepeda; Parkir Motor &amp; Sepeda"/>
    <n v="2100000"/>
    <s v="Rp2.100.000"/>
    <n v="0"/>
    <m/>
    <s v="Kos Putri"/>
    <m/>
    <m/>
  </r>
  <r>
    <s v="Kost Green Haus Premium Plus Benda Tangerang"/>
    <x v="6"/>
    <x v="122"/>
    <n v="9"/>
    <s v="3 x 3 meter"/>
    <s v="Tidak termasuk listrik"/>
    <s v=""/>
    <s v="N/A"/>
    <s v="3 x 3 meter; Tidak termasuk listrik; AC; Kasur; Meja; Lemari Baju; Bantal; Cermin; Guling; Jendela; K. Mandi Dalam; Kloset Duduk; Shower; Air panas; WiFi; Kulkas; Laundry; Penjaga Kos; Mesin Cuci; R. Makan; R. Jemur; R. Santai; Dapur; Dispenser; Parkir Sepeda; Parkir Motor"/>
    <n v="1600000"/>
    <s v="Rp1.600.000"/>
    <n v="0.17083333333333331"/>
    <d v="1899-12-30T04:06:00"/>
    <s v="Kos Campur"/>
    <m/>
    <s v="Diskon 136rb"/>
  </r>
  <r>
    <s v="Kost Green Haus Royal Plus Benda Tangerang"/>
    <x v="6"/>
    <x v="122"/>
    <n v="9"/>
    <s v="3 x 3 meter"/>
    <s v="Tidak termasuk listrik"/>
    <s v=""/>
    <s v="N/A"/>
    <s v="3 x 3 meter; Tidak termasuk listrik; AC; Kasur; Meja; Lemari Baju; Bantal; Cermin; Guling; Jendela; K. Mandi Dalam; Kloset Duduk; Shower; Air panas; WiFi; Kulkas; Laundry; Penjaga Kos; Mesin Cuci; R. Makan; R. Jemur; R. Santai; Dapur; Dispenser; Parkir Sepeda; Parkir Motor"/>
    <n v="1500000"/>
    <s v="Rp1.500.000"/>
    <n v="0.17083333333333331"/>
    <d v="1899-12-30T04:06:00"/>
    <s v="Kos Campur"/>
    <m/>
    <s v="Diskon 160rb"/>
  </r>
  <r>
    <s v="Kost Green Leaf Deltamas Tipe A Cikarang Pusat Bekasi"/>
    <x v="7"/>
    <x v="118"/>
    <n v="9"/>
    <s v="3 x 3 meter"/>
    <s v="Tidak termasuk listrik"/>
    <s v=""/>
    <s v="N/A"/>
    <s v="3 x 3 meter; Tidak termasuk listrik; AC; Kasur; Kulkas; Lemari Baju; Bantal; Cermin; Kipas Angin; Kursi; microwave; Kloset Duduk; K. Mandi Luar; Wastafel; Shower; WiFi; Mesin Cuci; Dapur; CCTV; Jemuran; Parkir Mobil; Parkir Motor; Parkir Sepeda; Parkir Motor &amp; Sepeda"/>
    <n v="1000000"/>
    <s v="Rp1.000.000"/>
    <n v="0"/>
    <m/>
    <s v="Kos Putri"/>
    <m/>
    <m/>
  </r>
  <r>
    <s v="Kost Gria Village Cibinong Bogor"/>
    <x v="0"/>
    <x v="96"/>
    <n v="12"/>
    <s v="3 x 4 meter"/>
    <s v="Tidak termasuk listrik"/>
    <s v=""/>
    <s v="N/A"/>
    <s v="3 x 4 meter; Tidak termasuk listrik; AC; Kasur; Meja; Lemari Baju; Bantal; Cermin; Dapur Pribadi; Jendela; Kursi; Wastafel; K. Mandi Dalam; Kloset Duduk; Shower; WiFi; Penjaga Kos; Balcon; CCTV; Pengurus Kos; Parkir Mobil; Parkir Motor; Parkir Sepeda; Parkir Motor &amp; Sepeda"/>
    <n v="1500000"/>
    <s v="Rp1.500.000"/>
    <n v="0"/>
    <m/>
    <s v="Kos Campur"/>
    <m/>
    <m/>
  </r>
  <r>
    <s v="Kost Gris Home Executive Setu Tangerang Selatan"/>
    <x v="2"/>
    <x v="21"/>
    <n v="12"/>
    <s v="3 x 4 meter"/>
    <s v="Tidak termasuk listrik"/>
    <s v=""/>
    <s v="N/A"/>
    <s v="3 x 4 meter; Tidak termasuk listrik; AC; Kasur; Meja; TV; Lemari Baju; Ventilasi; Bantal; Guling; Jendela; Kursi; K. Mandi Dalam; Kloset Duduk; Shower; Air panas; WiFi; Kulkas; R. Cuci; Mesin Cuci; Penjaga Kos; R. Jemur; Dapur; Dispenser; Balcon; CCTV; Parkir Motor; Parkir Sepeda; Parkir Motor &amp; Sepeda"/>
    <n v="1900000"/>
    <s v="Rp1.900.000"/>
    <n v="0.20833333333333334"/>
    <d v="1899-12-30T05:00:00"/>
    <s v="Kos Campur"/>
    <m/>
    <m/>
  </r>
  <r>
    <s v="Kost Griya 15 Executive Beji Depok"/>
    <x v="1"/>
    <x v="15"/>
    <n v="12"/>
    <s v="3 x 4 meter"/>
    <s v="Tidak termasuk listrik"/>
    <s v=""/>
    <s v="N/A"/>
    <s v="3 x 4 meter; Tidak termasuk listrik; AC; Kasur; Meja; Lemari Baju; Ventilasi; Bantal; Cermin; Guling; Jendela; Kipas Angin; K. Mandi Dalam; Kloset Duduk; Shower; WiFi; Kulkas; R. Cuci; Penjaga Kos; R. Jemur; R. Santai; Dapur; Dispenser; CCTV; Jemuran; Parkir Motor; Parkir Sepeda"/>
    <n v="1350000"/>
    <s v="Rp1.350.000"/>
    <n v="0.1673611111111111"/>
    <d v="1899-12-30T04:01:00"/>
    <s v="Kos Putra"/>
    <m/>
    <m/>
  </r>
  <r>
    <s v="Kost Griya A77 Tipe B Setu Tangerang Selatan"/>
    <x v="2"/>
    <x v="21"/>
    <n v="10.5"/>
    <s v="3 x 3.5 meter"/>
    <s v="Tidak termasuk listrik"/>
    <s v=""/>
    <s v="N/A"/>
    <s v="3 x 3.5 meter; Tidak termasuk listrik; AC; Kasur; Meja; Lemari Baju; Ventilasi; Bantal; Guling; Jendela; Kursi; K. Mandi Dalam; Kloset Duduk; Shower; WiFi; Kulkas; Mesin Cuci; Penjaga Kos; R. Tamu; R. Makan; R. Santai; Dapur; Balcon; CCTV; Parkir Mobil; Parkir Motor; Parkir Sepeda; Parkir Motor &amp; Sepeda"/>
    <n v="1300000"/>
    <s v="Rp1.300.000"/>
    <n v="0"/>
    <m/>
    <s v="Kos Putri"/>
    <m/>
    <m/>
  </r>
  <r>
    <s v="Kost Griya Akhilendra 2 VIP Cinere Depok"/>
    <x v="1"/>
    <x v="124"/>
    <n v="16"/>
    <s v="4 x 4 meter"/>
    <s v="Tidak termasuk listrik"/>
    <s v=""/>
    <s v="N/A"/>
    <s v="4 x 4 meter; Tidak termasuk listrik; AC; Kasur; Meja; TV; Lemari Baju; Ventilasi; Bantal; Cermin; Guling; Jendela; K. Mandi Dalam; Kloset Duduk; Wastafel; Shower; WiFi; Penjaga Kos; Dapur; Dispenser; CCTV; Jual Makanan; Pengurus Kos; Parkir Mobil; Parkir Motor; Parkir Sepeda; Parkir Motor &amp; Sepeda"/>
    <n v="2150000"/>
    <s v="Rp2.150.000"/>
    <n v="0.16874999999999998"/>
    <d v="1899-12-30T04:03:00"/>
    <s v="Kos Campur"/>
    <m/>
    <m/>
  </r>
  <r>
    <s v="Kost Griya Akhilendra Cinere Depok"/>
    <x v="1"/>
    <x v="1"/>
    <n v="16"/>
    <s v="4 x 4 meter"/>
    <s v="Tidak termasuk listrik"/>
    <s v=""/>
    <s v="N/A"/>
    <s v="4 x 4 meter; Tidak termasuk listrik; AC; Kasur; Meja; TV; Lemari Baju; Kursi; Cleaning service; K. Mandi Dalam; Kloset Duduk; Shower; WiFi; R. Tamu; Penjaga Kos; Mushola; Dapur; Dispenser; K. Mandi Luar; Parkir Mobil; Parkir Motor; Parkir Sepeda"/>
    <n v="1950000"/>
    <s v="Rp1.950.000"/>
    <n v="0.16874999999999998"/>
    <d v="1899-12-30T04:03:00"/>
    <s v="Kos Campur"/>
    <m/>
    <m/>
  </r>
  <r>
    <s v="Kost Griya AM Standart Kebon Jeruk Jakarta Barat"/>
    <x v="3"/>
    <x v="61"/>
    <n v="12"/>
    <s v="3 x 4 meter"/>
    <s v="Tidak termasuk listrik"/>
    <s v=""/>
    <s v="N/A"/>
    <s v="3 x 4 meter; Tidak termasuk listrik; AC; Kasur; Meja; Lemari Baju; Ventilasi; Bantal; Guling; Jendela; Kursi; K. Mandi Dalam; Kloset Duduk; Shower; Air panas; WiFi; Kulkas; Penjaga Kos; R. Tamu; Mushola; R. Jemur; Dapur; Dispenser; CCTV; Jemuran; Parkir Mobil; Parkir Motor; Parkir Sepeda"/>
    <n v="1800000"/>
    <s v="Rp1.800.000"/>
    <n v="0.12916666666666668"/>
    <d v="1899-12-30T03:06:00"/>
    <s v="Kos Campur"/>
    <m/>
    <m/>
  </r>
  <r>
    <s v="Kost Griya Anggrek Tipe 1 Serpong Tangerang Selatan"/>
    <x v="2"/>
    <x v="18"/>
    <n v="12"/>
    <s v="3 x 4 meter"/>
    <s v="Tidak termasuk listrik"/>
    <s v=""/>
    <s v="N/A"/>
    <s v="3 x 4 meter; Tidak termasuk listrik; AC; Kasur; Meja; Lemari Baju; Ventilasi; Bantal; Cermin; Guling; Jendela; Wastafel; K. Mandi Dalam; Kloset Duduk; Shower; Air panas; WiFi; Kulkas; R. Cuci; Laundry; Penjaga Kos; R. Tamu; R. Jemur; R. Makan; Dapur; Dispenser; Parkir Mobil; Parkir Motor; Parkir Sepeda; Parkir Motor &amp; Sepeda"/>
    <n v="2850000"/>
    <s v="Rp2.850.000"/>
    <n v="0"/>
    <m/>
    <s v="Kos Campur"/>
    <m/>
    <m/>
  </r>
  <r>
    <s v="Kost Griya Bangun Jaya Tipe Vip1 Duren Sawit Jakarta Timur"/>
    <x v="8"/>
    <x v="39"/>
    <n v="17.5"/>
    <s v="3.5 x 5 meter"/>
    <s v="Termasuk listrik (implied)"/>
    <s v=""/>
    <s v="N/A"/>
    <s v="3.5 x 5 meter; Termasuk listrik; AC; Kasur; Meja; TV; Bantal; Cermin; Guling; Jendela; K. Mandi Dalam; Kloset Jongkok; Ember mandi; Shower; Kulkas; R. Tamu; Penjaga Kos; R. Makan; R. Jemur; R. Santai; Dapur; Dispenser; Taman; Parkir Mobil; Parkir Motor; Parkir Sepeda"/>
    <n v="1600000"/>
    <s v="Rp1.600.000"/>
    <n v="0"/>
    <m/>
    <s v="Kos Putra"/>
    <m/>
    <m/>
  </r>
  <r>
    <s v="Kost Griya Barokah IV Cikarang TImur Bekasi"/>
    <x v="7"/>
    <x v="91"/>
    <n v="25"/>
    <s v="5 x 5 meter"/>
    <s v="Tidak termasuk listrik"/>
    <s v=""/>
    <s v="N/A"/>
    <s v="5 x 5 meter; Tidak termasuk listrik; AC; Kasur; Meja; TV; Lemari Baju; Kulkas; Kursi; Wastafel; TV Kabel; Bantal; K. Mandi Dalam; Kloset Duduk; Shower; Air panas; WiFi; Penjaga Kos; R. Jemur; R. Santai; Dapur; Dispenser; Kartu Akses; Taman; Gazebo; Parkir Mobil; Parkir Motor; Parkir Sepeda"/>
    <n v="1800000"/>
    <s v="Rp1.800.000"/>
    <n v="0"/>
    <m/>
    <s v="Kos Campur"/>
    <m/>
    <m/>
  </r>
  <r>
    <s v="Kost Griya Barokah IV Cikarang TImur Bekasi"/>
    <x v="7"/>
    <x v="91"/>
    <n v="25"/>
    <s v="5 x 5 meter"/>
    <s v="Tidak termasuk listrik"/>
    <s v=""/>
    <s v="N/A"/>
    <s v="5 x 5 meter; Tidak termasuk listrik; AC; Kasur; Meja; TV; Lemari Baju; Kulkas; Kursi; Wastafel; TV Kabel; Bantal; K. Mandi Dalam; Kloset Duduk; Shower; Air panas; WiFi; Penjaga Kos; R. Jemur; R. Santai; Dapur; Dispenser; Kartu Akses; Taman; Gazebo"/>
    <n v="1800000"/>
    <s v="Rp1.800.000"/>
    <n v="0"/>
    <m/>
    <s v="Kos Campur"/>
    <m/>
    <m/>
  </r>
  <r>
    <s v="Kost Griya Eyangtie Tipe A Cikarang Selatan Bekasi"/>
    <x v="7"/>
    <x v="27"/>
    <n v="9"/>
    <s v="3 x 3 meter"/>
    <s v="Termasuk listrik (implied)"/>
    <s v=""/>
    <s v="N/A"/>
    <s v="3 x 3 meter; Termasuk listrik; AC; Kasur; Meja; Dispenser; Lemari Baju; Bantal; Guling; K. Mandi Dalam; Kloset Duduk"/>
    <n v="1500000"/>
    <s v="Rp1.500.000"/>
    <n v="0.20833333333333334"/>
    <d v="1899-12-30T05:00:00"/>
    <s v="Kos Campur"/>
    <m/>
    <m/>
  </r>
  <r>
    <s v="Kost Griya Fahira 2 Karawaci Tangerang"/>
    <x v="6"/>
    <x v="116"/>
    <n v="12"/>
    <s v="3 x 4 meter"/>
    <s v="Tidak termasuk listrik"/>
    <s v=""/>
    <s v="N/A"/>
    <s v="3 x 4 meter; Tidak termasuk listrik; AC; Kasur; Dispenser; Lemari Baju; TV Kabel; Meja makan; K. Mandi Dalam; Kloset Duduk; Shower; WiFi; R. Cuci; Kulkas; R. Tamu; R. Makan; R. Jemur; Dapur; TV; Balcon; Parkir Mobil; Parkir Motor; Parkir Sepeda"/>
    <n v="1300000"/>
    <s v="Rp1.300.000"/>
    <n v="0.20833333333333334"/>
    <d v="1899-12-30T05:00:00"/>
    <s v="Kos Putri"/>
    <m/>
    <m/>
  </r>
  <r>
    <s v="Kost Griya Fikarda Autumn Bronze Room Beji Depok"/>
    <x v="1"/>
    <x v="16"/>
    <n v="12"/>
    <s v="3 x 4 meter"/>
    <s v="Tidak termasuk listrik"/>
    <s v=""/>
    <s v="N/A"/>
    <s v="3 x 4 meter; Tidak termasuk listrik; AC; Kasur; Meja; Lemari Baju; Ventilasi; Kursi; Bantal; Guling; Cermin; Jendela; K. Mandi Dalam; Kloset Duduk; Wastafel; Shower; Air panas; WiFi; Kulkas; Penjaga Kos; R. Tamu; R. Makan; R. Jemur; Mushola; R. Santai; Dapur; CCTV; Parkir Mobil; Parkir Sepeda; Parkir Motor; Parkir Motor &amp; Sepeda"/>
    <n v="1900000"/>
    <s v="Rp1.900.000"/>
    <n v="0.17013888888888887"/>
    <d v="1899-12-30T04:05:00"/>
    <s v="Kos Putri"/>
    <m/>
    <s v="Diskon 179rb"/>
  </r>
  <r>
    <s v="Kost Griya Fikarda Autumn Gold Room Beji Depok"/>
    <x v="1"/>
    <x v="16"/>
    <n v="12"/>
    <s v="3 x 4 meter"/>
    <s v="Tidak termasuk listrik"/>
    <s v=""/>
    <s v="N/A"/>
    <s v="3 x 4 meter; Tidak termasuk listrik; AC; Kasur; Meja; Lemari Baju; Ventilasi; Kursi; Bantal; Guling; Jendela; Cermin; K. Mandi Dalam; Kloset Duduk; Wastafel; Shower; Air panas; WiFi; Kulkas; Penjaga Kos; R. Tamu; R. Makan; R. Jemur; Mushola; R. Santai; Dapur; CCTV; Parkir Mobil; Parkir Sepeda; Parkir Motor; Parkir Motor &amp; Sepeda"/>
    <n v="2200000"/>
    <s v="Rp2.200.000"/>
    <n v="0.20833333333333334"/>
    <d v="1899-12-30T05:00:00"/>
    <s v="Kos Putri"/>
    <m/>
    <m/>
  </r>
  <r>
    <s v="Kost Griya Fikarda Pocin Sabana Room Beji Depok"/>
    <x v="1"/>
    <x v="16"/>
    <n v="9"/>
    <s v="3 x 3 meter"/>
    <s v="Tidak termasuk listrik"/>
    <s v=""/>
    <s v="N/A"/>
    <s v="3 x 3 meter; Tidak termasuk listrik; AC; Kasur; Meja; Lemari Baju; Ventilasi; Bantal; Cermin; Guling; Jendela; Kursi; K. Mandi Dalam; Kloset Duduk; Wastafel; Shower; Air panas; WiFi; Kulkas; Laundry; R. Makan; R. Santai; Dapur; CCTV; Kartu Akses; Pengurus Kos; Rooftop; Parkir Motor; Parkir Sepeda; Parkir Motor &amp; Sepeda"/>
    <n v="1950000"/>
    <s v="Rp1.950.000"/>
    <n v="0.17013888888888887"/>
    <d v="1899-12-30T04:05:00"/>
    <s v="Kos Putri"/>
    <m/>
    <s v="Diskon 179rb"/>
  </r>
  <r>
    <s v="Kost Griya Fikarda Pocin Stepa Room Beji Depok"/>
    <x v="1"/>
    <x v="16"/>
    <n v="16"/>
    <s v="4 x 4 meter"/>
    <s v="Tidak termasuk listrik"/>
    <s v=""/>
    <s v="N/A"/>
    <s v="4 x 4 meter; Tidak termasuk listrik; AC; Kasur; Meja; Meja Rias; TV; Lemari Baju; Ventilasi; Bantal; Cermin; Dapur Pribadi; K. Mandi Dalam; Kloset Duduk; Wastafel; Shower; Air panas; WiFi; Kulkas; Laundry; R. Makan; R. Santai; Dapur; CCTV; Kartu Akses; Pengurus Kos; Rooftop; Parkir Motor; Parkir Sepeda; Parkir Motor &amp; Sepeda"/>
    <n v="3500000"/>
    <s v="Rp3.500.000"/>
    <n v="0.20833333333333334"/>
    <d v="1899-12-30T05:00:00"/>
    <s v="Kos Putri"/>
    <m/>
    <s v="Diskon 270rb"/>
  </r>
  <r>
    <s v="Kost Griya Fikarda Summer Bronze Room Beji Depok"/>
    <x v="1"/>
    <x v="16"/>
    <n v="12"/>
    <s v="3 x 4 meter"/>
    <s v="Tidak termasuk listrik"/>
    <s v=""/>
    <s v="N/A"/>
    <s v="3 x 4 meter; Tidak termasuk listrik; AC; Kasur; Meja; Lemari Baju; Ventilasi; Bantal; Cermin; Guling; Jendela; Kursi; K. Mandi Dalam; Kloset Duduk; Wastafel; Shower; Air panas; WiFi; Kulkas; Laundry; Penjaga Kos; R. Tamu; R. Makan; R. Jemur; Mushola; R. Santai; Dapur; Parkir Mobil; Parkir Motor; Parkir Sepeda; Parkir Motor &amp; Sepeda"/>
    <n v="2000000"/>
    <s v="Rp2.000.000"/>
    <n v="0.20833333333333334"/>
    <d v="1899-12-30T05:00:00"/>
    <s v="Kos Putri"/>
    <m/>
    <s v="Diskon 179rb"/>
  </r>
  <r>
    <s v="Kost Griya Flamboyan Tipe A Kelapa Gading Jakarta Utara"/>
    <x v="4"/>
    <x v="79"/>
    <n v="12"/>
    <s v="3 x 4 meter"/>
    <s v="Tidak termasuk listrik"/>
    <s v=""/>
    <s v="N/A"/>
    <s v="3 x 4 meter; Tidak termasuk listrik; AC; Kasur; Lemari Baju; K. Mandi Dalam; Kloset Duduk; Shower; Air panas; WiFi; R. Cuci; Kulkas; Mesin Cuci; Laundry; R. Jemur; Dapur; Parkir Mobil; Parkir Motor; Parkir Sepeda"/>
    <n v="1900000"/>
    <s v="Rp1.900.000"/>
    <n v="0.17013888888888887"/>
    <d v="1899-12-30T04:05:00"/>
    <s v="Kos Campur"/>
    <m/>
    <s v="Diskon 168rb"/>
  </r>
  <r>
    <s v="Kost Griya Jasta Tipe A Beji Depok"/>
    <x v="1"/>
    <x v="15"/>
    <n v="22.200000000000003"/>
    <s v="6 x 3.7 meter"/>
    <s v="Tidak termasuk listrik"/>
    <s v=""/>
    <s v="N/A"/>
    <s v="6 x 3.7 meter; Tidak termasuk listrik; AC; Kasur; Meja; Lemari Baju; Kulkas; Bantal; Cermin; Jendela; Kursi; Wastafel; K. Mandi Dalam; Kloset Duduk; Shower; Air panas; WiFi; Laundry; Penjaga Kos; Dapur; Dispenser; CCTV; Parkir Mobil; Parkir Motor; Parkir Sepeda"/>
    <n v="2350000"/>
    <s v="Rp2.350.000"/>
    <n v="0"/>
    <m/>
    <s v="Kos Putra"/>
    <m/>
    <m/>
  </r>
  <r>
    <s v="Kost Griya Kenari Mas Bu Nina Cileungsi Bogor"/>
    <x v="0"/>
    <x v="128"/>
    <n v="12"/>
    <s v="3 x 4 meter"/>
    <s v="Termasuk listrik (implied)"/>
    <s v=""/>
    <s v="N/A"/>
    <s v="3 x 4 meter; Termasuk listrik; Kasur; Lemari Baju; Ventilasi; Bantal; Jendela; Kipas Angin; Kloset Jongkok; K. Mandi Luar; Ember mandi; Bak mandi; R. Jemur; Dapur; Jemuran; Jual Makanan; Pengurus Kos"/>
    <n v="500000"/>
    <s v="Rp500.000"/>
    <n v="0"/>
    <m/>
    <s v="Kos Putri"/>
    <m/>
    <m/>
  </r>
  <r>
    <s v="Kost Griya Laksana Beji Depok"/>
    <x v="1"/>
    <x v="15"/>
    <n v="12"/>
    <s v="3 x 4 meter"/>
    <s v="Tidak termasuk listrik"/>
    <s v=""/>
    <s v="N/A"/>
    <s v="3 x 4 meter; Tidak termasuk listrik; AC; Kasur; Meja; Lemari Baju; Kursi; Wastafel; K. Mandi Dalam; Kloset Duduk; Ember mandi; Shower; WiFi; Kulkas; Mesin Cuci; Laundry; Dapur; Dispenser; Parkir Mobil; Parkir Motor; Parkir Sepeda"/>
    <n v="2150000"/>
    <s v="Rp2.150.000"/>
    <n v="0.20833333333333334"/>
    <d v="1899-12-30T05:00:00"/>
    <s v="Kos Putri"/>
    <m/>
    <m/>
  </r>
  <r>
    <s v="Kost Griya Madani Ciangsana Tipe C Gunung Putri Bogor"/>
    <x v="0"/>
    <x v="95"/>
    <n v="6.6000000000000005"/>
    <s v="2.2 x 3 meter"/>
    <s v="Termasuk listrik (implied)"/>
    <s v=""/>
    <s v="N/A"/>
    <s v="2.2 x 3 meter; Termasuk listrik; Kasur; Lemari Baju; Ventilasi; Bantal; Jendela; Kipas Angin; Cermin; Kloset Duduk; K. Mandi Luar; Ember mandi; Wastafel; Shower; WiFi; Kulkas; R. Cuci; Mesin Cuci; R. Jemur; R. Makan; Dapur; Jemuran; Pengurus Kos; Rice Cooker; Parkir Mobil; Parkir Motor"/>
    <n v="975000"/>
    <s v="Rp975.000"/>
    <n v="0"/>
    <m/>
    <s v="Kos Putri"/>
    <m/>
    <m/>
  </r>
  <r>
    <s v="Kost Griya Mimi Residence Executive Cipayung Jakarta Timur"/>
    <x v="8"/>
    <x v="25"/>
    <n v="12"/>
    <s v="3 x 4 meter"/>
    <s v="Tidak termasuk listrik"/>
    <s v=""/>
    <s v="N/A"/>
    <s v="3 x 4 meter; Tidak termasuk listrik; AC; Kasur; Meja; Meja Rias; TV; Lemari Baju; Ventilasi; Bantal; Cermin; Cleaning service; K. Mandi Dalam; Kloset Duduk; Shower; Air panas; WiFi; Penjaga Kos; Laundry; R. Tamu; R. Jemur; R. Santai; CCTV; Kartu Akses; Pengurus Kos; Rooftop; Parkir Mobil; Parkir Motor; Parkir Sepeda; Parkir Motor &amp; Sepeda"/>
    <n v="2350000"/>
    <s v="Rp2.350.000"/>
    <n v="0"/>
    <m/>
    <s v="Kos Campur"/>
    <m/>
    <m/>
  </r>
  <r>
    <s v="Kost Griya Mumtaz Tipe Eksekutif Ciputat Timur Tangerang Selatan"/>
    <x v="2"/>
    <x v="8"/>
    <n v="18"/>
    <s v="3 x 6 meter"/>
    <s v="Tidak termasuk listrik"/>
    <s v=""/>
    <s v="N/A"/>
    <s v="3 x 6 meter; Tidak termasuk listrik; AC; Ventilasi; Jendela; Wastafel; K. Mandi Dalam; Kloset Duduk; Shower; R. Cuci; Mushola; R. Jemur; R. Makan; R. Santai; Dapur; Balcon; CCTV; Jemuran; R. Keluarga; Parkir Mobil; Parkir Motor; Parkir Sepeda"/>
    <n v="2200000"/>
    <s v="Rp2.200.000"/>
    <n v="0.17222222222222225"/>
    <d v="1899-12-30T04:08:00"/>
    <s v="Kos Campur"/>
    <m/>
    <m/>
  </r>
  <r>
    <s v="Kost Griya Musdalifah Penjaringan Jakarta Utara"/>
    <x v="4"/>
    <x v="12"/>
    <n v="12"/>
    <s v="3 x 4 meter"/>
    <s v="Tidak termasuk listrik"/>
    <s v=""/>
    <s v="N/A"/>
    <s v="3 x 4 meter; Tidak termasuk listrik; AC; Kasur; Lemari Baju; Ventilasi; Bantal; Cermin; Guling; Jendela; K. Mandi Dalam; Kloset Jongkok; Ember mandi; Wastafel; WiFi; Kulkas; Penjaga Kos; R. Jemur; R. Santai; Dapur; Balcon; Jemuran; Jual Makanan; Locker; Parkir Mobil; Parkir Motor; Parkir Sepeda"/>
    <n v="1500000"/>
    <s v="Rp1.500.000"/>
    <n v="4.7916666666666663E-2"/>
    <d v="1899-12-30T01:09:00"/>
    <s v="Kos Campur"/>
    <m/>
    <m/>
  </r>
  <r>
    <s v="Kost Griya Muslimah Kukusan Beji Depok"/>
    <x v="1"/>
    <x v="15"/>
    <n v="9"/>
    <s v="3 x 3 meter"/>
    <s v="Tidak termasuk listrik"/>
    <s v=""/>
    <s v="N/A"/>
    <s v="3 x 3 meter; Tidak termasuk listrik; AC; Kasur; Meja; Lemari Baju; Kursi; Wastafel; K. Mandi Dalam; Kloset Duduk; Shower; WiFi; Kulkas; R. Tamu; R. Makan; R. Jemur; R. Santai; Dapur; TV; Balcon; Parkir Mobil; Parkir Motor"/>
    <n v="1500000"/>
    <s v="Rp1.500.000"/>
    <n v="0.16944444444444443"/>
    <d v="1899-12-30T04:04:00"/>
    <s v="Kos Putri"/>
    <m/>
    <s v="Diskon 120rb"/>
  </r>
  <r>
    <s v="Kost Griya Navisha Cimanggis Depok"/>
    <x v="1"/>
    <x v="114"/>
    <n v="12"/>
    <s v="3 x 4 meter"/>
    <s v="Tidak termasuk listrik"/>
    <s v=""/>
    <s v="N/A"/>
    <s v="3 x 4 meter; Tidak termasuk listrik; AC; Kasur; Meja; Lemari Baju; Bantal; Cermin; Guling; Jendela; Kursi; Wastafel; K. Mandi Dalam; Kloset Duduk; Shower; Air panas; WiFi; Kulkas; R. Cuci; Mesin Cuci; Penjaga Kos; R. Tamu; R. Jemur; Dapur; Dispenser; Balcon; Parkir Motor"/>
    <n v="1800000"/>
    <s v="Rp1.800.000"/>
    <n v="0.17222222222222225"/>
    <d v="1899-12-30T04:08:00"/>
    <s v="Kos Putri"/>
    <m/>
    <s v="Diskon 160rb"/>
  </r>
  <r>
    <s v="Kost Griya Padma Tipe Single Pulo Gadung Jakarta Timur"/>
    <x v="8"/>
    <x v="94"/>
    <n v="12"/>
    <s v="3 x 4 meter"/>
    <s v="Tidak termasuk listrik"/>
    <s v=""/>
    <s v="N/A"/>
    <s v="3 x 4 meter; Tidak termasuk listrik; AC; Kasur; Meja; Lemari Baju; Bantal; Guling; Jendela; K. Mandi Dalam; Kloset Duduk; Shower; WiFi; Kulkas; R. Cuci; Penjaga Kos; R. Tamu; Mesin Cuci; R. Jemur; R. Santai; Dapur; Dispenser; Parkir Mobil; Parkir Motor; Parkir Sepeda"/>
    <n v="1600000"/>
    <s v="Rp1.600.000"/>
    <n v="0"/>
    <m/>
    <s v="Kos Campur"/>
    <m/>
    <m/>
  </r>
  <r>
    <s v="Kost Griya Pratama Tipe B Tambun Selatan Bekasi"/>
    <x v="7"/>
    <x v="101"/>
    <n v="9"/>
    <s v="3 x 3 meter"/>
    <s v="Tidak termasuk listrik"/>
    <s v=""/>
    <s v="N/A"/>
    <s v="3 x 3 meter; Tidak termasuk listrik; AC; Dapur Pribadi; Jendela; K. Mandi Dalam; Kloset Jongkok; Wastafel; Ember mandi; WiFi; R. Tamu; R. Jemur; Mushola; Dapur; R. Keluarga; Jemuran; Parkir Mobil; Parkir Motor; Parkir Sepeda"/>
    <n v="860000"/>
    <s v="Rp860.000"/>
    <n v="0"/>
    <m/>
    <s v="Kos Campur"/>
    <m/>
    <m/>
  </r>
  <r>
    <s v="Kost Griya Shafir Kukusan UI Beji Depok"/>
    <x v="1"/>
    <x v="15"/>
    <n v="12"/>
    <s v="3 x 4 meter"/>
    <s v="Tidak termasuk listrik"/>
    <s v=""/>
    <s v="N/A"/>
    <s v="3 x 4 meter; Tidak termasuk listrik; AC; Kasur; Meja; Lemari Baju; Kursi; K. Mandi Dalam; Kloset Duduk; Shower; Air panas; WiFi; R. Cuci; Kulkas; R. Tamu; Mesin Cuci; Penjaga Kos; Laundry; R. Makan; R. Jemur; Mushola; Parkir Motor"/>
    <n v="1700000"/>
    <s v="Rp1.700.000"/>
    <n v="0.17013888888888887"/>
    <d v="1899-12-30T04:05:00"/>
    <s v="Kos Putri"/>
    <m/>
    <s v="Diskon 179rb"/>
  </r>
  <r>
    <s v="Kost Griya Sribudi 1 Tipe A Pasar Rebo Jakarta Timur"/>
    <x v="8"/>
    <x v="123"/>
    <n v="20"/>
    <s v="4 x 5 meter"/>
    <s v="Tidak termasuk listrik"/>
    <s v=""/>
    <s v="N/A"/>
    <s v="4 x 5 meter; Tidak termasuk listrik; Kasur; Lemari Baju; Ventilasi; Wastafel; Guling; Jendela; K. Mandi Dalam; Kloset Jongkok; Ember mandi; Bak mandi; WiFi; Penjaga Kos; Balcon; CCTV; Pengurus Kos; Jemuran; Parkir Motor; Parkir Sepeda"/>
    <n v="1020000"/>
    <s v="Rp1.020.000"/>
    <n v="0"/>
    <m/>
    <s v="Kos Campur"/>
    <m/>
    <m/>
  </r>
  <r>
    <s v="Kost Griya Tosca Tipe A Cikarang Selatan Bekasi"/>
    <x v="7"/>
    <x v="27"/>
    <n v="16"/>
    <s v="4 x 4 meter"/>
    <s v="Termasuk listrik (implied)"/>
    <s v=""/>
    <s v="N/A"/>
    <s v="4 x 4 meter; Termasuk listrik; Kasur; Lemari Baju; Ventilasi; Kursi; Bantal; Jendela; K. Mandi Dalam; Kloset Jongkok; Ember mandi; Shower; WiFi; R. Cuci; Kulkas; R. Tamu; Penjaga Kos; R. Jemur; R. Santai; Dapur; Dispenser; TV"/>
    <n v="960000"/>
    <s v="Rp960.000"/>
    <n v="0"/>
    <m/>
    <s v="Kos Putra"/>
    <m/>
    <m/>
  </r>
  <r>
    <s v="Kost Griya Widara Tipe AC Pondok Aren Tangerang Selatan"/>
    <x v="2"/>
    <x v="2"/>
    <n v="12"/>
    <s v="3 x 4 meter"/>
    <s v="Termasuk listrik (implied)"/>
    <s v=""/>
    <s v="N/A"/>
    <s v="3 x 4 meter; Termasuk listrik; AC; Kasur; Meja; Lemari Baju; Ventilasi; Bantal; Cermin; Guling; Jendela; K. Mandi Dalam; Kloset Duduk; Shower; WiFi; Kulkas; Penjaga Kos; R. Tamu; R. Jemur; Dapur; Dispenser; Balcon; Jemuran; Pengurus Kos; Parkir Motor; Parkir Sepeda"/>
    <n v="1400000"/>
    <s v="Rp1.400.000"/>
    <n v="0.17291666666666669"/>
    <d v="1899-12-30T04:09:00"/>
    <s v="Kos Putri"/>
    <m/>
    <m/>
  </r>
  <r>
    <s v="Kost Griyakoe Tipe A Cipondoh Tangerang"/>
    <x v="6"/>
    <x v="98"/>
    <n v="12"/>
    <s v="3 x 4 meter"/>
    <s v="Tidak termasuk listrik"/>
    <s v=""/>
    <s v="N/A"/>
    <s v="3 x 4 meter; Tidak termasuk listrik; AC; Kasur; Meja; Lemari Baju; Ventilasi; Bantal; Cermin; Cleaning service; Dapur Pribadi; Guling; K. Mandi Dalam; Kloset Duduk; Kloset Jongkok; Wastafel; Shower; WiFi; Kulkas; R. Cuci; Penjaga Kos; R. Tamu; R. Jemur; R. Makan; R. Santai; Dapur; CCTV; Parkir Mobil; Parkir Motor; Parkir Sepeda"/>
    <n v="1000000"/>
    <s v="Rp1.000.000"/>
    <n v="8.9583333333333334E-2"/>
    <d v="1899-12-30T02:09:00"/>
    <s v="Kos Campur"/>
    <m/>
    <m/>
  </r>
  <r>
    <s v="Kost Grogol Abdi Tanjung Duren Residence Tipe B Grogol petamburan Jakarta Barat"/>
    <x v="3"/>
    <x v="82"/>
    <n v="6"/>
    <s v="2 x 3 meter"/>
    <s v="Tidak termasuk listrik"/>
    <s v=""/>
    <s v="N/A"/>
    <s v="2 x 3 meter; Tidak termasuk listrik; AC; Kasur; Lemari Baju; Ventilasi; Bantal; Cermin; Guling; Jendela; Kloset Duduk; K. Mandi Luar; Shower; WiFi; Kulkas; R. Cuci; Laundry; Penjaga Kos; R. Jemur; R. Makan; Dapur; Dispenser; Balcon; Parkir Motor"/>
    <n v="1490000"/>
    <s v="Rp1.490.000"/>
    <n v="0.17083333333333331"/>
    <d v="1899-12-30T04:06:00"/>
    <s v="Kos Campur"/>
    <m/>
    <s v="Diskon 74rb"/>
  </r>
  <r>
    <s v="Kost Growing House Jatijajar Tipe Standart A Tapos Depok"/>
    <x v="1"/>
    <x v="153"/>
    <n v="5"/>
    <s v="2.5 x 2 meter"/>
    <s v="Tidak termasuk listrik"/>
    <s v=""/>
    <s v="N/A"/>
    <s v="2.5 x 2 meter; Tidak termasuk listrik; Kasur; Meja; Lemari Baju; Ventilasi; Bantal; Cermin; Jendela; Kursi; Kloset Duduk; K. Mandi Luar; Wastafel; Ember mandi; Shower; WiFi; Kulkas; R. Cuci; R. Tamu; R. Jemur; R. Makan; R. Santai; Dapur; Dispenser; Jemuran; Parkir Motor; Parkir Sepeda"/>
    <n v="900000"/>
    <s v="Rp900.000"/>
    <n v="0.17222222222222225"/>
    <d v="1899-12-30T04:08:00"/>
    <s v="Kos Putri"/>
    <m/>
    <m/>
  </r>
  <r>
    <s v="Kost Grya Alisha 2 Tipe A Beji Depok"/>
    <x v="1"/>
    <x v="15"/>
    <n v="9"/>
    <s v="3 x 3 meter"/>
    <s v="Termasuk listrik (implied)"/>
    <s v=""/>
    <s v="N/A"/>
    <s v="3 x 3 meter; Termasuk listrik; AC; Kasur; Meja; Lemari Baju; Kursi; Cleaning service; K. Mandi Dalam; Kloset Duduk; K. Mandi Luar; Shower; Kulkas; R. Tamu; Laundry; R. Makan; Dapur; Dispenser; TV; Taman; Parkir Mobil; Parkir Motor"/>
    <n v="1650000"/>
    <s v="Rp1.650.000"/>
    <n v="0.17013888888888887"/>
    <d v="1899-12-30T04:05:00"/>
    <s v="Kos Putri"/>
    <m/>
    <s v="Diskon 179rb"/>
  </r>
  <r>
    <s v="Kost Gs Tipe A Tanjung Pandan Belitung"/>
    <x v="7"/>
    <x v="154"/>
    <n v="12"/>
    <s v="3 x 4 meter"/>
    <s v="Tidak termasuk listrik"/>
    <s v=""/>
    <s v="N/A"/>
    <s v="3 x 4 meter; Tidak termasuk listrik; Kasur; Lemari Baju; Bantal; Dapur Pribadi; Guling; Jendela; K. Mandi Dalam; Kloset Duduk; Dapur; Parkir Mobil; Parkir Motor &amp; Sepeda"/>
    <n v="600000"/>
    <s v="Rp600.000"/>
    <n v="0"/>
    <m/>
    <s v="Kos Campur"/>
    <m/>
    <m/>
  </r>
  <r>
    <s v="Kost Gunung Sahari Sawah Besar Jakarta Pusat"/>
    <x v="9"/>
    <x v="59"/>
    <n v="9"/>
    <s v="3 x 3 meter"/>
    <s v="Termasuk listrik (implied)"/>
    <s v=""/>
    <s v="N/A"/>
    <s v="3 x 3 meter; Termasuk listrik; Kasur; Lemari Baju; Kipas Angin; Kloset Jongkok; K. Mandi Luar; Shower; Kulkas; R. Tamu; Dapur; TV; Pengurus Kos; Jemuran; Parkir Motor"/>
    <n v="950000"/>
    <s v="Rp950.000"/>
    <n v="0.20833333333333334"/>
    <d v="1899-12-30T05:00:00"/>
    <s v="Kos Putri"/>
    <m/>
    <m/>
  </r>
  <r>
    <s v="Kost GWK Pondok Ungu Permai Tipe A Babelan Bekasi Utara"/>
    <x v="7"/>
    <x v="155"/>
    <n v="12"/>
    <s v="3 x 4 meter"/>
    <s v="Termasuk listrik (implied)"/>
    <s v=""/>
    <s v="N/A"/>
    <s v="3 x 4 meter; Termasuk listrik; Kasur; Lemari Baju; Ventilasi; Kipas Angin; Bantal; Guling; Jendela; K. Mandi Dalam; Kloset Jongkok; Ember mandi; WiFi; Kulkas; R. Cuci; R. Tamu; R. Makan; R. Jemur; Dapur; Balcon; CCTV; Jemuran; Parkir Motor; Parkir Sepeda"/>
    <n v="900000"/>
    <s v="Rp900.000"/>
    <n v="0.17222222222222225"/>
    <d v="1899-12-30T04:08:00"/>
    <s v="Kos Putri"/>
    <m/>
    <m/>
  </r>
  <r>
    <s v="Kost GWK Tipe B Babelan Bekasi"/>
    <x v="7"/>
    <x v="155"/>
    <n v="27"/>
    <s v="3 x 9 meter"/>
    <s v="Tidak termasuk listrik"/>
    <s v=""/>
    <s v="N/A"/>
    <s v="3 x 9 meter; Tidak termasuk listrik; AC; Dapur Pribadi; K. Mandi Dalam; Kloset Jongkok; Parkir Motor"/>
    <n v="700000"/>
    <s v="Rp700.000"/>
    <n v="0"/>
    <m/>
    <s v="Kos Campur"/>
    <m/>
    <m/>
  </r>
  <r>
    <s v="Kost H Alex Tipe A Bojonggede Bogor"/>
    <x v="0"/>
    <x v="148"/>
    <n v="6.25"/>
    <s v="2.5 x 2.5 meter"/>
    <s v="Tidak termasuk listrik"/>
    <s v=""/>
    <s v="N/A"/>
    <s v="2.5 x 2.5 meter; Tidak termasuk listrik; Kasur; Jendela; Wastafel; Kloset Jongkok; K. Mandi Luar; Ember mandi; Bak mandi; Penjaga Kos; R. Jemur; Dapur; Jemuran; Jual Makanan; Pengurus Kos; R. Keluarga; Parkir Mobil; Parkir Motor; Parkir Sepeda; Parkir Motor &amp; Sepeda"/>
    <n v="600000"/>
    <s v="Rp600.000"/>
    <n v="0"/>
    <m/>
    <s v="Kos Campur"/>
    <m/>
    <m/>
  </r>
  <r>
    <s v="Kost H Alex Tipe B Bojonggede Bogor"/>
    <x v="0"/>
    <x v="148"/>
    <n v="6.25"/>
    <s v="2.5 x 2.5 meter"/>
    <s v="Tidak termasuk listrik"/>
    <s v=""/>
    <s v="N/A"/>
    <s v="2.5 x 2.5 meter; Tidak termasuk listrik; Jendela; Wastafel; Kloset Jongkok; K. Mandi Luar; Penjaga Kos; R. Jemur; Jemuran; Jual Makanan; Pengurus Kos; R. Keluarga; Parkir Mobil; Parkir Motor; Parkir Sepeda; Parkir Motor &amp; Sepeda"/>
    <n v="750000"/>
    <s v="Rp750.000"/>
    <n v="0"/>
    <m/>
    <s v="Kos Campur"/>
    <m/>
    <m/>
  </r>
  <r>
    <s v="Kost H Ayyub Tipe A Mampang Prapatan Jakarta Selatan"/>
    <x v="5"/>
    <x v="67"/>
    <n v="12"/>
    <s v="3 x 4 meter"/>
    <s v="Tidak termasuk listrik"/>
    <s v=""/>
    <s v="N/A"/>
    <s v="3 x 4 meter; Tidak termasuk listrik; Lemari Baju; Ventilasi; Dapur Pribadi; Jendela; K. Mandi Dalam; Kloset Jongkok; Ember mandi; Shower; WiFi; Laundry; Dapur; CCTV; Jemuran; Gazebo; Parkir Motor"/>
    <n v="1100000"/>
    <s v="Rp1.100.000"/>
    <n v="0"/>
    <m/>
    <s v="Kos Campur"/>
    <m/>
    <m/>
  </r>
  <r>
    <s v="Kost H Mahmud Babakan Madang Bogor"/>
    <x v="0"/>
    <x v="0"/>
    <n v="9"/>
    <s v="3 x 3 meter"/>
    <s v="Tidak termasuk listrik"/>
    <s v=""/>
    <s v="N/A"/>
    <s v="3 x 3 meter; Tidak termasuk listrik; AC; Kasur; Meja; TV; Lemari Baju; Ventilasi; Bantal; Cermin; Guling; Jendela; K. Mandi Dalam; Kloset Duduk; Shower; Air panas; WiFi; Kulkas; R. Cuci; Laundry; Mesin Cuci; Penjaga Kos; R. Tamu; Mushola; R. Jemur; R. Makan; Parkir Motor &amp; Sepeda"/>
    <n v="1700000"/>
    <s v="Rp1.700.000"/>
    <n v="0"/>
    <m/>
    <s v="Kos Putra"/>
    <m/>
    <m/>
  </r>
  <r>
    <s v="Kost H Muh Ashyari Executive Penjaringan Jakarta Utara"/>
    <x v="4"/>
    <x v="12"/>
    <n v="9"/>
    <s v="3 x 3 meter"/>
    <s v="Tidak termasuk listrik"/>
    <s v=""/>
    <s v="N/A"/>
    <s v="3 x 3 meter; Tidak termasuk listrik; AC; Kasur; Meja; Lemari Baju; Ventilasi; Jendela; Kipas Angin; Kursi; K. Mandi Dalam; Kloset Jongkok; Ember mandi; WiFi; Laundry; R. Tamu; R. Jemur; R. Makan; R. Santai; Dapur; Balcon; CCTV; Jemuran; Parkir Mobil; Parkir Motor"/>
    <n v="1600000"/>
    <s v="Rp1.600.000"/>
    <n v="0"/>
    <m/>
    <s v="Kos Campur"/>
    <m/>
    <m/>
  </r>
  <r>
    <s v="Kost H2 Kelapa Gading Jakarta Utara"/>
    <x v="4"/>
    <x v="111"/>
    <n v="12"/>
    <s v="3 x 4 meter"/>
    <s v="Tidak termasuk listrik"/>
    <s v=""/>
    <s v="N/A"/>
    <s v="3 x 4 meter; Tidak termasuk listrik; AC; Kasur; Lemari Baju; Bantal; Guling; Jendela; Kipas Angin; Kloset Duduk; Kloset Jongkok; K. Mandi Luar; Shower; Penjaga Kos; R. Jemur; Dapur; Jemuran; Parkir Mobil; Parkir Motor; Parkir Sepeda"/>
    <n v="1000000"/>
    <s v="Rp1.000.000"/>
    <n v="0.17291666666666669"/>
    <d v="1899-12-30T04:09:00"/>
    <s v="Kos Campur"/>
    <m/>
    <m/>
  </r>
  <r>
    <s v="Kost Habib Cibungbulang Bogor"/>
    <x v="0"/>
    <x v="120"/>
    <n v="72"/>
    <s v="12 x 6 meter"/>
    <s v="Tidak termasuk listrik"/>
    <s v=""/>
    <s v="N/A"/>
    <s v="12 x 6 meter; Tidak termasuk listrik; Ventilasi; Wastafel; Dapur Pribadi; Jendela; K. Mandi Dalam; Kloset Jongkok; Ember mandi; R. Cuci; R. Tamu; R. Makan; R. Jemur; Mushola; R. Santai; Dapur; Taman; R. Keluarga; Jemuran; Parkir Mobil; Parkir Motor; Parkir Sepeda"/>
    <n v="1000000"/>
    <s v="Rp1.000.000"/>
    <n v="0"/>
    <m/>
    <s v="Kos Campur"/>
    <m/>
    <m/>
  </r>
  <r>
    <s v="Kost Haji Aan 2 Tipe B Penjaringan Jakarta Utara"/>
    <x v="4"/>
    <x v="156"/>
    <n v="12"/>
    <s v="3 x 4 meter"/>
    <s v="Tidak termasuk listrik"/>
    <s v=""/>
    <s v="N/A"/>
    <s v="3 x 4 meter; Tidak termasuk listrik; AC; Kasur; Lemari Baju; Ventilasi; Jendela; Kipas Angin; TV Kabel; K. Mandi Dalam; Kloset Jongkok; Ember mandi; Bak mandi; WiFi; Laundry; Penjaga Kos; R. Tamu; R. Jemur; R. Santai; Balcon; CCTV; Jemuran; Jual Makanan; Parkir Mobil; Parkir Motor; Parkir Sepeda"/>
    <n v="1350000"/>
    <s v="Rp1.350.000"/>
    <n v="8.9583333333333334E-2"/>
    <d v="1899-12-30T02:09:00"/>
    <s v="Kos Campur"/>
    <m/>
    <m/>
  </r>
  <r>
    <s v="Kost Haji Agus Tanjung Priok Jakarta Utara"/>
    <x v="4"/>
    <x v="10"/>
    <n v="12.25"/>
    <s v="3.5 x 3.5 meter"/>
    <s v="Termasuk listrik (implied)"/>
    <s v=""/>
    <s v="N/A"/>
    <s v="3.5 x 3.5 meter; Termasuk listrik; Kasur; Lemari Baju; K. Mandi Dalam; Kloset Jongkok; Ember mandi; WiFi; R. Jemur; Dapur; Balcon; Parkir Motor; Parkir Sepeda"/>
    <n v="900000"/>
    <s v="Rp900.000"/>
    <n v="0.17083333333333331"/>
    <d v="1899-12-30T04:06:00"/>
    <s v="Kos Campur"/>
    <m/>
    <m/>
  </r>
  <r>
    <s v="Kost Haji Bu Yanni Penjaringan Jakarta Utara"/>
    <x v="4"/>
    <x v="12"/>
    <n v="9"/>
    <s v="3 x 3 meter"/>
    <s v="Tidak termasuk listrik"/>
    <s v=""/>
    <s v="N/A"/>
    <s v="3 x 3 meter; Tidak termasuk listrik; Kasur; Meja; TV; Lemari Baju; Ventilasi; Kipas Angin; TV Kabel; K. Mandi Dalam; Kloset Jongkok; Ember mandi; R. Cuci; R. Tamu; R. Jemur; R. Santai; Dapur; Locker; Taman; Balcon; Parkir Motor"/>
    <n v="1000000"/>
    <s v="Rp1.000.000"/>
    <n v="0.17083333333333331"/>
    <d v="1899-12-30T04:06:00"/>
    <s v="Kos Campur"/>
    <m/>
    <m/>
  </r>
  <r>
    <s v="Kost Haji Kasmir 2 Tipe A Ciampea Bogor"/>
    <x v="0"/>
    <x v="117"/>
    <n v="12"/>
    <s v="3 x 4 meter"/>
    <s v="Tidak termasuk listrik"/>
    <s v=""/>
    <s v="N/A"/>
    <s v="3 x 4 meter; Tidak termasuk listrik; Kasur; Meja; Lemari Baju; Ventilasi; Bantal; Jendela; Kipas Angin; Cermin; Guling; Kloset Jongkok; Bak mandi; R. Tamu; R. Jemur; R. Santai; Dapur; K. Mandi Luar; Parkir Motor"/>
    <n v="600000"/>
    <s v="Rp600.000"/>
    <n v="0.17013888888888887"/>
    <d v="1899-12-30T04:05:00"/>
    <s v="Kos Putri"/>
    <m/>
    <m/>
  </r>
  <r>
    <s v="Kost Haji Kasmir 2 Tipe B Ciampea Bogor"/>
    <x v="0"/>
    <x v="117"/>
    <n v="4"/>
    <s v="2 x 2 meter"/>
    <s v="Tidak termasuk listrik"/>
    <s v=""/>
    <s v="N/A"/>
    <s v="2 x 2 meter; Tidak termasuk listrik; Kasur; Meja; Lemari Baju; Ventilasi; Bantal; Jendela; Kipas Angin; Wastafel; Cermin; Guling; Kloset Jongkok; K. Mandi Luar; Bak mandi; R. Tamu; R. Jemur; R. Santai; Dapur; Jemuran; Parkir Motor"/>
    <n v="450000"/>
    <s v="Rp450.000"/>
    <n v="0.17013888888888887"/>
    <d v="1899-12-30T04:05:00"/>
    <s v="Kos Putri"/>
    <m/>
    <m/>
  </r>
  <r>
    <s v="Kost Haji Sahar V3 Larangan Tangerang"/>
    <x v="6"/>
    <x v="87"/>
    <n v="9"/>
    <s v="3 x 3 meter"/>
    <s v="Tidak termasuk listrik"/>
    <s v=""/>
    <s v="N/A"/>
    <s v="3 x 3 meter; Tidak termasuk listrik; Kasur; Lemari Baju; Bantal; Jendela; K. Mandi Dalam; Kloset Duduk; Ember mandi; WiFi; Penjaga Kos; CCTV; Jemuran; Pengurus Kos; Parkir Motor &amp; Sepeda"/>
    <n v="750000"/>
    <s v="Rp750.000"/>
    <n v="0"/>
    <m/>
    <s v="Kos Campur"/>
    <m/>
    <m/>
  </r>
  <r>
    <s v="Kost Haji Ujang Tipe A Pinang Tangerang"/>
    <x v="6"/>
    <x v="105"/>
    <n v="9"/>
    <s v="3 x 3 meter"/>
    <s v="Termasuk listrik (implied)"/>
    <s v=""/>
    <s v="N/A"/>
    <s v="3 x 3 meter; Termasuk listrik; Kasur; Kipas Angin; Bantal; Jendela; Kloset Jongkok; K. Mandi Luar; Ember mandi; Shower; WiFi; R. Cuci; R. Tamu; R. Jemur; R. Santai; Balcon; Jual Makanan; Pengurus Kos; Jemuran; Parkir Motor; Parkir Sepeda"/>
    <n v="600000"/>
    <s v="Rp600.000"/>
    <n v="0"/>
    <m/>
    <s v="Kos Putra"/>
    <m/>
    <m/>
  </r>
  <r>
    <s v="Kost Haji Umar Tipe A1 Cileungsi Bogor"/>
    <x v="0"/>
    <x v="128"/>
    <n v="9"/>
    <s v="3 x 3 meter"/>
    <s v="Termasuk listrik (implied)"/>
    <s v=""/>
    <s v="N/A"/>
    <s v="3 x 3 meter; Termasuk listrik; Kasur; Lemari Baju; Bantal; Dapur Pribadi; Jendela; Wastafel; K. Mandi Dalam; Kloset Jongkok; Ember mandi; WiFi; Penjaga Kos; Dapur; Balcon; CCTV; Jemuran; Jual Makanan; Pengurus Kos; Parkir Motor; Parkir Sepeda; Parkir Motor &amp; Sepeda"/>
    <n v="650000"/>
    <s v="Rp650.000"/>
    <n v="0"/>
    <m/>
    <s v="Kos Campur"/>
    <m/>
    <m/>
  </r>
  <r>
    <s v="Kost Hanais Tangerang Tangerang"/>
    <x v="6"/>
    <x v="90"/>
    <n v="7.68"/>
    <s v="3.2 x 2.4 meter"/>
    <s v="Tidak termasuk listrik"/>
    <s v=""/>
    <s v="N/A"/>
    <s v="3.2 x 2.4 meter; Tidak termasuk listrik; Kasur; Lemari Baju; Ventilasi; Cermin; Jendela; K. Mandi Dalam; Kloset Jongkok; Ember mandi; R. Jemur; Balcon; CCTV; Jemuran; Pengurus Kos; R. Keluarga; Parkir Motor; Parkir Sepeda"/>
    <n v="700000"/>
    <s v="Rp700.000"/>
    <n v="0.16944444444444443"/>
    <d v="1899-12-30T04:04:00"/>
    <s v="Kos Putri"/>
    <m/>
    <m/>
  </r>
  <r>
    <s v="Kost Hanaqa Pamulang Tangerang Selatan"/>
    <x v="2"/>
    <x v="54"/>
    <n v="9"/>
    <s v="3 x 3 meter"/>
    <s v="Tidak termasuk listrik"/>
    <s v=""/>
    <s v="N/A"/>
    <s v="3 x 3 meter; Tidak termasuk listrik; AC; Kasur; Meja Rias; Lemari Baju; Ventilasi; Bantal; Cermin; Jendela; K. Mandi Dalam; Kloset Duduk; K. Mandi Luar; Shower; WiFi; Kulkas; Penjaga Kos; R. Jemur; R. Makan; Dapur; Dispenser; Jemuran; Parkir Mobil; Parkir Motor"/>
    <n v="1300000"/>
    <s v="Rp1.300.000"/>
    <n v="0"/>
    <m/>
    <s v="Kos Putri"/>
    <m/>
    <m/>
  </r>
  <r>
    <s v="Kost Hanimun Lippo VIP Cibodas Tangerang"/>
    <x v="6"/>
    <x v="129"/>
    <n v="9"/>
    <s v="3 x 3 meter"/>
    <s v="Tidak termasuk listrik"/>
    <s v=""/>
    <s v="N/A"/>
    <s v="3 x 3 meter; Tidak termasuk listrik; AC; Kasur; Meja; Lemari Baju; Bantal; Cermin; Guling; Kursi; Jendela; K. Mandi Dalam; Kloset Duduk; Shower; Air panas; WiFi; Penjaga Kos; R. Jemur; R. Santai; CCTV; Jemuran; Jual Makanan; Pengurus Kos; Parkir Mobil; Parkir Motor; Parkir Sepeda"/>
    <n v="1475000"/>
    <s v="Rp1.475.000"/>
    <n v="0.17222222222222225"/>
    <d v="1899-12-30T04:08:00"/>
    <s v="Kos Campur"/>
    <m/>
    <s v="Diskon 150rb"/>
  </r>
  <r>
    <s v="Kost Hani's House Cinere Depok"/>
    <x v="1"/>
    <x v="1"/>
    <n v="12"/>
    <s v="3 x 4 meter"/>
    <s v="Tidak termasuk listrik"/>
    <s v=""/>
    <s v="N/A"/>
    <s v="3 x 4 meter; Tidak termasuk listrik; Kasur; Lemari Baju; Ventilasi; Bantal; Jendela; K. Mandi Dalam; Kloset Duduk; Shower; WiFi; R. Cuci; Penjaga Kos; R. Jemur; Pengurus Kos; Jemuran; Parkir Motor; Parkir Sepeda"/>
    <n v="1500000"/>
    <s v="Rp1.500.000"/>
    <n v="0.20833333333333334"/>
    <d v="1899-12-30T05:00:00"/>
    <s v="Kos Campur"/>
    <m/>
    <m/>
  </r>
  <r>
    <s v="Kost Hans Sungai Bambu Tanjung Priok Jakarta Utara"/>
    <x v="4"/>
    <x v="5"/>
    <n v="9"/>
    <s v="3 x 3 meter"/>
    <s v="Termasuk listrik (implied)"/>
    <s v=""/>
    <s v="N/A"/>
    <s v="3 x 3 meter; Termasuk listrik; Kasur; TV; Kipas Angin; TV Kabel; Kloset Duduk; K. Mandi Luar; Wastafel; Ember mandi; Shower; WiFi; R. Cuci; Kulkas; Laundry; R. Jemur; Dapur; Parkir Motor"/>
    <n v="850000"/>
    <s v="Rp850.000"/>
    <n v="0"/>
    <m/>
    <s v="Kos Campur"/>
    <m/>
    <m/>
  </r>
  <r>
    <s v="Kost Happy 22 Basic Batuceper Tangerang"/>
    <x v="6"/>
    <x v="157"/>
    <n v="6"/>
    <s v="2 x 3 meter"/>
    <s v="Termasuk listrik (implied)"/>
    <s v=""/>
    <s v="N/A"/>
    <s v="2 x 3 meter; Termasuk listrik; Kasur; Meja; Meja Rias; Lemari Baju; Ventilasi; Kipas Angin; Jendela; Cermin; Sofa; Kloset Duduk; K. Mandi Luar; Ember mandi; Wastafel; Shower; WiFi; Kulkas; R. Cuci; Mesin Cuci; R. Tamu; R. Jemur; R. Makan; R. Santai; Dispenser; Dapur; Parkir Mobil; Parkir Motor; Parkir Sepeda; Parkir Motor &amp; Sepeda"/>
    <n v="895000"/>
    <s v="Rp895.000"/>
    <n v="0.20833333333333334"/>
    <d v="1899-12-30T05:00:00"/>
    <s v="Kos Putri"/>
    <m/>
    <m/>
  </r>
  <r>
    <s v="Kost Happy 22 Ekonomis Batuceper Tangerang"/>
    <x v="6"/>
    <x v="157"/>
    <n v="6"/>
    <s v="2 x 3 meter"/>
    <s v="Termasuk listrik (implied)"/>
    <s v=""/>
    <s v="N/A"/>
    <s v="2 x 3 meter; Termasuk listrik; Kasur; Meja; Dispenser; Kulkas; Lemari Baju; Ventilasi; Kipas Angin; Meja makan; Bantal; Kursi; Kloset Duduk; K. Mandi Luar; Ember mandi; Wastafel; Shower; Air panas; WiFi; R. Cuci; Mesin Cuci; Laundry; R. Jemur; R. Makan; R. Santai; Dapur; Jemuran; Parkir Mobil; Parkir Motor; Parkir Sepeda; Parkir Motor &amp; Sepeda"/>
    <n v="900000"/>
    <s v="Rp900.000"/>
    <n v="0"/>
    <m/>
    <s v="Kos Campur"/>
    <m/>
    <m/>
  </r>
  <r>
    <s v="Kost Hardika Pademangan Jakarta Utara"/>
    <x v="4"/>
    <x v="158"/>
    <n v="12"/>
    <s v="3 x 4 meter"/>
    <s v="Tidak termasuk listrik"/>
    <s v=""/>
    <s v="N/A"/>
    <s v="3 x 4 meter; Tidak termasuk listrik; AC; Kasur; Meja; Lemari Baju; Bantal; Kursi; K. Mandi Dalam; Kloset Duduk; Shower; WiFi; Penjaga Kos; Dapur; CCTV; Jemuran; Pengurus Kos; Parkir Mobil; Parkir Motor; Parkir Sepeda; Parkir Motor &amp; Sepeda"/>
    <n v="1600000"/>
    <s v="Rp1.600.000"/>
    <n v="0"/>
    <m/>
    <s v="Kos Campur"/>
    <m/>
    <m/>
  </r>
  <r>
    <s v="Kost Harpa Place Tipe A Kelapa Gading Jakarta Utara"/>
    <x v="4"/>
    <x v="111"/>
    <n v="12"/>
    <s v="3 x 4 meter"/>
    <s v="Tidak termasuk listrik"/>
    <s v=""/>
    <s v="N/A"/>
    <s v="3 x 4 meter; Tidak termasuk listrik; AC; Kasur; Meja; TV; Lemari Baju; Ventilasi; Kursi; Bantal; Cermin; Guling; K. Mandi Dalam; Kloset Duduk; Shower; Air panas; WiFi; R. Cuci; Kulkas; R. Makan; R. Jemur; R. Santai; Dapur; Dispenser; Balcon; Parkir Mobil; Parkir Motor; Parkir Sepeda"/>
    <n v="2400000"/>
    <s v="Rp2.400.000"/>
    <n v="0.20833333333333334"/>
    <d v="1899-12-30T05:00:00"/>
    <s v="Kos Campur"/>
    <m/>
    <m/>
  </r>
  <r>
    <s v="Kost Harpa Place Tipe C Kelapa Gading Jakarta Utara"/>
    <x v="4"/>
    <x v="111"/>
    <n v="9"/>
    <s v="3 x 3 meter"/>
    <s v="Tidak termasuk listrik"/>
    <s v=""/>
    <s v="N/A"/>
    <s v="3 x 3 meter; Tidak termasuk listrik; AC; Kasur; Meja; TV; Lemari Baju; Bantal; Cermin; Guling; Jendela; Meja makan; Kloset Duduk; K. Mandi Luar; Shower; Air panas; WiFi; R. Cuci; Kulkas; R. Makan; R. Jemur; R. Santai; Dapur; Dispenser; Balcon; Parkir Mobil; Parkir Motor; Parkir Sepeda"/>
    <n v="2000000"/>
    <s v="Rp2.000.000"/>
    <n v="0.16666666666666666"/>
    <d v="1899-12-30T04:00:00"/>
    <s v="Kos Campur"/>
    <m/>
    <m/>
  </r>
  <r>
    <s v="Kost Harun MP Residence Tipe B Kebon Jeruk Jakarta Barat"/>
    <x v="3"/>
    <x v="14"/>
    <n v="7.5"/>
    <s v="2.5 x 3 meter"/>
    <s v="Tidak termasuk listrik"/>
    <s v=""/>
    <s v="N/A"/>
    <s v="2.5 x 3 meter; Tidak termasuk listrik; AC; Kasur; Meja; Lemari Baju; Ventilasi; Bantal; Cermin; Guling; Kursi; Wastafel; K. Mandi Dalam; Kloset Duduk; Shower; Air panas; WiFi; Kulkas; R. Cuci; Laundry; Mesin Cuci; Penjaga Kos; R. Tamu; R. Jemur; Dapur; Balcon; Parkir Motor; Parkir Sepeda; Parkir Motor &amp; Sepeda"/>
    <n v="1770000"/>
    <s v="Rp1.770.000"/>
    <n v="0.20833333333333334"/>
    <d v="1899-12-30T05:00:00"/>
    <s v="Kos Campur"/>
    <m/>
    <m/>
  </r>
  <r>
    <s v="Kost Hasan Living Tipe AC Sukmajaya Depok"/>
    <x v="1"/>
    <x v="84"/>
    <n v="9"/>
    <s v="3 x 3 meter"/>
    <s v="Tidak termasuk listrik"/>
    <s v=""/>
    <s v="N/A"/>
    <s v="3 x 3 meter; Tidak termasuk listrik; AC; Kasur; Meja; Bantal; Cermin; Cleaning service; Guling; Jendela; Kursi; K. Mandi Dalam; Kloset Duduk; Kloset Jongkok; Shower; WiFi; Kulkas; Laundry; Penjaga Kos; R. Jemur; R. Makan; R. Santai; Dapur; Dispenser; Balcon; Parkir Motor"/>
    <n v="1300000"/>
    <s v="Rp1.300.000"/>
    <n v="0.17083333333333331"/>
    <d v="1899-12-30T04:06:00"/>
    <s v="Kos Putri"/>
    <m/>
    <m/>
  </r>
  <r>
    <s v="Kost Hasanah Cibinong Bogor"/>
    <x v="0"/>
    <x v="96"/>
    <n v="19.25"/>
    <s v="3.5 x 5.5 meter"/>
    <s v="Tidak termasuk listrik"/>
    <s v=""/>
    <s v="N/A"/>
    <s v="3.5 x 5.5 meter; Tidak termasuk listrik; Kasur; Lemari Baju; Ventilasi; Bantal; Jendela; Wastafel; K. Mandi Dalam; Kloset Jongkok; Ember mandi; WiFi; CCTV; Jemuran; Rooftop; Parkir Motor; Parkir Sepeda; Parkir Motor &amp; Sepeda"/>
    <n v="850000"/>
    <s v="Rp850.000"/>
    <n v="0"/>
    <m/>
    <s v="Kos Campur"/>
    <m/>
    <m/>
  </r>
  <r>
    <s v="Kost Haven Sunter Deluxe Tanjung Priok Jakarta Utara"/>
    <x v="4"/>
    <x v="10"/>
    <n v="14"/>
    <s v="3.5 x 4 meter"/>
    <s v="Tidak termasuk listrik"/>
    <s v=""/>
    <s v="N/A"/>
    <s v="3.5 x 4 meter; Tidak termasuk listrik; AC; Kasur; Meja Rias; TV; Lemari Baju; Ventilasi; Bantal; Cermin; Kursi; Wastafel; Kloset Duduk; Shower; Air panas; WiFi; Kulkas; Laundry; Mesin Cuci; Penjaga Kos; R. Tamu; R. Makan; R. Santai; Dapur; Dispenser; Parkir Mobil; Parkir Motor; Parkir Sepeda; Parkir Motor &amp; Sepeda"/>
    <n v="2945000"/>
    <s v="Rp2.945.000"/>
    <n v="0"/>
    <m/>
    <s v="Kos Campur"/>
    <m/>
    <m/>
  </r>
  <r>
    <s v="Kost Haven Sunter Standard Tanjung Priok Jakarta Utara"/>
    <x v="4"/>
    <x v="10"/>
    <n v="12"/>
    <s v="3 x 4 meter"/>
    <s v="Tidak termasuk listrik"/>
    <s v=""/>
    <s v="N/A"/>
    <s v="3 x 4 meter; Tidak termasuk listrik; AC; Kasur; Meja; TV; Lemari Baju; Ventilasi; Bantal; Cermin; Kursi; Wastafel; Kloset Duduk; Shower; Air panas; WiFi; Kulkas; Laundry; Mesin Cuci; Penjaga Kos; R. Tamu; R. Makan; R. Santai; Dapur; Dispenser; Parkir Mobil; Parkir Motor; Parkir Sepeda; Parkir Motor &amp; Sepeda"/>
    <n v="2470000"/>
    <s v="Rp2.470.000"/>
    <n v="0.17222222222222225"/>
    <d v="1899-12-30T04:08:00"/>
    <s v="Kos Campur"/>
    <m/>
    <s v="Diskon 118rb"/>
  </r>
  <r>
    <s v="Kost Haven Sunter Superior Tanjung Priok Jakarta Utara"/>
    <x v="4"/>
    <x v="10"/>
    <n v="12"/>
    <s v="3 x 4 meter"/>
    <s v="Tidak termasuk listrik"/>
    <s v=""/>
    <s v="N/A"/>
    <s v="3 x 4 meter; Tidak termasuk listrik; AC; Kasur; Meja; TV; Ventilasi; Bantal; Cermin; Wastafel; Kloset Duduk; Shower; Air panas; WiFi; Kulkas; Laundry; Mesin Cuci; Penjaga Kos; R. Tamu; R. Makan; R. Santai; Dapur; Dispenser; Parkir Mobil; Parkir Motor; Parkir Sepeda; Parkir Motor &amp; Sepeda"/>
    <n v="2755000"/>
    <s v="Rp2.755.000"/>
    <n v="0.17222222222222225"/>
    <d v="1899-12-30T04:08:00"/>
    <s v="Kos Campur"/>
    <m/>
    <m/>
  </r>
  <r>
    <s v="Kost Hayam Wuruk Suites Co Living Tipe Premium C Taman Sari Jakarta Barat"/>
    <x v="3"/>
    <x v="136"/>
    <n v="9"/>
    <s v="3 x 3 meter"/>
    <s v="Tidak termasuk listrik"/>
    <s v=""/>
    <s v="N/A"/>
    <s v="3 x 3 meter; Tidak termasuk listrik; AC; Kasur; Meja; TV; Kulkas; Lemari Baju; Bantal; Cermin; Cleaning service; Guling; K. Mandi Dalam; Kloset Duduk; Wastafel; Shower; Air panas; WiFi; R. Cuci; Laundry; Mesin Cuci; Penjaga Kos; R. Tamu; R. Jemur; R. Makan; R. Santai; Parkir Motor; Parkir Sepeda; Parkir Motor &amp; Sepeda"/>
    <n v="2650000"/>
    <s v="Rp2.650.000"/>
    <n v="0.17083333333333331"/>
    <d v="1899-12-30T04:06:00"/>
    <s v="Kos Campur"/>
    <m/>
    <m/>
  </r>
  <r>
    <s v="Kost Helena Asri Tipe Double Penjaringan Jakarta Utara"/>
    <x v="4"/>
    <x v="12"/>
    <n v="16"/>
    <s v="4 x 4 meter"/>
    <s v="Tidak termasuk listrik"/>
    <s v=""/>
    <s v="N/A"/>
    <s v="4 x 4 meter; Tidak termasuk listrik; AC; Kasur; Meja; Lemari Baju; Ventilasi; Bantal; Cermin; Jendela; Kursi; Wastafel; K. Mandi Dalam; Kloset Duduk; Ember mandi; Shower; Air panas; WiFi; Kulkas; Penjaga Kos; R. Tamu; Balcon; CCTV; Pengurus Kos; Parkir Mobil; Parkir Motor; Parkir Sepeda"/>
    <n v="3500000"/>
    <s v="Rp3.500.000"/>
    <n v="0"/>
    <m/>
    <s v="Kos Campur"/>
    <m/>
    <m/>
  </r>
  <r>
    <s v="Kost Hijau Cibinong Bogor"/>
    <x v="0"/>
    <x v="96"/>
    <n v="12"/>
    <s v="3 x 4 meter"/>
    <s v="Tidak termasuk listrik"/>
    <s v=""/>
    <s v="N/A"/>
    <s v="3 x 4 meter; Tidak termasuk listrik; AC; Kasur; Meja; Lemari Baju; Bantal; Guling; Jendela; Kipas Angin; Wastafel; Kursi; K. Mandi Dalam; Kloset Jongkok; Ember mandi; Shower; R. Tamu; R. Jemur; Dapur; R. Keluarga; Pengurus Kos; Parkir Motor"/>
    <n v="1400000"/>
    <s v="Rp1.400.000"/>
    <n v="0.20833333333333334"/>
    <d v="1899-12-30T05:00:00"/>
    <s v="Kos Campur"/>
    <m/>
    <m/>
  </r>
  <r>
    <s v="Kost Hj Betty Tipe B Karawaci Tangerang"/>
    <x v="6"/>
    <x v="116"/>
    <n v="36"/>
    <s v="6 x 6 meter"/>
    <s v="Tidak termasuk listrik"/>
    <s v=""/>
    <s v="N/A"/>
    <s v="6 x 6 meter; Tidak termasuk listrik; Kasur; TV; Lemari Baju; Bantal; Cleaning service; Guling; Jendela; Kursi; Wastafel; Kloset Duduk; K. Mandi Luar; Ember mandi; WiFi; Kulkas; R. Cuci; Laundry; Penjaga Kos; R. Tamu; R. Jemur; R. Makan; R. Santai; Dapur; Parkir Mobil; Parkir Motor; Parkir Sepeda; Parkir Motor &amp; Sepeda"/>
    <n v="850000"/>
    <s v="Rp850.000"/>
    <n v="0"/>
    <m/>
    <s v="Kos Putri"/>
    <m/>
    <m/>
  </r>
  <r>
    <s v="Kost Hj Dahlia 34 Mampang Prapatan Jakarta Selatan"/>
    <x v="5"/>
    <x v="67"/>
    <n v="9"/>
    <s v="3 x 3 meter"/>
    <s v="Tidak termasuk listrik"/>
    <s v=""/>
    <s v="N/A"/>
    <s v="3 x 3 meter; Tidak termasuk listrik; Kasur; Lemari Baju; Bantal; Guling; Jendela; K. Mandi Dalam; Kloset Jongkok; Ember mandi; WiFi; Parkir Motor"/>
    <n v="900000"/>
    <s v="Rp900.000"/>
    <n v="0.16666666666666666"/>
    <d v="1899-12-30T04:00:00"/>
    <s v="Kos Campur"/>
    <m/>
    <m/>
  </r>
  <r>
    <s v="Kost Hj Iyum Kemayoran Jakarta Pusat"/>
    <x v="9"/>
    <x v="38"/>
    <n v="12"/>
    <s v="3 x 4 meter"/>
    <s v="Tidak termasuk listrik"/>
    <s v=""/>
    <s v="N/A"/>
    <s v="3 x 4 meter; Tidak termasuk listrik; Kasur; Lemari Baju; K. Mandi Dalam; Kloset Jongkok; Ember mandi; R. Jemur; Parkir Motor; Parkir Sepeda"/>
    <n v="1110000"/>
    <s v="Rp1.110.000"/>
    <n v="0.17291666666666669"/>
    <d v="1899-12-30T04:09:00"/>
    <s v="Kos Campur"/>
    <m/>
    <m/>
  </r>
  <r>
    <s v="Kost Hj Sartinih Tipe A Pinang Tangerang"/>
    <x v="6"/>
    <x v="105"/>
    <n v="9"/>
    <s v="3 x 3 meter"/>
    <s v="Tidak termasuk listrik"/>
    <s v=""/>
    <s v="N/A"/>
    <s v="3 x 3 meter; Tidak termasuk listrik; Ventilasi; K. Mandi Dalam; Kloset Jongkok"/>
    <n v="750000"/>
    <s v="Rp750.000"/>
    <n v="0.16944444444444443"/>
    <d v="1899-12-30T04:04:00"/>
    <s v="Kos Campur"/>
    <m/>
    <m/>
  </r>
  <r>
    <s v="Kost Hoki 39 Tipe A Cikarang Selatan Bekasi"/>
    <x v="7"/>
    <x v="27"/>
    <n v="12"/>
    <s v="3 x 4 meter"/>
    <s v="Tidak termasuk listrik"/>
    <s v=""/>
    <s v="N/A"/>
    <s v="3 x 4 meter; Tidak termasuk listrik; AC; Kasur; Meja; TV; Lemari Baju; Ventilasi; Bantal; Cermin; Cleaning service; Guling; K. Mandi Dalam; Kloset Duduk; Wastafel; Shower; Air panas; WiFi; Kulkas; Penjaga Kos; R. Tamu; R. Jemur; R. Makan; R. Santai; Dapur; Dispenser; Balcon; Parkir Mobil; Parkir Motor; Parkir Sepeda"/>
    <n v="1850000"/>
    <s v="Rp1.850.000"/>
    <n v="0"/>
    <m/>
    <s v="Kos Campur"/>
    <m/>
    <m/>
  </r>
  <r>
    <s v="Kost Hoki Tipe A Cikarang Selatan Bekasi"/>
    <x v="7"/>
    <x v="27"/>
    <n v="12"/>
    <s v="3 x 4 meter"/>
    <s v="Tidak termasuk listrik"/>
    <s v=""/>
    <s v="N/A"/>
    <s v="3 x 4 meter; Tidak termasuk listrik; AC; Kasur; Meja; TV; Lemari Baju; Ventilasi; Kursi; Wastafel; Cleaning service; Bantal; K. Mandi Dalam; Kloset Duduk; Shower; Air panas; WiFi; R. Cuci; Kulkas; Mesin Cuci; Penjaga Kos; R. Makan; R. Jemur; R. Santai; Dapur; Parkir Mobil; Parkir Motor"/>
    <n v="1900000"/>
    <s v="Rp1.900.000"/>
    <n v="0"/>
    <m/>
    <s v="Kos Campur"/>
    <m/>
    <m/>
  </r>
  <r>
    <s v="Kost Hoki Tipe Executive Cikarang Selatan Bekasi"/>
    <x v="7"/>
    <x v="27"/>
    <n v="20"/>
    <s v="4 x 5 meter"/>
    <s v="Tidak termasuk listrik"/>
    <s v=""/>
    <s v="N/A"/>
    <s v="4 x 5 meter; Tidak termasuk listrik; AC; Kasur; Meja; TV; Lemari Baju; Kulkas; Ventilasi; Bantal; Cermin; Cleaning service; K. Mandi Dalam; Kloset Duduk; Wastafel; Shower; Air panas; Parkir Mobil; Parkir Motor"/>
    <n v="2000000"/>
    <s v="Rp2.000.000"/>
    <n v="0.17291666666666669"/>
    <d v="1899-12-30T04:09:00"/>
    <s v="Kos Campur"/>
    <m/>
    <m/>
  </r>
  <r>
    <s v="Kost Holi Residence Tipe A Tanjung Priok Jakarta Utara"/>
    <x v="4"/>
    <x v="5"/>
    <n v="6"/>
    <s v="3 x 2 meter"/>
    <s v="Tidak termasuk listrik"/>
    <s v=""/>
    <s v="N/A"/>
    <s v="3 x 2 meter; Tidak termasuk listrik; AC; Kasur; Meja; TV; Lemari Baju; Bantal; Cermin; Kursi; Wastafel; K. Mandi Dalam; Kloset Duduk; K. Mandi Luar; Shower; Air panas; WiFi; Kulkas; R. Cuci; Mesin Cuci; Mushola; R. Jemur; Dapur; Dispenser; Balcon; CCTV; Parkir Motor"/>
    <n v="1700000"/>
    <s v="Rp1.700.000"/>
    <n v="0.20833333333333334"/>
    <d v="1899-12-30T05:00:00"/>
    <s v="Kos Campur"/>
    <m/>
    <m/>
  </r>
  <r>
    <s v="Kost Home 88 Tipe C Penjaringan Jakarta Utara"/>
    <x v="4"/>
    <x v="12"/>
    <n v="11.2"/>
    <s v="2.8  x  4 meter"/>
    <s v="Tidak termasuk listrik"/>
    <s v=""/>
    <s v="N/A"/>
    <s v="2.8  x  4 meter; Tidak termasuk listrik; AC; Kasur; Meja; Lemari Baju; Kulkas; Bantal; Cermin; K. Mandi Dalam; Kloset Duduk; Shower; Air panas; WiFi; Penjaga Kos; Mushola; R. Makan; Dapur; Dispenser; TV; Kartu Akses; CCTV; Parkir Mobil; Parkir Motor; Parkir Sepeda"/>
    <n v="2400000"/>
    <s v="Rp2.400.000"/>
    <n v="0.17013888888888887"/>
    <d v="1899-12-30T04:05:00"/>
    <s v="Kos Putri"/>
    <m/>
    <s v="Diskon 116rb"/>
  </r>
  <r>
    <s v="Kost Home Exclusive Jagakarsa Jakarta Selatan"/>
    <x v="5"/>
    <x v="69"/>
    <n v="7.5"/>
    <s v="3 x 2.5 meter"/>
    <s v="Tidak termasuk listrik"/>
    <s v=""/>
    <s v="N/A"/>
    <s v="3 x 2.5 meter; Tidak termasuk listrik; AC; Kasur; Meja; Meja Rias; Lemari Baju; Ventilasi; Bantal; Cermin; Cleaning service; Jendela; K. Mandi Dalam; Kloset Duduk; Wastafel; Shower; Air panas; WiFi; Kulkas; Laundry; Penjaga Kos; R. Tamu; R. Makan; R. Jemur; R. Santai; Dapur; CCTV; Parkir Motor &amp; Sepeda"/>
    <n v="1200000"/>
    <s v="Rp1.200.000"/>
    <n v="0"/>
    <m/>
    <s v="Kos Putri"/>
    <m/>
    <m/>
  </r>
  <r>
    <s v="Kost Home Living Tipe 1B Kelapa Gading Jakarta Utara"/>
    <x v="4"/>
    <x v="79"/>
    <n v="9"/>
    <s v="3 x 3 meter"/>
    <s v="Tidak termasuk listrik"/>
    <s v=""/>
    <s v="N/A"/>
    <s v="3 x 3 meter; Tidak termasuk listrik; AC; Kasur; Meja; TV; Lemari Baju; Ventilasi; Bantal; Cermin; Cleaning service; Guling; K. Mandi Dalam; Kloset Duduk; Wastafel; Shower; Air panas; WiFi; Kulkas; Laundry; Penjaga Kos; R. Tamu; R. Jemur; R. Makan; R. Santai; Dispenser; Dapur; Parkir Mobil; Parkir Motor &amp; Sepeda"/>
    <n v="2300000"/>
    <s v="Rp2.300.000"/>
    <n v="0"/>
    <m/>
    <s v="Kos Putri"/>
    <m/>
    <m/>
  </r>
  <r>
    <s v="Kost Home Living Tipe 2D Kelapa Gading Jakarta Utara"/>
    <x v="4"/>
    <x v="79"/>
    <n v="9"/>
    <s v="3 x 3 meter"/>
    <s v="Tidak termasuk listrik"/>
    <s v=""/>
    <s v="N/A"/>
    <s v="3 x 3 meter; Tidak termasuk listrik; AC; Kasur; Meja; TV; Lemari Baju; Ventilasi; Bantal; Cermin; Cleaning service; Guling; K. Mandi Dalam; Kloset Duduk; Wastafel; Shower; Air panas; WiFi; Kulkas; Laundry; Penjaga Kos; R. Tamu; R. Jemur; R. Makan; R. Santai; Dispenser; Dapur; Parkir Mobil; Parkir Motor &amp; Sepeda"/>
    <n v="2200000"/>
    <s v="Rp2.200.000"/>
    <n v="0"/>
    <m/>
    <s v="Kos Putri"/>
    <m/>
    <m/>
  </r>
  <r>
    <s v="Kost Home Living Tipe 2F Kelapa Gading Jakarta Utara"/>
    <x v="4"/>
    <x v="79"/>
    <n v="9"/>
    <s v="3 x 3 meter"/>
    <s v="Tidak termasuk listrik"/>
    <s v=""/>
    <s v="N/A"/>
    <s v="3 x 3 meter; Tidak termasuk listrik; AC; Kasur; Meja; TV; Lemari Baju; Ventilasi; Bantal; Cermin; Cleaning service; Guling; K. Mandi Dalam; Kloset Duduk; Wastafel; Shower; Air panas; WiFi; Kulkas; Laundry; Penjaga Kos; R. Tamu; R. Jemur; R. Makan; R. Santai; Dispenser; Dapur; Parkir Mobil; Parkir Motor &amp; Sepeda"/>
    <n v="3000000"/>
    <s v="Rp3.000.000"/>
    <n v="0.20833333333333334"/>
    <d v="1899-12-30T05:00:00"/>
    <s v="Kos Putri"/>
    <m/>
    <m/>
  </r>
  <r>
    <s v="Kost Homestay 8 Greenlake Cipondoh Tangerang"/>
    <x v="6"/>
    <x v="97"/>
    <n v="9"/>
    <s v="3 x 3 meter"/>
    <s v="Tidak termasuk listrik"/>
    <s v=""/>
    <s v="N/A"/>
    <s v="3 x 3 meter; Tidak termasuk listrik; AC; Kasur; Meja; Lemari Baju; Bantal; K. Mandi Dalam; Kloset Duduk; Wastafel; Shower; WiFi; Kulkas; Penjaga Kos; Dapur; CCTV; Kartu Akses; Parkir Mobil; Parkir Motor"/>
    <n v="1800000"/>
    <s v="Rp1.800.000"/>
    <n v="0.20833333333333334"/>
    <d v="1899-12-30T05:00:00"/>
    <s v="Kos Campur"/>
    <m/>
    <s v="Diskon 90rb"/>
  </r>
  <r>
    <s v="Kost Homestay Puspaloka 1 Tipe A Cimanggis Depok"/>
    <x v="1"/>
    <x v="46"/>
    <n v="9"/>
    <s v="3 x 3 meter"/>
    <s v="Termasuk listrik (implied)"/>
    <s v=""/>
    <s v="N/A"/>
    <s v="3 x 3 meter; Termasuk listrik; Kasur; Meja; Lemari Baju; Ventilasi; Kursi; Bantal; Cermin; Jendela; Kloset Duduk; K. Mandi Luar; Ember mandi; Shower; R. Cuci; Kulkas; R. Tamu; Mesin Cuci; R. Makan; R. Jemur; R. Santai; Dapur; Dispenser; TV; Parkir Mobil; Parkir Motor; Parkir Sepeda"/>
    <n v="1500000"/>
    <s v="Rp1.500.000"/>
    <n v="0"/>
    <m/>
    <s v="Kos Campur"/>
    <m/>
    <m/>
  </r>
  <r>
    <s v="Kost Homey House Tipe B Beji Depok"/>
    <x v="1"/>
    <x v="15"/>
    <n v="12"/>
    <s v="3 x 4 meter"/>
    <s v="Tidak termasuk listrik"/>
    <s v=""/>
    <s v="N/A"/>
    <s v="3 x 4 meter; Tidak termasuk listrik; AC; Kasur; Meja; Lemari Baju; Kursi; Bantal; Cermin; Guling; Jendela; K. Mandi Dalam; Kloset Duduk; Shower; WiFi; R. Cuci; Kulkas; R. Tamu; Penjaga Kos; R. Jemur; Mushola; R. Santai; Dapur; Dispenser; Parkir Motor; Parkir Sepeda"/>
    <n v="1800000"/>
    <s v="Rp1.800.000"/>
    <n v="0.17222222222222225"/>
    <d v="1899-12-30T04:08:00"/>
    <s v="Kos Putri"/>
    <m/>
    <s v="Diskon 160rb"/>
  </r>
  <r>
    <s v="Kost Homie Co Living Tanjung Priok Jakarta Utara"/>
    <x v="4"/>
    <x v="10"/>
    <n v="10"/>
    <s v="4 x 2.5 meter"/>
    <s v="Tidak termasuk listrik"/>
    <s v=""/>
    <s v="N/A"/>
    <s v="4 x 2.5 meter; Tidak termasuk listrik; AC; Kasur; Meja; Lemari Baju; Bantal; Cermin; Jendela; K. Mandi Dalam; Kloset Duduk; Wastafel; Shower; Air panas; Kulkas; R. Jemur; Dapur; Balcon; CCTV; Jemuran; Kartu Akses; Pengurus Kos; Rooftop; Parkir Mobil; Parkir Motor; Parkir Sepeda; Parkir Motor &amp; Sepeda"/>
    <n v="2200000"/>
    <s v="Rp2.200.000"/>
    <n v="0.17291666666666669"/>
    <d v="1899-12-30T04:09:00"/>
    <s v="Kos Campur"/>
    <m/>
    <s v="Diskon 200rb"/>
  </r>
  <r>
    <s v="Kost Homiku Pondok Cabe Tipe A Pamulang Tangerang Selatan"/>
    <x v="2"/>
    <x v="54"/>
    <n v="9"/>
    <s v="3 x 3 meter"/>
    <s v="Termasuk listrik (implied)"/>
    <s v=""/>
    <s v="N/A"/>
    <s v="3 x 3 meter; Termasuk listrik; Kasur; Meja; Lemari Baju; Ventilasi; Meja makan; Bantal; Jendela; K. Mandi Dalam; WiFi; Parkir Mobil"/>
    <n v="850000"/>
    <s v="Rp850.000"/>
    <n v="0"/>
    <m/>
    <s v="Kos Putra"/>
    <m/>
    <m/>
  </r>
  <r>
    <s v="Kost Hon Suriadi Tipe VVIP Grogol Petamburan Jakarta Barat"/>
    <x v="3"/>
    <x v="13"/>
    <n v="12"/>
    <s v="3 x 4 meter"/>
    <s v="Tidak termasuk listrik"/>
    <s v=""/>
    <s v="N/A"/>
    <s v="3 x 4 meter; Tidak termasuk listrik; AC; Kasur; Lemari Baju; Ventilasi; Wastafel; K. Mandi Dalam; Kloset Duduk; Shower; WiFi; Penjaga Kos; R. Jemur; R. Santai; Balcon; CCTV; Jual Makanan; Pengurus Kos; Jemuran; Parkir Motor; Parkir Sepeda"/>
    <n v="1900000"/>
    <s v="Rp1.900.000"/>
    <n v="0.17291666666666669"/>
    <d v="1899-12-30T04:09:00"/>
    <s v="Kos Campur"/>
    <m/>
    <s v="Diskon 160rb"/>
  </r>
  <r>
    <s v="Kost Hon Suriadi Tipe VVIP Grogol Petamburan Jakarta Barat"/>
    <x v="3"/>
    <x v="13"/>
    <n v="12"/>
    <s v="3 x 4 meter"/>
    <s v="Tidak termasuk listrik"/>
    <s v=""/>
    <s v="N/A"/>
    <s v="3 x 4 meter; Tidak termasuk listrik; AC; Kasur; Lemari Baju; Ventilasi; Wastafel; K. Mandi Dalam; Kloset Duduk; Shower; WiFi; Penjaga Kos; R. Jemur; R. Santai; Balcon; CCTV; Jual Makanan; Pengurus Kos; Jemuran; Parkir Motor; Parkir Sepeda"/>
    <n v="1900000"/>
    <s v="Rp1.900.000"/>
    <n v="0.17222222222222225"/>
    <d v="1899-12-30T04:08:00"/>
    <s v="Kos Campur"/>
    <m/>
    <s v="Diskon 152rb"/>
  </r>
  <r>
    <s v="Kost Hr Hani Residence Blue Cibinong Bogor"/>
    <x v="0"/>
    <x v="96"/>
    <n v="20"/>
    <s v="4 x 5 meter"/>
    <s v="Termasuk listrik (implied)"/>
    <s v=""/>
    <s v="N/A"/>
    <s v="4 x 5 meter; Termasuk listrik; AC; Kasur; Lemari Baju; Ventilasi; Bantal; Jendela; Kursi; Wastafel; Kloset Duduk; K. Mandi Luar; Ember mandi; WiFi; R. Cuci; R. Jemur; R. Santai; Dapur; Balcon; Jemuran; CCTV; Pengurus Kos; Parkir Mobil; Parkir Motor; Parkir Sepeda; Parkir Motor &amp; Sepeda"/>
    <n v="1050000"/>
    <s v="Rp1.050.000"/>
    <n v="0"/>
    <m/>
    <s v="Kos Putri"/>
    <m/>
    <m/>
  </r>
  <r>
    <s v="Kost Hr Hani Residence Pink Room Cibinong Bogor"/>
    <x v="0"/>
    <x v="96"/>
    <n v="25"/>
    <s v="5 x 5 meter"/>
    <s v="Termasuk listrik (implied)"/>
    <s v=""/>
    <s v="N/A"/>
    <s v="5 x 5 meter; Termasuk listrik; AC; Kasur; Meja; Lemari Baju; Ventilasi; Bantal; Jendela; Kursi; Kloset Duduk; K. Mandi Luar; Ember mandi; Wastafel; Shower; WiFi; R. Tamu; R. Santai; Dapur; Balcon; Jemuran; CCTV; Pengurus Kos; Parkir Mobil; Parkir Motor; Parkir Sepeda; Parkir Motor &amp; Sepeda"/>
    <n v="1200000"/>
    <s v="Rp1.200.000"/>
    <n v="0"/>
    <m/>
    <s v="Kos Putri"/>
    <m/>
    <m/>
  </r>
  <r>
    <s v="Kost Ibu Angel Kelapa Gading Jakarta Utara"/>
    <x v="4"/>
    <x v="79"/>
    <n v="12"/>
    <s v="3 x 4 meter"/>
    <s v="Tidak termasuk listrik"/>
    <s v=""/>
    <s v="N/A"/>
    <s v="3 x 4 meter; Tidak termasuk listrik; AC; Meja; Lemari Baju; Ventilasi; Bantal; Cermin; K. Mandi Dalam; Kloset Duduk; Shower; WiFi; Mesin Cuci; Dapur; CCTV; Jemuran; Parkir Sepeda; Parkir Motor; Parkir Motor &amp; Sepeda"/>
    <n v="1800000"/>
    <s v="Rp1.800.000"/>
    <n v="0"/>
    <m/>
    <s v="Kos Campur"/>
    <m/>
    <m/>
  </r>
  <r>
    <s v="Kost Ibu Arif Standar Penjaringan Jakarta Utara"/>
    <x v="4"/>
    <x v="12"/>
    <n v="3.6"/>
    <s v="2 x 1.8 meter"/>
    <s v="Termasuk listrik (implied)"/>
    <s v=""/>
    <s v="N/A"/>
    <s v="2 x 1.8 meter; Termasuk listrik; Lemari Baju; Kipas Angin; Ember mandi"/>
    <n v="850000"/>
    <s v="Rp850.000"/>
    <n v="0.20833333333333334"/>
    <d v="1899-12-30T05:00:00"/>
    <s v="Kos Campur"/>
    <m/>
    <m/>
  </r>
  <r>
    <s v="Kost Ibu Arif Standar Penjaringan Jakarta Utara"/>
    <x v="4"/>
    <x v="12"/>
    <n v="3.6"/>
    <s v="2 x 1.8 meter"/>
    <s v="Termasuk listrik (implied)"/>
    <s v=""/>
    <s v="N/A"/>
    <s v="2 x 1.8 meter; Termasuk listrik; Lemari Baju; Kipas Angin; Ember mandi"/>
    <n v="850000"/>
    <s v="Rp850.000"/>
    <n v="0"/>
    <m/>
    <s v="Kos Campur"/>
    <m/>
    <m/>
  </r>
  <r>
    <s v="Kost Ibu Dewi Executive Gunung Sindur Bogor"/>
    <x v="0"/>
    <x v="126"/>
    <n v="50"/>
    <s v="5 x 10 meter"/>
    <s v="Tidak termasuk listrik"/>
    <s v=""/>
    <s v="N/A"/>
    <s v="5 x 10 meter; Tidak termasuk listrik; Kasur; Lemari Baju; Ventilasi; Bantal; Dapur Pribadi; Jendela; Kursi; Wastafel; Kipas Angin; K. Mandi Dalam; Kloset Jongkok; Ember mandi; Shower; Bak mandi; WiFi; R. Cuci; R. Tamu; Penjaga Kos; R. Jemur; Mushola; Dapur; Taman; Balcon; Jual Makanan; Parkir Mobil; Parkir Motor; Parkir Sepeda"/>
    <n v="1000000"/>
    <s v="Rp1.000.000"/>
    <n v="0.20833333333333334"/>
    <d v="1899-12-30T05:00:00"/>
    <s v="Kos Putri"/>
    <m/>
    <m/>
  </r>
  <r>
    <s v="Kost Ibu Dewi Tipe VIP Gunung Sindur Bogor"/>
    <x v="0"/>
    <x v="159"/>
    <n v="9"/>
    <s v="3 x 3 meter"/>
    <s v="Termasuk listrik (implied)"/>
    <s v=""/>
    <s v="N/A"/>
    <s v="3 x 3 meter; Termasuk listrik; Kasur; Meja; TV; Lemari Baju; Ventilasi; Kursi; Bantal; Jendela; Kipas Angin; Kloset Jongkok; K. Mandi Luar; Ember mandi; Shower; WiFi; R. Tamu; Laundry; R. Jemur; Mushola; R. Santai; Taman; Balcon; Pengurus Kos; Parkir Motor"/>
    <n v="600000"/>
    <s v="Rp600.000"/>
    <n v="0"/>
    <m/>
    <s v="Kos Putra"/>
    <m/>
    <m/>
  </r>
  <r>
    <s v="Kost Ibu Dewi Tipe VVIP Gunung Sindur Bogor"/>
    <x v="0"/>
    <x v="126"/>
    <n v="50"/>
    <s v="5 x 10 meter"/>
    <s v="Tidak termasuk listrik"/>
    <s v=""/>
    <s v="N/A"/>
    <s v="5 x 10 meter; Tidak termasuk listrik; Kasur; TV; Lemari Baju; Ventilasi; Bantal; Dapur Pribadi; Jendela; Kipas Angin; Kursi; Wastafel; K. Mandi Dalam; Kloset Jongkok; Ember mandi; Bak mandi; R. Cuci; R. Tamu; Laundry; R. Jemur; Mushola; Dapur; Taman; Balcon; Jual Makanan; Pengurus Kos; Parkir Motor; Parkir Sepeda"/>
    <n v="800000"/>
    <s v="Rp800.000"/>
    <n v="0"/>
    <m/>
    <s v="Kos Putri"/>
    <m/>
    <m/>
  </r>
  <r>
    <s v="Kost Ibu Dewi VIP Gunung Sindur Bogor"/>
    <x v="0"/>
    <x v="159"/>
    <n v="12"/>
    <s v="3 x 4 meter"/>
    <s v="Termasuk listrik (implied)"/>
    <s v=""/>
    <s v="N/A"/>
    <s v="3 x 4 meter; Termasuk listrik; Kasur; TV; Ventilasi; Wastafel; Bantal; Jendela; K. Mandi Dalam; Kloset Jongkok; Ember mandi; Shower; WiFi; R. Tamu; Laundry; R. Jemur; Mushola; Taman; Balcon; K. Mandi Luar; Pengurus Kos; Jemuran; Parkir Motor"/>
    <n v="700000"/>
    <s v="Rp700.000"/>
    <n v="0.20833333333333334"/>
    <d v="1899-12-30T05:00:00"/>
    <s v="Kos Putra"/>
    <m/>
    <m/>
  </r>
  <r>
    <s v="Kost Ibu Dwi Tipe A Cibinong Bogor"/>
    <x v="0"/>
    <x v="96"/>
    <n v="21"/>
    <s v="6 x 3.5 meter"/>
    <s v="Tidak termasuk listrik"/>
    <s v=""/>
    <s v="N/A"/>
    <s v="6 x 3.5 meter; Tidak termasuk listrik; AC; Kasur; Meja; TV; Lemari Baju; Cermin; Jendela; Kursi; Bantal; Guling; K. Mandi Dalam; Kloset Duduk; Ember mandi; Shower; WiFi; Kulkas; R. Tamu; R. Jemur; Dapur; Jemuran; Pengurus Kos; CCTV; Parkir Mobil; Parkir Motor; Parkir Sepeda"/>
    <n v="1900000"/>
    <s v="Rp1.900.000"/>
    <n v="0"/>
    <m/>
    <s v="Kos Campur"/>
    <m/>
    <m/>
  </r>
  <r>
    <s v="Kost Ibu Dyah Gunung Putri Bogor"/>
    <x v="0"/>
    <x v="95"/>
    <n v="25"/>
    <s v="5 x 5 meter"/>
    <s v="Tidak termasuk listrik"/>
    <s v=""/>
    <s v="N/A"/>
    <s v="5 x 5 meter; Tidak termasuk listrik; AC; Kasur; Meja; Lemari Baju; Bantal; Cermin; Dapur Pribadi; Guling; Jendela; Kursi; K. Mandi Dalam; Kloset Duduk; Wastafel; Shower; Air panas; WiFi; Penjaga Kos; Dapur; Balcon; CCTV; Jemuran; Parkir Mobil; Parkir Motor"/>
    <n v="2000000"/>
    <s v="Rp2.000.000"/>
    <n v="0"/>
    <m/>
    <s v="Kos Campur"/>
    <m/>
    <m/>
  </r>
  <r>
    <s v="Kost Ibu Dyah Tipe A Gunung Putri Bogor"/>
    <x v="0"/>
    <x v="89"/>
    <n v="18"/>
    <s v="3 x 6 meter"/>
    <s v="Tidak termasuk listrik"/>
    <s v=""/>
    <s v="N/A"/>
    <s v="3 x 6 meter; Tidak termasuk listrik; AC; Kasur; Meja; Lemari Baju; Bantal; Dapur Pribadi; Guling; Jendela; Kursi; K. Mandi Dalam; Kloset Jongkok; Ember mandi; WiFi; Penjaga Kos; R. Jemur; Dapur; CCTV; Parkir Mobil; Parkir Motor"/>
    <n v="1200000"/>
    <s v="Rp1.200.000"/>
    <n v="0"/>
    <m/>
    <s v="Kos Putra"/>
    <m/>
    <m/>
  </r>
  <r>
    <s v="Kost Ibu Etty Karawaci Tangerang"/>
    <x v="6"/>
    <x v="141"/>
    <n v="12"/>
    <s v="3 x 4 meter"/>
    <s v="Termasuk listrik (implied)"/>
    <s v=""/>
    <s v="N/A"/>
    <s v="3 x 4 meter; Termasuk listrik; Kasur; Dispenser; Lemari Baju; Bantal; Cermin; Jendela; Kipas Angin; Kursi; Kloset Duduk; K. Mandi Luar; Ember mandi; Shower; R. Cuci; R. Tamu; R. Jemur; R. Santai; Jemuran; TV; Parkir Motor"/>
    <n v="700000"/>
    <s v="Rp700.000"/>
    <n v="0.20833333333333334"/>
    <d v="1899-12-30T05:00:00"/>
    <s v="Kos Putri"/>
    <m/>
    <m/>
  </r>
  <r>
    <s v="Kost Ibu Eva Cikarang Timur Bekasi"/>
    <x v="7"/>
    <x v="91"/>
    <n v="12"/>
    <s v="4 x 3 meter"/>
    <s v="Tidak termasuk listrik"/>
    <s v=""/>
    <s v="N/A"/>
    <s v="4 x 3 meter; Tidak termasuk listrik; AC; Kasur; Meja; Lemari Baju; Kursi; Bantal; Guling; Jendela; K. Mandi Dalam; Kloset Duduk; Shower; WiFi; Kulkas; R. Cuci; Penjaga Kos; R. Jemur; Dapur; Taman; Joglo; Pengurus Kos; Parkir Mobil; Parkir Motor"/>
    <n v="1500000"/>
    <s v="Rp1.500.000"/>
    <n v="0"/>
    <m/>
    <s v="Kos Putri"/>
    <m/>
    <m/>
  </r>
  <r>
    <s v="Kost Ibu Farida Jatinegara Jakarta Timur"/>
    <x v="8"/>
    <x v="58"/>
    <n v="9"/>
    <s v="3 x 3 meter"/>
    <s v="Tidak termasuk listrik"/>
    <s v=""/>
    <s v="N/A"/>
    <s v="3 x 3 meter; Tidak termasuk listrik; AC; Kasur; Meja; Dispenser; Kursi; Bantal; Jendela; K. Mandi Dalam; Kloset Duduk; Ember mandi; WiFi; R. Jemur; Jemuran; Parkir Mobil; Parkir Motor; Parkir Sepeda"/>
    <n v="900000"/>
    <s v="Rp900.000"/>
    <n v="0"/>
    <m/>
    <s v="Kos Putri"/>
    <m/>
    <m/>
  </r>
  <r>
    <s v="Kost Ibu Heru Tipe A Pinang Tangerang"/>
    <x v="6"/>
    <x v="105"/>
    <n v="20"/>
    <s v="4 x 5 meter"/>
    <s v="Tidak termasuk listrik"/>
    <s v=""/>
    <s v="N/A"/>
    <s v="4 x 5 meter; Tidak termasuk listrik; Kasur; Meja; Lemari Baju; Ventilasi; Kipas Angin; Bantal; Guling; Jendela; K. Mandi Dalam; Kloset Duduk; Ember mandi; Kulkas; R. Jemur; R. Santai; Dapur; Balcon; Pengurus Kos; Jemuran; Parkir Motor"/>
    <n v="925000"/>
    <s v="Rp925.000"/>
    <n v="0.20833333333333334"/>
    <d v="1899-12-30T05:00:00"/>
    <s v="Kos Putri"/>
    <m/>
    <m/>
  </r>
  <r>
    <s v="Kost Ibu Hj Yanti Cibinong Bogor"/>
    <x v="0"/>
    <x v="35"/>
    <n v="12"/>
    <s v="3 x 4 meter"/>
    <s v="Tidak termasuk listrik"/>
    <s v=""/>
    <s v="N/A"/>
    <s v="3 x 4 meter; Tidak termasuk listrik; Ventilasi; Dapur Pribadi; K. Mandi Dalam; Kloset Jongkok; Penjaga Kos; R. Tamu; R. Makan; R. Santai; Dapur; Jemuran; R. Keluarga; Parkir Mobil; Parkir Motor"/>
    <n v="750000"/>
    <s v="Rp750.000"/>
    <n v="0"/>
    <m/>
    <s v="Kos Campur"/>
    <m/>
    <m/>
  </r>
  <r>
    <s v="Kost Ibu Iis Gunung Putri Bogor"/>
    <x v="0"/>
    <x v="89"/>
    <n v="9"/>
    <s v="3 x 3 meter"/>
    <s v="Tidak termasuk listrik"/>
    <s v=""/>
    <s v="N/A"/>
    <s v="3 x 3 meter; Tidak termasuk listrik; Ventilasi; Wastafel; K. Mandi Dalam; Kloset Jongkok; Taman; Jemuran"/>
    <n v="500000"/>
    <s v="Rp500.000"/>
    <n v="0"/>
    <m/>
    <s v="Kos Campur"/>
    <m/>
    <m/>
  </r>
  <r>
    <s v="Kost Ibu Iqbal Tipe Standard Tapos Depok"/>
    <x v="1"/>
    <x v="99"/>
    <n v="12"/>
    <s v="3 x 4 meter"/>
    <s v="Tidak termasuk listrik"/>
    <s v=""/>
    <s v="N/A"/>
    <s v="3 x 4 meter; Tidak termasuk listrik; AC; Kasur; Meja; Lemari Baju; Kipas Angin; Bantal; Cermin; Jendela; K. Mandi Dalam; Kloset Jongkok; K. Mandi Luar; Ember mandi; WiFi; Laundry; R. Jemur; R. Makan; R. Santai; Dapur; CCTV; Pengurus Kos; Parkir Motor; Parkir Sepeda; Parkir Motor &amp; Sepeda"/>
    <n v="1300000"/>
    <s v="Rp1.300.000"/>
    <n v="0.17222222222222225"/>
    <d v="1899-12-30T04:08:00"/>
    <s v="Kos Campur"/>
    <m/>
    <s v="Diskon 130rb"/>
  </r>
  <r>
    <s v="Kost Ibu Kirana Cikarang Utara Bekasi"/>
    <x v="7"/>
    <x v="78"/>
    <n v="12"/>
    <s v="3 x 4 meter"/>
    <s v="Termasuk listrik (implied)"/>
    <s v=""/>
    <s v="N/A"/>
    <s v="3 x 4 meter; Termasuk listrik; Kasur; Lemari Baju; Ventilasi; Bantal; Cermin; Jendela; K. Mandi Dalam; Kloset Jongkok; Ember mandi; Shower; WiFi; Kulkas; R. Jemur; Dapur; Jemuran; Parkir Motor; Parkir Sepeda"/>
    <n v="950000"/>
    <s v="Rp950.000"/>
    <n v="0.20833333333333334"/>
    <d v="1899-12-30T05:00:00"/>
    <s v="Kos Putri"/>
    <m/>
    <m/>
  </r>
  <r>
    <s v="Kost Ibu Komih Cikarang Barat Bekasi"/>
    <x v="7"/>
    <x v="108"/>
    <n v="9"/>
    <s v="3 x 3 meter"/>
    <s v="Tidak termasuk listrik"/>
    <s v=""/>
    <s v="N/A"/>
    <s v="3 x 3 meter; Tidak termasuk listrik; Ventilasi; Jendela; K. Mandi Dalam; Kloset Jongkok; Ember mandi; R. Tamu; Jemuran"/>
    <n v="700000"/>
    <s v="Rp700.000"/>
    <n v="0.20833333333333334"/>
    <d v="1899-12-30T05:00:00"/>
    <s v="Kos Campur"/>
    <m/>
    <m/>
  </r>
  <r>
    <s v="Kost Ibu Lenny Tipe C Ciputat Timur Tangerang Selatan"/>
    <x v="2"/>
    <x v="8"/>
    <n v="12"/>
    <s v="3 x 4 meter"/>
    <s v="Termasuk listrik (implied)"/>
    <s v=""/>
    <s v="N/A"/>
    <s v="3 x 4 meter; Termasuk listrik; AC; Kasur; Meja; Lemari Baju; Bantal; Cermin; Jendela; Kursi; K. Mandi Dalam; Kloset Duduk; Ember mandi; Shower; R. Makan; Dapur; Jemuran; Parkir Motor; Parkir Sepeda"/>
    <n v="1599958"/>
    <s v="Rp1.599.958"/>
    <n v="0"/>
    <m/>
    <s v="Kos Putra"/>
    <m/>
    <m/>
  </r>
  <r>
    <s v="Kost Ibu Melin Bekasi Utara Bekasi"/>
    <x v="7"/>
    <x v="160"/>
    <n v="30"/>
    <s v="3 x 10 meter"/>
    <s v="Tidak termasuk listrik"/>
    <s v=""/>
    <s v="N/A"/>
    <s v="3 x 10 meter; Tidak termasuk listrik; AC; Kasur; Lemari Baju; Dapur Pribadi; Jendela; K. Mandi Dalam; Kloset Jongkok; Ember mandi; Wastafel; Dapur; CCTV; Jemuran; Parkir Motor"/>
    <n v="1200000"/>
    <s v="Rp1.200.000"/>
    <n v="0"/>
    <m/>
    <s v="Kos Campur"/>
    <m/>
    <m/>
  </r>
  <r>
    <s v="Kost Ibu Merry Tipe 2 Cipondoh Tangerang"/>
    <x v="6"/>
    <x v="98"/>
    <n v="9"/>
    <s v="3 x 3 meter"/>
    <s v="Tidak termasuk listrik"/>
    <s v=""/>
    <s v="N/A"/>
    <s v="3 x 3 meter; Tidak termasuk listrik; AC; Kasur; Meja Rias; Lemari Baju; Ventilasi; Bantal; Guling; Jendela; Kursi; Cermin; K. Mandi Dalam; Kloset Duduk; Shower; WiFi; Kulkas; R. Cuci; Mesin Cuci; Penjaga Kos; R. Tamu; R. Jemur; R. Makan; R. Santai; Dapur; Parkir Mobil; Parkir Motor; Parkir Sepeda"/>
    <n v="1500000"/>
    <s v="Rp1.500.000"/>
    <n v="0.17291666666666669"/>
    <d v="1899-12-30T04:09:00"/>
    <s v="Kos Putri"/>
    <m/>
    <m/>
  </r>
  <r>
    <s v="Kost Ibu Nita Tipe E Tanjung Priok Jakarta Utara"/>
    <x v="4"/>
    <x v="5"/>
    <n v="9"/>
    <s v="3 x 3 meter"/>
    <s v="Termasuk listrik (implied)"/>
    <s v=""/>
    <s v="N/A"/>
    <s v="3 x 3 meter; Termasuk listrik; Kasur; Lemari Baju; Ventilasi; Jendela; Kloset Jongkok; K. Mandi Luar; Ember mandi; R. Jemur; Jemuran; Parkir Motor; Parkir Sepeda"/>
    <n v="670000"/>
    <s v="Rp670.000"/>
    <n v="0.1673611111111111"/>
    <d v="1899-12-30T04:01:00"/>
    <s v="Kos Putra"/>
    <m/>
    <m/>
  </r>
  <r>
    <s v="Kost Ibu Pangkat Tipe Standart Batuceper Tangerang"/>
    <x v="6"/>
    <x v="157"/>
    <n v="9"/>
    <s v="3 x 3 meter"/>
    <s v="Termasuk listrik (implied)"/>
    <s v=""/>
    <s v="N/A"/>
    <s v="3 x 3 meter; Termasuk listrik; Kasur; Meja; Lemari Baju; Ventilasi; Bantal; Jendela; Cermin; Kipas Angin; Kursi; Kloset Jongkok; K. Mandi Luar; Bak mandi; WiFi; R. Cuci; Kulkas; Mesin Cuci; R. Jemur; Jemuran; Taman; Parkir Motor; Parkir Sepeda"/>
    <n v="850000"/>
    <s v="Rp850.000"/>
    <n v="0"/>
    <m/>
    <s v="Kos Campur"/>
    <m/>
    <m/>
  </r>
  <r>
    <s v="Kost Ibu Pur Tipe A Kebon Jeruk Jakarta Barat"/>
    <x v="3"/>
    <x v="14"/>
    <n v="7.5"/>
    <s v="3 x 2.5 meter"/>
    <s v="Termasuk listrik (implied)"/>
    <s v=""/>
    <s v="N/A"/>
    <s v="3 x 2.5 meter; Termasuk listrik; Kasur; Dispenser; Meja; Lemari Baju; Ventilasi; Guling; Kipas Angin; Bantal; Jendela; K. Mandi Dalam; Kloset Jongkok; K. Mandi Luar; Ember mandi; Bak mandi; WiFi; R. Cuci; R. Tamu; Penjaga Kos; R. Jemur; R. Santai; Jemuran; Pengurus Kos; Parkir Motor"/>
    <n v="800000"/>
    <s v="Rp800.000"/>
    <n v="0"/>
    <m/>
    <s v="Kos Putri"/>
    <m/>
    <m/>
  </r>
  <r>
    <s v="Kost Ibu Sri Salon Ciledug Tangerang"/>
    <x v="6"/>
    <x v="147"/>
    <n v="9"/>
    <s v="3 x 3 meter"/>
    <s v="Termasuk listrik (implied)"/>
    <s v=""/>
    <s v="N/A"/>
    <s v="3 x 3 meter; Termasuk listrik; Kasur; Meja; Lemari Baju; Ventilasi; Kipas Angin; Guling; Bantal; Jendela; K. Mandi Dalam; Kloset Jongkok; Ember mandi; R. Jemur; Dapur; Parkir Motor; Parkir Sepeda"/>
    <n v="700000"/>
    <s v="Rp700.000"/>
    <n v="0"/>
    <m/>
    <s v="Kos Campur"/>
    <m/>
    <m/>
  </r>
  <r>
    <s v="Kost Ibu Sumiyati Tangerang"/>
    <x v="6"/>
    <x v="22"/>
    <n v="9"/>
    <s v="3 x 3 meter"/>
    <s v="Termasuk listrik (implied)"/>
    <s v=""/>
    <s v="N/A"/>
    <s v="3 x 3 meter; Termasuk listrik; Kasur; Lemari Baju; Kulkas; Kipas Angin; Jendela; Bantal; K. Mandi Dalam; Kloset Jongkok; Ember mandi; WiFi; Mesin Cuci; R. Jemur; Dapur; CCTV; Jemuran; Parkir Motor; Parkir Sepeda"/>
    <n v="900000"/>
    <s v="Rp900.000"/>
    <n v="0.16666666666666666"/>
    <d v="1899-12-30T04:00:00"/>
    <s v="Kos Putri"/>
    <m/>
    <m/>
  </r>
  <r>
    <s v="Kost Ibu Tum Cibinong Bogor"/>
    <x v="0"/>
    <x v="35"/>
    <n v="12"/>
    <s v="3 x 4 meter"/>
    <s v="Tidak termasuk listrik"/>
    <s v=""/>
    <s v="N/A"/>
    <s v="3 x 4 meter; Tidak termasuk listrik; Ventilasi; Wastafel; K. Mandi Dalam; Kloset Jongkok; R. Cuci; R. Tamu; R. Makan; R. Jemur; R. Santai; Dapur; Pengurus Kos; Jemuran; Parkir Motor"/>
    <n v="700000"/>
    <s v="Rp700.000"/>
    <n v="0"/>
    <m/>
    <s v="Kos Campur"/>
    <m/>
    <m/>
  </r>
  <r>
    <s v="Kost Ibu Yadi I Cikarang Barat Bekasi"/>
    <x v="7"/>
    <x v="19"/>
    <n v="12"/>
    <s v="3 x 4 meter"/>
    <s v="Tidak termasuk listrik"/>
    <s v=""/>
    <s v="N/A"/>
    <s v="3 x 4 meter; Tidak termasuk listrik; AC; Kasur; Meja; Lemari Baju; Bantal; Guling; Jendela; Kloset Duduk; K. Mandi Luar; Ember mandi; Wastafel; Shower; Bak mandi; WiFi; Kulkas; Penjaga Kos; R. Tamu; R. Santai; Dapur; CCTV; Pengurus Kos; R. Keluarga; Locker; Parkir Mobil; Parkir Motor; Parkir Sepeda"/>
    <n v="1200000"/>
    <s v="Rp1.200.000"/>
    <n v="0"/>
    <m/>
    <s v="Kos Putri"/>
    <m/>
    <m/>
  </r>
  <r>
    <s v="Kost Ibu Yayat Tipe Standart Limo Depok"/>
    <x v="1"/>
    <x v="138"/>
    <n v="9"/>
    <s v="3 x 3 meter"/>
    <s v="Tidak termasuk listrik"/>
    <s v=""/>
    <s v="N/A"/>
    <s v="3 x 3 meter; Tidak termasuk listrik; Kasur; Lemari Baju; Bantal; Jendela; Kipas Angin; K. Mandi Dalam; Kloset Jongkok; Ember mandi; Dapur; Jemuran; Pengurus Kos; Parkir Motor &amp; Sepeda"/>
    <n v="650000"/>
    <s v="Rp650.000"/>
    <n v="0"/>
    <m/>
    <s v="Kos Campur"/>
    <m/>
    <m/>
  </r>
  <r>
    <s v="Kost Ibu Yuyun Tipe A Ciputat Tangerang Selatan"/>
    <x v="2"/>
    <x v="65"/>
    <n v="12"/>
    <s v="3 x 4 meter"/>
    <s v="Termasuk listrik (implied)"/>
    <s v=""/>
    <s v="N/A"/>
    <s v="3 x 4 meter; Termasuk listrik; Kasur; Lemari Baju; Ventilasi; Dapur Pribadi; Bantal; Cermin; Guling; Jendela; Kipas Angin; Kursi; K. Mandi Dalam; Kloset Jongkok; Ember mandi; Bak mandi; WiFi; Penjaga Kos; R. Jemur; Dapur; Balcon; Jemuran; Pengurus Kos; R. Keluarga; CCTV; Parkir Motor; Parkir Sepeda"/>
    <n v="1000000"/>
    <s v="Rp1.000.000"/>
    <n v="0"/>
    <m/>
    <s v="Kos Campur"/>
    <m/>
    <m/>
  </r>
  <r>
    <s v="Kost IDEA House Cimanggis Depok"/>
    <x v="1"/>
    <x v="46"/>
    <n v="12"/>
    <s v="3 x 4 meter"/>
    <s v="Tidak termasuk listrik"/>
    <s v=""/>
    <s v="N/A"/>
    <s v="3 x 4 meter; Tidak termasuk listrik; AC; Kasur; Lemari Baju; Ventilasi; Cermin; Bantal; Guling; Jendela; K. Mandi Dalam; Kloset Duduk; Shower; Kulkas; R. Cuci; Penjaga Kos; R. Jemur; R. Santai; Dapur; Jemuran; Pengurus Kos; TV; Taman; Parkir Mobil; Parkir Motor; Parkir Sepeda"/>
    <n v="1600000"/>
    <s v="Rp1.600.000"/>
    <n v="0.17222222222222225"/>
    <d v="1899-12-30T04:08:00"/>
    <s v="Kos Campur"/>
    <m/>
    <m/>
  </r>
  <r>
    <s v="Kost Idea Tipe A Beji Depok"/>
    <x v="1"/>
    <x v="15"/>
    <n v="9"/>
    <s v="3 x 3 meter"/>
    <s v="Tidak termasuk listrik"/>
    <s v=""/>
    <s v="N/A"/>
    <s v="3 x 3 meter; Tidak termasuk listrik; AC; Kasur; Meja; Lemari Baju; Kursi; Cleaning service; Cermin; Kloset Duduk; K. Mandi Luar; WiFi; Kulkas; R. Tamu; Penjaga Kos; R. Makan; R. Jemur; R. Santai; Dapur; Dispenser; TV; Parkir Motor"/>
    <n v="1350000"/>
    <s v="Rp1.350.000"/>
    <n v="0.17222222222222225"/>
    <d v="1899-12-30T04:08:00"/>
    <s v="Kos Campur"/>
    <m/>
    <s v="Diskon 151rb"/>
  </r>
  <r>
    <s v="Kost Idea Tipe Deluxe Beji Depok"/>
    <x v="1"/>
    <x v="15"/>
    <n v="12"/>
    <s v="3 x 4 meter"/>
    <s v="Tidak termasuk listrik"/>
    <s v=""/>
    <s v="N/A"/>
    <s v="3 x 4 meter; Tidak termasuk listrik; AC; Kasur; Meja; Lemari Baju; Kursi; Cleaning service; K. Mandi Dalam; Kloset Duduk; Air panas; WiFi; Kulkas; R. Tamu; Penjaga Kos; R. Makan; R. Jemur; R. Santai; Dapur; Dispenser; Parkir Motor"/>
    <n v="1500000"/>
    <s v="Rp1.500.000"/>
    <n v="0.17222222222222225"/>
    <d v="1899-12-30T04:08:00"/>
    <s v="Kos Campur"/>
    <m/>
    <s v="Diskon 151rb"/>
  </r>
  <r>
    <s v="Kost Idea VIP Beji Depok"/>
    <x v="1"/>
    <x v="15"/>
    <n v="13.5"/>
    <s v="3 x 4.5 meter"/>
    <s v="Tidak termasuk listrik"/>
    <s v=""/>
    <s v="N/A"/>
    <s v="3 x 4.5 meter; Tidak termasuk listrik; AC; Kasur; Meja; Lemari Baju; Ventilasi; Bantal; Cermin; Cleaning service; Jendela; Kipas Angin; K. Mandi Dalam; Kloset Duduk; Air panas; WiFi; Kulkas; R. Tamu; Penjaga Kos; R. Makan; R. Jemur; R. Santai; Dapur; Dispenser; CCTV; Parkir Motor"/>
    <n v="1650000"/>
    <s v="Rp1.650.000"/>
    <n v="0.17291666666666669"/>
    <d v="1899-12-30T04:09:00"/>
    <s v="Kos Campur"/>
    <m/>
    <s v="Diskon 90rb"/>
  </r>
  <r>
    <s v="Kost Ijiq House Citeureup Bogor"/>
    <x v="0"/>
    <x v="161"/>
    <n v="9"/>
    <s v="3 x 3 meter"/>
    <s v="Tidak termasuk listrik"/>
    <s v=""/>
    <s v="N/A"/>
    <s v="3 x 3 meter; Tidak termasuk listrik; Kasur; Lemari Baju; Ventilasi; Bantal; Cermin; Guling; Jendela; Kipas Angin; K. Mandi Dalam; Kloset Duduk; Ember mandi; Bak mandi; WiFi; Kulkas; R. Tamu; R. Santai; Dapur; Dispenser; Balcon; Jemuran; Jual Makanan; Parkir Motor; Parkir Sepeda"/>
    <n v="900000"/>
    <s v="Rp900.000"/>
    <n v="0"/>
    <m/>
    <s v="Kos Putri"/>
    <m/>
    <m/>
  </r>
  <r>
    <s v="Kost Ijo W2k Syariah Tipe B Pinang Tangerang"/>
    <x v="6"/>
    <x v="105"/>
    <n v="24"/>
    <s v="8 x 3 meter"/>
    <s v="Tidak termasuk listrik"/>
    <s v=""/>
    <s v="N/A"/>
    <s v="8 x 3 meter; Tidak termasuk listrik; AC; Kasur; Meja; Lemari Baju; K. Mandi Dalam; Kloset Duduk; Shower; WiFi; Kulkas; R. Tamu; R. Makan; R. Jemur; R. Santai; Dapur; TV; Taman; R. Keluarga; Parkir Motor; Parkir Sepeda"/>
    <n v="1200000"/>
    <s v="Rp1.200.000"/>
    <n v="0"/>
    <m/>
    <s v="Kos Putri"/>
    <m/>
    <m/>
  </r>
  <r>
    <s v="Kost In Home Kelapa Gading Jakarta Utara"/>
    <x v="4"/>
    <x v="111"/>
    <n v="12"/>
    <s v="3 x 4 meter"/>
    <s v="Termasuk listrik (implied)"/>
    <s v=""/>
    <s v="N/A"/>
    <s v="3 x 4 meter; Termasuk listrik; AC; Kasur; Lemari Baju; Cleaning service; Bantal; Guling; Jendela; K. Mandi Dalam; Kloset Duduk; Kloset Jongkok; K. Mandi Luar; Wastafel; Shower; R. Tamu; Penjaga Kos; R. Makan; R. Jemur; Dapur; Balcon; Pengurus Kos; Parkir Mobil; Parkir Motor"/>
    <n v="2150000"/>
    <s v="Rp2.150.000"/>
    <n v="0"/>
    <m/>
    <s v="Kos Putri"/>
    <m/>
    <s v="Diskon 184rb"/>
  </r>
  <r>
    <s v="Kost Indah M2 Type Deluxe Palmerah Jakarta Barat"/>
    <x v="3"/>
    <x v="4"/>
    <n v="10"/>
    <s v="4 x 2.5 meter"/>
    <s v="Tidak termasuk listrik"/>
    <s v=""/>
    <s v="N/A"/>
    <s v="4 x 2.5 meter; Tidak termasuk listrik; AC; Kasur; Dispenser; Meja; Kulkas; Lemari Baju; Ventilasi; Bantal; Cermin; Dapur Pribadi; K. Mandi Dalam; Kloset Duduk; K. Mandi Luar; Wastafel; Shower; Air panas; WiFi; R. Cuci; R. Tamu; Mesin Cuci; R. Jemur; R. Makan; R. Santai; Dapur; Parkir Motor"/>
    <n v="2400000"/>
    <s v="Rp2.400.000"/>
    <n v="0.12916666666666668"/>
    <d v="1899-12-30T03:06:00"/>
    <s v="Kos Campur"/>
    <m/>
    <s v="Diskon 100rb"/>
  </r>
  <r>
    <s v="Kost Industri Tipe A Sawah Besar Jakarta Pusat"/>
    <x v="9"/>
    <x v="162"/>
    <n v="12"/>
    <s v="3 x 4 meter"/>
    <s v="Tidak termasuk listrik"/>
    <s v=""/>
    <s v="N/A"/>
    <s v="3 x 4 meter; Tidak termasuk listrik; AC; Kasur; Lemari Baju; Bantal; Cermin; Guling; K. Mandi Dalam; Kloset Duduk; Wastafel; Shower; WiFi; Balcon; CCTV; Parkir Motor"/>
    <n v="1600000"/>
    <s v="Rp1.600.000"/>
    <n v="0.16944444444444443"/>
    <d v="1899-12-30T04:04:00"/>
    <s v="Kos Campur"/>
    <m/>
    <s v="Diskon 112rb"/>
  </r>
  <r>
    <s v="Kost Infinity Jababeka Tipe Standar Non AC Cikarang Utara Bekasi"/>
    <x v="7"/>
    <x v="78"/>
    <n v="9"/>
    <s v="3 x 3 meter"/>
    <s v="Termasuk listrik (implied)"/>
    <s v=""/>
    <s v="N/A"/>
    <s v="3 x 3 meter; Termasuk listrik; Kasur; Lemari Baju; Ventilasi; Bantal; Jendela; Kloset Duduk; Ember mandi; Shower; Bak mandi; WiFi; Kulkas; R. Cuci; Penjaga Kos; R. Tamu; R. Jemur; R. Makan; R. Santai; Dapur; Balcon; Parkir Motor"/>
    <n v="700000"/>
    <s v="Rp700.000"/>
    <n v="0.16666666666666666"/>
    <d v="1899-12-30T04:00:00"/>
    <s v="Kos Campur"/>
    <m/>
    <m/>
  </r>
  <r>
    <s v="Kost Infinity Residence Tipe Standart Cikarang Utara Bekasi"/>
    <x v="7"/>
    <x v="78"/>
    <n v="9"/>
    <s v="3 x 3 meter"/>
    <s v="Tidak termasuk listrik"/>
    <s v=""/>
    <s v="N/A"/>
    <s v="3 x 3 meter; Tidak termasuk listrik; Kasur; Lemari Baju; Jendela; Kloset Jongkok; Shower; Bak mandi; WiFi; Kulkas; R. Tamu; R. Jemur; R. Santai; Dapur; CCTV; Gazebo; Jemuran; Pengurus Kos; Parkir Motor"/>
    <n v="615000"/>
    <s v="Rp615.000"/>
    <n v="0"/>
    <m/>
    <s v="Kos Campur"/>
    <m/>
    <m/>
  </r>
  <r>
    <s v="Kost Infinity Residence Tipe Standart Cikarang Utara Bekasi"/>
    <x v="7"/>
    <x v="78"/>
    <n v="9"/>
    <s v="3 x 3 meter"/>
    <s v="Tidak termasuk listrik"/>
    <s v=""/>
    <s v="N/A"/>
    <s v="3 x 3 meter; Tidak termasuk listrik; Kasur; Lemari Baju; Jendela"/>
    <n v="615000"/>
    <s v="Rp615.000"/>
    <n v="0"/>
    <m/>
    <s v="Kos Campur"/>
    <m/>
    <m/>
  </r>
  <r>
    <s v="Kost Infinity Residence Tipe Standart Cikarang Utara Bekasi"/>
    <x v="7"/>
    <x v="78"/>
    <n v="9"/>
    <s v="3 x 3 meter"/>
    <s v="Tidak termasuk listrik"/>
    <s v=""/>
    <s v="N/A"/>
    <s v="3 x 3 meter; Tidak termasuk listrik; Kloset Jongkok; Shower; Bak mandi; WiFi; Kulkas; R. Tamu; R. Jemur; R. Santai; Dapur; CCTV; Gazebo; Jemuran; Pengurus Kos"/>
    <n v="615000"/>
    <s v="Rp615.000"/>
    <n v="0"/>
    <m/>
    <s v="Kos Campur"/>
    <m/>
    <m/>
  </r>
  <r>
    <s v="Kost Inplus Kramatjati Jakarta Timur"/>
    <x v="8"/>
    <x v="163"/>
    <n v="9"/>
    <s v="3 x 3 meter"/>
    <s v="Tidak termasuk listrik"/>
    <s v=""/>
    <s v="N/A"/>
    <s v="3 x 3 meter; Tidak termasuk listrik; AC; Kasur; Lemari Baju; Ventilasi; Bantal; Guling; K. Mandi Dalam; Kloset Duduk; Ember mandi; Shower; WiFi; R. Cuci; Kulkas; Penjaga Kos; R. Jemur; R. Santai; Balcon; CCTV; Jual Makanan; Pengurus Kos; Parkir Motor"/>
    <n v="1200000"/>
    <s v="Rp1.200.000"/>
    <n v="0.20833333333333334"/>
    <d v="1899-12-30T05:00:00"/>
    <s v="Kos Campur"/>
    <m/>
    <m/>
  </r>
  <r>
    <s v="Kost IPA Ciracas Jakarta Timur"/>
    <x v="8"/>
    <x v="37"/>
    <n v="9"/>
    <s v="3 x 3 meter"/>
    <s v="Tidak termasuk listrik"/>
    <s v=""/>
    <s v="N/A"/>
    <s v="3 x 3 meter; Tidak termasuk listrik; AC; Kasur; Lemari Baju; Ventilasi; Bantal; Cermin; Jendela; Kipas Angin; K. Mandi Dalam; Kloset Duduk; Ember mandi; Shower; WiFi; Kulkas; Penjaga Kos; R. Tamu; R. Jemur; Dapur; Dispenser; Balcon; CCTV; Jemuran; Parkir Mobil; Parkir Motor; Parkir Sepeda; Parkir Motor &amp; Sepeda"/>
    <n v="1300000"/>
    <s v="Rp1.300.000"/>
    <n v="0"/>
    <m/>
    <s v="Kos Putri"/>
    <m/>
    <s v="Diskon 120rb"/>
  </r>
  <r>
    <s v="Kost Ismaya 86 Cinere Depok"/>
    <x v="1"/>
    <x v="124"/>
    <n v="12"/>
    <s v="3 x 4 meter"/>
    <s v="Tidak termasuk listrik"/>
    <s v=""/>
    <s v="N/A"/>
    <s v="3 x 4 meter; Tidak termasuk listrik; AC; Kasur; Dispenser; Lemari Baju; Bantal; K. Mandi Dalam; Kloset Jongkok; Shower; WiFi; Penjaga Kos; CCTV; Pengurus Kos; Parkir Motor; Parkir Sepeda"/>
    <n v="1300000"/>
    <s v="Rp1.300.000"/>
    <n v="0.20833333333333334"/>
    <d v="1899-12-30T05:00:00"/>
    <s v="Kos Campur"/>
    <m/>
    <m/>
  </r>
  <r>
    <s v="Kost IX Taman Sari Jakarta Pusat"/>
    <x v="9"/>
    <x v="149"/>
    <n v="9"/>
    <s v="3 x 3 meter"/>
    <s v="Tidak termasuk listrik"/>
    <s v=""/>
    <s v="N/A"/>
    <s v="3 x 3 meter; Tidak termasuk listrik; Kasur; Kloset Jongkok; K. Mandi Luar; Ember mandi"/>
    <n v="800000"/>
    <s v="Rp800.000"/>
    <n v="0.20833333333333334"/>
    <d v="1899-12-30T05:00:00"/>
    <s v="Kos Putra"/>
    <m/>
    <m/>
  </r>
  <r>
    <s v="Kost IX Taman Sari Jakarta Pusat"/>
    <x v="9"/>
    <x v="149"/>
    <n v="9"/>
    <s v="3 x 3 meter"/>
    <s v="Tidak termasuk listrik"/>
    <s v=""/>
    <s v="N/A"/>
    <s v="3 x 3 meter; Tidak termasuk listrik; Kasur; Kloset Jongkok; K. Mandi Luar; Ember mandi"/>
    <n v="800000"/>
    <s v="Rp800.000"/>
    <n v="0.12569444444444444"/>
    <d v="1899-12-30T03:01:00"/>
    <s v="Kos Putra"/>
    <m/>
    <m/>
  </r>
  <r>
    <s v="Kost J&amp;J Cikarang Timur Bekasi"/>
    <x v="7"/>
    <x v="112"/>
    <n v="9"/>
    <s v="3 x 3 meter"/>
    <s v="Tidak termasuk listrik"/>
    <s v=""/>
    <s v="N/A"/>
    <s v="3 x 3 meter; Tidak termasuk listrik; Kasur; Lemari Baju; Ventilasi; Bantal; Cermin; Guling; Jendela; Kloset Jongkok; K. Mandi Luar; Ember mandi; Bak mandi; WiFi; Kulkas; R. Cuci; R. Jemur; Dapur; Jemuran; Parkir Motor; Parkir Sepeda"/>
    <n v="700000"/>
    <s v="Rp700.000"/>
    <n v="0"/>
    <m/>
    <s v="Kos Putri"/>
    <m/>
    <m/>
  </r>
  <r>
    <s v="Kost Jababeka Cikarang Utara Bekasi"/>
    <x v="7"/>
    <x v="78"/>
    <n v="12"/>
    <s v="3 x 4 meter"/>
    <s v="Tidak termasuk listrik"/>
    <s v=""/>
    <s v="N/A"/>
    <s v="3 x 4 meter; Tidak termasuk listrik; AC; Kasur; Meja; Lemari Baju; Ventilasi; Bantal; Guling; Jendela; K. Mandi Dalam; Kloset Jongkok; WiFi; R. Cuci; Kulkas; R. Jemur; Dapur; Balcon; Pengurus Kos; Jemuran; Parkir Mobil; Parkir Motor; Parkir Sepeda"/>
    <n v="1100000"/>
    <s v="Rp1.100.000"/>
    <n v="0.20833333333333334"/>
    <d v="1899-12-30T05:00:00"/>
    <s v="Kos Putra"/>
    <m/>
    <m/>
  </r>
  <r>
    <s v="Kost Jabusimo Tanjung Priok Jakarta Utara"/>
    <x v="4"/>
    <x v="5"/>
    <n v="12.25"/>
    <s v="3.5 x 3.5 meter"/>
    <s v="Tidak termasuk listrik"/>
    <s v=""/>
    <s v="N/A"/>
    <s v="3.5 x 3.5 meter; Tidak termasuk listrik; AC; Kasur; Meja; Meja Rias; Lemari Baju; Ventilasi; Kursi; Cleaning service; Bantal; Cermin; K. Mandi Dalam; Kloset Duduk; Shower; WiFi; R. Cuci; R. Tamu; R. Jemur; R. Santai; Dapur; R. Keluarga; Gazebo; Balcon; CCTV; Parkir Mobil; Parkir Motor; Parkir Sepeda"/>
    <n v="2000000"/>
    <s v="Rp2.000.000"/>
    <n v="0"/>
    <m/>
    <s v="Kos Campur"/>
    <m/>
    <m/>
  </r>
  <r>
    <s v="Kost Jabutta Living Tanjung Priok Jakarta Utara"/>
    <x v="4"/>
    <x v="10"/>
    <n v="18"/>
    <s v="4 x 4.5 meter"/>
    <s v="Tidak termasuk listrik"/>
    <s v=""/>
    <s v="N/A"/>
    <s v="4 x 4.5 meter; Tidak termasuk listrik; AC; Kasur; Dispenser; Meja; Meja Rias; TV; Kulkas; Lemari Baju; Bantal; Cermin; K. Mandi Dalam; Kloset Duduk; Wastafel; Shower; Air panas; WiFi; Penjaga Kos; R. Santai; CCTV; Gazebo; Pengurus Kos; Rooftop; Parkir Mobil; Parkir Motor"/>
    <n v="3300000"/>
    <s v="Rp3.300.000"/>
    <n v="0"/>
    <m/>
    <s v="Kos Campur"/>
    <m/>
    <m/>
  </r>
  <r>
    <s v="Kost Jalan Alternatif IPB Tipe A Dramaga Bogor"/>
    <x v="0"/>
    <x v="73"/>
    <n v="12"/>
    <s v="3 x 4 meter"/>
    <s v="Tidak termasuk listrik"/>
    <s v=""/>
    <s v="N/A"/>
    <s v="3 x 4 meter; Tidak termasuk listrik; AC; Kasur; Meja; TV; Lemari Baju; Ventilasi; Kursi; TV Kabel; Bantal; Cermin; K. Mandi Dalam; Kloset Duduk; Shower; Air panas; WiFi; R. Tamu; Penjaga Kos; Mushola; Taman; Gazebo; Jual Makanan; Pengurus Kos; Parkir Mobil; Parkir Motor; Parkir Sepeda"/>
    <n v="1925000"/>
    <s v="Rp1.925.000"/>
    <n v="0"/>
    <m/>
    <s v="Kos Putra"/>
    <m/>
    <m/>
  </r>
  <r>
    <s v="Kost Jalan Alternatif IPB Tipe B Dramaga Bogor"/>
    <x v="0"/>
    <x v="73"/>
    <n v="12"/>
    <s v="3 x 4 meter"/>
    <s v="Tidak termasuk listrik"/>
    <s v=""/>
    <s v="N/A"/>
    <s v="3 x 4 meter; Tidak termasuk listrik; AC; Kasur; Meja; TV; Lemari Baju; Kulkas; Ventilasi; Kursi; TV Kabel; Bantal; K. Mandi Dalam; Kloset Duduk; Shower; Air panas; WiFi; R. Tamu; Penjaga Kos; R. Jemur; Mushola; Dispenser; Taman; Gazebo; Jual Makanan; Pengurus Kos; Parkir Mobil; Parkir Motor; Parkir Sepeda"/>
    <n v="1600000"/>
    <s v="Rp1.600.000"/>
    <n v="0"/>
    <m/>
    <s v="Kos Putri"/>
    <m/>
    <m/>
  </r>
  <r>
    <s v="Kost Jalan Merah Jambu Kelapa Gading Jakarta Utara"/>
    <x v="4"/>
    <x v="111"/>
    <n v="12"/>
    <s v="3 x 4 meter"/>
    <s v="Tidak termasuk listrik"/>
    <s v=""/>
    <s v="N/A"/>
    <s v="3 x 4 meter; Tidak termasuk listrik; AC; Kasur; Lemari Baju; Bantal; Kloset Duduk; K. Mandi Luar; Wastafel; Shower; Air panas; WiFi; Kulkas; R. Tamu; Laundry; R. Makan; Balcon; Parkir Motor"/>
    <n v="1400000"/>
    <s v="Rp1.400.000"/>
    <n v="0.20833333333333334"/>
    <d v="1899-12-30T05:00:00"/>
    <s v="Kos Campur"/>
    <m/>
    <s v="Diskon 100rb"/>
  </r>
  <r>
    <s v="Kost Jambu Asri Ciputat Timur Tangerang Selatan"/>
    <x v="2"/>
    <x v="52"/>
    <n v="27"/>
    <s v="9 x 3 meter"/>
    <s v="Tidak termasuk listrik"/>
    <s v=""/>
    <s v="N/A"/>
    <s v="9 x 3 meter; Tidak termasuk listrik; AC; Ventilasi; Dapur Pribadi; Jendela; K. Mandi Dalam; Kloset Duduk; Shower; R. Tamu; R. Jemur; Dapur; Locker; Taman; Balcon; Parkir Mobil; Parkir Motor"/>
    <n v="2000000"/>
    <s v="Rp2.000.000"/>
    <n v="0.17083333333333331"/>
    <d v="1899-12-30T04:06:00"/>
    <s v="Kos Campur"/>
    <m/>
    <m/>
  </r>
  <r>
    <s v="Kost Janur Kuning Silver Kelapa Gading Jakarta Utara"/>
    <x v="4"/>
    <x v="79"/>
    <n v="9"/>
    <s v="3 x 3 meter"/>
    <s v="Tidak termasuk listrik"/>
    <s v=""/>
    <s v="N/A"/>
    <s v="3 x 3 meter; Tidak termasuk listrik; AC; Kasur; Meja; Lemari Baju; Bantal; Cermin; Guling; Kursi; Wastafel; Kloset Duduk; K. Mandi Luar; Shower; WiFi; Kulkas; R. Cuci; Laundry; Mesin Cuci; R. Tamu; Penjaga Kos; R. Jemur; R. Makan; R. Santai; Parkir Mobil; Parkir Motor"/>
    <n v="1350000"/>
    <s v="Rp1.350.000"/>
    <n v="0.20833333333333334"/>
    <d v="1899-12-30T05:00:00"/>
    <s v="Kos Campur"/>
    <m/>
    <m/>
  </r>
  <r>
    <s v="Kost Jati 77 Tangerang Tangerang"/>
    <x v="6"/>
    <x v="22"/>
    <n v="9"/>
    <s v="3 x 3 meter"/>
    <s v="Tidak termasuk listrik"/>
    <s v=""/>
    <s v="N/A"/>
    <s v="3 x 3 meter; Tidak termasuk listrik; AC; Kasur; Lemari Baju; Meja makan; Bantal; Guling; K. Mandi Dalam; Kloset Duduk; Shower; WiFi; R. Cuci; Kulkas; R. Tamu; R. Makan; R. Jemur; Dapur; Dispenser; Jemuran; CCTV; Parkir Mobil; Parkir Motor; Parkir Sepeda"/>
    <n v="1700000"/>
    <s v="Rp1.700.000"/>
    <n v="0.16666666666666666"/>
    <d v="1899-12-30T04:00:00"/>
    <s v="Kos Campur"/>
    <m/>
    <s v="Diskon 90rb"/>
  </r>
  <r>
    <s v="Kost Jayakarta Tipe A Senen Jakarta Pusat"/>
    <x v="9"/>
    <x v="68"/>
    <n v="12"/>
    <s v="3 x 4 meter"/>
    <s v="Tidak termasuk listrik"/>
    <s v=""/>
    <s v="N/A"/>
    <s v="3 x 4 meter; Tidak termasuk listrik; AC; Kasur; Dispenser; Meja; Kulkas; Lemari Baju; Ventilasi; Guling; Jendela; Kursi; K. Mandi Dalam; Kloset Duduk; Wastafel; Shower; Air panas; WiFi; R. Cuci; Mesin Cuci; Penjaga Kos; R. Jemur; R. Makan; Dapur; CCTV; Parkir Mobil; Parkir Motor"/>
    <n v="2300000"/>
    <s v="Rp2.300.000"/>
    <n v="0.17083333333333331"/>
    <d v="1899-12-30T04:06:00"/>
    <s v="Kos Campur"/>
    <m/>
    <m/>
  </r>
  <r>
    <s v="Kost Jefa House Tipe B Sukaraja Bogor"/>
    <x v="0"/>
    <x v="164"/>
    <n v="12.25"/>
    <s v="3.5 x 3.5 meter"/>
    <s v="Termasuk listrik (implied)"/>
    <s v=""/>
    <s v="N/A"/>
    <s v="3.5 x 3.5 meter; Termasuk listrik; Kasur; Meja; Lemari Baju; Kursi; Cermin; Jendela; Bantal; K. Mandi Dalam; Kloset Jongkok; K. Mandi Luar; WiFi; Kulkas; R. Cuci; R. Jemur; Dapur; CCTV; Pengurus Kos; Jemuran; Parkir Motor"/>
    <n v="600000"/>
    <s v="Rp600.000"/>
    <n v="0"/>
    <m/>
    <s v="Kos Putri"/>
    <m/>
    <m/>
  </r>
  <r>
    <s v="Kost Jessie Tanjung Priok Jakarta Utara"/>
    <x v="4"/>
    <x v="5"/>
    <n v="9"/>
    <s v="3 x 3 meter"/>
    <s v="Tidak termasuk listrik"/>
    <s v=""/>
    <s v="N/A"/>
    <s v="3 x 3 meter; Tidak termasuk listrik; Ventilasi; Jendela; K. Mandi Dalam; Kloset Jongkok; Shower; WiFi; R. Cuci; R. Jemur; Dapur; CCTV; Jemuran; Pengurus Kos; Parkir Motor; Parkir Sepeda"/>
    <n v="800000"/>
    <s v="Rp800.000"/>
    <n v="0"/>
    <m/>
    <s v="Kos Putri"/>
    <m/>
    <m/>
  </r>
  <r>
    <s v="Kost JGC Tipe B Cakung Jakarta Timur"/>
    <x v="8"/>
    <x v="48"/>
    <n v="4"/>
    <s v="2 x 2 meter"/>
    <s v="Tidak termasuk listrik"/>
    <s v=""/>
    <s v="N/A"/>
    <s v="2 x 2 meter; Tidak termasuk listrik; AC; Kulkas; Ventilasi; Bantal; Guling; Jendela; Kloset Duduk; K. Mandi Luar; Ember mandi; Shower; R. Cuci; R. Tamu; R. Jemur; R. Makan; Dapur; CCTV; Jemuran; Taman; Parkir Mobil; Parkir Motor; Parkir Sepeda"/>
    <n v="1250000"/>
    <s v="Rp1.250.000"/>
    <n v="0"/>
    <m/>
    <s v="Kos Putri"/>
    <m/>
    <m/>
  </r>
  <r>
    <s v="Kost JGC Tipe B Cakung Jakarta Timur"/>
    <x v="8"/>
    <x v="48"/>
    <e v="#VALUE!"/>
    <s v="N/A"/>
    <s v="N/A"/>
    <s v=""/>
    <s v="N/A"/>
    <s v=""/>
    <n v="1250000"/>
    <s v="Rp1.250.000"/>
    <n v="0"/>
    <m/>
    <s v="Kos Putri"/>
    <m/>
    <m/>
  </r>
  <r>
    <s v="Kost JJ Neo Solitaire VIP Grogol Petamburan Jakarta Barat"/>
    <x v="3"/>
    <x v="82"/>
    <n v="14"/>
    <s v="3.5 x 4 meter"/>
    <s v="Tidak termasuk listrik"/>
    <s v=""/>
    <s v="N/A"/>
    <s v="3.5 x 4 meter; Tidak termasuk listrik; AC; Kasur; Meja; TV; Kulkas; Lemari Baju; Ventilasi; Bantal; Cermin; Cleaning service; K. Mandi Dalam; Kloset Duduk; Wastafel; Shower; Air panas; WiFi; Mesin Cuci; Penjaga Kos; R. Jemur; R. Makan; R. Santai; Dapur; CCTV; Jemuran; Balcon; Parkir Motor; Parkir Motor &amp; Sepeda"/>
    <n v="2370000"/>
    <s v="Rp2.370.000"/>
    <n v="0.20833333333333334"/>
    <d v="1899-12-30T05:00:00"/>
    <s v="Kos Campur"/>
    <m/>
    <m/>
  </r>
  <r>
    <s v="Kost JJ Soho Solitaire Soho VIP Grogol Petamburan Jakarta Barat"/>
    <x v="3"/>
    <x v="13"/>
    <n v="12"/>
    <s v="2 x 6 meter"/>
    <s v="Tidak termasuk listrik"/>
    <s v=""/>
    <s v="N/A"/>
    <s v="2 x 6 meter; Tidak termasuk listrik; AC; Kasur; Meja; TV; Lemari Baju; Ventilasi; Bantal; Cermin; Cleaning service; Jendela; K. Mandi Dalam; Kloset Duduk; Wastafel; Shower; Air panas; WiFi; R. Cuci; Mesin Cuci; Penjaga Kos; R. Jemur; R. Makan; R. Santai; Dapur; Balcon; CCTV; Parkir Motor"/>
    <n v="2380000"/>
    <s v="Rp2.380.000"/>
    <n v="0.13055555555555556"/>
    <d v="1899-12-30T03:08:00"/>
    <s v="Kos Campur"/>
    <m/>
    <m/>
  </r>
  <r>
    <s v="Kost Jj Tipe B Babakan Madang Bogor"/>
    <x v="0"/>
    <x v="0"/>
    <n v="12"/>
    <s v="3 x 4 meter"/>
    <s v="Termasuk listrik (implied)"/>
    <s v=""/>
    <s v="N/A"/>
    <s v="3 x 4 meter; Termasuk listrik; Kasur; Lemari Baju; Kulkas; Kipas Angin; Bantal; Cermin; Guling; Jendela; K. Mandi Luar; Ember mandi; Shower; WiFi; R. Tamu; Mesin Cuci; R. Jemur; R. Santai; Dapur; Dispenser; CCTV; Parkir Motor; Parkir Sepeda"/>
    <n v="850000"/>
    <s v="Rp850.000"/>
    <n v="0"/>
    <m/>
    <s v="Kos Putri"/>
    <m/>
    <m/>
  </r>
  <r>
    <s v="Kost Jl Ciangsana Raya Ciangsana Bogor"/>
    <x v="0"/>
    <x v="95"/>
    <n v="18"/>
    <s v="3 x 6 meter"/>
    <s v="Tidak termasuk listrik"/>
    <s v=""/>
    <s v="N/A"/>
    <s v="3 x 6 meter; Tidak termasuk listrik; K. Mandi Dalam; Kloset Jongkok; R. Tamu; Parkir Motor; Parkir Sepeda"/>
    <n v="800000"/>
    <s v="Rp800.000"/>
    <n v="0"/>
    <m/>
    <s v="Kos Campur"/>
    <m/>
    <m/>
  </r>
  <r>
    <s v="Kost Jl Durian Tipe A Tambun Selatan Bekasi"/>
    <x v="7"/>
    <x v="113"/>
    <n v="9"/>
    <s v="3 x 3 meter"/>
    <s v="Tidak termasuk listrik"/>
    <s v=""/>
    <s v="N/A"/>
    <s v="3 x 3 meter; Tidak termasuk listrik; Kasur; Dispenser; Lemari Baju; Kulkas; Cleaning service; Kloset Duduk; Kloset Jongkok; Wastafel; Shower; Bak mandi; WiFi; R. Cuci; Laundry; R. Jemur; Dapur; Taman; Balcon; K. Mandi Luar; Parkir Mobil; Parkir Motor"/>
    <n v="550000"/>
    <s v="Rp550.000"/>
    <n v="0"/>
    <m/>
    <s v="Kos Putri"/>
    <m/>
    <m/>
  </r>
  <r>
    <s v="Kost JM Mutiara Batuceper Tangerang"/>
    <x v="6"/>
    <x v="157"/>
    <n v="12"/>
    <s v="3 x 4 meter"/>
    <s v="Tidak termasuk listrik"/>
    <s v=""/>
    <s v="N/A"/>
    <s v="3 x 4 meter; Tidak termasuk listrik; AC; Kasur; Meja; Lemari Baju; Ventilasi; Bantal; Cermin; Guling; Jendela; K. Mandi Dalam; Kloset Duduk; Shower; Air panas; WiFi; Kulkas; R. Cuci; R. Jemur; Dapur; Dispenser; Balcon; CCTV; Jemuran; K. Mandi Luar; Parkir Motor"/>
    <n v="1700000"/>
    <s v="Rp1.700.000"/>
    <n v="0.17222222222222225"/>
    <d v="1899-12-30T04:08:00"/>
    <s v="Kos Campur"/>
    <m/>
    <s v="Diskon 90rb"/>
  </r>
  <r>
    <s v="Kost Jm Tanah Tinggi Tangerang"/>
    <x v="6"/>
    <x v="22"/>
    <n v="9"/>
    <s v="3 x 3 meter"/>
    <s v="Tidak termasuk listrik"/>
    <s v=""/>
    <s v="N/A"/>
    <s v="3 x 3 meter; Tidak termasuk listrik; AC; Kasur; Meja; Lemari Baju; Ventilasi; Bantal; Guling; Jendela; Kursi; K. Mandi Dalam; Kloset Duduk; K. Mandi Luar; Shower; Air panas; WiFi; Kulkas; R. Cuci; R. Jemur; Dapur; Dispenser; Balcon; CCTV; Jemuran; Parkir Mobil; Parkir Motor"/>
    <n v="1500000"/>
    <s v="Rp1.500.000"/>
    <n v="0"/>
    <m/>
    <s v="Kos Putra"/>
    <m/>
    <m/>
  </r>
  <r>
    <s v="Kost JM Tipe A Batuceper Tangerang"/>
    <x v="6"/>
    <x v="165"/>
    <n v="12"/>
    <s v="3 x 4 meter"/>
    <s v="Tidak termasuk listrik"/>
    <s v=""/>
    <s v="N/A"/>
    <s v="3 x 4 meter; Tidak termasuk listrik; AC; Kasur; Meja; Lemari Baju; Kursi; Kloset Duduk; K. Mandi Luar; Wastafel; Shower; WiFi; R. Cuci; Kulkas; R. Makan; R. Jemur; R. Santai; Dapur; TV; Parkir Motor; Parkir Sepeda"/>
    <n v="1250000"/>
    <s v="Rp1.250.000"/>
    <n v="0.17222222222222225"/>
    <d v="1899-12-30T04:08:00"/>
    <s v="Kos Campur"/>
    <m/>
    <m/>
  </r>
  <r>
    <s v="Kost JNI Tipe A Cakung Jakarta Timur"/>
    <x v="8"/>
    <x v="119"/>
    <n v="9"/>
    <s v="3 x 3 meter"/>
    <s v="Tidak termasuk listrik"/>
    <s v=""/>
    <s v="N/A"/>
    <s v="3 x 3 meter; Tidak termasuk listrik; AC; Kasur; Meja; Lemari Baju; Jendela; Kursi; Bantal; Guling; K. Mandi Dalam; Kloset Duduk; Shower; WiFi; Kulkas; R. Jemur; Dapur; Jemuran; Rooftop; Parkir Motor"/>
    <n v="1700000"/>
    <s v="Rp1.700.000"/>
    <n v="0.17291666666666669"/>
    <d v="1899-12-30T04:09:00"/>
    <s v="Kos Campur"/>
    <m/>
    <s v="Diskon 170rb"/>
  </r>
  <r>
    <s v="Kost Joaliv 45 Pulo Gadung Jakarta Timur"/>
    <x v="8"/>
    <x v="32"/>
    <n v="9"/>
    <s v="3 x 3 meter"/>
    <s v="Tidak termasuk listrik"/>
    <s v=""/>
    <s v="N/A"/>
    <s v="3 x 3 meter; Tidak termasuk listrik; AC; Kasur; Lemari Baju; Ventilasi; Bantal; Jendela; K. Mandi Dalam; Kloset Duduk; Shower; WiFi; Kulkas; Dapur; CCTV; Gazebo; Parkir Motor; Parkir Sepeda"/>
    <n v="1600000"/>
    <s v="Rp1.600.000"/>
    <n v="8.4027777777777771E-2"/>
    <d v="1899-12-30T02:01:00"/>
    <s v="Kos Putri"/>
    <m/>
    <m/>
  </r>
  <r>
    <s v="Kost Johar Indah Tipe B Limus Pratama Cileungsi Bogor"/>
    <x v="0"/>
    <x v="31"/>
    <n v="13.5"/>
    <s v="3 x 4.5 meter"/>
    <s v="Tidak termasuk listrik"/>
    <s v=""/>
    <s v="N/A"/>
    <s v="3 x 4.5 meter; Tidak termasuk listrik; AC; Kasur; Lemari Baju; Wastafel; K. Mandi Dalam; Kloset Duduk; Shower; R. Tamu; R. Jemur; Dapur; Parkir Mobil; Parkir Motor; Parkir Sepeda"/>
    <n v="2250000"/>
    <s v="Rp2.250.000"/>
    <n v="0"/>
    <m/>
    <s v="Kos Campur"/>
    <m/>
    <m/>
  </r>
  <r>
    <s v="Kost Johar Indah Tipe D Cileungsi Bogor"/>
    <x v="0"/>
    <x v="31"/>
    <n v="9"/>
    <s v="3 x 3 meter"/>
    <s v="Tidak termasuk listrik"/>
    <s v=""/>
    <s v="N/A"/>
    <s v="3 x 3 meter; Tidak termasuk listrik; AC; Kasur; Lemari Baju; Kloset Duduk; Shower; R. Tamu; R. Jemur; Dapur; Parkir Mobil; Parkir Motor; Parkir Sepeda"/>
    <n v="1500000"/>
    <s v="Rp1.500.000"/>
    <n v="0.20833333333333334"/>
    <d v="1899-12-30T05:00:00"/>
    <s v="Kos Campur"/>
    <m/>
    <m/>
  </r>
  <r>
    <s v="Kost Joppa Residence Villa Melati Mas BSD Double Bed Serpong Utara Tangerang Selatan"/>
    <x v="2"/>
    <x v="3"/>
    <n v="12"/>
    <s v="3 x 4 meter"/>
    <s v="Tidak termasuk listrik"/>
    <s v=""/>
    <s v="N/A"/>
    <s v="3 x 4 meter; Tidak termasuk listrik; AC; Kasur; Meja; TV; Lemari Baju; Ventilasi; Kursi; Wastafel; Meja makan; Bantal; K. Mandi Dalam; Kloset Duduk; Shower; Air panas; WiFi; Kulkas; R. Tamu; Penjaga Kos; R. Makan; R. Jemur; R. Santai; Dapur; Dispenser; Parkir Mobil; Parkir Motor; Parkir Sepeda"/>
    <n v="1800000"/>
    <s v="Rp1.800.000"/>
    <n v="0.20833333333333334"/>
    <d v="1899-12-30T05:00:00"/>
    <s v="Kos Campur"/>
    <m/>
    <m/>
  </r>
  <r>
    <s v="Kost Jordan MM2100 Tipe A Cikarang Barat Bekasi"/>
    <x v="7"/>
    <x v="19"/>
    <n v="12"/>
    <s v="3 x 4 meter"/>
    <s v="Tidak termasuk listrik"/>
    <s v=""/>
    <s v="N/A"/>
    <s v="3 x 4 meter; Tidak termasuk listrik; Kasur; Dispenser; Meja; TV; Lemari Baju; Ventilasi; Kursi; Kipas Angin; Bantal; Cermin; K. Mandi Dalam; Kloset Jongkok; Ember mandi; Shower; WiFi; Penjaga Kos; R. Jemur; Balcon; CCTV; Jemuran; Parkir Motor"/>
    <n v="900000"/>
    <s v="Rp900.000"/>
    <n v="8.3333333333333329E-2"/>
    <d v="1899-12-30T02:00:00"/>
    <s v="Kos Campur"/>
    <m/>
    <m/>
  </r>
  <r>
    <s v="Kost Joyo 1 Tipe Standard Pesanggrahan Jakarta Selatan"/>
    <x v="5"/>
    <x v="166"/>
    <n v="9"/>
    <s v="3 x 3 meter"/>
    <s v="Tidak termasuk listrik"/>
    <s v=""/>
    <s v="N/A"/>
    <s v="3 x 3 meter; Tidak termasuk listrik; AC; Kasur; Meja; TV; Lemari Baju; Ventilasi; Bantal; Cermin; Kursi; TV Kabel; K. Mandi Dalam; Kloset Duduk; Wastafel; Shower; Air panas; WiFi; Kulkas; Penjaga Kos; R. Makan; R. Santai; Dapur; Dispenser; CCTV; Jemuran; Pengurus Kos; Parkir Mobil; Parkir Motor"/>
    <n v="2000000"/>
    <s v="Rp2.000.000"/>
    <n v="0"/>
    <m/>
    <s v="Kos Campur"/>
    <m/>
    <m/>
  </r>
  <r>
    <s v="Kost Joyo Cempaka Putih Jakarta Pusat"/>
    <x v="9"/>
    <x v="51"/>
    <n v="9"/>
    <s v="3 x 3 meter"/>
    <s v="Tidak termasuk listrik"/>
    <s v=""/>
    <s v="N/A"/>
    <s v="3 x 3 meter; Tidak termasuk listrik; AC; Kasur; Meja; TV; Lemari Baju; Ventilasi; Kursi; Cleaning service; TV Kabel; Sofa; K. Mandi Dalam; Kloset Duduk; Shower; Air panas; WiFi; Kulkas; R. Tamu; Penjaga Kos; Mesin Cuci; R. Makan; R. Santai; Dapur; Taman; Parkir Mobil; Parkir Motor; Parkir Sepeda"/>
    <n v="2500000"/>
    <s v="Rp2.500.000"/>
    <n v="0.20833333333333334"/>
    <d v="1899-12-30T05:00:00"/>
    <s v="Kos Campur"/>
    <m/>
    <m/>
  </r>
  <r>
    <s v="Kost Joyo Premium Tipe B Kelapa Gading Jakarta Utara"/>
    <x v="4"/>
    <x v="79"/>
    <n v="9"/>
    <s v="3 x 3 meter"/>
    <s v="Tidak termasuk listrik"/>
    <s v=""/>
    <s v="N/A"/>
    <s v="3 x 3 meter; Tidak termasuk listrik; AC; Kasur; Meja; TV; Lemari Baju; Ventilasi; Wastafel; Cleaning service; TV Kabel; Bantal; K. Mandi Dalam; Kloset Duduk; Shower; Air panas; WiFi; Kulkas; R. Tamu; Mesin Cuci; Laundry; R. Makan; Dapur; Dispenser; Balcon; Parkir Mobil; Parkir Sepeda; Parkir Motor"/>
    <n v="2250000"/>
    <s v="Rp2.250.000"/>
    <n v="0"/>
    <m/>
    <s v="Kos Campur"/>
    <m/>
    <m/>
  </r>
  <r>
    <s v="Kost Joyo Signature Deluxe Twin Suite Cempaka Putih Jakarta Pusat"/>
    <x v="9"/>
    <x v="51"/>
    <n v="25"/>
    <s v="5 x 5 meter"/>
    <s v="Tidak termasuk listrik"/>
    <s v=""/>
    <s v="N/A"/>
    <s v="5 x 5 meter; Tidak termasuk listrik; AC; Kasur; Meja; TV; Lemari Baju; Ventilasi; Bantal; Cermin; Jendela; Kursi; K. Mandi Dalam; Kloset Duduk; Wastafel; Shower; Air panas; WiFi; Kulkas; Mesin Cuci; Penjaga Kos; R. Makan; R. Santai; Dapur; Dispenser; Balcon; CCTV; Parkir Mobil; Parkir Motor; Parkir Sepeda; Parkir Motor &amp; Sepeda"/>
    <n v="4000000"/>
    <s v="Rp4.000.000"/>
    <n v="0"/>
    <m/>
    <s v="Kos Campur"/>
    <m/>
    <m/>
  </r>
  <r>
    <s v="Kost Joyo Signature Deluxe Twin Suite Cempaka Putih Jakarta Pusat"/>
    <x v="9"/>
    <x v="51"/>
    <n v="25"/>
    <s v="5 x 5 meter"/>
    <s v="Tidak termasuk listrik"/>
    <s v=""/>
    <s v="N/A"/>
    <s v="5 x 5 meter; Tidak termasuk listrik; AC; Kasur; Meja; TV; Lemari Baju; Ventilasi; Bantal; Cermin; Jendela; Kursi; K. Mandi Dalam; Kloset Duduk; Wastafel; Shower; Air panas; WiFi; Kulkas; Mesin Cuci; Penjaga Kos; R. Makan; R. Santai; Dapur; Dispenser; Balcon; CCTV"/>
    <n v="4000000"/>
    <s v="Rp4.000.000"/>
    <n v="0"/>
    <m/>
    <s v="Kos Campur"/>
    <m/>
    <m/>
  </r>
  <r>
    <s v="Kost Joyo Signature Premier Suite Cempaka Putih Jakarta Pusat"/>
    <x v="9"/>
    <x v="51"/>
    <n v="30"/>
    <s v="5 x 6 meter"/>
    <s v="Tidak termasuk listrik"/>
    <s v=""/>
    <s v="N/A"/>
    <s v="5 x 6 meter; Tidak termasuk listrik; AC; Kasur; Meja; TV; Lemari Baju; Ventilasi; Bantal; Cermin; Jendela; Kursi; K. Mandi Dalam; Kloset Duduk; Wastafel; Shower; Air panas; WiFi; Kulkas; Mesin Cuci; Penjaga Kos; R. Makan; R. Santai; Dapur; Dispenser; Balcon; CCTV; Parkir Mobil; Parkir Motor; Parkir Sepeda; Parkir Motor &amp; Sepeda"/>
    <n v="4500000"/>
    <s v="Rp4.500.000"/>
    <n v="0"/>
    <m/>
    <s v="Kos Campur"/>
    <m/>
    <m/>
  </r>
  <r>
    <s v="Kost Joyo Signature Tipe Standard Cempaka Putih Jakarta Pusat"/>
    <x v="9"/>
    <x v="51"/>
    <n v="9"/>
    <s v="3 x 3 meter"/>
    <s v="Tidak termasuk listrik"/>
    <s v=""/>
    <s v="N/A"/>
    <s v="3 x 3 meter; Tidak termasuk listrik; AC; Kasur; Meja; TV; Lemari Baju; Bantal; Cermin; Jendela; Kursi; TV Kabel; K. Mandi Dalam; Kloset Duduk; Wastafel; Shower; Air panas; WiFi; Kulkas; Mesin Cuci; Penjaga Kos; R. Makan; R. Santai; Dapur; Dispenser; Balcon; CCTV; Parkir Mobil; Parkir Motor; Parkir Sepeda; Parkir Motor &amp; Sepeda"/>
    <n v="2500000"/>
    <s v="Rp2.500.000"/>
    <n v="0.20833333333333334"/>
    <d v="1899-12-30T05:00:00"/>
    <s v="Kos Campur"/>
    <m/>
    <m/>
  </r>
  <r>
    <s v="Kost Junita Executive Babelan Bekasi"/>
    <x v="7"/>
    <x v="155"/>
    <n v="12"/>
    <s v="3 x 4 meter"/>
    <s v="Tidak termasuk listrik"/>
    <s v=""/>
    <s v="N/A"/>
    <s v="3 x 4 meter; Tidak termasuk listrik; Kasur; Dispenser; Meja; Lemari Baju; Ventilasi; Jendela; Kipas Angin; Kursi; Meja makan; Wastafel; K. Mandi Dalam; Kloset Duduk; K. Mandi Luar; Ember mandi; Shower; WiFi; Penjaga Kos; R. Tamu; R. Jemur; Dapur; Jemuran; Parkir Motor"/>
    <n v="600000"/>
    <s v="Rp600.000"/>
    <n v="0"/>
    <m/>
    <s v="Kos Campur"/>
    <m/>
    <m/>
  </r>
  <r>
    <s v="Kost Just Me 2 Cikarang Selatan Bekasi"/>
    <x v="7"/>
    <x v="27"/>
    <n v="7.5"/>
    <s v="3 x 2.5 meter"/>
    <s v="Tidak termasuk listrik"/>
    <s v=""/>
    <s v="N/A"/>
    <s v="3 x 2.5 meter; Tidak termasuk listrik; AC; Kasur; Meja; Lemari Baju; Ventilasi; Cermin; Bantal; Cleaning service; Guling; Jendela; K. Mandi Dalam; Kloset Duduk; Wastafel; Shower; Air panas; WiFi; Kulkas; R. Cuci; Laundry; Mesin Cuci; Penjaga Kos; R. Tamu; R. Jemur; R. Makan; R. Santai; Parkir Mobil; Parkir Motor; Parkir Sepeda; Parkir Motor &amp; Sepeda"/>
    <n v="1200000"/>
    <s v="Rp1.200.000"/>
    <n v="0"/>
    <m/>
    <s v="Kos Campur"/>
    <m/>
    <m/>
  </r>
  <r>
    <s v="Kost K Maya Cinere Depok"/>
    <x v="1"/>
    <x v="124"/>
    <n v="9"/>
    <s v="3 x 3 meter"/>
    <s v="Termasuk listrik (implied)"/>
    <s v=""/>
    <s v="N/A"/>
    <s v="3 x 3 meter; Termasuk listrik; Kasur; Meja; Lemari Baju; Ventilasi; Bantal; Guling; Jendela; Kursi; K. Mandi Dalam; Kloset Jongkok; Ember mandi; WiFi; Kulkas; R. Tamu; R. Jemur; R. Makan; Dapur; Dispenser; CCTV; Jemuran; Pengurus Kos; Parkir Motor"/>
    <n v="1100000"/>
    <s v="Rp1.100.000"/>
    <n v="0"/>
    <m/>
    <s v="Kos Putri"/>
    <m/>
    <m/>
  </r>
  <r>
    <s v="Kost Kabin Kapsul Kayujati V Tipe B Pulo Gadung Jakarta Timur"/>
    <x v="8"/>
    <x v="32"/>
    <n v="6"/>
    <s v="3 x 2 meter"/>
    <s v="Tidak termasuk listrik"/>
    <s v=""/>
    <s v="N/A"/>
    <s v="3 x 2 meter; Tidak termasuk listrik; AC; Kasur; Meja; Lemari Baju; Kursi; Kloset Duduk; Kloset Jongkok; K. Mandi Luar; Ember mandi; Shower; WiFi; R. Tamu; R. Jemur; Dapur; Parkir Motor"/>
    <n v="1200000"/>
    <s v="Rp1.200.000"/>
    <n v="4.5138888888888888E-2"/>
    <d v="1899-12-30T01:05:00"/>
    <s v="Kos Putra"/>
    <m/>
    <m/>
  </r>
  <r>
    <s v="Kost Kaca Gang Aman Bekasi Utara"/>
    <x v="7"/>
    <x v="167"/>
    <n v="18"/>
    <s v="3 x 6 meter"/>
    <s v="Tidak termasuk listrik"/>
    <s v=""/>
    <s v="N/A"/>
    <s v="3 x 6 meter; Tidak termasuk listrik; Ventilasi; K. Mandi Dalam; Kloset Jongkok; Dapur; Parkir Mobil; Parkir Motor"/>
    <n v="550000"/>
    <s v="Rp550.000"/>
    <n v="0"/>
    <m/>
    <s v="Kos Campur"/>
    <m/>
    <m/>
  </r>
  <r>
    <s v="Kost Kaca Metland Cileungsi Bogor"/>
    <x v="0"/>
    <x v="31"/>
    <n v="9"/>
    <s v="3 x 3 meter"/>
    <s v="Tidak termasuk listrik"/>
    <s v=""/>
    <s v="N/A"/>
    <s v="3 x 3 meter; Tidak termasuk listrik; AC; Kasur; Bantal; Cermin; Guling; Jendela; K. Mandi Dalam; Kloset Duduk; Kloset Jongkok; K. Mandi Luar; Shower; WiFi; Kulkas; R. Tamu; R. Santai; Dapur; Dispenser; Jemuran; R. Keluarga; Taman; Parkir Motor; Parkir Sepeda"/>
    <n v="885000"/>
    <s v="Rp885.000"/>
    <n v="0.17083333333333331"/>
    <d v="1899-12-30T04:06:00"/>
    <s v="Kos Campur"/>
    <m/>
    <m/>
  </r>
  <r>
    <s v="Kost Kafein Tipe B Cibinong Bogor"/>
    <x v="0"/>
    <x v="35"/>
    <n v="12"/>
    <s v="3 x 4 meter"/>
    <s v="Tidak termasuk listrik"/>
    <s v=""/>
    <s v="N/A"/>
    <s v="3 x 4 meter; Tidak termasuk listrik; AC; Kasur; Meja; TV; Lemari Baju; Kulkas; Ventilasi; Bantal; Cermin; Cleaning service; K. Mandi Dalam; Kloset Duduk; Ember mandi; Shower; WiFi; R. Cuci; Mesin Cuci; R. Tamu; Penjaga Kos; R. Jemur; R. Makan; R. Santai; Dapur; Parkir Motor; Parkir Sepeda"/>
    <n v="1200000"/>
    <s v="Rp1.200.000"/>
    <n v="0"/>
    <m/>
    <s v="Kos Putra"/>
    <m/>
    <m/>
  </r>
  <r>
    <s v="Kost Kahayan 95 Tipe Single Bed Babakan Madang Bogor"/>
    <x v="0"/>
    <x v="80"/>
    <n v="9"/>
    <s v="3 x 3 meter"/>
    <s v="Termasuk listrik (implied)"/>
    <s v=""/>
    <s v="N/A"/>
    <s v="3 x 3 meter; Termasuk listrik; AC; Kasur; Dispenser; Meja; TV; Kulkas; Lemari Baju; Ventilasi; Bantal; Cermin; K. Mandi Dalam; Kloset Duduk; Kloset Jongkok; K. Mandi Luar; Wastafel; Shower; Air panas; Bak mandi; WiFi; R. Cuci; Mesin Cuci; R. Tamu; Penjaga Kos; R. Jemur; R. Makan; R. Santai; Dapur; Parkir Motor &amp; Sepeda"/>
    <n v="2100000"/>
    <s v="Rp2.100.000"/>
    <n v="0.20833333333333334"/>
    <d v="1899-12-30T05:00:00"/>
    <s v="Kos Putri"/>
    <m/>
    <m/>
  </r>
  <r>
    <s v="Kost Kalamenta Podomoro Tenjo Tenjo Bogor"/>
    <x v="0"/>
    <x v="168"/>
    <n v="12"/>
    <s v="3 x 4 meter"/>
    <s v="Tidak termasuk listrik"/>
    <s v=""/>
    <s v="N/A"/>
    <s v="3 x 4 meter; Tidak termasuk listrik; Ventilasi; Jendela; Kloset Jongkok; Shower; Penjaga Kos; R. Tamu; R. Jemur; Dapur; Jemuran; Taman; Parkir Mobil; Parkir Motor; Parkir Sepeda"/>
    <n v="775000"/>
    <s v="Rp775.000"/>
    <n v="0"/>
    <m/>
    <s v="Kos Campur"/>
    <m/>
    <m/>
  </r>
  <r>
    <s v="Kost Kalirandu Tipe A Tanjung Priok Jakarta Utara"/>
    <x v="4"/>
    <x v="5"/>
    <n v="12"/>
    <s v="3 x 4 meter"/>
    <s v="Termasuk listrik (implied)"/>
    <s v=""/>
    <s v="N/A"/>
    <s v="3 x 4 meter; Termasuk listrik; Kasur; Meja; Kulkas; Ventilasi; Bantal; Cermin; Guling; Jendela; Kipas Angin; K. Mandi Dalam; Kloset Jongkok; WiFi; Laundry; Penjaga Kos; R. Jemur; R. Santai; CCTV; Gazebo; Jemuran; Pengurus Kos; Parkir Motor &amp; Sepeda"/>
    <n v="1000000"/>
    <s v="Rp1.000.000"/>
    <n v="0"/>
    <m/>
    <s v="Kos Campur"/>
    <m/>
    <m/>
  </r>
  <r>
    <s v="Kost KamarKu Anggrek Loka Tipe Deluxe A Serpong Tangerang Selatan"/>
    <x v="2"/>
    <x v="18"/>
    <n v="10.8"/>
    <s v="3 x 3.6 meter"/>
    <s v="Tidak termasuk listrik"/>
    <s v=""/>
    <s v="N/A"/>
    <s v="3 x 3.6 meter; Tidak termasuk listrik; AC; Kasur; Meja; TV; Lemari Baju; Ventilasi; Kursi; Cleaning service; Bantal; Cermin; K. Mandi Dalam; Kloset Duduk; Wastafel; Shower; Air panas; WiFi; R. Cuci; Kulkas; Mesin Cuci; Penjaga Kos; Laundry; R. Makan; R. Jemur; R. Santai; Dapur; Parkir Mobil; Parkir Motor; Parkir Sepeda"/>
    <n v="2300000"/>
    <s v="Rp2.300.000"/>
    <n v="0.20833333333333334"/>
    <d v="1899-12-30T05:00:00"/>
    <s v="Kos Campur"/>
    <m/>
    <m/>
  </r>
  <r>
    <s v="Kost KamarKu Anggrek Loka Tipe Deluxe B Serpong Tangerang Selatan"/>
    <x v="2"/>
    <x v="18"/>
    <n v="10.5"/>
    <s v="3 x 3.5 meter"/>
    <s v="Tidak termasuk listrik"/>
    <s v=""/>
    <s v="N/A"/>
    <s v="3 x 3.5 meter; Tidak termasuk listrik; AC; Kasur; Meja; Kulkas; Lemari Baju; Bantal; Cermin; Cleaning service; Guling; Jendela; K. Mandi Dalam; Kloset Duduk; Wastafel; Shower; Air panas; WiFi; R. Cuci; Mesin Cuci; Penjaga Kos; Laundry; R. Makan; R. Jemur; R. Santai; Dapur; Parkir Mobil; Parkir Motor; Parkir Sepeda"/>
    <n v="2225000"/>
    <s v="Rp2.225.000"/>
    <n v="0.20833333333333334"/>
    <d v="1899-12-30T05:00:00"/>
    <s v="Kos Campur"/>
    <m/>
    <s v="Diskon 101rb"/>
  </r>
  <r>
    <s v="Kost KamarKu Anggrek Loka Tipe Superior A Serpong Tangerang Selatan"/>
    <x v="2"/>
    <x v="18"/>
    <n v="12"/>
    <s v="3 x 4 meter"/>
    <s v="Tidak termasuk listrik"/>
    <s v=""/>
    <s v="N/A"/>
    <s v="3 x 4 meter; Tidak termasuk listrik; AC; Kasur; Meja; Kulkas; Lemari Baju; Bantal; Cermin; Cleaning service; Guling; Jendela; K. Mandi Dalam; Kloset Duduk; Wastafel; Shower; Air panas; WiFi; R. Cuci; Mesin Cuci; Penjaga Kos; Laundry; R. Makan; R. Jemur; R. Santai; Dapur; Parkir Mobil; Parkir Motor; Parkir Sepeda"/>
    <n v="2800000"/>
    <s v="Rp2.800.000"/>
    <n v="0"/>
    <m/>
    <s v="Kos Campur"/>
    <m/>
    <m/>
  </r>
  <r>
    <s v="Kost KamarKu Anggrek Loka Tipe Superior B Serpong Tangerang Selatan"/>
    <x v="2"/>
    <x v="18"/>
    <n v="12"/>
    <s v="3 x 4 meter"/>
    <s v="Tidak termasuk listrik"/>
    <s v=""/>
    <s v="N/A"/>
    <s v="3 x 4 meter; Tidak termasuk listrik; AC; Kasur; Meja; TV; Lemari Baju; Bantal; Cermin; Cleaning service; Guling; Jendela; K. Mandi Dalam; Kloset Duduk; Wastafel; Shower; Air panas; WiFi; R. Cuci; Kulkas; Mesin Cuci; Penjaga Kos; Laundry; R. Makan; R. Jemur; R. Santai; Dapur; Parkir Mobil; Parkir Motor; Parkir Sepeda"/>
    <n v="2600000"/>
    <s v="Rp2.600.000"/>
    <n v="0.17222222222222225"/>
    <d v="1899-12-30T04:08:00"/>
    <s v="Kos Campur"/>
    <m/>
    <m/>
  </r>
  <r>
    <s v="Kost Kamarku Deluxe Tangcity Tangerang"/>
    <x v="6"/>
    <x v="22"/>
    <n v="10.5"/>
    <s v="3 x 3.5 meter"/>
    <s v="Tidak termasuk listrik"/>
    <s v=""/>
    <s v="N/A"/>
    <s v="3 x 3.5 meter; Tidak termasuk listrik; AC; Kasur; Meja; Kulkas; Lemari Baju; Bantal; Cermin; Cleaning service; Guling; Jendela; K. Mandi Dalam; Kloset Duduk; Wastafel; Shower; Air panas; WiFi; Penjaga Kos; R. Makan; R. Santai; Dapur; Dispenser; CCTV; Kartu Akses; Pengurus Kos; Parkir Motor; Parkir Motor &amp; Sepeda"/>
    <n v="2300000"/>
    <s v="Rp2.300.000"/>
    <n v="0.17083333333333331"/>
    <d v="1899-12-30T04:06:00"/>
    <s v="Kos Campur"/>
    <m/>
    <s v="Diskon 120rb"/>
  </r>
  <r>
    <s v="Kost KamarKu Griya Loka BSD Deluxe Serpong Tangerang Selatan"/>
    <x v="2"/>
    <x v="18"/>
    <n v="10.5"/>
    <s v="3 x 3.5 meter"/>
    <s v="Tidak termasuk listrik"/>
    <s v=""/>
    <s v="N/A"/>
    <s v="3 x 3.5 meter; Tidak termasuk listrik; AC; Kasur; Meja; Lemari Baju; Ventilasi; Bantal; Cermin; Cleaning service; Jendela; Kursi; K. Mandi Dalam; Kloset Duduk; Wastafel; Shower; Air panas; WiFi; Laundry; Penjaga Kos; R. Makan; R. Santai; Dapur; Dispenser; CCTV; Jemuran; Kartu Akses; Parkir Mobil; Parkir Motor; Parkir Motor &amp; Sepeda"/>
    <n v="2325000"/>
    <s v="Rp2.325.000"/>
    <n v="0.20833333333333334"/>
    <d v="1899-12-30T05:00:00"/>
    <s v="Kos Campur"/>
    <m/>
    <m/>
  </r>
  <r>
    <s v="Kost KamarKu Griya Loka BSD Deluxe+ Serpong Tangerang Selatan"/>
    <x v="2"/>
    <x v="18"/>
    <n v="10.5"/>
    <s v="3 x 3.5 meter"/>
    <s v="Tidak termasuk listrik"/>
    <s v=""/>
    <s v="N/A"/>
    <s v="3 x 3.5 meter; Tidak termasuk listrik; AC; Kasur; Meja; Kulkas; Lemari Baju; Ventilasi; Bantal; Cermin; Cleaning service; Jendela; K. Mandi Dalam; Kloset Duduk; Wastafel; Shower; Air panas; WiFi; Laundry; Penjaga Kos; R. Makan; R. Santai; Dapur; Dispenser; CCTV; Jemuran; Kartu Akses; Parkir Mobil; Parkir Motor; Parkir Motor &amp; Sepeda"/>
    <n v="2325000"/>
    <s v="Rp2.325.000"/>
    <n v="0.17222222222222225"/>
    <d v="1899-12-30T04:08:00"/>
    <s v="Kos Campur"/>
    <m/>
    <m/>
  </r>
  <r>
    <s v="Kost KamarKu Griya Loka BSD Deluxe+ Serpong Tangerang Selatan"/>
    <x v="2"/>
    <x v="18"/>
    <n v="10.5"/>
    <s v="3 x 3.5 meter"/>
    <s v="Tidak termasuk listrik"/>
    <s v=""/>
    <s v="N/A"/>
    <s v="3 x 3.5 meter; Tidak termasuk listrik; AC; Kasur; Meja; Kulkas; Lemari Baju; Ventilasi; Bantal; Cermin; Cleaning service; Jendela; K. Mandi Dalam; Kloset Duduk; Wastafel; Shower; Air panas; WiFi; Laundry; Penjaga Kos; R. Makan; R. Santai; Dapur; Dispenser; CCTV; Jemuran; Kartu Akses; Parkir Mobil; Parkir Motor; Parkir Motor &amp; Sepeda"/>
    <n v="2325000"/>
    <s v="Rp2.325.000"/>
    <n v="0.20833333333333334"/>
    <d v="1899-12-30T05:00:00"/>
    <s v="Kos Campur"/>
    <m/>
    <m/>
  </r>
  <r>
    <s v="Kost KamarKu Griya Loka BSD Superior Serpong Tangerang Selatan"/>
    <x v="2"/>
    <x v="18"/>
    <n v="16"/>
    <s v="4 x 4 meter"/>
    <s v="Tidak termasuk listrik"/>
    <s v=""/>
    <s v="N/A"/>
    <s v="4 x 4 meter; Tidak termasuk listrik; AC; Kasur; Meja; Kulkas; Lemari Baju; Ventilasi; Bantal; Cermin; Cleaning service; Jendela; K. Mandi Dalam; Kloset Duduk; Wastafel; Shower; Air panas; WiFi; Laundry; Penjaga Kos; R. Makan; R. Santai; Dapur; Dispenser; CCTV; Jemuran; Kartu Akses; Parkir Mobil; Parkir Motor; Parkir Motor &amp; Sepeda"/>
    <n v="2800000"/>
    <s v="Rp2.800.000"/>
    <n v="0"/>
    <m/>
    <s v="Kos Campur"/>
    <m/>
    <m/>
  </r>
  <r>
    <s v="Kost Kamarku Loft Tangcity Tangerang"/>
    <x v="6"/>
    <x v="22"/>
    <n v="10.5"/>
    <s v="3 x 3.5 meter"/>
    <s v="Tidak termasuk listrik"/>
    <s v=""/>
    <s v="N/A"/>
    <s v="3 x 3.5 meter; Tidak termasuk listrik; AC; Kasur; Meja; Kulkas; Lemari Baju; Bantal; Cermin; Cleaning service; Guling; Jendela; K. Mandi Dalam; Kloset Duduk; Wastafel; Shower; Air panas; WiFi; Penjaga Kos; R. Makan; R. Santai; Dapur; Dispenser; CCTV; Kartu Akses; Pengurus Kos; Parkir Motor; Parkir Motor &amp; Sepeda"/>
    <n v="2600000"/>
    <s v="Rp2.600.000"/>
    <n v="0"/>
    <m/>
    <s v="Kos Campur"/>
    <m/>
    <s v="Diskon 120rb"/>
  </r>
  <r>
    <s v="Kost Kamarku Standard Tangcity Tangerang"/>
    <x v="6"/>
    <x v="22"/>
    <n v="9"/>
    <s v="3 x 3 meter"/>
    <s v="Tidak termasuk listrik"/>
    <s v=""/>
    <s v="N/A"/>
    <s v="3 x 3 meter; Tidak termasuk listrik; AC; Kasur; Meja; Kulkas; Lemari Baju; Bantal; Cermin; Cleaning service; Guling; Jendela; K. Mandi Dalam; Kloset Duduk; Wastafel; Shower; Air panas; WiFi; Penjaga Kos; R. Makan; R. Santai; Dapur; Dispenser; CCTV; Kartu Akses; Pengurus Kos; Parkir Motor; Parkir Motor &amp; Sepeda"/>
    <n v="1900000"/>
    <s v="Rp1.900.000"/>
    <n v="0.16874999999999998"/>
    <d v="1899-12-30T04:03:00"/>
    <s v="Kos Campur"/>
    <m/>
    <s v="Diskon 90rb"/>
  </r>
  <r>
    <s v="Kost Kamarku Superior Tangcity Tangerang"/>
    <x v="6"/>
    <x v="22"/>
    <n v="15"/>
    <s v="3 x 5 meter"/>
    <s v="Tidak termasuk listrik"/>
    <s v=""/>
    <s v="N/A"/>
    <s v="3 x 5 meter; Tidak termasuk listrik; AC; Kasur; Meja; Kulkas; Lemari Baju; Bantal; Cermin; Cleaning service; Guling; Jendela; K. Mandi Dalam; Kloset Duduk; Wastafel; Shower; Air panas; WiFi; Penjaga Kos; R. Makan; R. Santai; Dapur; Dispenser; CCTV; Kartu Akses; Pengurus Kos; Parkir Motor; Parkir Motor &amp; Sepeda"/>
    <n v="2600000"/>
    <s v="Rp2.600.000"/>
    <n v="0"/>
    <m/>
    <s v="Kos Campur"/>
    <m/>
    <s v="Diskon 120rb"/>
  </r>
  <r>
    <s v="Kost Kamsada Binus Alam Sutra Pinang Tangerang"/>
    <x v="6"/>
    <x v="105"/>
    <n v="9"/>
    <s v="3 x 3 meter"/>
    <s v="Tidak termasuk listrik"/>
    <s v=""/>
    <s v="N/A"/>
    <s v="3 x 3 meter; Tidak termasuk listrik; AC; Kasur; Meja; Lemari Baju; Ventilasi; Bantal; Cermin; Guling; Jendela; Kursi; K. Mandi Dalam; Kloset Duduk; Shower; WiFi; Kulkas; R. Cuci; Mesin Cuci; Penjaga Kos; R. Jemur; Dapur; Balcon; CCTV; Jemuran; Parkir Motor; Parkir Sepeda; Parkir Motor &amp; Sepeda"/>
    <n v="2000000"/>
    <s v="Rp2.000.000"/>
    <n v="0"/>
    <m/>
    <s v="Kos Putri"/>
    <m/>
    <m/>
  </r>
  <r>
    <s v="Kost Kanaka Allana Tipe A Cikarang"/>
    <x v="7"/>
    <x v="78"/>
    <n v="9"/>
    <s v="3 x 3 meter"/>
    <s v="Termasuk listrik (implied)"/>
    <s v=""/>
    <s v="N/A"/>
    <s v="3 x 3 meter; Termasuk listrik; AC; Kasur; Meja; TV; Lemari Baju; Kursi; Cleaning service; K. Mandi Dalam; Kloset Duduk; Shower; WiFi; R. Cuci; Kulkas; R. Tamu; Mesin Cuci; Penjaga Kos; Laundry; R. Makan; R. Jemur; Mushola; Parkir Mobil; Parkir Motor; Parkir Sepeda"/>
    <n v="1800000"/>
    <s v="Rp1.800.000"/>
    <n v="0"/>
    <m/>
    <s v="Kos Campur"/>
    <m/>
    <m/>
  </r>
  <r>
    <s v="Kost Kangaroom Juanda Premium Gambir Jakarta Pusat"/>
    <x v="9"/>
    <x v="135"/>
    <n v="12"/>
    <s v="2.4 x 5 meter"/>
    <s v="Tidak termasuk listrik"/>
    <s v=""/>
    <s v="N/A"/>
    <s v="2.4 x 5 meter; Tidak termasuk listrik; AC; Kasur; Meja; TV; Kulkas; Lemari Baju; Ventilasi; Bantal; Cermin; Cleaning service; K. Mandi Dalam; Kloset Duduk; Shower; Air panas; WiFi; Laundry; Penjaga Kos; R. Tamu; R. Makan; R. Santai; Dapur; Dispenser; CCTV; Parkir Motor; Parkir Sepeda; Parkir Motor &amp; Sepeda"/>
    <n v="3400000"/>
    <s v="Rp3.400.000"/>
    <n v="0.20833333333333334"/>
    <d v="1899-12-30T05:00:00"/>
    <s v="Kos Campur"/>
    <m/>
    <s v="Diskon 256rb"/>
  </r>
  <r>
    <s v="Kost Kangaroom Meruya Premium Kembangan Jakarta Barat"/>
    <x v="3"/>
    <x v="133"/>
    <n v="9.9"/>
    <s v="2.2 x 4.5 meter"/>
    <s v="Tidak termasuk listrik"/>
    <s v=""/>
    <s v="N/A"/>
    <s v="2.2 x 4.5 meter; Tidak termasuk listrik; AC; Kasur; TV; Kulkas; Ventilasi; Bantal; Cermin; Cleaning service; Guling; Jendela; K. Mandi Dalam; Kloset Duduk; Shower; Air panas; WiFi; Penjaga Kos; Laundry; Dapur; Dispenser; CCTV; Jemuran; Kartu Akses; Pengurus Kos; Taman; Parkir Sepeda; Parkir Motor; Parkir Motor &amp; Sepeda"/>
    <n v="2500000"/>
    <s v="Rp2.500.000"/>
    <n v="0.20833333333333334"/>
    <d v="1899-12-30T05:00:00"/>
    <s v="Kos Campur"/>
    <m/>
    <m/>
  </r>
  <r>
    <s v="Kost Kanguru 33 A Tipe Standard Plus Pasar Rebo Jakarta Timur"/>
    <x v="8"/>
    <x v="123"/>
    <n v="12"/>
    <s v="3 x 4 meter"/>
    <s v="Tidak termasuk listrik"/>
    <s v=""/>
    <s v="N/A"/>
    <s v="3 x 4 meter; Tidak termasuk listrik; AC; Kasur; Dispenser; Meja; TV; Bantal; Guling; Jendela; K. Mandi Dalam; Kloset Duduk; Ember mandi; Shower; WiFi; R. Cuci; Kulkas; R. Tamu; Mesin Cuci; R. Jemur; R. Santai; Dapur; Parkir Mobil; Parkir Motor; Parkir Sepeda"/>
    <n v="1800000"/>
    <s v="Rp1.800.000"/>
    <n v="0"/>
    <m/>
    <s v="Kos Putri"/>
    <m/>
    <m/>
  </r>
  <r>
    <s v="Kost Kapling Tipe B Tangerang Tangerang"/>
    <x v="6"/>
    <x v="22"/>
    <n v="12"/>
    <s v="3 x 4 meter"/>
    <s v="Tidak termasuk listrik"/>
    <s v=""/>
    <s v="N/A"/>
    <s v="3 x 4 meter; Tidak termasuk listrik; AC; Meja; TV; Lemari Baju; Kursi; K. Mandi Dalam; Kloset Duduk; R. Cuci; Kulkas; R. Tamu; Mesin Cuci; R. Jemur; Dapur; Dispenser; Balcon; Kartu Akses; Parkir Motor; Parkir Sepeda"/>
    <n v="1300000"/>
    <s v="Rp1.300.000"/>
    <n v="0.20833333333333334"/>
    <d v="1899-12-30T05:00:00"/>
    <s v="Kos Putri"/>
    <m/>
    <m/>
  </r>
  <r>
    <s v="Kost Karang Anyar Cherry Residence Tipe B Sawah Besar Jakarta Pusat"/>
    <x v="9"/>
    <x v="59"/>
    <n v="7.5"/>
    <s v="2.5 x 3 meter"/>
    <s v="Tidak termasuk listrik"/>
    <s v=""/>
    <s v="N/A"/>
    <s v="2.5 x 3 meter; Tidak termasuk listrik; AC; Kasur; Meja; Dispenser; Lemari Baju; Kulkas; Kursi; Wastafel; K. Mandi Dalam; Kloset Jongkok; K. Mandi Luar; Ember mandi; Shower; WiFi; R. Cuci; R. Tamu; Penjaga Kos; Laundry; R. Makan; R. Jemur; R. Santai; Dapur; Parkir Motor; Parkir Sepeda"/>
    <n v="2000000"/>
    <s v="Rp2.000.000"/>
    <n v="0.17013888888888887"/>
    <d v="1899-12-30T04:05:00"/>
    <s v="Kos Campur"/>
    <m/>
    <s v="Diskon 152rb"/>
  </r>
  <r>
    <s v="Kost Karein Dua Tipe A Cipondoh Tangerang"/>
    <x v="6"/>
    <x v="97"/>
    <n v="12"/>
    <s v="3 x 4 meter"/>
    <s v="Tidak termasuk listrik"/>
    <s v=""/>
    <s v="N/A"/>
    <s v="3 x 4 meter; Tidak termasuk listrik; AC; Kasur; Lemari Baju; Ventilasi; Bantal; Guling; Jendela; K. Mandi Dalam; Kloset Jongkok; Ember mandi; WiFi; R. Tamu; R. Jemur; R. Santai; Dapur; Parkir Motor; Parkir Sepeda"/>
    <n v="1400000"/>
    <s v="Rp1.400.000"/>
    <n v="0.17083333333333331"/>
    <d v="1899-12-30T04:06:00"/>
    <s v="Kos Campur"/>
    <m/>
    <s v="Diskon 73rb"/>
  </r>
  <r>
    <s v="Kost Karein Dua Tipe A Cipondoh Tangerang"/>
    <x v="6"/>
    <x v="97"/>
    <n v="12"/>
    <s v="3 x 4 meter"/>
    <s v="Tidak termasuk listrik"/>
    <s v=""/>
    <s v="N/A"/>
    <s v="3 x 4 meter; Tidak termasuk listrik; AC; Kasur; Lemari Baju; Ventilasi; Bantal; Guling; Jendela; K. Mandi Dalam; Kloset Jongkok; Ember mandi; WiFi; R. Tamu; R. Jemur; R. Santai; Dapur; Parkir Motor; Parkir Sepeda"/>
    <n v="1400000"/>
    <s v="Rp1.400.000"/>
    <n v="0.17083333333333331"/>
    <d v="1899-12-30T04:06:00"/>
    <s v="Kos Campur"/>
    <m/>
    <s v="Diskon 150rb"/>
  </r>
  <r>
    <s v="Kost Karen Pulomas Executive Pulo Gadung Jakarta Timur"/>
    <x v="8"/>
    <x v="32"/>
    <n v="12"/>
    <s v="3 x 4 meter"/>
    <s v="Tidak termasuk listrik"/>
    <s v=""/>
    <s v="N/A"/>
    <s v="3 x 4 meter; Tidak termasuk listrik; AC; Kasur; Meja; Lemari Baju; Bantal; Cermin; Jendela; Kursi; K. Mandi Dalam; Kloset Jongkok; Ember mandi; WiFi; Kulkas; Penjaga Kos; R. Jemur; Dapur; Balcon; Jemuran; TV; Parkir Motor; Parkir Sepeda"/>
    <n v="1400000"/>
    <s v="Rp1.400.000"/>
    <n v="0.20833333333333334"/>
    <d v="1899-12-30T05:00:00"/>
    <s v="Kos Campur"/>
    <m/>
    <m/>
  </r>
  <r>
    <s v="Kost Kartika Dewi Cikarang Utara Bekasi"/>
    <x v="7"/>
    <x v="78"/>
    <n v="9"/>
    <s v="3 x 3 meter"/>
    <s v="Termasuk listrik (implied)"/>
    <s v=""/>
    <s v="N/A"/>
    <s v="3 x 3 meter; Termasuk listrik; Kasur; Lemari Baju; Ventilasi; Kipas Angin; Meja makan; Bantal; Cermin; Jendela; K. Mandi Dalam; Kloset Jongkok; K. Mandi Luar; Ember mandi; Shower; Air panas; WiFi; R. Tamu; R. Jemur; Dapur; TV; Pengurus Kos; Jemuran; Parkir Motor"/>
    <n v="900000"/>
    <s v="Rp900.000"/>
    <n v="0.20833333333333334"/>
    <d v="1899-12-30T05:00:00"/>
    <s v="Kos Putri"/>
    <m/>
    <m/>
  </r>
  <r>
    <s v="Kost Kavling DKI Residence Kembangan Jakarta Barat"/>
    <x v="3"/>
    <x v="71"/>
    <n v="9"/>
    <s v="3 x 3 meter"/>
    <s v="Tidak termasuk listrik"/>
    <s v=""/>
    <s v="N/A"/>
    <s v="3 x 3 meter; Tidak termasuk listrik; AC; Kasur; Meja; TV; Lemari Baju; Ventilasi; Kursi; Wastafel; Bantal; Guling; K. Mandi Dalam; Kloset Duduk; Shower; Air panas; WiFi; Kulkas; Penjaga Kos; Dapur; Dispenser; Balcon; CCTV; Pengurus Kos; Kartu Akses; Parkir Motor"/>
    <n v="1900000"/>
    <s v="Rp1.900.000"/>
    <n v="0.17083333333333331"/>
    <d v="1899-12-30T04:06:00"/>
    <s v="Kos Campur"/>
    <m/>
    <m/>
  </r>
  <r>
    <s v="Kost Kayana Residence Tipe A Tangerang Tangerang"/>
    <x v="6"/>
    <x v="22"/>
    <n v="12"/>
    <s v="3 x 4 meter"/>
    <s v="Tidak termasuk listrik"/>
    <s v=""/>
    <s v="N/A"/>
    <s v="3 x 4 meter; Tidak termasuk listrik; AC; Kasur; Meja; TV; Lemari Baju; Ventilasi; Bantal; Cermin; Cleaning service; Guling; K. Mandi Dalam; Kloset Duduk; Shower; Air panas; WiFi; Kulkas; Laundry; Penjaga Kos; R. Makan; R. Santai; Dapur; Dispenser; CCTV; Jemuran; Parkir Motor; Parkir Motor &amp; Sepeda"/>
    <n v="3000000"/>
    <s v="Rp3.000.000"/>
    <n v="0"/>
    <m/>
    <s v="Kos Campur"/>
    <m/>
    <m/>
  </r>
  <r>
    <s v="Kost Kayana Residence Tipe B Tangerang"/>
    <x v="6"/>
    <x v="90"/>
    <n v="12"/>
    <s v="3 x 4 meter"/>
    <s v="Tidak termasuk listrik"/>
    <s v=""/>
    <s v="N/A"/>
    <s v="3 x 4 meter; Tidak termasuk listrik; AC; Kasur; Meja; TV; Lemari Baju; Ventilasi; Bantal; Cermin; Cleaning service; Guling; Kloset Duduk; Shower; Air panas; WiFi; Kulkas; Laundry; R. Jemur; R. Makan; R. Santai; Dapur; Dispenser; CCTV; Jemuran; Parkir Motor &amp; Sepeda"/>
    <n v="2600000"/>
    <s v="Rp2.600.000"/>
    <n v="0"/>
    <m/>
    <s v="Kos Campur"/>
    <m/>
    <m/>
  </r>
  <r>
    <s v="Kost Kayana Residence Tipe D Tangerang"/>
    <x v="6"/>
    <x v="90"/>
    <n v="10"/>
    <s v="2.5 x 4 meter"/>
    <s v="Tidak termasuk listrik"/>
    <s v=""/>
    <s v="N/A"/>
    <s v="2.5 x 4 meter; Tidak termasuk listrik; AC; Kasur; Meja; TV; Lemari Baju; Bantal; Cermin; Cleaning service; Guling; Jendela; K. Mandi Dalam; Kloset Duduk; Wastafel; Shower; Air panas; WiFi; Kulkas; Laundry; R. Jemur; R. Santai; Dapur; Dispenser; CCTV; Jemuran; Kartu Akses; Parkir Motor &amp; Sepeda"/>
    <n v="2250000"/>
    <s v="Rp2.250.000"/>
    <n v="0.17083333333333331"/>
    <d v="1899-12-30T04:06:00"/>
    <s v="Kos Campur"/>
    <m/>
    <s v="Diskon 105rb"/>
  </r>
  <r>
    <s v="Kost Kayu Jati 10 Residence Tipe VIP Pulo Gadung Jakarta Timur"/>
    <x v="8"/>
    <x v="94"/>
    <n v="12"/>
    <s v="3 x 4 meter"/>
    <s v="Tidak termasuk listrik"/>
    <s v=""/>
    <s v="N/A"/>
    <s v="3 x 4 meter; Tidak termasuk listrik; AC; Kasur; TV; Meja Rias; Lemari Baju; Bantal; Guling; Jendela; K. Mandi Dalam; Kloset Duduk; Kloset Jongkok; Shower; Air panas; WiFi; Kulkas; Laundry; Penjaga Kos; R. Tamu; R. Makan; R. Santai; Dapur; CCTV; Jual Makanan; Parkir Mobil; Parkir Motor; Parkir Sepeda; Parkir Motor &amp; Sepeda"/>
    <n v="2000000"/>
    <s v="Rp2.000.000"/>
    <n v="0"/>
    <m/>
    <s v="Kos Campur"/>
    <m/>
    <m/>
  </r>
  <r>
    <s v="Kost Kayya Single Bed Cengkareng Jakarta Barat"/>
    <x v="3"/>
    <x v="169"/>
    <n v="8"/>
    <s v="4 x 2 meter"/>
    <s v="Tidak termasuk listrik"/>
    <s v=""/>
    <s v="N/A"/>
    <s v="4 x 2 meter; Tidak termasuk listrik; AC; Kasur; Meja; TV; Lemari Baju; Ventilasi; Bantal; Cermin; Jendela; Kursi; K. Mandi Dalam; Kloset Duduk; Shower; Air panas; WiFi; Kulkas; Penjaga Kos; Dapur; Dispenser; Balcon; CCTV; Jemuran; Kartu Akses; Parkir Motor"/>
    <n v="2000000"/>
    <s v="Rp2.000.000"/>
    <n v="0.17291666666666669"/>
    <d v="1899-12-30T04:09:00"/>
    <s v="Kos Campur"/>
    <m/>
    <m/>
  </r>
  <r>
    <s v="Kost Keisha Tipe B Cikarang Timur Bekasi"/>
    <x v="7"/>
    <x v="91"/>
    <n v="9"/>
    <s v="3 x 3 meter"/>
    <s v="Tidak termasuk listrik"/>
    <s v=""/>
    <s v="N/A"/>
    <s v="3 x 3 meter; Tidak termasuk listrik; AC; Ventilasi; Jendela; K. Mandi Dalam; Kloset Jongkok; Wastafel; Shower; WiFi; CCTV; Pengurus Kos; Jemuran; Parkir Motor"/>
    <n v="1000000"/>
    <s v="Rp1.000.000"/>
    <n v="0"/>
    <m/>
    <s v="Kos Campur"/>
    <m/>
    <m/>
  </r>
  <r>
    <s v="Kost Kekey Tipe A Karang Tengah Tangerang"/>
    <x v="6"/>
    <x v="26"/>
    <n v="15"/>
    <s v="3 x 5 meter"/>
    <s v="Tidak termasuk listrik"/>
    <s v=""/>
    <s v="N/A"/>
    <s v="3 x 5 meter; Tidak termasuk listrik; Kasur; Dispenser; Lemari Baju; Kulkas; Kipas Angin; Bantal; Cermin; Cleaning service; Guling; Kursi; K. Mandi Dalam; Kloset Jongkok; Ember mandi; Shower; WiFi; R. Tamu; Parkir Motor"/>
    <n v="850000"/>
    <s v="Rp850.000"/>
    <n v="0"/>
    <m/>
    <s v="Kos Campur"/>
    <m/>
    <m/>
  </r>
  <r>
    <s v="Kost Kelapa Cengkir Barat Jakarta Utara"/>
    <x v="4"/>
    <x v="111"/>
    <n v="9"/>
    <s v="3 x 3 meter"/>
    <s v="Termasuk listrik (implied)"/>
    <s v=""/>
    <s v="N/A"/>
    <s v="3 x 3 meter; Termasuk listrik; AC; Kasur; Meja; TV; Lemari Baju; Ventilasi; Kursi; TV Kabel; Bantal; Cermin; Kloset Duduk; K. Mandi Luar; Shower; Air panas; WiFi; Kulkas; R. Jemur; Dapur; Dispenser; Locker; Balcon; CCTV; Pengurus Kos; Parkir Motor; Parkir Sepeda"/>
    <n v="1850000"/>
    <s v="Rp1.850.000"/>
    <n v="0.20833333333333334"/>
    <d v="1899-12-30T05:00:00"/>
    <s v="Kos Campur"/>
    <m/>
    <m/>
  </r>
  <r>
    <s v="Kost Kelapa Puan Timur Tipe B Kelapa Gading Jakarta Utara"/>
    <x v="4"/>
    <x v="111"/>
    <n v="5"/>
    <s v="2.5 x 2 meter"/>
    <s v="Termasuk listrik (implied)"/>
    <s v=""/>
    <s v="N/A"/>
    <s v="2.5 x 2 meter; Termasuk listrik; Kasur; Lemari Baju; Ventilasi; Bantal; Guling; Kloset Duduk; K. Mandi Luar; Shower; WiFi; R. Cuci; Kulkas; R. Tamu; Penjaga Kos; Laundry; R. Makan; R. Jemur; R. Santai; Dapur; Parkir Motor; Parkir Sepeda"/>
    <n v="800000"/>
    <s v="Rp800.000"/>
    <n v="0.17013888888888887"/>
    <d v="1899-12-30T04:05:00"/>
    <s v="Kos Campur"/>
    <m/>
    <m/>
  </r>
  <r>
    <s v="Kost Kelapa Puan Timur Tipe E Kelapa Gading Jakarta Utara"/>
    <x v="4"/>
    <x v="111"/>
    <n v="5"/>
    <s v="2.5 x 2 meter"/>
    <s v="Termasuk listrik (implied)"/>
    <s v=""/>
    <s v="N/A"/>
    <s v="2.5 x 2 meter; Termasuk listrik; Kasur; Lemari Baju; Bantal; Cermin; Guling; Kipas Angin; Kloset Duduk; K. Mandi Luar; Shower; WiFi; R. Cuci; Kulkas; R. Tamu; Penjaga Kos; Laundry; R. Makan; R. Jemur; R. Santai; Dapur; Parkir Motor; Parkir Sepeda"/>
    <n v="695000"/>
    <s v="Rp695.000"/>
    <n v="0.17222222222222225"/>
    <d v="1899-12-30T04:08:00"/>
    <s v="Kos Campur"/>
    <m/>
    <m/>
  </r>
  <r>
    <s v="Kost Kelowna House Tipe A Sawah Besar Jakarta Pusat"/>
    <x v="9"/>
    <x v="59"/>
    <n v="9"/>
    <s v="3 x 3 meter"/>
    <s v="Tidak termasuk listrik"/>
    <s v=""/>
    <s v="N/A"/>
    <s v="3 x 3 meter; Tidak termasuk listrik; AC; Kasur; Meja; TV; Lemari Baju; Bantal; Cermin; Guling; Jendela; Wastafel; K. Mandi Dalam; Kloset Duduk; Shower; Air panas; WiFi; Kulkas; Penjaga Kos; Dapur; CCTV; Kartu Akses; Pengurus Kos; Rooftop; Parkir Mobil; Parkir Motor"/>
    <n v="3300000"/>
    <s v="Rp3.300.000"/>
    <n v="0"/>
    <m/>
    <s v="Kos Campur"/>
    <m/>
    <m/>
  </r>
  <r>
    <s v="Kost Keluarga Cemara Karang Tengah Tangerang"/>
    <x v="6"/>
    <x v="26"/>
    <n v="12"/>
    <s v="3 x 4 meter"/>
    <s v="Tidak termasuk listrik"/>
    <s v=""/>
    <s v="N/A"/>
    <s v="3 x 4 meter; Tidak termasuk listrik; AC; Kasur; Lemari Baju; Cermin; Bantal; Jendela; Guling; K. Mandi Dalam; Kloset Jongkok; Wastafel; Shower; WiFi; Kulkas; R. Jemur; Jemuran; Parkir Motor; Parkir Sepeda"/>
    <n v="1150000"/>
    <s v="Rp1.150.000"/>
    <n v="0.20833333333333334"/>
    <d v="1899-12-30T05:00:00"/>
    <s v="Kos Putri"/>
    <m/>
    <s v="Diskon 125rb"/>
  </r>
  <r>
    <s v="Kost Kemakmuran Residence Gambir Jakarta Pusat"/>
    <x v="9"/>
    <x v="62"/>
    <n v="9"/>
    <s v="3 x 3 meter"/>
    <s v="Tidak termasuk listrik"/>
    <s v=""/>
    <s v="N/A"/>
    <s v="3 x 3 meter; Tidak termasuk listrik; AC; Kasur; Meja; TV; Lemari Baju; Kursi; Cleaning service; Bantal; K. Mandi Dalam; Kloset Duduk; Wastafel; Shower; Air panas; WiFi; Dapur; CCTV; Jemuran; Parkir Motor"/>
    <n v="2600000"/>
    <s v="Rp2.600.000"/>
    <n v="0.16944444444444443"/>
    <d v="1899-12-30T04:04:00"/>
    <s v="Kos Campur"/>
    <m/>
    <m/>
  </r>
  <r>
    <s v="Kost Kemuning Agung Perkasa Tanjung Priok Jakarta Utara"/>
    <x v="4"/>
    <x v="5"/>
    <n v="9"/>
    <s v="3 x 3 meter"/>
    <s v="Tidak termasuk listrik"/>
    <s v=""/>
    <s v="N/A"/>
    <s v="3 x 3 meter; Tidak termasuk listrik; AC; Kasur; Meja; Lemari Baju; Ventilasi; Bantal; Cermin; Jendela; Kursi; Wastafel; K. Mandi Dalam; Kloset Duduk; Shower; Air panas; WiFi; Kulkas; R. Cuci; Laundry; Penjaga Kos; R. Jemur; R. Santai; Dispenser; Dapur; Balcon; Parkir Motor"/>
    <n v="1500000"/>
    <s v="Rp1.500.000"/>
    <n v="0.17222222222222225"/>
    <d v="1899-12-30T04:08:00"/>
    <s v="Kos Campur"/>
    <m/>
    <s v="Diskon 78rb"/>
  </r>
  <r>
    <s v="Kost Kenanga Cipayung Jakarta Timur"/>
    <x v="8"/>
    <x v="25"/>
    <n v="18"/>
    <s v="3 x 6 meter"/>
    <s v="Tidak termasuk listrik"/>
    <s v=""/>
    <s v="N/A"/>
    <s v="3 x 6 meter; Tidak termasuk listrik; AC; Kasur; Meja; Lemari Baju; Ventilasi; Bantal; Jendela; Dapur Pribadi; Kursi; Meja makan; K. Mandi Dalam; Kloset Duduk; Ember mandi; Shower; WiFi; Penjaga Kos; R. Jemur; Dapur; Taman; CCTV; Jemuran; Pengurus Kos; Parkir Mobil; Parkir Motor"/>
    <n v="1200000"/>
    <s v="Rp1.200.000"/>
    <n v="0.17083333333333331"/>
    <d v="1899-12-30T04:06:00"/>
    <s v="Kos Putri"/>
    <m/>
    <m/>
  </r>
  <r>
    <s v="Kost Kenanga Deluxe Tangerang"/>
    <x v="6"/>
    <x v="22"/>
    <n v="16"/>
    <s v="4 x 4 meter"/>
    <s v="Tidak termasuk listrik"/>
    <s v=""/>
    <s v="N/A"/>
    <s v="4 x 4 meter; Tidak termasuk listrik; AC; Kasur; Meja; Lemari Baju; Bantal; Cermin; Jendela; Kursi; K. Mandi Dalam; Kloset Duduk; Wastafel; Shower; Air panas; WiFi; Kulkas; Penjaga Kos; R. Jemur; R. Makan; R. Santai; Dapur; Balcon; CCTV; Jemuran; Parkir Mobil"/>
    <n v="2600000"/>
    <s v="Rp2.600.000"/>
    <n v="0"/>
    <m/>
    <s v="Kos Campur"/>
    <m/>
    <m/>
  </r>
  <r>
    <s v="Kost Kenanga Tipe A Pondok Aren Tangerang Selatan"/>
    <x v="2"/>
    <x v="2"/>
    <n v="9"/>
    <s v="3 x 3 meter"/>
    <s v="Tidak termasuk listrik"/>
    <s v=""/>
    <s v="N/A"/>
    <s v="3 x 3 meter; Tidak termasuk listrik; Kasur; Meja; Lemari Baju; Bantal; Guling; Jendela; Kursi; K. Mandi Dalam; Kloset Duduk; Shower; WiFi; Kulkas; R. Jemur; R. Santai; Dapur; Jemuran; K. Mandi Luar; Parkir Motor"/>
    <n v="800000"/>
    <s v="Rp800.000"/>
    <n v="0.17291666666666669"/>
    <d v="1899-12-30T04:09:00"/>
    <s v="Kos Putra"/>
    <m/>
    <m/>
  </r>
  <r>
    <s v="Kost Kenanga Tipe A Sukmajaya Depok"/>
    <x v="1"/>
    <x v="84"/>
    <n v="13.5"/>
    <s v="3 x 4.5 meter"/>
    <s v="Tidak termasuk listrik"/>
    <s v=""/>
    <s v="N/A"/>
    <s v="3 x 4.5 meter; Tidak termasuk listrik; AC; Kasur; Lemari Baju; Bantal; Cleaning service; Guling; Jendela; Kursi; K. Mandi Dalam; Kloset Duduk; Ember mandi; Shower; WiFi; Penjaga Kos; R. Tamu; R. Jemur; R. Santai; Dapur; Balcon; CCTV; Jemuran; Parkir Motor; Parkir Sepeda"/>
    <n v="1300000"/>
    <s v="Rp1.300.000"/>
    <n v="0.17083333333333331"/>
    <d v="1899-12-30T04:06:00"/>
    <s v="Kos Campur"/>
    <m/>
    <m/>
  </r>
  <r>
    <s v="Kost Kesie Tipe A Cibinong Bogor"/>
    <x v="0"/>
    <x v="96"/>
    <n v="9"/>
    <s v="3 x 3 meter"/>
    <s v="Tidak termasuk listrik"/>
    <s v=""/>
    <s v="N/A"/>
    <s v="3 x 3 meter; Tidak termasuk listrik; Bantal; Jendela; Kloset Duduk; K. Mandi Luar; Ember mandi; Bak mandi; Penjaga Kos; Jemuran; Pengurus Kos; Parkir Motor; Parkir Sepeda; Parkir Motor &amp; Sepeda"/>
    <n v="500000"/>
    <s v="Rp500.000"/>
    <n v="0"/>
    <m/>
    <s v="Kos Campur"/>
    <m/>
    <m/>
  </r>
  <r>
    <s v="Kost Key Homes Pinang Tangerang"/>
    <x v="6"/>
    <x v="17"/>
    <n v="9"/>
    <s v="3 x 3 meter"/>
    <s v="Tidak termasuk listrik"/>
    <s v=""/>
    <s v="N/A"/>
    <s v="3 x 3 meter; Tidak termasuk listrik; Ventilasi; Dapur Pribadi; Jendela; K. Mandi Dalam; Kloset Jongkok; R. Cuci; Dapur; CCTV; Parkir Motor"/>
    <n v="1000000"/>
    <s v="Rp1.000.000"/>
    <n v="8.9583333333333334E-2"/>
    <d v="1899-12-30T02:09:00"/>
    <s v="Kos Campur"/>
    <m/>
    <m/>
  </r>
  <r>
    <s v="Kost Khaira Tipe Standar Kemayoran Jakarta Pusat"/>
    <x v="9"/>
    <x v="56"/>
    <n v="9"/>
    <s v="3 x 3 meter"/>
    <s v="Tidak termasuk listrik"/>
    <s v=""/>
    <s v="N/A"/>
    <s v="3 x 3 meter; Tidak termasuk listrik; Kasur; Lemari Baju; Ventilasi; Bantal; Jendela; Kipas Angin; K. Mandi Dalam; Kloset Jongkok; Ember mandi; WiFi; R. Jemur; CCTV; Jemuran; Pengurus Kos; Parkir Motor; Parkir Sepeda"/>
    <n v="900000"/>
    <s v="Rp900.000"/>
    <n v="0.20833333333333334"/>
    <d v="1899-12-30T05:00:00"/>
    <s v="Kos Campur"/>
    <m/>
    <m/>
  </r>
  <r>
    <s v="Kost Khairan I Beji Depok"/>
    <x v="1"/>
    <x v="16"/>
    <n v="9"/>
    <s v="3 x 3 meter"/>
    <s v="Termasuk listrik (implied)"/>
    <s v=""/>
    <s v="N/A"/>
    <s v="3 x 3 meter; Termasuk listrik; Kasur; Lemari Baju; Ventilasi; Bantal; Cermin; Guling; Jendela; K. Mandi Dalam; Kloset Jongkok; Ember mandi; Shower; WiFi; Kulkas; R. Cuci; R. Tamu; R. Jemur; R. Makan; R. Santai; Dapur; Balcon; CCTV; Parkir Motor"/>
    <n v="750000"/>
    <s v="Rp750.000"/>
    <n v="0.17291666666666669"/>
    <d v="1899-12-30T04:09:00"/>
    <s v="Kos Putri"/>
    <m/>
    <s v="Diskon 90rb"/>
  </r>
  <r>
    <s v="Kost Kimber Tipe A Cikarang Selatan Bekasi"/>
    <x v="7"/>
    <x v="27"/>
    <n v="12"/>
    <s v="3 x 4 meter"/>
    <s v="Tidak termasuk listrik"/>
    <s v=""/>
    <s v="N/A"/>
    <s v="3 x 4 meter; Tidak termasuk listrik; Kasur; Lemari Baju; Kipas Angin; Jendela; Guling; Bantal; Cleaning service; Kloset Jongkok; K. Mandi Luar; Ember mandi; Bak mandi; WiFi; Penjaga Kos; R. Santai; Dapur; Balcon; Pengurus Kos; Jemuran; CCTV; Taman; Parkir Mobil; Parkir Motor; Parkir Sepeda"/>
    <n v="700000"/>
    <s v="Rp700.000"/>
    <n v="0"/>
    <m/>
    <s v="Kos Campur"/>
    <m/>
    <m/>
  </r>
  <r>
    <s v="Kost Kimberly House Babelan Bekasi"/>
    <x v="7"/>
    <x v="155"/>
    <n v="12"/>
    <s v="3 x 4 meter"/>
    <s v="Tidak termasuk listrik"/>
    <s v=""/>
    <s v="N/A"/>
    <s v="3 x 4 meter; Tidak termasuk listrik; Kasur; Meja; Lemari Baju; Ventilasi; Guling; Bantal; Cermin; Kipas Angin; Kursi; Wastafel; Kloset Jongkok; K. Mandi Luar; Ember mandi; Bak mandi; WiFi; Kulkas; R. Cuci; R. Tamu; Mushola; R. Jemur; R. Makan; R. Santai; Dapur; Dispenser; Parkir Mobil; Parkir Motor; Parkir Sepeda; Parkir Motor &amp; Sepeda"/>
    <n v="500000"/>
    <s v="Rp500.000"/>
    <n v="0"/>
    <m/>
    <s v="Kos Putri"/>
    <m/>
    <m/>
  </r>
  <r>
    <s v="Kost Kita Cakung Jakarta Timur"/>
    <x v="8"/>
    <x v="119"/>
    <e v="#VALUE!"/>
    <s v="N/A"/>
    <s v="N/A"/>
    <s v=""/>
    <s v="N/A"/>
    <s v=""/>
    <n v="1200000"/>
    <s v="Rp1.200.000"/>
    <n v="0"/>
    <m/>
    <s v="Kos Putri"/>
    <m/>
    <m/>
  </r>
  <r>
    <s v="Kost Kita Tipe D Kemayoran Jakarta Pusat"/>
    <x v="9"/>
    <x v="38"/>
    <n v="9"/>
    <s v="3 x 3 meter"/>
    <s v="Tidak termasuk listrik"/>
    <s v=""/>
    <s v="N/A"/>
    <s v="3 x 3 meter; Tidak termasuk listrik; AC; Kasur; Meja; Lemari Baju; Ventilasi; Bantal; Cermin; Jendela; K. Mandi Dalam; Kloset Jongkok; Shower; WiFi; Kulkas; R. Tamu; Penjaga Kos; R. Jemur; R. Makan; R. Santai; Dapur; Balcon; CCTV; Parkir Motor &amp; Sepeda"/>
    <n v="1700000"/>
    <s v="Rp1.700.000"/>
    <n v="0.12847222222222224"/>
    <d v="1899-12-30T03:05:00"/>
    <s v="Kos Campur"/>
    <m/>
    <m/>
  </r>
  <r>
    <s v="Kost Kita Tipe D Kemayoran Jakarta Pusat"/>
    <x v="9"/>
    <x v="38"/>
    <n v="9"/>
    <s v="3 x 3 meter"/>
    <s v="Tidak termasuk listrik"/>
    <s v=""/>
    <s v="N/A"/>
    <s v="3 x 3 meter; Tidak termasuk listrik; AC; Kasur; Meja; Lemari Baju; Ventilasi; Bantal; Cermin; Jendela; K. Mandi Dalam; Kloset Jongkok; Shower; WiFi; Kulkas; R. Tamu; Penjaga Kos; R. Jemur; R. Makan; R. Santai; Dapur; Balcon; CCTV; Parkir Motor &amp; Sepeda"/>
    <n v="1700000"/>
    <s v="Rp1.700.000"/>
    <n v="0"/>
    <m/>
    <s v="Kos Campur"/>
    <m/>
    <m/>
  </r>
  <r>
    <s v="Kost Koe Cibinong Bogor"/>
    <x v="0"/>
    <x v="96"/>
    <n v="12"/>
    <s v="3 x 4 meter"/>
    <s v="Tidak termasuk listrik"/>
    <s v=""/>
    <s v="N/A"/>
    <s v="3 x 4 meter; Tidak termasuk listrik; AC; Kasur; Meja; Lemari Baju; Bantal; Dapur Pribadi; Jendela; Kursi; Kloset Duduk; Ember mandi; R. Jemur; Jemuran; Parkir Mobil; Parkir Motor; Parkir Sepeda; Parkir Motor &amp; Sepeda"/>
    <n v="1370000"/>
    <s v="Rp1.370.000"/>
    <n v="0.17013888888888887"/>
    <d v="1899-12-30T04:05:00"/>
    <s v="Kos Campur"/>
    <m/>
    <m/>
  </r>
  <r>
    <s v="Kost Komplek Batan Indah Tipe C Setu Tangerang Selata"/>
    <x v="2"/>
    <x v="21"/>
    <n v="9"/>
    <s v="3 x 3 meter"/>
    <s v="Termasuk listrik (implied)"/>
    <s v=""/>
    <s v="N/A"/>
    <s v="3 x 3 meter; Termasuk listrik; AC; Kasur; Meja; Lemari Baju; Ventilasi; Bantal; Guling; Jendela; Kursi; Kloset Jongkok; K. Mandi Luar; Ember mandi; Shower; Bak mandi; WiFi; Kulkas; R. Cuci; R. Tamu; R. Jemur; Dapur; Balcon; CCTV; Jemuran; Pengurus Kos; Parkir Motor &amp; Sepeda"/>
    <n v="1100000"/>
    <s v="Rp1.100.000"/>
    <n v="0"/>
    <m/>
    <s v="Kos Putri"/>
    <m/>
    <m/>
  </r>
  <r>
    <s v="Kost Komplek Deplu Larangan Tangerang"/>
    <x v="6"/>
    <x v="74"/>
    <n v="16"/>
    <s v="4 x 4 meter"/>
    <s v="Tidak termasuk listrik"/>
    <s v=""/>
    <s v="N/A"/>
    <s v="4 x 4 meter; Tidak termasuk listrik; AC; Kasur; Meja; Lemari Baju; Ventilasi; Bantal; Jendela; K. Mandi Dalam; Kloset Duduk; K. Mandi Luar; Shower; WiFi; Kulkas; R. Tamu; Penjaga Kos; R. Jemur; R. Makan; Dapur; CCTV; Jemuran; Parkir Mobil; Parkir Motor; Parkir Sepeda"/>
    <n v="1200000"/>
    <s v="Rp1.200.000"/>
    <n v="0.17013888888888887"/>
    <d v="1899-12-30T04:05:00"/>
    <s v="Kos Campur"/>
    <m/>
    <s v="Diskon 104rb"/>
  </r>
  <r>
    <s v="Kost Kontrak Madani Tipe A Cipayung Depok"/>
    <x v="1"/>
    <x v="25"/>
    <n v="20"/>
    <s v="4 x 5 meter"/>
    <s v="Tidak termasuk listrik"/>
    <s v=""/>
    <s v="N/A"/>
    <s v="4 x 5 meter; Tidak termasuk listrik; Kasur; Lemari Baju; Dapur Pribadi; Jendela; Bantal; Wastafel; K. Mandi Dalam; Kloset Jongkok; WiFi; R. Jemur; Jemuran; Parkir Motor"/>
    <n v="965000"/>
    <s v="Rp965.000"/>
    <n v="0"/>
    <m/>
    <s v="Kos Campur"/>
    <m/>
    <m/>
  </r>
  <r>
    <s v="Kost Kopyor Barat Kelapa Gading Jakarta Utara"/>
    <x v="4"/>
    <x v="79"/>
    <n v="9"/>
    <s v="3 x 3 meter"/>
    <s v="Tidak termasuk listrik"/>
    <s v=""/>
    <s v="N/A"/>
    <s v="3 x 3 meter; Tidak termasuk listrik; AC; Kasur; Meja; Lemari Baju; Kursi; Wastafel; Bantal; Kloset Duduk; K. Mandi Luar; Shower; WiFi; Kulkas; Mesin Cuci; Dispenser; Dapur; TV; CCTV; Jemuran; Parkir Motor"/>
    <n v="1400000"/>
    <s v="Rp1.400.000"/>
    <n v="0.17083333333333331"/>
    <d v="1899-12-30T04:06:00"/>
    <s v="Kos Putra"/>
    <m/>
    <m/>
  </r>
  <r>
    <s v="Kost Kostzy Meadow Green Lippo Cikarang Selatan Bekasi"/>
    <x v="7"/>
    <x v="27"/>
    <n v="9.1"/>
    <s v="3.5 x 2.6 meter"/>
    <s v="Tidak termasuk listrik"/>
    <s v=""/>
    <s v="N/A"/>
    <s v="3.5 x 2.6 meter; Tidak termasuk listrik; AC; Kasur; Meja; Meja Rias; Lemari Baju; Bantal; Cermin; Kursi; microwave; K. Mandi Dalam; Kloset Duduk; Shower; WiFi; Kulkas; R. Jemur; R. Santai; Dapur; CCTV; Balcon; Pengurus Kos; Jemuran; Parkir Motor; Parkir Motor &amp; Sepeda"/>
    <n v="1600000"/>
    <s v="Rp1.600.000"/>
    <n v="0"/>
    <m/>
    <s v="Kos Putri"/>
    <m/>
    <m/>
  </r>
  <r>
    <s v="Kost Kosy Tipe A Babakan Madang Bogor"/>
    <x v="0"/>
    <x v="0"/>
    <n v="12"/>
    <s v="3 x 4 meter"/>
    <s v="Termasuk listrik (implied)"/>
    <s v=""/>
    <s v="N/A"/>
    <s v="3 x 4 meter; Termasuk listrik; AC; Kasur; Meja; Lemari Baju; Ventilasi; Bantal; Cermin; Dapur Pribadi; Guling; Jendela; Kloset Duduk; K. Mandi Luar; Ember mandi; Shower; Air panas; WiFi; R. Cuci; Kulkas; Penjaga Kos; Laundry; Mesin Cuci; R. Tamu; R. Jemur; R. Makan; R. Santai; Parkir Mobil; Parkir Motor &amp; Sepeda"/>
    <n v="1600000"/>
    <s v="Rp1.600.000"/>
    <n v="0"/>
    <m/>
    <s v="Kos Campur"/>
    <m/>
    <m/>
  </r>
  <r>
    <s v="Kost Kosy Tipe B Babakan Madang Bogor"/>
    <x v="0"/>
    <x v="0"/>
    <n v="12"/>
    <s v="3 x 4 meter"/>
    <s v="Termasuk listrik (implied)"/>
    <s v=""/>
    <s v="N/A"/>
    <s v="3 x 4 meter; Termasuk listrik; Kasur; Meja; Lemari Baju; Ventilasi; Bantal; Cermin; Dapur Pribadi; Guling; Jendela; Kipas Angin; Kloset Duduk; K. Mandi Luar; Shower; Air panas; Bak mandi; WiFi; R. Cuci; Penjaga Kos; Laundry; Mesin Cuci; R. Jemur; R. Santai; Dapur; CCTV; Jemuran; Parkir Mobil; Parkir Motor &amp; Sepeda"/>
    <n v="900000"/>
    <s v="Rp900.000"/>
    <n v="0"/>
    <m/>
    <s v="Kos Campur"/>
    <m/>
    <m/>
  </r>
  <r>
    <s v="Kost Kota Wisata Cibubur Cileungsi Bogor"/>
    <x v="0"/>
    <x v="128"/>
    <n v="12"/>
    <s v="3 x 4 meter"/>
    <s v="Tidak termasuk listrik"/>
    <s v=""/>
    <s v="N/A"/>
    <s v="3 x 4 meter; Tidak termasuk listrik; AC; Kasur; Meja; Meja Rias; Lemari Baju; Ventilasi; Kursi; Bantal; Cermin; Jendela; Kloset Duduk; K. Mandi Luar; Wastafel; Shower; Air panas; WiFi; R. Cuci; Kulkas; R. Tamu; Penjaga Kos; Laundry; R. Jemur; R. Santai; Dapur; TV; Parkir Mobil; Parkir Motor; Parkir Sepeda"/>
    <n v="1350000"/>
    <s v="Rp1.350.000"/>
    <n v="0.20833333333333334"/>
    <d v="1899-12-30T05:00:00"/>
    <s v="Kos Putri"/>
    <m/>
    <m/>
  </r>
  <r>
    <s v="Kost Kpop Stan Sarmili Pondok Aren Tangerang Selatan"/>
    <x v="2"/>
    <x v="29"/>
    <n v="12"/>
    <s v="3 x 4 meter"/>
    <s v="Tidak termasuk listrik"/>
    <s v=""/>
    <s v="N/A"/>
    <s v="3 x 4 meter; Tidak termasuk listrik; Kasur; Meja; Lemari Baju; Kulkas; Ventilasi; Bantal; Cermin; Guling; Jendela; Kipas Angin; K. Mandi Dalam; Kloset Jongkok; Ember mandi; WiFi; Dapur; Jemuran; Parkir Motor"/>
    <n v="700000"/>
    <s v="Rp700.000"/>
    <n v="0.17222222222222225"/>
    <d v="1899-12-30T04:08:00"/>
    <s v="Kos Putri"/>
    <m/>
    <m/>
  </r>
  <r>
    <s v="Kost Kristal Garden Cibinong Bogor"/>
    <x v="0"/>
    <x v="35"/>
    <n v="12"/>
    <s v="3 x 4 meter"/>
    <s v="Tidak termasuk listrik"/>
    <s v=""/>
    <s v="N/A"/>
    <s v="3 x 4 meter; Tidak termasuk listrik; AC; Kasur; Meja; Lemari Baju; Ventilasi; Kursi; Bantal; Cermin; Guling; Jendela; Kloset Duduk; K. Mandi Luar; Wastafel; Ember mandi; WiFi; R. Tamu; R. Makan; R. Jemur; Dapur; Dispenser; TV; Taman; Jemuran"/>
    <n v="1500000"/>
    <s v="Rp1.500.000"/>
    <n v="0"/>
    <m/>
    <s v="Kos Putra"/>
    <m/>
    <m/>
  </r>
  <r>
    <s v="Kost Ku Cikarang Selatan Bekasi"/>
    <x v="7"/>
    <x v="27"/>
    <n v="12"/>
    <s v="3 x 4 meter"/>
    <s v="Tidak termasuk listrik"/>
    <s v=""/>
    <s v="N/A"/>
    <s v="3 x 4 meter; Tidak termasuk listrik; AC; Kasur; Meja; Meja Rias; Ventilasi; Bantal; Cermin; Dapur Pribadi; Guling; Jendela; K. Mandi Dalam; Kloset Duduk; Ember mandi; Shower; WiFi; Kulkas; R. Tamu; R. Jemur; R. Makan; R. Santai; Balcon; CCTV; Jemuran; Kartu Akses; Parkir Mobil; Parkir Motor"/>
    <n v="1600000"/>
    <s v="Rp1.600.000"/>
    <n v="0"/>
    <m/>
    <s v="Kos Putri"/>
    <m/>
    <m/>
  </r>
  <r>
    <s v="Kost L 2 VVIP Cikarang Pusat Bekasi"/>
    <x v="7"/>
    <x v="100"/>
    <n v="21"/>
    <s v="3 x 7 meter"/>
    <s v="Tidak termasuk listrik"/>
    <s v=""/>
    <s v="N/A"/>
    <s v="3 x 7 meter; Tidak termasuk listrik; AC; Kasur; Lemari Baju; Ventilasi; Bantal; Dapur Pribadi; Guling; Jendela; K. Mandi Dalam; Kloset Duduk; Shower; Air panas; WiFi; R. Cuci; Mesin Cuci; R. Jemur; R. Santai; Balcon; Jemuran; Pengurus Kos; Parkir Mobil; Parkir Motor; Parkir Sepeda"/>
    <n v="1900000"/>
    <s v="Rp1.900.000"/>
    <n v="0"/>
    <m/>
    <s v="Kos Putri"/>
    <m/>
    <m/>
  </r>
  <r>
    <s v="Kost L1 Tipe A Periuk Tangerang"/>
    <x v="6"/>
    <x v="152"/>
    <n v="9"/>
    <s v="3 x 3 meter"/>
    <s v="Tidak termasuk listrik"/>
    <s v=""/>
    <s v="N/A"/>
    <s v="3 x 3 meter; Tidak termasuk listrik; AC; Kasur; Meja; Lemari Baju; Bantal; Cermin; Cleaning service; Kursi; K. Mandi Dalam; Kloset Duduk; Kloset Jongkok; K. Mandi Luar; Ember mandi; Shower; WiFi; Dapur; Dispenser; Parkir Motor; Parkir Sepeda"/>
    <n v="1100000"/>
    <s v="Rp1.100.000"/>
    <n v="0"/>
    <m/>
    <s v="Kos Putra"/>
    <m/>
    <m/>
  </r>
  <r>
    <s v="Kost Lamdis VVIP Citeureup Bogor"/>
    <x v="0"/>
    <x v="109"/>
    <n v="12"/>
    <s v="3 x 4 meter"/>
    <s v="Tidak termasuk listrik"/>
    <s v=""/>
    <s v="N/A"/>
    <s v="3 x 4 meter; Tidak termasuk listrik; AC; Kasur; Meja; Lemari Baju; Ventilasi; Bantal; Cermin; Guling; Jendela; Kloset Duduk; Kloset Jongkok; K. Mandi Luar; Ember mandi; Shower; Bak mandi; WiFi; Kulkas; Penjaga Kos; R. Tamu; R. Jemur; R. Makan; R. Santai; Dapur; Dispenser; Balcon; Parkir Motor; Parkir Sepeda"/>
    <n v="1200000"/>
    <s v="Rp1.200.000"/>
    <n v="0"/>
    <m/>
    <s v="Kos Putri"/>
    <m/>
    <m/>
  </r>
  <r>
    <s v="Kost Laris Mulya Babelan Bekasi"/>
    <x v="7"/>
    <x v="155"/>
    <n v="20"/>
    <s v="5 x 4 meter"/>
    <s v="Tidak termasuk listrik"/>
    <s v=""/>
    <s v="N/A"/>
    <s v="5 x 4 meter; Tidak termasuk listrik; Ventilasi; Jendela; K. Mandi Dalam; R. Jemur; Jemuran; Parkir Motor"/>
    <n v="600000"/>
    <s v="Rp600.000"/>
    <n v="0"/>
    <m/>
    <s v="Kos Campur"/>
    <m/>
    <m/>
  </r>
  <r>
    <s v="Kost Lavender Living Duri Kosambi Deluxe Room Cengkareng Jakarta Barat"/>
    <x v="3"/>
    <x v="169"/>
    <n v="9"/>
    <s v="3 x 3 meter"/>
    <s v="Tidak termasuk listrik"/>
    <s v=""/>
    <s v="N/A"/>
    <s v="3 x 3 meter; Tidak termasuk listrik; AC; Kasur; Meja; Meja Rias; Lemari Baju; Bantal; Cermin; Guling; Jendela; Kursi; K. Mandi Dalam; Kloset Duduk; Ember mandi; Shower; WiFi; Kulkas; R. Cuci; Laundry; Mesin Cuci; Penjaga Kos; R. Tamu; R. Santai; Dapur; Dispenser; Parkir Motor; Parkir Sepeda; Parkir Motor &amp; Sepeda"/>
    <n v="2500000"/>
    <s v="Rp2.500.000"/>
    <n v="0"/>
    <m/>
    <s v="Kos Campur"/>
    <m/>
    <m/>
  </r>
  <r>
    <s v="Kost Lavin Tangcity Tipe Single Tangerang"/>
    <x v="6"/>
    <x v="90"/>
    <n v="9"/>
    <s v="3 x 3 meter"/>
    <s v="Tidak termasuk listrik"/>
    <s v=""/>
    <s v="N/A"/>
    <s v="3 x 3 meter; Tidak termasuk listrik; AC; Kasur; Meja; TV; Lemari Baju; Ventilasi; Bantal; Cermin; Cleaning service; Guling; K. Mandi Dalam; Kloset Duduk; Shower; Air panas; WiFi; Kulkas; R. Cuci; Mushola; R. Jemur; R. Makan; R. Santai; Dapur; Dispenser; Balcon; Parkir Mobil; Parkir Motor; Parkir Sepeda"/>
    <n v="2500000"/>
    <s v="Rp2.500.000"/>
    <n v="0"/>
    <m/>
    <s v="Kos Campur"/>
    <m/>
    <m/>
  </r>
  <r>
    <s v="Kost Lavira Tipe B Pinang Tangerang"/>
    <x v="6"/>
    <x v="105"/>
    <n v="24"/>
    <s v="4 x 6 meter"/>
    <s v="Tidak termasuk listrik"/>
    <s v=""/>
    <s v="N/A"/>
    <s v="4 x 6 meter; Tidak termasuk listrik; Kasur; Meja; Lemari Baju; Ventilasi; Kipas Angin; Bantal; Guling; Jendela; Cermin; K. Mandi Dalam; Kloset Duduk; Kloset Jongkok; Ember mandi; WiFi; Kulkas; R. Jemur; R. Santai; Dapur; Balcon; Pengurus Kos; Jemuran; Parkir Motor; Parkir Sepeda"/>
    <n v="925000"/>
    <s v="Rp925.000"/>
    <n v="0.16666666666666666"/>
    <d v="1899-12-30T04:00:00"/>
    <s v="Kos Putri"/>
    <m/>
    <m/>
  </r>
  <r>
    <s v="Kost Le Paseban Superior Senen Jakarta Pusat"/>
    <x v="9"/>
    <x v="68"/>
    <n v="9"/>
    <s v="3 x 3 meter"/>
    <s v="Tidak termasuk listrik"/>
    <s v=""/>
    <s v="N/A"/>
    <s v="3 x 3 meter; Tidak termasuk listrik; AC; Kasur; Meja; TV; Kulkas; Lemari Baju; Ventilasi; Bantal; Cermin; Cleaning service; K. Mandi Dalam; Kloset Duduk; Wastafel; Shower; Air panas; WiFi; R. Cuci; Mesin Cuci; Penjaga Kos; R. Tamu; R. Jemur; R. Santai; Dapur; Dispenser; Parkir Motor"/>
    <n v="2999000"/>
    <s v="Rp2.999.000"/>
    <n v="0.17222222222222225"/>
    <d v="1899-12-30T04:08:00"/>
    <s v="Kos Campur"/>
    <m/>
    <s v="Diskon 150rb"/>
  </r>
  <r>
    <s v="Kost Lee's Tanjung Priok Jakarta Utara"/>
    <x v="4"/>
    <x v="5"/>
    <n v="6"/>
    <s v="2 x 3 meter"/>
    <s v="Tidak termasuk listrik"/>
    <s v=""/>
    <s v="N/A"/>
    <s v="2 x 3 meter; Tidak termasuk listrik; Kasur; Lemari Baju; Ventilasi; Jendela; K. Mandi Dalam; Kloset Duduk; Shower; WiFi; Kulkas; Penjaga Kos; R. Jemur; Dapur; Kartu Akses; Balcon; K. Mandi Luar; Pengurus Kos; Parkir Motor; Parkir Sepeda"/>
    <n v="1100000"/>
    <s v="Rp1.100.000"/>
    <n v="0.17083333333333331"/>
    <d v="1899-12-30T04:06:00"/>
    <s v="Kos Campur"/>
    <m/>
    <m/>
  </r>
  <r>
    <s v="Kost Legenda Tipe A Cikarang Utara Bekasi"/>
    <x v="7"/>
    <x v="33"/>
    <n v="48"/>
    <s v="6 x 8 meter"/>
    <s v="Tidak termasuk listrik"/>
    <s v=""/>
    <s v="N/A"/>
    <s v="6 x 8 meter; Tidak termasuk listrik; AC; Kasur; Meja; Lemari Baju; Bantal; Cermin; Jendela; Kursi; K. Mandi Dalam; Kloset Jongkok; Ember mandi; Shower; WiFi; Kulkas; R. Cuci; Mesin Cuci; R. Jemur; R. Makan; Dapur; CCTV; Jemuran; Parkir Motor; Parkir Sepeda; Parkir Motor &amp; Sepeda"/>
    <n v="1900000"/>
    <s v="Rp1.900.000"/>
    <n v="0"/>
    <m/>
    <s v="Kos Campur"/>
    <m/>
    <m/>
  </r>
  <r>
    <s v="Kost Legenda Tipe B Cikarang Utara Bekasi"/>
    <x v="7"/>
    <x v="33"/>
    <n v="12"/>
    <s v="3 x 4 meter"/>
    <s v="Tidak termasuk listrik"/>
    <s v=""/>
    <s v="N/A"/>
    <s v="3 x 4 meter; Tidak termasuk listrik; AC; Kasur; Meja; Lemari Baju; Bantal; Jendela; Kursi; K. Mandi Dalam; Kloset Jongkok; Ember mandi; Shower; WiFi; Kulkas; R. Cuci; Mesin Cuci; R. Jemur; R. Makan; Dapur; CCTV; Jemuran; Parkir Motor; Parkir Sepeda; Parkir Motor &amp; Sepeda"/>
    <n v="1300000"/>
    <s v="Rp1.300.000"/>
    <n v="0.17083333333333331"/>
    <d v="1899-12-30T04:06:00"/>
    <s v="Kos Campur"/>
    <m/>
    <m/>
  </r>
  <r>
    <s v="Kost Legenda Tipe C Cikarang Utara Bekasi"/>
    <x v="7"/>
    <x v="33"/>
    <n v="12"/>
    <s v="3 x 4 meter"/>
    <s v="Tidak termasuk listrik"/>
    <s v=""/>
    <s v="N/A"/>
    <s v="3 x 4 meter; Tidak termasuk listrik; Kasur; Meja; Lemari Baju; Bantal; Cermin; Guling; Jendela; Kipas Angin; Kursi; K. Mandi Dalam; Kloset Jongkok; Ember mandi; Shower; WiFi; Kulkas; R. Cuci; Mesin Cuci; R. Jemur; R. Makan; Dapur; CCTV; Jemuran; Parkir Motor; Parkir Sepeda; Parkir Motor &amp; Sepeda"/>
    <n v="900000"/>
    <s v="Rp900.000"/>
    <n v="0"/>
    <m/>
    <s v="Kos Campur"/>
    <m/>
    <m/>
  </r>
  <r>
    <s v="Kost Lenny Tipe B Kelapa Gading Jakarta Utara"/>
    <x v="4"/>
    <x v="79"/>
    <n v="12"/>
    <s v="4 x 3 meter"/>
    <s v="Tidak termasuk listrik"/>
    <s v=""/>
    <s v="N/A"/>
    <s v="4 x 3 meter; Tidak termasuk listrik; AC; Kasur; TV; Lemari Baju; Cleaning service; K. Mandi Dalam; Kloset Duduk; Shower; Air panas; WiFi; Kulkas; R. Tamu; R. Makan; Dapur; Locker"/>
    <n v="2200000"/>
    <s v="Rp2.200.000"/>
    <n v="0"/>
    <m/>
    <s v="Kos Putra"/>
    <m/>
    <m/>
  </r>
  <r>
    <s v="Kost Leo Kelapa Gading Jakarta Utara"/>
    <x v="4"/>
    <x v="111"/>
    <n v="9"/>
    <s v="3 x 3 meter"/>
    <s v="Tidak termasuk listrik"/>
    <s v=""/>
    <s v="N/A"/>
    <s v="3 x 3 meter; Tidak termasuk listrik; AC; Kasur; Meja; Dispenser; Lemari Baju; Kursi; Bantal; Kloset Duduk; K. Mandi Luar; Wastafel; Shower; WiFi"/>
    <n v="1500000"/>
    <s v="Rp1.500.000"/>
    <n v="0.17291666666666669"/>
    <d v="1899-12-30T04:09:00"/>
    <s v="Kos Campur"/>
    <m/>
    <m/>
  </r>
  <r>
    <s v="Kost Lermanmora Tipe C Cikarang Selatan"/>
    <x v="7"/>
    <x v="27"/>
    <n v="6"/>
    <s v="2.5 x 2.4 meter"/>
    <s v="Tidak termasuk listrik"/>
    <s v=""/>
    <s v="N/A"/>
    <s v="2.5 x 2.4 meter; Tidak termasuk listrik; AC; Kasur; Lemari Baju; K. Mandi Dalam; Kloset Duduk; Ember mandi; Shower; WiFi; R. Cuci; Kulkas; R. Tamu; R. Makan; R. Jemur; R. Santai; Dapur; TV; R. Keluarga; Parkir Mobil; Parkir Motor; Parkir Sepeda"/>
    <n v="1200000"/>
    <s v="Rp1.200.000"/>
    <n v="0.20833333333333334"/>
    <d v="1899-12-30T05:00:00"/>
    <s v="Kos Campur"/>
    <m/>
    <m/>
  </r>
  <r>
    <s v="Kost Lestari Vip Kelapa Gading Jakarta Utara"/>
    <x v="4"/>
    <x v="79"/>
    <n v="9"/>
    <s v="3 x 3 meter"/>
    <s v="Termasuk listrik (implied)"/>
    <s v=""/>
    <s v="N/A"/>
    <s v="3 x 3 meter; Termasuk listrik; AC; Meja; Lemari Baju; Jendela; Kursi; Kloset Duduk; Wastafel; Shower; Air panas; WiFi; Penjaga Kos; R. Makan; Dapur; K. Mandi Luar; Parkir Motor"/>
    <n v="1700000"/>
    <s v="Rp1.700.000"/>
    <n v="0.17291666666666669"/>
    <d v="1899-12-30T04:09:00"/>
    <s v="Kos Campur"/>
    <m/>
    <m/>
  </r>
  <r>
    <s v="Kost Lexie House Pondok Aren Tangerang Selatan"/>
    <x v="2"/>
    <x v="29"/>
    <n v="12"/>
    <s v="3 x 4 meter"/>
    <s v="Tidak termasuk listrik"/>
    <s v=""/>
    <s v="N/A"/>
    <s v="3 x 4 meter; Tidak termasuk listrik; AC; Kasur; Meja; Lemari Baju; Ventilasi; Kursi; Bantal; Guling; K. Mandi Dalam; Kloset Jongkok; Ember mandi; Shower; WiFi; Kulkas; R. Tamu; Penjaga Kos; R. Jemur; R. Santai; Dapur; TV; Pengurus Kos; Jemuran; Parkir Motor; Parkir Sepeda"/>
    <n v="1000000"/>
    <s v="Rp1.000.000"/>
    <n v="0"/>
    <m/>
    <s v="Kos Putra"/>
    <m/>
    <m/>
  </r>
  <r>
    <s v="Kost Lily Tipe C Cibinong Bogor"/>
    <x v="0"/>
    <x v="35"/>
    <n v="12"/>
    <s v="3 x 4 meter"/>
    <s v="Termasuk listrik (implied)"/>
    <s v=""/>
    <s v="N/A"/>
    <s v="3 x 4 meter; Termasuk listrik; Kasur; Lemari Baju; Ventilasi; Bantal; Dapur Pribadi; Guling; Jendela; Kipas Angin; Wastafel; K. Mandi Dalam; Kloset Jongkok; Ember mandi; Bak mandi; Dapur; Jemuran; Jual Makanan; Parkir Motor; Parkir Sepeda"/>
    <n v="650000"/>
    <s v="Rp650.000"/>
    <n v="0"/>
    <m/>
    <s v="Kos Putri"/>
    <m/>
    <m/>
  </r>
  <r>
    <s v="Kost Lilyk Sugito Tipe Standart Cikarang Selatan Bekasi"/>
    <x v="7"/>
    <x v="27"/>
    <n v="9"/>
    <s v="3 x 3 meter"/>
    <s v="Tidak termasuk listrik"/>
    <s v=""/>
    <s v="N/A"/>
    <s v="3 x 3 meter; Tidak termasuk listrik; AC; Kasur; Lemari Baju; Kulkas; Cleaning service; K. Mandi Dalam; Kloset Duduk; Shower; WiFi; Laundry; Balcon; Parkir Mobil; Parkir Motor; Parkir Sepeda"/>
    <n v="1400000"/>
    <s v="Rp1.400.000"/>
    <n v="0.20833333333333334"/>
    <d v="1899-12-30T05:00:00"/>
    <s v="Kos Campur"/>
    <m/>
    <m/>
  </r>
  <r>
    <s v="Kost Limoti Neglasari Tangerang"/>
    <x v="6"/>
    <x v="34"/>
    <n v="16"/>
    <s v="4 x 4 meter"/>
    <s v="Tidak termasuk listrik"/>
    <s v=""/>
    <s v="N/A"/>
    <s v="4 x 4 meter; Tidak termasuk listrik; AC; Kasur; Meja; TV; Lemari Baju; Kulkas; Ventilasi; Kursi; Wastafel; Bantal; K. Mandi Dalam; Kloset Duduk; Ember mandi; Shower; Air panas; R. Tamu; Laundry; Penjaga Kos; R. Makan; R. Jemur; Dapur; Dispenser; CCTV; Jual Makanan; Parkir Mobil; Parkir Motor; Parkir Sepeda"/>
    <n v="1000000"/>
    <s v="Rp1.000.000"/>
    <n v="0"/>
    <m/>
    <s v="Kos Campur"/>
    <m/>
    <m/>
  </r>
  <r>
    <s v="Kost Limus Pratama Living Deluxe Cileungsi Bogor"/>
    <x v="0"/>
    <x v="128"/>
    <n v="14"/>
    <s v="3.5 x 4 meter"/>
    <s v="Tidak termasuk listrik"/>
    <s v=""/>
    <s v="N/A"/>
    <s v="3.5 x 4 meter; Tidak termasuk listrik; AC; Kasur; Dispenser; Meja; TV; Kulkas; Lemari Baju; Ventilasi; Bantal; Cermin; K. Mandi Dalam; Kloset Duduk; Wastafel; Shower; Air panas; WiFi; Penjaga Kos; Dapur; CCTV; Kartu Akses; Pengurus Kos; Parkir Mobil; Parkir Motor; Parkir Sepeda; Parkir Motor &amp; Sepeda"/>
    <n v="2050000"/>
    <s v="Rp2.050.000"/>
    <n v="0"/>
    <m/>
    <s v="Kos Campur"/>
    <m/>
    <m/>
  </r>
  <r>
    <s v="Kost Lingga Tipe A Cileungsi Bogor"/>
    <x v="0"/>
    <x v="31"/>
    <n v="12"/>
    <s v="3 x 4 meter"/>
    <s v="Termasuk listrik (implied)"/>
    <s v=""/>
    <s v="N/A"/>
    <s v="3 x 4 meter; Termasuk listrik; Kasur; Meja; Lemari Baju; Ventilasi; Bantal; Guling; Jendela; Kursi; Kipas Angin; K. Mandi Dalam; Kloset Duduk; Ember mandi; WiFi; Dapur; CCTV; Jemuran; Pengurus Kos; Parkir Motor; Parkir Sepeda"/>
    <n v="1000000"/>
    <s v="Rp1.000.000"/>
    <n v="0"/>
    <m/>
    <s v="Kos Campur"/>
    <m/>
    <m/>
  </r>
  <r>
    <s v="Kost Lippo Cikarang Mm Tazko Tipe A Cikarang Selatan Bekasi"/>
    <x v="7"/>
    <x v="27"/>
    <n v="12"/>
    <s v="3 x 4 meter"/>
    <s v="Tidak termasuk listrik"/>
    <s v=""/>
    <s v="N/A"/>
    <s v="3 x 4 meter; Tidak termasuk listrik; AC; Kasur; Meja Rias; Lemari Baju; Ventilasi; Bantal; Cermin; Guling; Jendela; Kursi; K. Mandi Dalam; Kloset Duduk; Ember mandi; WiFi; Kulkas; Mesin Cuci; R. Jemur; R. Makan; Dapur; Dispenser; Jemuran; Pengurus Kos; Rooftop; Parkir Mobil; Parkir Motor"/>
    <n v="1550000"/>
    <s v="Rp1.550.000"/>
    <n v="0"/>
    <m/>
    <s v="Kos Putri"/>
    <m/>
    <m/>
  </r>
  <r>
    <s v="Kost Lippo Meadow Green Tipe A Cikarang Selatan Bekasi"/>
    <x v="7"/>
    <x v="27"/>
    <n v="7.5"/>
    <s v="3 x 2.5 meter"/>
    <s v="Tidak termasuk listrik"/>
    <s v=""/>
    <s v="N/A"/>
    <s v="3 x 2.5 meter; Tidak termasuk listrik; Dispenser; K. Mandi Luar; R. Cuci; R. Tamu; R. Jemur; R. Santai; Dapur; CCTV; Pengurus Kos; Parkir Mobil; Parkir Motor"/>
    <n v="850000"/>
    <s v="Rp850.000"/>
    <n v="0.20833333333333334"/>
    <d v="1899-12-30T05:00:00"/>
    <s v="Kos Campur"/>
    <m/>
    <m/>
  </r>
  <r>
    <s v="Kost Living Plus 2 Pulo Gadung Jakarta Timur"/>
    <x v="8"/>
    <x v="94"/>
    <n v="12"/>
    <s v="3 x 4 meter"/>
    <s v="Tidak termasuk listrik"/>
    <s v=""/>
    <s v="N/A"/>
    <s v="3 x 4 meter; Tidak termasuk listrik; AC; Kasur; Lemari Baju; Dapur Pribadi; Jendela; Wastafel; K. Mandi Dalam; Kloset Duduk; Shower; Dapur; Jemuran; CCTV; Parkir Motor &amp; Sepeda"/>
    <n v="1600000"/>
    <s v="Rp1.600.000"/>
    <n v="0.17291666666666669"/>
    <d v="1899-12-30T04:09:00"/>
    <s v="Kos Campur"/>
    <m/>
    <s v="Diskon 170rb"/>
  </r>
  <r>
    <s v="Kost Living Plus Kasuari Cikarang Utara Bekasi"/>
    <x v="7"/>
    <x v="33"/>
    <n v="12"/>
    <s v="3 x 4 meter"/>
    <s v="Tidak termasuk listrik"/>
    <s v=""/>
    <s v="N/A"/>
    <s v="3 x 4 meter; Tidak termasuk listrik; AC; Kasur; Meja; TV; Lemari Baju; Bantal; Cermin; Kursi; Guling; K. Mandi Dalam; Kloset Duduk; Shower; WiFi; Kulkas; R. Tamu; R. Jemur; Dapur; Dispenser; CCTV; Jemuran; Pengurus Kos; Parkir Motor; Parkir Sepeda; Parkir Motor &amp; Sepeda"/>
    <n v="1500000"/>
    <s v="Rp1.500.000"/>
    <n v="0"/>
    <m/>
    <s v="Kos Putri"/>
    <m/>
    <m/>
  </r>
  <r>
    <s v="Kost Living Plus Tawakal Tipe B Grogol petamburan Jakarta Barat"/>
    <x v="3"/>
    <x v="82"/>
    <n v="12"/>
    <s v="4 x 3 meter"/>
    <s v="Tidak termasuk listrik"/>
    <s v=""/>
    <s v="N/A"/>
    <s v="4 x 3 meter; Tidak termasuk listrik; AC; Kasur; Meja; Lemari Baju; Bantal; Guling; Jendela; Kloset Duduk; Shower; Air panas; WiFi; Jemuran; Rooftop; Parkir Motor &amp; Sepeda"/>
    <n v="1300000"/>
    <s v="Rp1.300.000"/>
    <n v="0.17083333333333331"/>
    <d v="1899-12-30T04:06:00"/>
    <s v="Kos Campur"/>
    <m/>
    <s v="Diskon 112rb"/>
  </r>
  <r>
    <s v="Kost Logo Residence Tipe Standar Kebayoran Baru Jakarta Selatan"/>
    <x v="5"/>
    <x v="6"/>
    <n v="15"/>
    <s v="5 x 3 meter"/>
    <s v="Tidak termasuk listrik"/>
    <s v=""/>
    <s v="N/A"/>
    <s v="5 x 3 meter; Tidak termasuk listrik; AC; Kasur; Meja; TV; Lemari Baju; Kulkas; Cleaning service; Guling; TV Kabel; Wastafel; K. Mandi Dalam; Kloset Duduk; Shower; Air panas; WiFi; R. Tamu; Laundry; Penjaga Kos; Mesin Cuci; R. Makan; R. Santai; Dispenser; Dapur; Parkir Mobil; Parkir Motor"/>
    <n v="3500000"/>
    <s v="Rp3.500.000"/>
    <n v="0.17222222222222225"/>
    <d v="1899-12-30T04:08:00"/>
    <s v="Kos Campur"/>
    <m/>
    <s v="Diskon 168rb"/>
  </r>
  <r>
    <s v="Kost Loka Asa Premium Karang Tengah Tangerang"/>
    <x v="6"/>
    <x v="121"/>
    <n v="12"/>
    <s v="3 x 4 meter"/>
    <s v="Tidak termasuk listrik"/>
    <s v=""/>
    <s v="N/A"/>
    <s v="3 x 4 meter; Tidak termasuk listrik; AC; Kasur; Dispenser; Meja; TV; Lemari Baju; Bantal; Cermin; Guling; Jendela; K. Mandi Dalam; Kloset Duduk; Ember mandi; Shower; Kulkas; R. Cuci; Mesin Cuci; R. Tamu; Mushola; R. Jemur; R. Makan; R. Santai; Dapur; Balcon; Parkir Motor"/>
    <n v="1500000"/>
    <s v="Rp1.500.000"/>
    <n v="0"/>
    <m/>
    <s v="Kos Campur"/>
    <m/>
    <m/>
  </r>
  <r>
    <s v="Kost Lotus Pancoran Jakarta Selatan"/>
    <x v="5"/>
    <x v="55"/>
    <n v="9"/>
    <s v="3 x 3 meter"/>
    <s v="Termasuk listrik (implied)"/>
    <s v=""/>
    <s v="N/A"/>
    <s v="3 x 3 meter; Termasuk listrik; AC; Kasur; Meja; Lemari Baju; Bantal; Cermin; Cleaning service; Jendela; K. Mandi Dalam; Kloset Duduk; Ember mandi; Shower; WiFi; Laundry; Penjaga Kos; R. Tamu; R. Santai; Dapur; Balcon; CCTV; Gazebo; Jemuran; Parkir Mobil; Parkir Motor; Parkir Sepeda"/>
    <n v="2000000"/>
    <s v="Rp2.000.000"/>
    <n v="0.17083333333333331"/>
    <d v="1899-12-30T04:06:00"/>
    <s v="Kos Putri"/>
    <m/>
    <s v="Diskon 96rb"/>
  </r>
  <r>
    <s v="Kost Lovina Neglasari Tangerang"/>
    <x v="6"/>
    <x v="144"/>
    <n v="6.25"/>
    <s v="2.5 x 2.5 meter"/>
    <s v="Termasuk listrik (implied)"/>
    <s v=""/>
    <s v="N/A"/>
    <s v="2.5 x 2.5 meter; Termasuk listrik; AC; Kasur; Lemari Baju; Bantal; Guling; K. Mandi Dalam; Kloset Jongkok; Ember mandi; Shower; WiFi; R. Cuci; Kulkas; R. Tamu; R. Jemur; R. Santai; Dapur; Dispenser; TV; Jemuran; Parkir Motor; Parkir Sepeda"/>
    <n v="1450000"/>
    <s v="Rp1.450.000"/>
    <n v="0.20833333333333334"/>
    <d v="1899-12-30T05:00:00"/>
    <s v="Kos Campur"/>
    <m/>
    <m/>
  </r>
  <r>
    <s v="Kost Luffy Sukaraja Bogor"/>
    <x v="0"/>
    <x v="164"/>
    <n v="9"/>
    <s v="3 x 3 meter"/>
    <s v="Tidak termasuk listrik"/>
    <s v=""/>
    <s v="N/A"/>
    <s v="3 x 3 meter; Tidak termasuk listrik; Kasur; Lemari Baju; Ventilasi; Bantal; Guling; Jendela; K. Mandi Dalam; Kloset Jongkok; Ember mandi; WiFi; Laundry; Dapur; Pengurus Kos; Parkir Motor; Parkir Sepeda"/>
    <n v="750000"/>
    <s v="Rp750.000"/>
    <n v="0.20833333333333334"/>
    <d v="1899-12-30T05:00:00"/>
    <s v="Kos Putri"/>
    <m/>
    <m/>
  </r>
  <r>
    <s v="Kost Luxury VIP Cilincing Jakarta Utara"/>
    <x v="4"/>
    <x v="145"/>
    <n v="9"/>
    <s v="3 x 3 meter"/>
    <s v="Tidak termasuk listrik"/>
    <s v=""/>
    <s v="N/A"/>
    <s v="3 x 3 meter; Tidak termasuk listrik; AC; Kasur; Meja; Lemari Baju; Bantal; Cermin; Cleaning service; Dapur Pribadi; Guling; Kursi; K. Mandi Dalam; Kloset Duduk; K. Mandi Luar; Shower; WiFi; R. Cuci; Penjaga Kos; R. Jemur; R. Makan; R. Santai; Dapur; Balcon; CCTV; Jemuran; Parkir Mobil; Parkir Motor; Parkir Sepeda; Parkir Motor &amp; Sepeda"/>
    <n v="1500000"/>
    <s v="Rp1.500.000"/>
    <n v="0"/>
    <m/>
    <s v="Kos Putra"/>
    <m/>
    <m/>
  </r>
  <r>
    <s v="Kost M12 Tipe A Neglasari Tangerang"/>
    <x v="6"/>
    <x v="34"/>
    <n v="20"/>
    <s v="4 x 5 meter"/>
    <s v="Termasuk listrik (implied)"/>
    <s v=""/>
    <s v="N/A"/>
    <s v="4 x 5 meter; Termasuk listrik; AC; Kasur; Meja; TV; Meja Rias; Lemari Baju; Ventilasi; Bantal; Cermin; Guling; K. Mandi Dalam; Kloset Jongkok; K. Mandi Luar; Ember mandi; Bak mandi; WiFi; Kulkas; R. Cuci; R. Tamu; R. Jemur; R. Makan; R. Santai; Dapur; Dispenser; Balcon; Parkir Mobil; Parkir Motor; Parkir Sepeda"/>
    <n v="1200000"/>
    <s v="Rp1.200.000"/>
    <n v="0"/>
    <m/>
    <s v="Kos Putri"/>
    <m/>
    <m/>
  </r>
  <r>
    <s v="Kost Madame Huis Deluxe Room Pancoran Mas Depok"/>
    <x v="1"/>
    <x v="170"/>
    <n v="9"/>
    <s v="3 x 3 meter"/>
    <s v="Termasuk listrik (implied)"/>
    <s v=""/>
    <s v="N/A"/>
    <s v="3 x 3 meter; Termasuk listrik; AC; Kasur; Meja; Kulkas; Lemari Baju; Bantal; Cermin; Jendela; Kursi; K. Mandi Dalam; Kloset Duduk; Shower; Penjaga Kos; R. Tamu; R. Jemur; R. Santai; Dapur; Dispenser; CCTV; Jemuran; TV; Parkir Motor"/>
    <n v="2250000"/>
    <s v="Rp2.250.000"/>
    <n v="0.20833333333333334"/>
    <d v="1899-12-30T05:00:00"/>
    <s v="Kos Putri"/>
    <m/>
    <m/>
  </r>
  <r>
    <s v="Kost Madame Huis Standard Room Pancoran Mas Depok"/>
    <x v="1"/>
    <x v="171"/>
    <n v="9"/>
    <s v="3 x 3 meter"/>
    <s v="Termasuk listrik (implied)"/>
    <s v=""/>
    <s v="N/A"/>
    <s v="3 x 3 meter; Termasuk listrik; AC; Kasur; Meja; Kulkas; Lemari Baju; Ventilasi; Bantal; Cermin; Jendela; Kursi; Kloset Duduk; K. Mandi Luar; Shower; Penjaga Kos; R. Tamu; R. Jemur; R. Santai; Dapur; Dispenser; CCTV; Jemuran; TV; Parkir Motor"/>
    <n v="1750000"/>
    <s v="Rp1.750.000"/>
    <n v="0.20833333333333334"/>
    <d v="1899-12-30T05:00:00"/>
    <s v="Kos Putri"/>
    <m/>
    <m/>
  </r>
  <r>
    <s v="Kost Madrasah Tipe C Pangkalan Jati Cinere Depok"/>
    <x v="1"/>
    <x v="1"/>
    <n v="18"/>
    <s v="3 x 6 meter"/>
    <s v="Tidak termasuk listrik"/>
    <s v=""/>
    <s v="N/A"/>
    <s v="3 x 6 meter; Tidak termasuk listrik; Kasur; Wastafel; Kipas Angin; K. Mandi Dalam; Kloset Jongkok; Ember mandi; R. Jemur; R. Santai; Dapur; Parkir Motor; Parkir Sepeda"/>
    <n v="1600000"/>
    <s v="Rp1.600.000"/>
    <n v="0.16666666666666666"/>
    <d v="1899-12-30T04:00:00"/>
    <s v="Kos Campur"/>
    <m/>
    <m/>
  </r>
  <r>
    <s v="Kost Maesa Sumur Batu Jakarta Pusat"/>
    <x v="9"/>
    <x v="38"/>
    <n v="10.5"/>
    <s v="3 x 3.5 meter"/>
    <s v="Termasuk listrik (implied)"/>
    <s v=""/>
    <s v="N/A"/>
    <s v="3 x 3.5 meter; Termasuk listrik; Kasur; Meja; Lemari Baju; Kursi; Kipas Angin; Bantal; Guling; Cermin; Wastafel; Kloset Duduk; Kloset Jongkok; K. Mandi Luar; Ember mandi; Shower; WiFi; R. Cuci; R. Tamu; R. Jemur; R. Santai; Taman; Balcon; Jemuran; CCTV; Gazebo; Parkir Motor"/>
    <n v="1300000"/>
    <s v="Rp1.300.000"/>
    <n v="0.17291666666666669"/>
    <d v="1899-12-30T04:09:00"/>
    <s v="Kos Campur"/>
    <m/>
    <s v="Diskon 96rb"/>
  </r>
  <r>
    <s v="Kost Magnolia Tipe A Cipondoh Tangerang"/>
    <x v="6"/>
    <x v="97"/>
    <n v="12"/>
    <s v="3 x 4 meter"/>
    <s v="Termasuk listrik (implied)"/>
    <s v=""/>
    <s v="N/A"/>
    <s v="3 x 4 meter; Termasuk listrik; AC; Kasur; Meja; Lemari Baju; Ventilasi; Cermin; Jendela; Kursi; Kloset Duduk; K. Mandi Luar; Wastafel; Shower; Air panas; WiFi; R. Tamu; R. Makan; R. Jemur; Dapur; Taman; CCTV; Jemuran; Parkir Mobil; Parkir Motor; Parkir Sepeda; Parkir Motor &amp; Sepeda"/>
    <n v="2200000"/>
    <s v="Rp2.200.000"/>
    <n v="0"/>
    <m/>
    <s v="Kos Campur"/>
    <m/>
    <m/>
  </r>
  <r>
    <s v="Kost Magnolia Tipe B Cipondoh Tangerang"/>
    <x v="6"/>
    <x v="97"/>
    <n v="9"/>
    <s v="3 x 3 meter"/>
    <s v="Termasuk listrik (implied)"/>
    <s v=""/>
    <s v="N/A"/>
    <s v="3 x 3 meter; Termasuk listrik; AC; Kasur; Meja; Lemari Baju; Ventilasi; Bantal; Cermin; Guling; Jendela; Kursi; Kloset Duduk; K. Mandi Luar; Wastafel; Shower; WiFi; R. Tamu; R. Makan; R. Jemur; R. Santai; Dapur; CCTV; Jemuran; R. Keluarga; Parkir Motor; Parkir Sepeda; Parkir Motor &amp; Sepeda"/>
    <n v="2000000"/>
    <s v="Rp2.000.000"/>
    <n v="0.20833333333333334"/>
    <d v="1899-12-30T05:00:00"/>
    <s v="Kos Campur"/>
    <m/>
    <s v="Diskon 101rb"/>
  </r>
  <r>
    <s v="Kost Maharani Tipe A Serpong Utara Tangerang Selatan"/>
    <x v="2"/>
    <x v="3"/>
    <n v="9"/>
    <s v="3 x 3 meter"/>
    <s v="Termasuk listrik (implied)"/>
    <s v=""/>
    <s v="N/A"/>
    <s v="3 x 3 meter; Termasuk listrik; AC; Kasur; Meja; Lemari Baju; Bantal; Cermin; Kursi; Kloset Duduk; K. Mandi Luar; Wastafel; Shower; WiFi; Kulkas; Dapur; Dispenser; CCTV; Pengurus Kos; Parkir Mobil; Parkir Motor"/>
    <n v="1250000"/>
    <s v="Rp1.250.000"/>
    <n v="0"/>
    <m/>
    <s v="Kos Putri"/>
    <m/>
    <m/>
  </r>
  <r>
    <s v="Kost Mahardhika Perumnas 1 Tipe A Cibodas Tangerang"/>
    <x v="6"/>
    <x v="129"/>
    <n v="13.5"/>
    <s v="3 x 4.5 meter"/>
    <s v="Termasuk listrik (implied)"/>
    <s v=""/>
    <s v="N/A"/>
    <s v="3 x 4.5 meter; Termasuk listrik; Kasur; Lemari Baju; Cleaning service; K. Mandi Dalam; Kloset Jongkok; Ember mandi; R. Jemur; R. Santai; Balcon; Parkir Motor"/>
    <n v="900000"/>
    <s v="Rp900.000"/>
    <n v="0.17222222222222225"/>
    <d v="1899-12-30T04:08:00"/>
    <s v="Kos Campur"/>
    <m/>
    <m/>
  </r>
  <r>
    <s v="Kost Mahesa Cilincing Jakarta Utara"/>
    <x v="4"/>
    <x v="145"/>
    <n v="16"/>
    <s v="4 x 4 meter"/>
    <s v="Tidak termasuk listrik"/>
    <s v=""/>
    <s v="N/A"/>
    <s v="4 x 4 meter; Tidak termasuk listrik; AC; Kasur; Meja; Meja Rias; Lemari Baju; Ventilasi; Cleaning service; TV Kabel; Meja makan; Bantal; K. Mandi Dalam; Kloset Duduk; Shower; WiFi; R. Cuci; Kulkas; R. Tamu; Penjaga Kos; Laundry; R. Makan; R. Jemur; R. Santai; Dapur; Parkir Motor; Parkir Sepeda"/>
    <n v="1500000"/>
    <s v="Rp1.500.000"/>
    <n v="0.20833333333333334"/>
    <d v="1899-12-30T05:00:00"/>
    <s v="Kos Campur"/>
    <m/>
    <s v="Diskon 83rb"/>
  </r>
  <r>
    <s v="Kost Mak Yanti Karawaci Tangerang"/>
    <x v="6"/>
    <x v="116"/>
    <n v="12"/>
    <s v="3 x 4 meter"/>
    <s v="Tidak termasuk listrik"/>
    <s v=""/>
    <s v="N/A"/>
    <s v="3 x 4 meter; Tidak termasuk listrik; Kasur; Lemari Baju; Ventilasi; Bantal; Guling; Kipas Angin; Kloset Jongkok; K. Mandi Luar; Ember mandi; R. Jemur; Parkir Motor"/>
    <n v="500000"/>
    <s v="Rp500.000"/>
    <n v="0"/>
    <m/>
    <s v="Kos Campur"/>
    <m/>
    <m/>
  </r>
  <r>
    <s v="Kost Makmur Jaya 198 Tipe A Penjaringan Jakarta Utara"/>
    <x v="4"/>
    <x v="156"/>
    <n v="12"/>
    <s v="3 x 4 meter"/>
    <s v="Tidak termasuk listrik"/>
    <s v=""/>
    <s v="N/A"/>
    <s v="3 x 4 meter; Tidak termasuk listrik; AC; Kasur; Meja; Lemari Baju; Bantal; Cermin; Kursi; K. Mandi Dalam; Kloset Duduk; Ember mandi; Shower; WiFi; CCTV; Jemuran; Balcon; Parkir Motor &amp; Sepeda"/>
    <n v="1700000"/>
    <s v="Rp1.700.000"/>
    <n v="0.17222222222222225"/>
    <d v="1899-12-30T04:08:00"/>
    <s v="Kos Campur"/>
    <m/>
    <s v="Diskon 180rb"/>
  </r>
  <r>
    <s v="Kost Mama Adam Cibodas Tangerang"/>
    <x v="6"/>
    <x v="92"/>
    <n v="6"/>
    <s v="2 x 3 meter"/>
    <s v="Termasuk listrik (implied)"/>
    <s v=""/>
    <s v="N/A"/>
    <s v="2 x 3 meter; Termasuk listrik; Kasur; Lemari Baju; Kloset Jongkok; K. Mandi Luar; Ember mandi; Parkir Motor"/>
    <n v="500000"/>
    <s v="Rp500.000"/>
    <n v="0.20833333333333334"/>
    <d v="1899-12-30T05:00:00"/>
    <s v="Kos Putra"/>
    <m/>
    <m/>
  </r>
  <r>
    <s v="Kost Mama Inul Tipe A Mampang Prapatan Jakarta Selatan"/>
    <x v="5"/>
    <x v="67"/>
    <n v="7.5"/>
    <s v="2.5 x 3 meter"/>
    <s v="Termasuk listrik (implied)"/>
    <s v=""/>
    <s v="N/A"/>
    <s v="2.5 x 3 meter; Termasuk listrik; Kasur; Lemari Baju; Bantal; Guling; Jendela; Kipas Angin; K. Mandi Dalam; Ember mandi; WiFi; Balcon; Jemuran; Pengurus Kos"/>
    <n v="1300000"/>
    <s v="Rp1.300.000"/>
    <n v="0.20833333333333334"/>
    <d v="1899-12-30T05:00:00"/>
    <s v="Kos Campur"/>
    <m/>
    <m/>
  </r>
  <r>
    <s v="Kost Mama Nia Tipe A Koja Jakarta Utara"/>
    <x v="4"/>
    <x v="93"/>
    <n v="17.5"/>
    <s v="3.5 x 5 meter"/>
    <s v="Tidak termasuk listrik"/>
    <s v=""/>
    <s v="N/A"/>
    <s v="3.5 x 5 meter; Tidak termasuk listrik; AC; Kasur; Meja; TV; Lemari Baju; Kursi; TV Kabel; Bantal; Cermin; Dapur Pribadi; K. Mandi Dalam; Kloset Duduk; Shower; Bak mandi; R. Cuci; Penjaga Kos; R. Jemur; R. Santai; Dapur; Jemuran; Pengurus Kos; Parkir Motor; Parkir Sepeda"/>
    <n v="1400000"/>
    <s v="Rp1.400.000"/>
    <n v="0"/>
    <m/>
    <s v="Kos Campur"/>
    <m/>
    <m/>
  </r>
  <r>
    <s v="Kost Mama Papa Tangerang Tangerang"/>
    <x v="6"/>
    <x v="22"/>
    <n v="6"/>
    <s v="2 x 3 meter"/>
    <s v="Tidak termasuk listrik"/>
    <s v=""/>
    <s v="N/A"/>
    <s v="2 x 3 meter; Tidak termasuk listrik; AC; Kasur; TV; Lemari Baju; Ventilasi; Cleaning service; Meja makan; Bantal; Guling; Jendela; K. Mandi Dalam; Kloset Duduk; Wastafel; Shower; Air panas; WiFi; R. Cuci; Kulkas; R. Tamu; Mesin Cuci; Penjaga Kos; R. Makan; R. Jemur; Mushola; R. Santai; Parkir Motor"/>
    <n v="1400000"/>
    <s v="Rp1.400.000"/>
    <n v="0.16944444444444443"/>
    <d v="1899-12-30T04:04:00"/>
    <s v="Kos Campur"/>
    <m/>
    <m/>
  </r>
  <r>
    <s v="Kost Mama Rika Cimanggis Depok"/>
    <x v="1"/>
    <x v="46"/>
    <n v="9"/>
    <s v="3 x 3 meter"/>
    <s v="Tidak termasuk listrik"/>
    <s v=""/>
    <s v="N/A"/>
    <s v="3 x 3 meter; Tidak termasuk listrik; Kasur; Lemari Baju; Kipas Angin; Kloset Jongkok; K. Mandi Luar; Ember mandi; WiFi; TV; Parkir Motor"/>
    <n v="700000"/>
    <s v="Rp700.000"/>
    <n v="0.13055555555555556"/>
    <d v="1899-12-30T03:08:00"/>
    <s v="Kos Campur"/>
    <m/>
    <m/>
  </r>
  <r>
    <s v="Kost Mama Tipe B Cileungsi Bogor"/>
    <x v="0"/>
    <x v="31"/>
    <n v="10"/>
    <s v="2.5 x 4 meter"/>
    <s v="Termasuk listrik (implied)"/>
    <s v=""/>
    <s v="N/A"/>
    <s v="2.5 x 4 meter; Termasuk listrik; Kasur; Lemari Baju; Ventilasi; Bantal; Cermin; Jendela; Kipas Angin; Kloset Jongkok; K. Mandi Luar; Ember mandi; Kulkas; R. Cuci; Mesin Cuci; R. Tamu; R. Jemur; R. Makan; R. Santai; Dapur; Jemuran; Pengurus Kos; Parkir Motor; Parkir Motor &amp; Sepeda"/>
    <n v="500000"/>
    <s v="Rp500.000"/>
    <n v="0.20833333333333334"/>
    <d v="1899-12-30T05:00:00"/>
    <s v="Kos Putri"/>
    <m/>
    <m/>
  </r>
  <r>
    <s v="Kost Mama Wulan Cibinong Bogor"/>
    <x v="0"/>
    <x v="96"/>
    <n v="12"/>
    <s v="3 x 4 meter"/>
    <s v="Tidak termasuk listrik"/>
    <s v=""/>
    <s v="N/A"/>
    <s v="3 x 4 meter; Tidak termasuk listrik; Kasur; Lemari Baju; Ventilasi; Jendela; Wastafel; Bantal; Cermin; Guling; Kipas Angin; K. Mandi Dalam; Kloset Jongkok; Ember mandi; Bak mandi; WiFi; Laundry; R. Jemur; R. Santai; Dapur; Balcon; Jemuran; Jual Makanan; Locker; CCTV; Parkir Motor; Parkir Sepeda; Parkir Motor &amp; Sepeda"/>
    <n v="970000"/>
    <s v="Rp970.000"/>
    <n v="0"/>
    <m/>
    <s v="Kos Campur"/>
    <m/>
    <m/>
  </r>
  <r>
    <s v="Kost Mama Yuli Serpong Tangerang Selatan"/>
    <x v="2"/>
    <x v="106"/>
    <n v="9"/>
    <s v="3 x 3 meter"/>
    <s v="Termasuk listrik (implied)"/>
    <s v=""/>
    <s v="N/A"/>
    <s v="3 x 3 meter; Termasuk listrik; AC; Kasur; Bantal; Jendela; K. Mandi Luar; WiFi; Kulkas; Mesin Cuci; Penjaga Kos; R. Makan; R. Santai; Dapur; Dispenser; Balcon; Jemuran; Parkir Mobil; Parkir Motor; Parkir Sepeda"/>
    <n v="1200000"/>
    <s v="Rp1.200.000"/>
    <n v="0"/>
    <m/>
    <s v="Kos Putri"/>
    <m/>
    <m/>
  </r>
  <r>
    <s v="Kost Mamah Beehome Pamulang Tangerang Selatan"/>
    <x v="2"/>
    <x v="77"/>
    <n v="9"/>
    <s v="3 x 3 meter"/>
    <s v="Tidak termasuk listrik"/>
    <s v=""/>
    <s v="N/A"/>
    <s v="3 x 3 meter; Tidak termasuk listrik; AC; Kasur; Meja; Lemari Baju; Cermin; Jendela; Bantal; Guling; Kursi; Cleaning service; K. Mandi Dalam; Kloset Duduk; Wastafel; Shower; WiFi; Kulkas; R. Tamu; R. Jemur; R. Santai; Dapur; Pengurus Kos; K. Mandi Luar; Locker; CCTV; Parkir Motor; Parkir Sepeda"/>
    <n v="1400000"/>
    <s v="Rp1.400.000"/>
    <n v="0"/>
    <m/>
    <s v="Kos Putri"/>
    <m/>
    <m/>
  </r>
  <r>
    <s v="Kost Mamah Dedeh Type B Cikarang Pusat Bekasi"/>
    <x v="7"/>
    <x v="118"/>
    <n v="24"/>
    <s v="3 x 8 meter"/>
    <s v="Tidak termasuk listrik"/>
    <s v=""/>
    <s v="N/A"/>
    <s v="3 x 8 meter; Tidak termasuk listrik; AC; Kasur; Meja; TV; Kulkas; Lemari Baju; Ventilasi; Bantal; Guling; Jendela; K. Mandi Dalam; Kloset Duduk; Shower; WiFi; Penjaga Kos; R. Tamu; R. Jemur; R. Makan; R. Santai; Dapur; Dispenser; Balcon; Parkir Mobil; Parkir Motor; Parkir Sepeda"/>
    <n v="1350000"/>
    <s v="Rp1.350.000"/>
    <n v="0"/>
    <m/>
    <s v="Kos Putri"/>
    <m/>
    <m/>
  </r>
  <r>
    <s v="Kost Mamah Tambun Selatan Bekasi"/>
    <x v="7"/>
    <x v="101"/>
    <n v="12"/>
    <s v="3 x 4 meter"/>
    <s v="Tidak termasuk listrik"/>
    <s v=""/>
    <s v="N/A"/>
    <s v="3 x 4 meter; Tidak termasuk listrik; Kasur; Lemari Baju; Ventilasi; Bantal; Jendela; Guling; K. Mandi Dalam; Kloset Jongkok; K. Mandi Luar; Ember mandi; Bak mandi; WiFi; R. Tamu; R. Jemur; R. Santai; Balcon; CCTV; Jemuran; Pengurus Kos; Parkir Motor"/>
    <n v="650000"/>
    <s v="Rp650.000"/>
    <n v="0"/>
    <m/>
    <s v="Kos Putri"/>
    <m/>
    <m/>
  </r>
  <r>
    <s v="Kost Mamanesi Tipe A Cinere Depok"/>
    <x v="1"/>
    <x v="1"/>
    <n v="12"/>
    <s v="3 x 4 meter"/>
    <s v="Tidak termasuk listrik"/>
    <s v=""/>
    <s v="N/A"/>
    <s v="3 x 4 meter; Tidak termasuk listrik; AC; Kasur; Meja; Lemari Baju; Bantal; Cermin; Cleaning service; Guling; Kursi; Jendela; K. Mandi Dalam; Kloset Duduk; Ember mandi; Shower; WiFi; Kulkas; Laundry; Penjaga Kos; R. Santai; Dapur; Dispenser; CCTV; Jemuran; Jual Makanan; Parkir Mobil; Parkir Motor"/>
    <n v="2200000"/>
    <s v="Rp2.200.000"/>
    <n v="0.17291666666666669"/>
    <d v="1899-12-30T04:09:00"/>
    <s v="Kos Campur"/>
    <m/>
    <s v="Diskon 230rb"/>
  </r>
  <r>
    <s v="Kost Mamanesi Tipe D Executive Cinere Depok"/>
    <x v="1"/>
    <x v="1"/>
    <n v="9"/>
    <s v="3 x 3 meter"/>
    <s v="Tidak termasuk listrik"/>
    <s v=""/>
    <s v="N/A"/>
    <s v="3 x 3 meter; Tidak termasuk listrik; AC; Kasur; Meja; Kulkas; Lemari Baju; Ventilasi; Bantal; Cermin; Cleaning service; Guling; K. Mandi Dalam; Kloset Duduk; Ember mandi; Shower; Air panas; WiFi; Laundry; Penjaga Kos; R. Makan; R. Santai; Dapur; Dispenser; CCTV; Jemuran; Parkir Mobil; Parkir Motor"/>
    <n v="2700000"/>
    <s v="Rp2.700.000"/>
    <n v="0.17291666666666669"/>
    <d v="1899-12-30T04:09:00"/>
    <s v="Kos Putri"/>
    <m/>
    <s v="Diskon 125rb"/>
  </r>
  <r>
    <s v="Kost Mami Anna Kelapa Gading Jakarta Utara"/>
    <x v="4"/>
    <x v="111"/>
    <n v="9"/>
    <s v="3 x 3 meter"/>
    <s v="Tidak termasuk listrik"/>
    <s v=""/>
    <s v="N/A"/>
    <s v="3 x 3 meter; Tidak termasuk listrik; AC; Kasur; Meja; Dispenser; Lemari Baju; Kulkas; Ventilasi; Bantal; Cermin; Guling; K. Mandi Dalam; Kloset Duduk; Wastafel; Shower; Air panas; WiFi; Laundry; Penjaga Kos; R. Tamu; R. Jemur; Dapur; Balcon; CCTV; Parkir Mobil; Parkir Motor; Parkir Sepeda"/>
    <n v="2000000"/>
    <s v="Rp2.000.000"/>
    <n v="0.17222222222222225"/>
    <d v="1899-12-30T04:08:00"/>
    <s v="Kos Campur"/>
    <m/>
    <s v="Diskon 105rb"/>
  </r>
  <r>
    <s v="Kost Mami Eryda Tipe A Pulo Gadung Jakarta Timur"/>
    <x v="8"/>
    <x v="32"/>
    <n v="12"/>
    <s v="3 x 4 meter"/>
    <s v="Tidak termasuk listrik"/>
    <s v=""/>
    <s v="N/A"/>
    <s v="3 x 4 meter; Tidak termasuk listrik; AC; Kasur; Lemari Baju; Ventilasi; Bantal; Cermin; Guling; Jendela; Kipas Angin; Kursi; Kloset Duduk; K. Mandi Luar; Ember mandi; Wastafel; Bak mandi; Kulkas; R. Tamu; R. Jemur; Dapur; Jemuran; Pengurus Kos; Taman; Parkir Motor; Parkir Sepeda"/>
    <n v="1200000"/>
    <s v="Rp1.200.000"/>
    <n v="0.17222222222222225"/>
    <d v="1899-12-30T04:08:00"/>
    <s v="Kos Campur"/>
    <m/>
    <m/>
  </r>
  <r>
    <s v="Kost Mami Gibbor Tipe A Tanjung Priok Jakarta Utara"/>
    <x v="4"/>
    <x v="10"/>
    <n v="12"/>
    <s v="3 x 4 meter"/>
    <s v="Tidak termasuk listrik"/>
    <s v=""/>
    <s v="N/A"/>
    <s v="3 x 4 meter; Tidak termasuk listrik; Ventilasi; Kloset Jongkok; K. Mandi Luar; Ember mandi; R. Cuci; Penjaga Kos; R. Jemur; Dapur; Jemuran; Pengurus Kos; Parkir Motor; Parkir Sepeda"/>
    <n v="900000"/>
    <s v="Rp900.000"/>
    <n v="0.17013888888888887"/>
    <d v="1899-12-30T04:05:00"/>
    <s v="Kos Campur"/>
    <m/>
    <s v="Diskon 43rb"/>
  </r>
  <r>
    <s v="Kost Mami Jeje Cakung Jakarta Timur"/>
    <x v="8"/>
    <x v="48"/>
    <n v="9"/>
    <s v="3 x 3 meter"/>
    <s v="Termasuk listrik (implied)"/>
    <s v=""/>
    <s v="N/A"/>
    <s v="3 x 3 meter; Termasuk listrik; AC; Kasur; Meja; Lemari Baju; Ventilasi; Kursi; Kipas Angin; Bantal; Cermin; Guling; Kloset Duduk; Kloset Jongkok; K. Mandi Luar; Ember mandi; Shower; WiFi; R. Cuci; Kulkas; R. Tamu; Mesin Cuci; R. Makan; R. Jemur; Mushola; R. Santai; Dapur; Parkir Motor; Parkir Sepeda"/>
    <n v="1350000"/>
    <s v="Rp1.350.000"/>
    <n v="0"/>
    <m/>
    <s v="Kos Putri"/>
    <m/>
    <m/>
  </r>
  <r>
    <s v="Kost Mami Tipe A Limo Depok"/>
    <x v="1"/>
    <x v="138"/>
    <n v="9"/>
    <s v="3 x 3 meter"/>
    <s v="Tidak termasuk listrik"/>
    <s v=""/>
    <s v="N/A"/>
    <s v="3 x 3 meter; Tidak termasuk listrik; Kasur; Lemari Baju; Bantal; Kipas Angin; Dapur Pribadi; Jendela; Kloset Duduk; Kloset Jongkok; K. Mandi Luar; WiFi; Laundry; Penjaga Kos; R. Jemur; R. Santai; Dapur; Balcon; Jemuran; Jual Makanan; Parkir Mobil; Parkir Motor; Parkir Sepeda"/>
    <n v="1500000"/>
    <s v="Rp1.500.000"/>
    <n v="0"/>
    <m/>
    <s v="Kos Putri"/>
    <m/>
    <m/>
  </r>
  <r>
    <s v="Kost Mandala Guest House Tipe VVIP Grogol Petamburan Jakarta Barat"/>
    <x v="3"/>
    <x v="13"/>
    <n v="9"/>
    <s v="3 x 3 meter"/>
    <s v="Tidak termasuk listrik"/>
    <s v=""/>
    <s v="N/A"/>
    <s v="3 x 3 meter; Tidak termasuk listrik; AC; Kasur; Wastafel; K. Mandi Dalam; Kloset Duduk; Shower; WiFi; R. Tamu; Penjaga Kos; Dapur; Balcon; Kartu Akses; Jual Makanan; Parkir Motor"/>
    <n v="1600000"/>
    <s v="Rp1.600.000"/>
    <n v="0.17083333333333331"/>
    <d v="1899-12-30T04:06:00"/>
    <s v="Kos Campur"/>
    <m/>
    <s v="Diskon 112rb"/>
  </r>
  <r>
    <s v="Kost Mango Premium Cilandak Jakarta Selatan"/>
    <x v="5"/>
    <x v="172"/>
    <n v="25"/>
    <s v="5 x 5 meter"/>
    <s v="Tidak termasuk listrik"/>
    <s v=""/>
    <s v="N/A"/>
    <s v="5 x 5 meter; Tidak termasuk listrik; AC; Kasur; Meja Rias; TV; Kulkas; Lemari Baju; Bantal; Cermin; Cleaning service; Jendela; K. Mandi Dalam; Kloset Duduk; Wastafel; Shower; Air panas; WiFi; Penjaga Kos; R. Santai; Dapur; Dispenser; CCTV; Jual Makanan; K. Mandi Luar; Kartu Akses; Parkir Mobil; Parkir Motor"/>
    <n v="6499000"/>
    <s v="Rp6.499.000"/>
    <n v="0.17013888888888887"/>
    <d v="1899-12-30T04:05:00"/>
    <s v="Kos Campur"/>
    <m/>
    <m/>
  </r>
  <r>
    <s v="Kost Marina Home Tipe Double Pondok Aren Tangerang Selatan"/>
    <x v="2"/>
    <x v="29"/>
    <n v="12"/>
    <s v="3 x 4 meter"/>
    <s v="Tidak termasuk listrik"/>
    <s v=""/>
    <s v="N/A"/>
    <s v="3 x 4 meter; Tidak termasuk listrik; AC; Kasur; Meja; Lemari Baju; Bantal; Cermin; Guling; Jendela; Kursi; K. Mandi Dalam; Kloset Duduk; K. Mandi Luar; Shower; WiFi; Kulkas; R. Cuci; R. Jemur; R. Santai; Dapur; Jemuran; Pengurus Kos; R. Keluarga; Rooftop; Parkir Motor"/>
    <n v="1400000"/>
    <s v="Rp1.400.000"/>
    <n v="0.17222222222222225"/>
    <d v="1899-12-30T04:08:00"/>
    <s v="Kos Putri"/>
    <m/>
    <m/>
  </r>
  <r>
    <s v="Kost Marina Home Tipe VIP A Pondok Aren Tangerang Selatan"/>
    <x v="2"/>
    <x v="2"/>
    <n v="9"/>
    <s v="3 x 3 meter"/>
    <s v="Tidak termasuk listrik"/>
    <s v=""/>
    <s v="N/A"/>
    <s v="3 x 3 meter; Tidak termasuk listrik; AC; Kasur; Meja; Lemari Baju; Bantal; Jendela; Kursi; K. Mandi Dalam; Kloset Duduk; K. Mandi Luar; Shower; WiFi; Kulkas; R. Cuci; R. Jemur; R. Santai; Dapur; Jemuran; Pengurus Kos; R. Keluarga; Rooftop; Parkir Motor"/>
    <n v="1500000"/>
    <s v="Rp1.500.000"/>
    <n v="0.20833333333333334"/>
    <d v="1899-12-30T05:00:00"/>
    <s v="Kos Putri"/>
    <m/>
    <m/>
  </r>
  <r>
    <s v="Kost Marina Home Tipe VIP B Pondok Aren Tangerang Selatan"/>
    <x v="2"/>
    <x v="2"/>
    <n v="10.5"/>
    <s v="3 x 3.5 meter"/>
    <s v="Tidak termasuk listrik"/>
    <s v=""/>
    <s v="N/A"/>
    <s v="3 x 3.5 meter; Tidak termasuk listrik; AC; Kasur; Meja; Lemari Baju; Ventilasi; Bantal; Cermin; Guling; Kursi; K. Mandi Dalam; Kloset Duduk; K. Mandi Luar; Shower; WiFi; Kulkas; R. Cuci; R. Jemur; R. Santai; Dapur; Jemuran; Pengurus Kos; R. Keluarga; Rooftop; Parkir Motor"/>
    <n v="1700000"/>
    <s v="Rp1.700.000"/>
    <n v="0.20833333333333334"/>
    <d v="1899-12-30T05:00:00"/>
    <s v="Kos Putri"/>
    <m/>
    <m/>
  </r>
  <r>
    <s v="Kost Marlaba 3 Tipe A Bojong Gede Bogor"/>
    <x v="0"/>
    <x v="173"/>
    <n v="9"/>
    <s v="3 x 3 meter"/>
    <s v="Tidak termasuk listrik"/>
    <s v=""/>
    <s v="N/A"/>
    <s v="3 x 3 meter; Tidak termasuk listrik; Kasur; Ventilasi; Dapur Pribadi; Jendela; Wastafel; Kipas Angin; K. Mandi Dalam; Kloset Duduk; Kloset Jongkok; K. Mandi Luar; Ember mandi; Shower; Bak mandi; R. Tamu; R. Jemur; R. Makan; Dapur; Balcon; Jemuran; R. Keluarga; Parkir Motor"/>
    <n v="1300000"/>
    <s v="Rp1.300.000"/>
    <n v="0"/>
    <m/>
    <s v="Kos Campur"/>
    <m/>
    <m/>
  </r>
  <r>
    <s v="Kost Marlaba 4 Bojonggede Bogor"/>
    <x v="0"/>
    <x v="148"/>
    <n v="12"/>
    <s v="3 x 4 meter"/>
    <s v="Termasuk listrik (implied)"/>
    <s v=""/>
    <s v="N/A"/>
    <s v="3 x 4 meter; Termasuk listrik; Kasur; Lemari Baju; Ventilasi; Cermin; Jendela; Kipas Angin; Kursi; K. Mandi Dalam; Kloset Duduk; Ember mandi; Bak mandi; R. Cuci; Penjaga Kos; R. Tamu; R. Jemur; R. Santai; CCTV; Jemuran; Pengurus Kos; R. Keluarga; TV; Parkir Motor; Parkir Sepeda; Parkir Motor &amp; Sepeda"/>
    <n v="1000000"/>
    <s v="Rp1.000.000"/>
    <n v="0.20833333333333334"/>
    <d v="1899-12-30T05:00:00"/>
    <s v="Kos Campur"/>
    <m/>
    <m/>
  </r>
  <r>
    <s v="Kost Maura Margonda Beji Depok"/>
    <x v="1"/>
    <x v="15"/>
    <n v="12"/>
    <s v="3 x 4 meter"/>
    <s v="Tidak termasuk listrik"/>
    <s v=""/>
    <s v="N/A"/>
    <s v="3 x 4 meter; Tidak termasuk listrik; AC; Kasur; Meja; Lemari Baju; Ventilasi; Bantal; Jendela; Kursi; Guling; K. Mandi Dalam; Kloset Duduk; Shower; WiFi; Kulkas; Laundry; Penjaga Kos; R. Jemur; Dapur; Jemuran; Jual Makanan; Pengurus Kos; Parkir Motor; Parkir Sepeda"/>
    <n v="1300000"/>
    <s v="Rp1.300.000"/>
    <n v="0.17083333333333331"/>
    <d v="1899-12-30T04:06:00"/>
    <s v="Kos Putra"/>
    <m/>
    <s v="Diskon 110rb"/>
  </r>
  <r>
    <s v="Kost Mauza Tipe A Karang Tengah Tangerang"/>
    <x v="6"/>
    <x v="26"/>
    <n v="12"/>
    <s v="3 x 4 meter"/>
    <s v="Tidak termasuk listrik"/>
    <s v=""/>
    <s v="N/A"/>
    <s v="3 x 4 meter; Tidak termasuk listrik; Kasur; Lemari Baju; Bantal; K. Mandi Dalam; Kloset Jongkok; Ember mandi; WiFi; Dapur; Jemuran; Parkir Motor; Parkir Sepeda"/>
    <n v="850000"/>
    <s v="Rp850.000"/>
    <n v="0.20833333333333334"/>
    <d v="1899-12-30T05:00:00"/>
    <s v="Kos Campur"/>
    <m/>
    <m/>
  </r>
  <r>
    <s v="Kost Mawar 1 Pamulang Tangerang Selatan"/>
    <x v="2"/>
    <x v="77"/>
    <n v="12"/>
    <s v="3 x 4 meter"/>
    <s v="Tidak termasuk listrik"/>
    <s v=""/>
    <s v="N/A"/>
    <s v="3 x 4 meter; Tidak termasuk listrik; AC; Kasur; Meja; TV; Kulkas; Lemari Baju; Ventilasi; Bantal; Cermin; Guling; Kloset Jongkok; K. Mandi Luar; Ember mandi; Wastafel; Bak mandi; WiFi; R. Cuci; R. Tamu; R. Jemur; R. Santai; Dapur; Dispenser; Balcon; Jemuran; Parkir Motor; Parkir Sepeda; Parkir Motor &amp; Sepeda"/>
    <n v="1100000"/>
    <s v="Rp1.100.000"/>
    <n v="0"/>
    <m/>
    <s v="Kos Putri"/>
    <m/>
    <m/>
  </r>
  <r>
    <s v="Kost Mawar Residence Kober Beji Depok"/>
    <x v="1"/>
    <x v="16"/>
    <n v="12"/>
    <s v="3 x 4 meter"/>
    <s v="Termasuk listrik (implied)"/>
    <s v=""/>
    <s v="N/A"/>
    <s v="3 x 4 meter; Termasuk listrik; Kasur; Meja; Lemari Baju; Kursi; Jendela; K. Mandi Dalam; Kloset Jongkok; Ember mandi; WiFi; Kulkas; R. Tamu; Penjaga Kos; R. Makan; R. Jemur; Mushola; R. Santai; Dapur; TV; Parkir Mobil; Parkir Motor; Parkir Sepeda"/>
    <n v="865000"/>
    <s v="Rp865.000"/>
    <n v="0"/>
    <m/>
    <s v="Kos Putri"/>
    <m/>
    <m/>
  </r>
  <r>
    <s v="Kost Maxwell Pd Cabe Pamulang Tangerang Selatan"/>
    <x v="2"/>
    <x v="54"/>
    <n v="12"/>
    <s v="3 x 4 meter"/>
    <s v="Tidak termasuk listrik"/>
    <s v=""/>
    <s v="N/A"/>
    <s v="3 x 4 meter; Tidak termasuk listrik; AC; Kasur; Meja; Lemari Baju; Bantal; Guling; Kursi; K. Mandi Dalam; Kloset Duduk; Shower; WiFi; R. Cuci; R. Tamu; R. Jemur; R. Santai; Dapur; Dispenser; Balcon; CCTV; Gazebo; Parkir Mobil; Parkir Motor; Parkir Sepeda; Parkir Motor &amp; Sepeda"/>
    <n v="1500000"/>
    <s v="Rp1.500.000"/>
    <n v="0.20833333333333334"/>
    <d v="1899-12-30T05:00:00"/>
    <s v="Kos Campur"/>
    <m/>
    <m/>
  </r>
  <r>
    <s v="Kost MD 41 Residence Tipe A Jatinegara Jakarta Timur"/>
    <x v="8"/>
    <x v="58"/>
    <n v="9"/>
    <s v="3 x 3 meter"/>
    <s v="Termasuk listrik (implied)"/>
    <s v=""/>
    <s v="N/A"/>
    <s v="3 x 3 meter; Termasuk listrik; AC; Kasur; Meja; Lemari Baju; Ventilasi; Bantal; Cermin; Guling; Jendela; Kursi; K. Mandi Dalam; Kloset Duduk; Shower; WiFi; Penjaga Kos; R. Tamu; R. Jemur; R. Santai; Dapur; Dispenser; CCTV; Jemuran; Kartu Akses; Parkir Motor &amp; Sepeda"/>
    <n v="1975000"/>
    <s v="Rp1.975.000"/>
    <n v="0"/>
    <m/>
    <s v="Kos Putra"/>
    <m/>
    <m/>
  </r>
  <r>
    <s v="Kost Md Tipe A Serpong Tangerang Selatan"/>
    <x v="2"/>
    <x v="106"/>
    <n v="15"/>
    <s v="3 x 5 meter"/>
    <s v="Tidak termasuk listrik"/>
    <s v=""/>
    <s v="N/A"/>
    <s v="3 x 5 meter; Tidak termasuk listrik; Kasur; Lemari Baju; Bantal; Cermin; Dapur Pribadi; Kipas Angin; Wastafel; K. Mandi Dalam; Kloset Jongkok; Ember mandi; Bak mandi; WiFi; Jemuran; Rooftop; Parkir Mobil; Parkir Motor; Parkir Sepeda; Parkir Motor &amp; Sepeda"/>
    <n v="1100000"/>
    <s v="Rp1.100.000"/>
    <n v="0"/>
    <m/>
    <s v="Kos Campur"/>
    <m/>
    <m/>
  </r>
  <r>
    <s v="Kost Me Cikarang Selatan Bekasi"/>
    <x v="7"/>
    <x v="27"/>
    <n v="12"/>
    <s v="3 x 4 meter"/>
    <s v="Tidak termasuk listrik"/>
    <s v=""/>
    <s v="N/A"/>
    <s v="3 x 4 meter; Tidak termasuk listrik; AC; Kasur; Meja; Lemari Baju; Bantal; Cermin; Guling; Jendela; Kursi; Wastafel; K. Mandi Dalam; Kloset Duduk; Shower; Air panas; WiFi; Kulkas; Laundry; R. Santai; Dapur; Dispenser; TV; Jemuran; K. Mandi Luar; Pengurus Kos; Parkir Mobil; Parkir Motor; Parkir Sepeda"/>
    <n v="1500000"/>
    <s v="Rp1.500.000"/>
    <n v="0.17222222222222225"/>
    <d v="1899-12-30T04:08:00"/>
    <s v="Kos Campur"/>
    <m/>
    <m/>
  </r>
  <r>
    <s v="Kost Meadow Green Lippo Double Bed Cikarang Selatan Bekasi"/>
    <x v="7"/>
    <x v="27"/>
    <n v="12"/>
    <s v="3 x 4 meter"/>
    <s v="Tidak termasuk listrik"/>
    <s v=""/>
    <s v="N/A"/>
    <s v="3 x 4 meter; Tidak termasuk listrik; AC; Kasur; Meja; TV; Lemari Baju; Ventilasi; Cleaning service; Jendela; Kursi; Bantal; K. Mandi Dalam; Kloset Duduk; Wastafel; Shower; Air panas; WiFi; Kulkas; Laundry; R. Tamu; R. Makan; R. Santai; Dapur; Dispenser; CCTV; Pengurus Kos; Parkir Mobil; Parkir Motor; Parkir Sepeda"/>
    <n v="2800000"/>
    <s v="Rp2.800.000"/>
    <n v="0.20833333333333334"/>
    <d v="1899-12-30T05:00:00"/>
    <s v="Kos Campur"/>
    <m/>
    <m/>
  </r>
  <r>
    <s v="Kost Meadow Green Lippo Executive Cikarang Selatan Bekasi"/>
    <x v="7"/>
    <x v="27"/>
    <n v="9"/>
    <s v="3 x 3 meter"/>
    <s v="Tidak termasuk listrik"/>
    <s v=""/>
    <s v="N/A"/>
    <s v="3 x 3 meter; Tidak termasuk listrik; AC; Kasur; Meja; Lemari Baju; Bantal; Guling; Jendela; Wastafel; Kursi; K. Mandi Dalam; Kloset Duduk; Shower; Air panas; WiFi; Kulkas; R. Cuci; Laundry; Mesin Cuci; R. Jemur; Dapur; Balcon; Jemuran; Jual Makanan; Parkir Mobil; Parkir Motor; Parkir Sepeda"/>
    <n v="1400000"/>
    <s v="Rp1.400.000"/>
    <n v="0.20833333333333334"/>
    <d v="1899-12-30T05:00:00"/>
    <s v="Kos Campur"/>
    <m/>
    <m/>
  </r>
  <r>
    <s v="Kost Meadow Green Lippo Single Bed Cikarang Selatan Bekasi"/>
    <x v="7"/>
    <x v="27"/>
    <n v="12"/>
    <s v="3 x 4 meter"/>
    <s v="Tidak termasuk listrik"/>
    <s v=""/>
    <s v="N/A"/>
    <s v="3 x 4 meter; Tidak termasuk listrik; AC; Kasur; Meja; TV; Lemari Baju; Ventilasi; Bantal; Cleaning service; Jendela; Kursi; K. Mandi Dalam; Kloset Duduk; K. Mandi Luar; Wastafel; Shower; Air panas; WiFi; Kulkas; Laundry; R. Tamu; R. Makan; R. Santai; Dapur; Dispenser; CCTV; Pengurus Kos; Parkir Mobil; Parkir Motor; Parkir Sepeda"/>
    <n v="2000000"/>
    <s v="Rp2.000.000"/>
    <n v="0.17291666666666669"/>
    <d v="1899-12-30T04:09:00"/>
    <s v="Kos Campur"/>
    <m/>
    <m/>
  </r>
  <r>
    <s v="Kost Meadow Green Tipe AC Cikarang Selatan Bekasi"/>
    <x v="7"/>
    <x v="27"/>
    <n v="12"/>
    <s v="3 x 4 meter"/>
    <s v="Termasuk listrik (implied)"/>
    <s v=""/>
    <s v="N/A"/>
    <s v="3 x 4 meter; Termasuk listrik; AC; Kasur; Lemari Baju; Bantal; Jendela; Kloset Duduk; K. Mandi Luar; Ember mandi; Wastafel; Shower; WiFi; Kulkas; R. Cuci; Laundry; Mesin Cuci; R. Jemur; Dapur; Jemuran; Pengurus Kos; Parkir Motor"/>
    <n v="1200000"/>
    <s v="Rp1.200.000"/>
    <n v="0.20833333333333334"/>
    <d v="1899-12-30T05:00:00"/>
    <s v="Kos Putri"/>
    <m/>
    <m/>
  </r>
  <r>
    <s v="Kost Meadows Green Cemara 1 Tipe AC Cikarang Selatan Bekasi"/>
    <x v="7"/>
    <x v="27"/>
    <n v="12"/>
    <s v="3 x 4 meter"/>
    <s v="Termasuk listrik (implied)"/>
    <s v=""/>
    <s v="N/A"/>
    <s v="3 x 4 meter; Termasuk listrik; AC; Kasur; Meja; Lemari Baju; Bantal; Cermin; Jendela; K. Mandi Dalam; Kloset Duduk; Ember mandi; Shower; WiFi; Kulkas; Laundry; Mesin Cuci; Penjaga Kos; R. Santai; Dapur; Locker; Taman; Jemuran; Parkir Mobil; Parkir Motor; Parkir Sepeda; Parkir Motor &amp; Sepeda"/>
    <n v="1400000"/>
    <s v="Rp1.400.000"/>
    <n v="0.20833333333333334"/>
    <d v="1899-12-30T05:00:00"/>
    <s v="Kos Campur"/>
    <m/>
    <m/>
  </r>
  <r>
    <s v="Kost Mehan Kolis Tipe A Tanjung Priok Jakarta Utara"/>
    <x v="4"/>
    <x v="5"/>
    <n v="15"/>
    <s v="3 x 5 meter"/>
    <s v="Tidak termasuk listrik"/>
    <s v=""/>
    <s v="N/A"/>
    <s v="3 x 5 meter; Tidak termasuk listrik; K. Mandi Dalam; Kloset Jongkok; Balcon; Jemuran; Pengurus Kos; Parkir Motor; Parkir Sepeda; Parkir Motor &amp; Sepeda"/>
    <n v="850000"/>
    <s v="Rp850.000"/>
    <n v="0"/>
    <m/>
    <s v="Kos Campur"/>
    <m/>
    <m/>
  </r>
  <r>
    <s v="Kost Meikarta Tipe C Cikarang Selatan Bekasi"/>
    <x v="7"/>
    <x v="27"/>
    <n v="4"/>
    <s v="2 x 2 meter"/>
    <s v="Termasuk listrik (implied)"/>
    <s v=""/>
    <s v="N/A"/>
    <s v="2 x 2 meter; Termasuk listrik; AC; Kasur; Meja; Lemari Baju; Bantal; Cermin; Jendela; Kursi; Kloset Duduk; K. Mandi Luar; Wastafel; Shower; WiFi; R. Tamu; Dapur; Balcon; Parkir Mobil; Parkir Motor; Parkir Sepeda"/>
    <n v="1350000"/>
    <s v="Rp1.350.000"/>
    <n v="0"/>
    <m/>
    <s v="Kos Putri"/>
    <m/>
    <m/>
  </r>
  <r>
    <s v="Kost Melati Tipe A Cikarang Selatan Bekasi"/>
    <x v="7"/>
    <x v="27"/>
    <n v="9"/>
    <s v="3 x 3 meter"/>
    <s v="Tidak termasuk listrik"/>
    <s v=""/>
    <s v="N/A"/>
    <s v="3 x 3 meter; Tidak termasuk listrik; AC; Kasur; Meja; Lemari Baju; Bantal; Cermin; Guling; Kursi; Kloset Duduk; K. Mandi Luar; Shower"/>
    <n v="1200000"/>
    <s v="Rp1.200.000"/>
    <n v="0"/>
    <m/>
    <s v="Kos Putra"/>
    <m/>
    <m/>
  </r>
  <r>
    <s v="Kost Melati Tipe A Cikarang Selatan Bekasi"/>
    <x v="7"/>
    <x v="27"/>
    <n v="9"/>
    <s v="3 x 3 meter"/>
    <s v="Tidak termasuk listrik"/>
    <s v=""/>
    <s v="N/A"/>
    <s v="3 x 3 meter; Tidak termasuk listrik; AC; Kasur; Meja; Lemari Baju; Bantal; Cermin; Guling; Kursi; Kloset Duduk; K. Mandi Luar; Shower; WiFi; Kulkas; R. Jemur; R. Makan; Dapur; Dispenser; CCTV; Jemuran; Parkir Mobil; Parkir Motor"/>
    <n v="1200000"/>
    <s v="Rp1.200.000"/>
    <n v="0"/>
    <m/>
    <s v="Kos Putra"/>
    <m/>
    <m/>
  </r>
  <r>
    <s v="Kost Membramo Babakan Madang Bogor"/>
    <x v="0"/>
    <x v="80"/>
    <n v="12"/>
    <s v="3 x 4 meter"/>
    <s v="Tidak termasuk listrik"/>
    <s v=""/>
    <s v="N/A"/>
    <s v="3 x 4 meter; Tidak termasuk listrik; AC; Kasur; Meja; Lemari Baju; Bantal; Guling; Jendela; Cleaning service; K. Mandi Dalam; Kloset Duduk; Shower; WiFi; R. Cuci; Mesin Cuci; Penjaga Kos; R. Jemur; R. Santai; Dapur; Dispenser; Taman; CCTV; Parkir Mobil; Parkir Motor"/>
    <n v="2000000"/>
    <s v="Rp2.000.000"/>
    <n v="0"/>
    <m/>
    <s v="Kos Putri"/>
    <m/>
    <m/>
  </r>
  <r>
    <s v="Kost Menara Residence 29 Standard Kembangan Jakarta Barat"/>
    <x v="3"/>
    <x v="71"/>
    <n v="14"/>
    <s v="4 x 3.5 meter"/>
    <s v="Tidak termasuk listrik"/>
    <s v=""/>
    <s v="N/A"/>
    <s v="4 x 3.5 meter; Tidak termasuk listrik; AC; Kasur; Meja; Meja Rias; TV; Lemari Baju; Ventilasi; Bantal; Cleaning service; Guling; K. Mandi Dalam; Kloset Duduk; Wastafel; Shower; Air panas; WiFi; Kulkas; Penjaga Kos; R. Tamu; R. Makan; R. Jemur; R. Santai; Dapur; Dispenser; CCTV; Parkir Mobil; Parkir Motor; Parkir Sepeda"/>
    <n v="2200000"/>
    <s v="Rp2.200.000"/>
    <n v="0"/>
    <m/>
    <s v="Kos Campur"/>
    <m/>
    <m/>
  </r>
  <r>
    <s v="Kost Menteng Guest House King Size Bed Menteng Jakarta Pusat"/>
    <x v="9"/>
    <x v="125"/>
    <n v="16.5"/>
    <s v="5 x 3.3 meter"/>
    <s v="Termasuk listrik (implied)"/>
    <s v=""/>
    <s v="N/A"/>
    <s v="5 x 3.3 meter; Termasuk listrik; AC; Kasur; Meja; TV; Lemari Baju; Ventilasi; Jendela; Kursi; Wastafel; Bantal; K. Mandi Dalam; Kloset Duduk; Shower; Air panas; WiFi; Kulkas; Mesin Cuci; Penjaga Kos; R. Tamu; R. Jemur; R. Santai; Dapur; Dispenser; Jemuran; Parkir Mobil; Parkir Motor; Parkir Sepeda; Parkir Motor &amp; Sepeda"/>
    <n v="4700000"/>
    <s v="Rp4.700.000"/>
    <n v="0.20833333333333334"/>
    <d v="1899-12-30T05:00:00"/>
    <s v="Kos Campur"/>
    <m/>
    <m/>
  </r>
  <r>
    <s v="Kost Menteng Guest House Single Bed Menteng Jakarta Pusat"/>
    <x v="9"/>
    <x v="125"/>
    <n v="13.5"/>
    <s v="4.5 x 3 meter"/>
    <s v="Termasuk listrik (implied)"/>
    <s v=""/>
    <s v="N/A"/>
    <s v="4.5 x 3 meter; Termasuk listrik; AC; Kasur; Meja; TV; Lemari Baju; Ventilasi; Jendela; Wastafel; Bantal; Cermin; K. Mandi Dalam; Kloset Duduk; Shower; Air panas; WiFi; Kulkas; Mesin Cuci; Penjaga Kos; R. Tamu; R. Jemur; R. Santai; Dapur; Dispenser; Jemuran; Parkir Mobil; Parkir Motor; Parkir Sepeda; Parkir Motor &amp; Sepeda"/>
    <n v="3750000"/>
    <s v="Rp3.750.000"/>
    <n v="0.17222222222222225"/>
    <d v="1899-12-30T04:08:00"/>
    <s v="Kos Campur"/>
    <m/>
    <s v="Diskon 288rb"/>
  </r>
  <r>
    <s v="Kost Menteng Latuharhary Menteng Jakarta Pusat"/>
    <x v="9"/>
    <x v="125"/>
    <n v="30"/>
    <s v="5 x 6 meter"/>
    <s v="Termasuk listrik (implied)"/>
    <s v=""/>
    <s v="N/A"/>
    <s v="5 x 6 meter; Termasuk listrik; AC; Kasur; Meja; Meja Rias; TV; Lemari Baju; Bantal; Cermin; Jendela; Kursi; K. Mandi Dalam; Kloset Duduk; Ember mandi; Wastafel; Shower; Bak mandi; R. Cuci; Laundry; Mesin Cuci; R. Jemur; R. Makan; Dapur; Dispenser; Jemuran; Pengurus Kos; Parkir Mobil; Parkir Motor; Parkir Sepeda"/>
    <n v="3500000"/>
    <s v="Rp3.500.000"/>
    <n v="0.17291666666666669"/>
    <d v="1899-12-30T04:09:00"/>
    <s v="Kos Putri"/>
    <m/>
    <m/>
  </r>
  <r>
    <s v="Kost Menteng Royale Standar Cikarang Selatan Bekasi"/>
    <x v="7"/>
    <x v="27"/>
    <n v="20"/>
    <s v="4 x 5 meter"/>
    <s v="Tidak termasuk listrik"/>
    <s v=""/>
    <s v="N/A"/>
    <s v="4 x 5 meter; Tidak termasuk listrik; AC; Kasur; Dispenser; Meja; Meja Rias; TV; Kulkas; Lemari Baju; Ventilasi; Bantal; K. Mandi Dalam; Kloset Duduk; Wastafel; Shower; Air panas; Bak mandi; Bathtub; WiFi; R. Cuci; Laundry; Mesin Cuci; Penjaga Kos; R. Tamu; R. Jemur; R. Makan; R. Santai; Parkir Mobil; Parkir Motor; Parkir Sepeda; Parkir Motor &amp; Sepeda"/>
    <n v="3000000"/>
    <s v="Rp3.000.000"/>
    <n v="0.17291666666666669"/>
    <d v="1899-12-30T04:09:00"/>
    <s v="Kos Campur"/>
    <m/>
    <m/>
  </r>
  <r>
    <s v="Kost Menteng Royale Standart Cikarang Selatan Bekasi"/>
    <x v="7"/>
    <x v="27"/>
    <n v="20"/>
    <s v="4 x 5 meter"/>
    <s v="Tidak termasuk listrik"/>
    <s v=""/>
    <s v="N/A"/>
    <s v="4 x 5 meter; Tidak termasuk listrik; AC; Kasur; Dispenser; Meja; Meja Rias; TV; Kulkas; Lemari Baju; Ventilasi; Bantal; K. Mandi Dalam; Kloset Duduk; Wastafel; Shower; Air panas; Bak mandi; Bathtub; WiFi; R. Cuci; Laundry; Mesin Cuci; Penjaga Kos; R. Tamu; R. Jemur; R. Makan; R. Santai; Parkir Mobil; Parkir Motor; Parkir Sepeda; Parkir Motor &amp; Sepeda"/>
    <n v="4000000"/>
    <s v="Rp4.000.000"/>
    <n v="0"/>
    <m/>
    <s v="Kos Campur"/>
    <m/>
    <m/>
  </r>
  <r>
    <s v="Kost Menteng Royale Standart Cikarang Selatan Bekasi"/>
    <x v="7"/>
    <x v="27"/>
    <n v="20"/>
    <s v="4 x 5 meter"/>
    <s v="Tidak termasuk listrik"/>
    <s v=""/>
    <s v="N/A"/>
    <s v="4 x 5 meter; Tidak termasuk listrik; AC; Kasur; Dispenser; Meja; Meja Rias; TV; Kulkas; Lemari Baju; Ventilasi; Bantal; K. Mandi Dalam; Kloset Duduk; Wastafel; Shower; Air panas; Bak mandi; Bathtub"/>
    <n v="4000000"/>
    <s v="Rp4.000.000"/>
    <n v="0"/>
    <m/>
    <s v="Kos Campur"/>
    <m/>
    <m/>
  </r>
  <r>
    <s v="Kost Merah 3 Petak Cibinong Bogor"/>
    <x v="0"/>
    <x v="35"/>
    <n v="24"/>
    <s v="8 x 3 meter"/>
    <s v="Tidak termasuk listrik"/>
    <s v=""/>
    <s v="N/A"/>
    <s v="8 x 3 meter; Tidak termasuk listrik; Ventilasi; Dapur Pribadi; Jendela; K. Mandi Dalam; Kloset Jongkok; Ember mandi; WiFi; R. Tamu; Laundry; R. Jemur; Mushola; Dapur; Balcon; Jemuran; Parkir Motor"/>
    <n v="1000000"/>
    <s v="Rp1.000.000"/>
    <n v="0"/>
    <m/>
    <s v="Kos Campur"/>
    <m/>
    <m/>
  </r>
  <r>
    <s v="Kost Merah Delima A4 Kelapa Gading Jakarta Utara"/>
    <x v="4"/>
    <x v="79"/>
    <n v="9"/>
    <s v="3 x 3 meter"/>
    <s v="Termasuk listrik (implied)"/>
    <s v=""/>
    <s v="N/A"/>
    <s v="3 x 3 meter; Termasuk listrik; AC; Kasur; Lemari Baju; Kulkas; Kipas Angin; Bantal; Cermin; Jendela; Kloset Duduk; K. Mandi Luar; Bak mandi; WiFi; R. Cuci; R. Jemur; Jual Makanan; Jemuran; Parkir Motor"/>
    <n v="1550000"/>
    <s v="Rp1.550.000"/>
    <n v="0.20833333333333334"/>
    <d v="1899-12-30T05:00:00"/>
    <s v="Kos Putri"/>
    <m/>
    <m/>
  </r>
  <r>
    <s v="Kost Merah Tipe B Cibinong Bogor"/>
    <x v="0"/>
    <x v="35"/>
    <n v="32"/>
    <s v="8 x 4 meter"/>
    <s v="Tidak termasuk listrik"/>
    <s v=""/>
    <s v="N/A"/>
    <s v="8 x 4 meter; Tidak termasuk listrik; Kasur; Lemari Baju; Ventilasi; Kipas Angin; Dapur Pribadi; Jendela; K. Mandi Dalam; Kloset Jongkok; Ember mandi; WiFi; R. Tamu; Laundry; R. Jemur; Mushola; Dapur; Jemuran; Parkir Motor"/>
    <n v="1000000"/>
    <s v="Rp1.000.000"/>
    <n v="0"/>
    <m/>
    <s v="Kos Putra"/>
    <m/>
    <m/>
  </r>
  <r>
    <s v="Kost Meranti The Home Deluxe Cikarang Barat Bekasi"/>
    <x v="7"/>
    <x v="19"/>
    <n v="9"/>
    <s v="3 x 3 meter"/>
    <s v="Tidak termasuk listrik"/>
    <s v=""/>
    <s v="N/A"/>
    <s v="3 x 3 meter; Tidak termasuk listrik; AC; Kasur; Meja; Lemari Baju; Ventilasi; Bantal; Cermin; Guling; Jendela; Kursi; K. Mandi Luar; Ember mandi; Wastafel; Shower; Bak mandi; WiFi; Kulkas; R. Cuci; R. Tamu; Mushola; R. Jemur; R. Makan; R. Santai; Dapur; Dispenser; Parkir Motor; Parkir Sepeda; Parkir Motor &amp; Sepeda"/>
    <n v="1100000"/>
    <s v="Rp1.100.000"/>
    <n v="0.20833333333333334"/>
    <d v="1899-12-30T05:00:00"/>
    <s v="Kos Putra"/>
    <m/>
    <m/>
  </r>
  <r>
    <s v="Kost Metta Kramatjati Jakarta Timur"/>
    <x v="8"/>
    <x v="163"/>
    <n v="9"/>
    <s v="3 x 3 meter"/>
    <s v="Tidak termasuk listrik"/>
    <s v=""/>
    <s v="N/A"/>
    <s v="3 x 3 meter; Tidak termasuk listrik; AC; Kasur; Meja; TV; Lemari Baju; Kulkas; Kursi; Wastafel; Cleaning service; Bantal; K. Mandi Dalam; Kloset Duduk; K. Mandi Luar; Shower; Air panas; WiFi; R. Tamu; R. Jemur; Dapur; Dispenser; Pengurus Kos; Jemuran; Parkir Motor; Parkir Sepeda"/>
    <n v="1500000"/>
    <s v="Rp1.500.000"/>
    <n v="0.20833333333333334"/>
    <d v="1899-12-30T05:00:00"/>
    <s v="Kos Campur"/>
    <m/>
    <m/>
  </r>
  <r>
    <s v="Kost Meutia Tipe B Babelan Bekasi"/>
    <x v="7"/>
    <x v="155"/>
    <n v="12"/>
    <s v="3 x 4 meter"/>
    <s v="Tidak termasuk listrik"/>
    <s v=""/>
    <s v="N/A"/>
    <s v="3 x 4 meter; Tidak termasuk listrik; AC; Kasur; Meja Rias; Kulkas; Lemari Baju; Bantal; Guling; K. Mandi Dalam; Kloset Jongkok; Shower; Laundry; Parkir Motor"/>
    <n v="1100000"/>
    <s v="Rp1.100.000"/>
    <n v="0"/>
    <m/>
    <s v="Kos Campur"/>
    <m/>
    <m/>
  </r>
  <r>
    <s v="Kost Mewah Cendana Suite Cileungsi Bogor"/>
    <x v="0"/>
    <x v="128"/>
    <n v="16"/>
    <s v="4 x 4 meter"/>
    <s v="Tidak termasuk listrik"/>
    <s v=""/>
    <s v="N/A"/>
    <s v="4 x 4 meter; Tidak termasuk listrik; AC; Kasur; Meja; Kulkas; Lemari Baju; Ventilasi; Bantal; Cermin; Guling; Jendela; K. Mandi Dalam; Kloset Duduk; K. Mandi Luar; Wastafel; Shower; Dapur; Balcon; Jemuran; Parkir Mobil; Parkir Motor &amp; Sepeda"/>
    <n v="1900000"/>
    <s v="Rp1.900.000"/>
    <n v="0"/>
    <m/>
    <s v="Kos Campur"/>
    <m/>
    <m/>
  </r>
  <r>
    <s v="Kost MG Resident Grogol Petamburan Jakarta Barat"/>
    <x v="3"/>
    <x v="82"/>
    <n v="12"/>
    <s v="3 x 4 meter"/>
    <s v="Tidak termasuk listrik"/>
    <s v=""/>
    <s v="N/A"/>
    <s v="3 x 4 meter; Tidak termasuk listrik; AC; Kasur; Meja; Bantal; Guling; Jendela; Kursi; K. Mandi Dalam; Kloset Duduk; Wastafel; Shower; Air panas; WiFi; Kulkas; Penjaga Kos; R. Tamu; Dapur; Dispenser; CCTV; Kartu Akses; Pengurus Kos; Rooftop; Parkir Mobil; Parkir Motor &amp; Sepeda"/>
    <n v="2600000"/>
    <s v="Rp2.600.000"/>
    <n v="0.17083333333333331"/>
    <d v="1899-12-30T04:06:00"/>
    <s v="Kos Campur"/>
    <m/>
    <s v="Diskon 192rb"/>
  </r>
  <r>
    <s v="Kost Mianma Executive Tanjung Priok Jakarta Utara"/>
    <x v="4"/>
    <x v="5"/>
    <n v="9.3600000000000012"/>
    <s v="2.6 x 3.6 meter"/>
    <s v="Termasuk listrik (implied)"/>
    <s v=""/>
    <s v="N/A"/>
    <s v="2.6 x 3.6 meter; Termasuk listrik; Kasur; Meja; Lemari Baju; Ventilasi; Bantal; Jendela; Kipas Angin; K. Mandi Dalam; Kloset Jongkok; Ember mandi; Shower; WiFi; R. Tamu; R. Jemur; R. Santai; Balcon; CCTV; Gazebo; Jemuran; Taman; Parkir Mobil; Parkir Motor; Parkir Sepeda"/>
    <n v="860000"/>
    <s v="Rp860.000"/>
    <n v="0"/>
    <m/>
    <s v="Kos Campur"/>
    <m/>
    <m/>
  </r>
  <r>
    <s v="Kost Miko Benda Tangerang"/>
    <x v="6"/>
    <x v="24"/>
    <n v="12"/>
    <s v="3 x 4 meter"/>
    <s v="Tidak termasuk listrik"/>
    <s v=""/>
    <s v="N/A"/>
    <s v="3 x 4 meter; Tidak termasuk listrik; AC; Kasur; Lemari Baju; K. Mandi Dalam; Kloset Jongkok; Ember mandi; WiFi; R. Tamu; R. Jemur; R. Santai; Dapur; TV; Parkir Motor"/>
    <n v="1250000"/>
    <s v="Rp1.250.000"/>
    <n v="0.16874999999999998"/>
    <d v="1899-12-30T04:03:00"/>
    <s v="Kos Campur"/>
    <m/>
    <m/>
  </r>
  <r>
    <s v="Kost Milenial Cengkareng Jakarta Barat"/>
    <x v="3"/>
    <x v="169"/>
    <e v="#VALUE!"/>
    <s v="N/A"/>
    <s v="N/A"/>
    <s v=""/>
    <s v="N/A"/>
    <s v=""/>
    <n v="1400000"/>
    <s v="Rp1.400.000"/>
    <n v="0"/>
    <m/>
    <s v="Kos Putra"/>
    <m/>
    <m/>
  </r>
  <r>
    <s v="Kost Milenial Tanjung Priok Jakarta Utara"/>
    <x v="4"/>
    <x v="5"/>
    <n v="12"/>
    <s v="3 x 4 meter"/>
    <s v="Tidak termasuk listrik"/>
    <s v=""/>
    <s v="N/A"/>
    <s v="3 x 4 meter; Tidak termasuk listrik; AC; Kasur; Meja; Lemari Baju; Bantal; Guling; Jendela; K. Mandi Dalam; Kloset Duduk; Kloset Jongkok; Ember mandi; Shower; WiFi; Kulkas; R. Jemur; Dapur; Balcon; Jemuran; CCTV; Parkir Motor; Parkir Sepeda"/>
    <n v="1400000"/>
    <s v="Rp1.400.000"/>
    <n v="0"/>
    <m/>
    <s v="Kos Putri"/>
    <m/>
    <m/>
  </r>
  <r>
    <s v="Kost Milenial Tipe F Pondok Aren Tangerang Selatan"/>
    <x v="2"/>
    <x v="29"/>
    <n v="16"/>
    <s v="4 x 4 meter"/>
    <s v="Tidak termasuk listrik"/>
    <s v=""/>
    <s v="N/A"/>
    <s v="4 x 4 meter; Tidak termasuk listrik; AC; Kasur; Meja; Lemari Baju; Ventilasi; Kursi; Cleaning service; Bantal; Cermin; Guling; K. Mandi Dalam; Kloset Duduk; Shower; WiFi; R. Cuci; Kulkas; R. Tamu; Mesin Cuci; Penjaga Kos; R. Makan; R. Jemur; R. Santai; Dapur; Parkir Motor; Parkir Sepeda"/>
    <n v="1600000"/>
    <s v="Rp1.600.000"/>
    <n v="0.17222222222222225"/>
    <d v="1899-12-30T04:08:00"/>
    <s v="Kos Putra"/>
    <m/>
    <m/>
  </r>
  <r>
    <s v="Kost Mimi Tipe C Kelapa Gading Jakarta Utara"/>
    <x v="4"/>
    <x v="111"/>
    <n v="9"/>
    <s v="3 x 3 meter"/>
    <s v="Tidak termasuk listrik"/>
    <s v=""/>
    <s v="N/A"/>
    <s v="3 x 3 meter; Tidak termasuk listrik; AC; Kasur; Meja; Meja Rias; TV; Kulkas; Lemari Baju; Ventilasi; Bantal; Cermin; Kloset Duduk; K. Mandi Luar; WiFi; R. Tamu; R. Makan; Dapur; Kartu Akses; Parkir Motor"/>
    <n v="2000000"/>
    <s v="Rp2.000.000"/>
    <n v="0.20833333333333334"/>
    <d v="1899-12-30T05:00:00"/>
    <s v="Kos Putri"/>
    <m/>
    <m/>
  </r>
  <r>
    <s v="Kost Mimi Tipe I Kelapa Gading Jakarta Utara"/>
    <x v="4"/>
    <x v="111"/>
    <n v="9"/>
    <s v="3 x 3 meter"/>
    <s v="Tidak termasuk listrik"/>
    <s v=""/>
    <s v="N/A"/>
    <s v="3 x 3 meter; Tidak termasuk listrik; AC; Kasur; Meja; TV; Kulkas; Lemari Baju; Ventilasi; Bantal; Cermin; Dapur Pribadi; K. Mandi Dalam; Kloset Duduk; Wastafel; Shower; Air panas; WiFi; R. Cuci; R. Tamu; Laundry; Penjaga Kos; R. Makan; Mushola; R. Jemur; R. Santai; Parkir Mobil; Parkir Motor; Parkir Sepeda"/>
    <n v="2100000"/>
    <s v="Rp2.100.000"/>
    <n v="0"/>
    <m/>
    <s v="Kos Putri"/>
    <m/>
    <m/>
  </r>
  <r>
    <s v="Kost Mimos Tipe B Ciputat Timur Tangerang Selatan"/>
    <x v="2"/>
    <x v="8"/>
    <n v="12"/>
    <s v="3 x 4 meter"/>
    <s v="Termasuk listrik (implied)"/>
    <s v=""/>
    <s v="N/A"/>
    <s v="3 x 4 meter; Termasuk listrik; AC; Kasur; Meja; Lemari Baju; Bantal; Cermin; Guling; Jendela; Kursi; Kloset Duduk; K. Mandi Luar; Wastafel; Shower; Air panas; WiFi; R. Cuci; Kulkas; R. Jemur; R. Santai; Dapur; Dispenser; Balcon; CCTV; Jemuran; Parkir Mobil; Parkir Motor; Parkir Sepeda; Parkir Motor &amp; Sepeda"/>
    <n v="1200000"/>
    <s v="Rp1.200.000"/>
    <n v="0.20833333333333334"/>
    <d v="1899-12-30T05:00:00"/>
    <s v="Kos Putri"/>
    <m/>
    <s v="Diskon 65rb"/>
  </r>
  <r>
    <s v="Kost Mimosa 1 Tipe WC Luar AC sharing Tanjung Priok Jakarta Utara"/>
    <x v="4"/>
    <x v="5"/>
    <n v="6"/>
    <s v="2 x 3 meter"/>
    <s v="Termasuk listrik (implied)"/>
    <s v=""/>
    <s v="N/A"/>
    <s v="2 x 3 meter; Termasuk listrik; AC; Kasur; Meja; Lemari Baju; Ventilasi; Kursi; Cleaning service; Bantal; Jendela; Kloset Duduk; K. Mandi Luar; Wastafel; Shower; R. Cuci; Kulkas; R. Tamu; Penjaga Kos; Laundry; R. Makan; R. Jemur; R. Santai; Dapur; Dispenser; Parkir Motor; Parkir Sepeda"/>
    <n v="1300000"/>
    <s v="Rp1.300.000"/>
    <n v="0.17083333333333331"/>
    <d v="1899-12-30T04:06:00"/>
    <s v="Kos Campur"/>
    <m/>
    <s v="Diskon 63rb"/>
  </r>
  <r>
    <s v="Kost Mina Ciracas Jakarta Timur"/>
    <x v="8"/>
    <x v="37"/>
    <n v="12"/>
    <s v="3 x 4 meter"/>
    <s v="Termasuk listrik (implied)"/>
    <s v=""/>
    <s v="N/A"/>
    <s v="3 x 4 meter; Termasuk listrik; Kasur; Lemari Baju; Ventilasi; Bantal; Cermin; Guling; Jendela; K. Mandi Dalam; Kloset Jongkok; Ember mandi; WiFi; Dapur; CCTV; Parkir Motor"/>
    <n v="1000000"/>
    <s v="Rp1.000.000"/>
    <n v="0"/>
    <m/>
    <s v="Kos Campur"/>
    <m/>
    <m/>
  </r>
  <r>
    <s v="Kost Mindi 41 Tipe B Koja Jakarta Utara"/>
    <x v="4"/>
    <x v="93"/>
    <n v="12"/>
    <s v="3 x 4 meter"/>
    <s v="Tidak termasuk listrik"/>
    <s v=""/>
    <s v="N/A"/>
    <s v="3 x 4 meter; Tidak termasuk listrik; AC; Kasur; Lemari Baju; Bantal; Guling; Jendela; K. Mandi Dalam; Kloset Jongkok; Ember mandi; Shower; WiFi; Kulkas; R. Tamu; R. Santai; Dapur; Dispenser; TV; K. Mandi Luar; CCTV; Pengurus Kos; Parkir Motor"/>
    <n v="1600000"/>
    <s v="Rp1.600.000"/>
    <n v="0"/>
    <m/>
    <s v="Kos Campur"/>
    <m/>
    <m/>
  </r>
  <r>
    <s v="Kost Mirasony 1 Cileungsi Bogor"/>
    <x v="0"/>
    <x v="31"/>
    <n v="9"/>
    <s v="3 x 3 meter"/>
    <s v="Termasuk listrik (implied)"/>
    <s v=""/>
    <s v="N/A"/>
    <s v="3 x 3 meter; Termasuk listrik; Kasur; Meja; TV; Lemari Baju; Ventilasi; Bantal; Cermin; Guling; Jendela; Kursi; Kloset Duduk; K. Mandi Luar; Ember mandi; Shower; WiFi; Kulkas; R. Cuci; Mesin Cuci; Penjaga Kos; R. Tamu; Laundry; Mushola; R. Jemur; R. Makan; Parkir Sepeda; Parkir Motor"/>
    <n v="700000"/>
    <s v="Rp700.000"/>
    <n v="0"/>
    <m/>
    <s v="Kos Putri"/>
    <m/>
    <m/>
  </r>
  <r>
    <s v="Kost Mirasony 2 Tipe A Cileungsi Bogor"/>
    <x v="0"/>
    <x v="128"/>
    <n v="9"/>
    <s v="3 x 3 meter"/>
    <s v="Termasuk listrik (implied)"/>
    <s v=""/>
    <s v="N/A"/>
    <s v="3 x 3 meter; Termasuk listrik; Kasur; Dispenser; Lemari Baju; Kulkas; Ventilasi; Bantal; Cermin; Guling; Meja makan; Sofa; Kloset Duduk; K. Mandi Luar; Ember mandi; WiFi; R. Cuci; Mesin Cuci; Penjaga Kos; R. Tamu; Mushola; R. Jemur; R. Makan; R. Santai; Parkir Motor &amp; Sepeda"/>
    <n v="800000"/>
    <s v="Rp800.000"/>
    <n v="0"/>
    <m/>
    <s v="Kos Putri"/>
    <m/>
    <m/>
  </r>
  <r>
    <s v="Kost Modern Byyu Sentulcity Eksklusif Babakan Madang Bogor"/>
    <x v="0"/>
    <x v="80"/>
    <n v="12"/>
    <s v="3 x 4 meter"/>
    <s v="Tidak termasuk listrik"/>
    <s v=""/>
    <s v="N/A"/>
    <s v="3 x 4 meter; Tidak termasuk listrik; AC; Kasur; Meja; TV; Lemari Baju; Bantal; Cermin; Cleaning service; Guling; Jendela; K. Mandi Dalam; Kloset Duduk; Ember mandi; Shower; Air panas; WiFi; Kulkas; Penjaga Kos; R. Tamu; Laundry; Mushola; R. Makan; R. Santai; Dapur; Dispenser; Parkir Mobil; Parkir Motor; Parkir Sepeda; Parkir Motor &amp; Sepeda"/>
    <n v="1850000"/>
    <s v="Rp1.850.000"/>
    <n v="0"/>
    <m/>
    <s v="Kos Putri"/>
    <m/>
    <m/>
  </r>
  <r>
    <s v="Kost Mommy Cikarang Utara Bekasi"/>
    <x v="7"/>
    <x v="33"/>
    <n v="10.5"/>
    <s v="3 x 3.5 meter"/>
    <s v="Tidak termasuk listrik"/>
    <s v=""/>
    <s v="N/A"/>
    <s v="3 x 3.5 meter; Tidak termasuk listrik; AC; Kasur; Meja; Lemari Baju; Ventilasi; Bantal; Guling; Jendela; Kursi; Cermin; K. Mandi Dalam; Kloset Duduk; Shower"/>
    <n v="1600000"/>
    <s v="Rp1.600.000"/>
    <n v="0"/>
    <m/>
    <s v="Kos Putri"/>
    <m/>
    <m/>
  </r>
  <r>
    <s v="Kost Mora 1 Cikarang Utara Bekasi"/>
    <x v="7"/>
    <x v="33"/>
    <n v="12"/>
    <s v="3 x 4 meter"/>
    <s v="Tidak termasuk listrik"/>
    <s v=""/>
    <s v="N/A"/>
    <s v="3 x 4 meter; Tidak termasuk listrik; AC; Kasur; Lemari Baju; Ventilasi; Jendela; Bantal; K. Mandi Dalam; Kloset Jongkok; Ember mandi; WiFi; Penjaga Kos; Jemuran; CCTV; Jual Makanan; Parkir Mobil; Parkir Motor; Parkir Sepeda"/>
    <n v="550000"/>
    <s v="Rp550.000"/>
    <n v="0"/>
    <m/>
    <s v="Kos Campur"/>
    <m/>
    <m/>
  </r>
  <r>
    <s v="Kost Moza 1 Tipe A Karawaci Tangerang"/>
    <x v="6"/>
    <x v="141"/>
    <n v="9"/>
    <s v="3 x 3 meter"/>
    <s v="Termasuk listrik (implied)"/>
    <s v=""/>
    <s v="N/A"/>
    <s v="3 x 3 meter; Termasuk listrik; Kasur; Lemari Baju; Ventilasi; Bantal; Cermin; Jendela; Cleaning service; Dapur Pribadi; Kipas Angin; Kloset Jongkok; K. Mandi Luar; Ember mandi; Shower; Bak mandi; WiFi; R. Cuci; Penjaga Kos; R. Tamu; R. Jemur; R. Makan; R. Santai; Dapur; CCTV; Jemuran; Parkir Motor; Parkir Sepeda; Parkir Motor &amp; Sepeda"/>
    <n v="700000"/>
    <s v="Rp700.000"/>
    <n v="0.20833333333333334"/>
    <d v="1899-12-30T05:00:00"/>
    <s v="Kos Putra"/>
    <m/>
    <m/>
  </r>
  <r>
    <s v="Kost Murni 3 Tipe A Penjaringan Jakarta Utara"/>
    <x v="4"/>
    <x v="12"/>
    <n v="9"/>
    <s v="3 x 3 meter"/>
    <s v="Termasuk listrik (implied)"/>
    <s v=""/>
    <s v="N/A"/>
    <s v="3 x 3 meter; Termasuk listrik; AC; Kasur; Lemari Baju; Ventilasi; TV Kabel; Bantal; Cermin; Guling; Jendela; Kloset Duduk; K. Mandi Luar; Wastafel; Shower; WiFi; R. Cuci; Kulkas; R. Tamu; Mesin Cuci; Penjaga Kos; Laundry; R. Makan; R. Jemur; R. Santai; Parkir Mobil; Parkir Motor; Parkir Sepeda"/>
    <n v="2300000"/>
    <s v="Rp2.300.000"/>
    <n v="0.16666666666666666"/>
    <d v="1899-12-30T04:00:00"/>
    <s v="Kos Campur"/>
    <m/>
    <s v="Diskon 184rb"/>
  </r>
  <r>
    <s v="Kost Musdalipa Cibinong Bogor"/>
    <x v="0"/>
    <x v="96"/>
    <n v="9"/>
    <s v="3 x 3 meter"/>
    <s v="Termasuk listrik (implied)"/>
    <s v=""/>
    <s v="N/A"/>
    <s v="3 x 3 meter; Termasuk listrik; Kasur; TV; Lemari Baju; Kursi; Sofa; Bantal; Jendela; K. Mandi Dalam; Kloset Duduk; Kloset Jongkok; K. Mandi Luar; Ember mandi; WiFi; R. Jemur; Dapur; Pengurus Kos; Parkir Motor"/>
    <n v="550000"/>
    <s v="Rp550.000"/>
    <n v="0"/>
    <m/>
    <s v="Kos Putra"/>
    <m/>
    <m/>
  </r>
  <r>
    <s v="Kost Muslimah Maharani Cibinong Bogor"/>
    <x v="0"/>
    <x v="35"/>
    <n v="9"/>
    <s v="3 x 3 meter"/>
    <s v="Termasuk listrik (implied)"/>
    <s v=""/>
    <s v="N/A"/>
    <s v="3 x 3 meter; Termasuk listrik; AC; Meja; Lemari Baju; Bantal; Guling; Kloset Duduk; Ember mandi; Shower; Kulkas; R. Tamu; Dapur; Jemuran; Balcon"/>
    <n v="1400000"/>
    <s v="Rp1.400.000"/>
    <n v="0"/>
    <m/>
    <s v="Kos Putri"/>
    <m/>
    <m/>
  </r>
  <r>
    <s v="Kost Muslimah Nuy Tipe Single Dramaga Bogor"/>
    <x v="0"/>
    <x v="23"/>
    <n v="9"/>
    <s v="3 x 3 meter"/>
    <s v="Tidak termasuk listrik"/>
    <s v=""/>
    <s v="N/A"/>
    <s v="3 x 3 meter; Tidak termasuk listrik; Kasur; Meja; Lemari Baju; Kulkas; Ventilasi; Bantal; Jendela; Kursi; K. Mandi Dalam; Kloset Jongkok; Ember mandi; Shower; WiFi; Penjaga Kos; R. Tamu; R. Jemur; R. Santai; Dapur; Balcon; CCTV; Jemuran; Parkir Mobil; Parkir Motor; Parkir Sepeda"/>
    <n v="750000"/>
    <s v="Rp750.000"/>
    <n v="0"/>
    <m/>
    <s v="Kos Putri"/>
    <m/>
    <m/>
  </r>
  <r>
    <s v="Kost Muslimah Rumah Nadine Tipe B Pasar Minggu Jakarta Selatan"/>
    <x v="5"/>
    <x v="43"/>
    <n v="16"/>
    <s v="4 x 4 meter"/>
    <s v="Tidak termasuk listrik"/>
    <s v=""/>
    <s v="N/A"/>
    <s v="4 x 4 meter; Tidak termasuk listrik; AC; Kasur; Meja; Lemari Baju; Ventilasi; Bantal; Guling; Jendela; Cermin; Kursi; K. Mandi Dalam; Kloset Duduk; Shower; WiFi; Kulkas; R. Cuci; Mesin Cuci; R. Jemur; R. Santai; Dapur; Dispenser; Kartu Akses; Balcon; Parkir Mobil; Parkir Motor; Parkir Sepeda"/>
    <n v="2500000"/>
    <s v="Rp2.500.000"/>
    <n v="0.17083333333333331"/>
    <d v="1899-12-30T04:06:00"/>
    <s v="Kos Putri"/>
    <m/>
    <m/>
  </r>
  <r>
    <s v="Kost Muslimah Sakinah Tipe Ac Beji Depok"/>
    <x v="1"/>
    <x v="16"/>
    <n v="12"/>
    <s v="3 x 4 meter"/>
    <s v="Tidak termasuk listrik"/>
    <s v=""/>
    <s v="N/A"/>
    <s v="3 x 4 meter; Tidak termasuk listrik; AC; Kasur; Meja; Lemari Baju; Ventilasi; Kursi; Bantal; Jendela; K. Mandi Dalam; Kloset Duduk; Ember mandi; Shower; WiFi; Kulkas; R. Tamu; R. Makan; R. Jemur; R. Santai; Dapur; Taman; CCTV; Pengurus Kos; Parkir Motor; Parkir Sepeda"/>
    <n v="1400000"/>
    <s v="Rp1.400.000"/>
    <n v="0.17083333333333331"/>
    <d v="1899-12-30T04:06:00"/>
    <s v="Kos Putri"/>
    <m/>
    <s v="Diskon 120rb"/>
  </r>
  <r>
    <s v="Kost Muslimah Sakinah Tipe Ac Single Beji Depok"/>
    <x v="1"/>
    <x v="15"/>
    <n v="9"/>
    <s v="3 x 3 meter"/>
    <s v="Tidak termasuk listrik"/>
    <s v=""/>
    <s v="N/A"/>
    <s v="3 x 3 meter; Tidak termasuk listrik; AC; Kasur; Meja; Lemari Baju; Kursi; Bantal; Jendela; Cermin; K. Mandi Dalam; Kloset Duduk; Ember mandi; Shower; WiFi; Kulkas; R. Tamu; R. Makan; R. Jemur; R. Santai; Dapur; Taman; CCTV; Jemuran; Parkir Motor; Parkir Sepeda"/>
    <n v="1300000"/>
    <s v="Rp1.300.000"/>
    <n v="0.17083333333333331"/>
    <d v="1899-12-30T04:06:00"/>
    <s v="Kos Putri"/>
    <m/>
    <s v="Diskon 120rb"/>
  </r>
  <r>
    <s v="Kost Muslimah Sakinah Tipe B Beji Depok"/>
    <x v="1"/>
    <x v="16"/>
    <n v="9"/>
    <s v="3 x 3 meter"/>
    <s v="Tidak termasuk listrik"/>
    <s v=""/>
    <s v="N/A"/>
    <s v="3 x 3 meter; Tidak termasuk listrik; Kasur; Meja; Lemari Baju; Ventilasi; Kursi; Kipas Angin; Bantal; Jendela; K. Mandi Dalam; Kloset Duduk; Ember mandi; Shower; WiFi; Kulkas; R. Tamu; R. Makan; R. Jemur; R. Santai; Dapur; Taman; CCTV; Pengurus Kos; Parkir Motor; Parkir Sepeda"/>
    <n v="1250000"/>
    <s v="Rp1.250.000"/>
    <n v="0.17083333333333331"/>
    <d v="1899-12-30T04:06:00"/>
    <s v="Kos Putri"/>
    <m/>
    <s v="Diskon 120rb"/>
  </r>
  <r>
    <s v="Kost Mutiara Jatiuwung Tangerang"/>
    <x v="6"/>
    <x v="174"/>
    <n v="27"/>
    <s v="3 x 9 meter"/>
    <s v="Tidak termasuk listrik"/>
    <s v=""/>
    <s v="N/A"/>
    <s v="3 x 9 meter; Tidak termasuk listrik; Jendela; K. Mandi Dalam; Kloset Jongkok; R. Cuci; R. Tamu; R. Jemur; Balcon; R. Keluarga; Parkir Motor; Parkir Motor &amp; Sepeda"/>
    <n v="1000000"/>
    <s v="Rp1.000.000"/>
    <n v="0"/>
    <m/>
    <s v="Kos Campur"/>
    <m/>
    <m/>
  </r>
  <r>
    <s v="Kost Mutiara Kedasih I Cikarang Utara Bekasi"/>
    <x v="7"/>
    <x v="78"/>
    <n v="9"/>
    <s v="3 x 3 meter"/>
    <s v="Termasuk listrik (implied)"/>
    <s v=""/>
    <s v="N/A"/>
    <s v="3 x 3 meter; Termasuk listrik; Kasur; Lemari Baju; Kipas Angin; Bantal; Cermin; Kloset Jongkok; K. Mandi Luar; Ember mandi; WiFi; Kulkas; R. Cuci; R. Jemur; R. Makan; R. Santai; Dapur; Dispenser; CCTV; Jemuran; Parkir Motor; Parkir Sepeda"/>
    <n v="750000"/>
    <s v="Rp750.000"/>
    <n v="0"/>
    <m/>
    <s v="Kos Putra"/>
    <m/>
    <m/>
  </r>
  <r>
    <s v="Kost Mutiara Kedasih II Cikarang Utara Bekasi"/>
    <x v="7"/>
    <x v="78"/>
    <n v="9"/>
    <s v="3 x 3 meter"/>
    <s v="Termasuk listrik (implied)"/>
    <s v=""/>
    <s v="N/A"/>
    <s v="3 x 3 meter; Termasuk listrik; Kasur; Meja; Lemari Baju; Ventilasi; Bantal; Cermin; Jendela; Kipas Angin; Kloset Jongkok; K. Mandi Luar; Ember mandi; Parkir Motor; Parkir Sepeda"/>
    <n v="750000"/>
    <s v="Rp750.000"/>
    <n v="0"/>
    <m/>
    <s v="Kos Putra"/>
    <m/>
    <m/>
  </r>
  <r>
    <s v="Kost Muwardi IIIA Residence Grogol Petamburan Jakarta Barat"/>
    <x v="3"/>
    <x v="82"/>
    <n v="8.1000000000000014"/>
    <s v="2.7 x 3 meter"/>
    <s v="Tidak termasuk listrik"/>
    <s v=""/>
    <s v="N/A"/>
    <s v="2.7 x 3 meter; Tidak termasuk listrik; AC; Kasur; Meja; TV; Lemari Baju; Ventilasi; Bantal; Cermin; Guling; Jendela; K. Mandi Dalam; Kloset Duduk; Wastafel; Shower; Air panas; WiFi; Kulkas; R. Cuci; Penjaga Kos; R. Tamu; R. Jemur; R. Makan; Dapur; Dispenser; CCTV; Parkir Motor; Parkir Sepeda"/>
    <n v="2000000"/>
    <s v="Rp2.000.000"/>
    <n v="0.17291666666666669"/>
    <d v="1899-12-30T04:09:00"/>
    <s v="Kos Putri"/>
    <m/>
    <s v="Diskon 93rb"/>
  </r>
  <r>
    <s v="Kost MX Home Tipe B Kelapa Gading Jakarta Utara"/>
    <x v="4"/>
    <x v="111"/>
    <n v="9"/>
    <s v="3 x 3 meter"/>
    <s v="Tidak termasuk listrik"/>
    <s v=""/>
    <s v="N/A"/>
    <s v="3 x 3 meter; Tidak termasuk listrik; AC; Kasur; Meja; TV; Lemari Baju; Ventilasi; Kursi; Kipas Angin; Cleaning service; Meja makan; Kloset Duduk; Kloset Jongkok; K. Mandi Luar; Wastafel; Ember mandi; Shower; WiFi; R. Tamu; Mesin Cuci; Penjaga Kos; Laundry; R. Jemur; Dapur; Taman; R. Keluarga; Gazebo; Parkir Mobil; Parkir Motor; Parkir Sepeda"/>
    <n v="1300000"/>
    <s v="Rp1.300.000"/>
    <n v="0.1277777777777778"/>
    <d v="1899-12-30T03:04:00"/>
    <s v="Kos Campur"/>
    <m/>
    <m/>
  </r>
  <r>
    <s v="Kost My 1 Tipe B Penjaringan Jakarta Utara"/>
    <x v="4"/>
    <x v="156"/>
    <n v="6.72"/>
    <s v="2.4 x 2.8 meter"/>
    <s v="Tidak termasuk listrik"/>
    <s v=""/>
    <s v="N/A"/>
    <s v="2.4 x 2.8 meter; Tidak termasuk listrik; AC; Kasur; Meja; Lemari Baju; Ventilasi; Bantal; Guling; Kursi; Cermin; Jendela; Kloset Duduk; Kloset Jongkok; K. Mandi Luar; Wastafel; Shower; Air panas; WiFi; Kulkas; Laundry; R. Jemur; R. Santai; Dapur; Dispenser; CCTV; Jemuran; Pengurus Kos; Parkir Motor &amp; Sepeda"/>
    <n v="1700000"/>
    <s v="Rp1.700.000"/>
    <n v="0.20833333333333334"/>
    <d v="1899-12-30T05:00:00"/>
    <s v="Kos Putri"/>
    <m/>
    <m/>
  </r>
  <r>
    <s v="Kost My 2 Tipe A Penjaringan Jakarta Utara"/>
    <x v="4"/>
    <x v="156"/>
    <n v="6.72"/>
    <s v="2.4 x 2.8 meter"/>
    <s v="Tidak termasuk listrik"/>
    <s v=""/>
    <s v="N/A"/>
    <s v="2.4 x 2.8 meter; Tidak termasuk listrik; AC; Kasur; Meja; Lemari Baju; Ventilasi; Bantal; Cermin; Guling; Jendela; Kursi; K. Mandi Dalam; Kloset Duduk; Kloset Jongkok; K. Mandi Luar; Wastafel; Shower; Air panas; WiFi; Kulkas; Laundry; R. Tamu; R. Jemur; R. Makan; R. Santai; Dapur; Dispenser; Balcon; Parkir Sepeda"/>
    <n v="2500000"/>
    <s v="Rp2.500.000"/>
    <n v="0"/>
    <m/>
    <s v="Kos Putri"/>
    <m/>
    <m/>
  </r>
  <r>
    <s v="Kost My Room VVIP Gunung Putri Bogor"/>
    <x v="0"/>
    <x v="89"/>
    <n v="18"/>
    <s v="3 x 6 meter"/>
    <s v="Termasuk listrik (implied)"/>
    <s v=""/>
    <s v="N/A"/>
    <s v="3 x 6 meter; Termasuk listrik; AC; Kasur; Meja; TV; Kulkas; Lemari Baju; Bantal; Cermin; Guling; Wastafel; K. Mandi Dalam; Kloset Duduk; Shower; Air panas; Parkir Mobil; Parkir Motor"/>
    <n v="2000000"/>
    <s v="Rp2.000.000"/>
    <n v="0"/>
    <m/>
    <s v="Kos Putri"/>
    <m/>
    <m/>
  </r>
  <r>
    <s v="Kost My Suite Ciputat Tangerang Selatan"/>
    <x v="2"/>
    <x v="65"/>
    <n v="16"/>
    <s v="4 x 4 meter"/>
    <s v="Tidak termasuk listrik"/>
    <s v=""/>
    <s v="N/A"/>
    <s v="4 x 4 meter; Tidak termasuk listrik; AC; Kasur; TV; Lemari Baju; Bantal; Cermin; Guling; Jendela; Dapur Pribadi; K. Mandi Dalam; Kloset Duduk; Kloset Jongkok; Shower; WiFi; Dapur; CCTV; Taman; Balcon; Parkir Motor; Parkir Sepeda; Parkir Motor &amp; Sepeda"/>
    <n v="1000000"/>
    <s v="Rp1.000.000"/>
    <n v="0"/>
    <m/>
    <s v="Kos Campur"/>
    <m/>
    <m/>
  </r>
  <r>
    <s v="Kost My VIP Penjaringan Jakarta Utara"/>
    <x v="4"/>
    <x v="156"/>
    <n v="9"/>
    <s v="3 x 3 meter"/>
    <s v="Tidak termasuk listrik"/>
    <s v=""/>
    <s v="N/A"/>
    <s v="3 x 3 meter; Tidak termasuk listrik; AC; Kasur; Dispenser; Kulkas; Lemari Baju; Ventilasi; Bantal; Cleaning service; Guling; Jendela; K. Mandi Dalam; Kloset Duduk; Ember mandi; Wastafel; Shower; WiFi; R. Cuci; Laundry; Penjaga Kos; R. Jemur; R. Makan; Dapur; Balcon; Parkir Mobil; Parkir Motor; Parkir Sepeda; Parkir Motor &amp; Sepeda"/>
    <n v="1700000"/>
    <s v="Rp1.700.000"/>
    <n v="0"/>
    <m/>
    <s v="Kos Putri"/>
    <m/>
    <m/>
  </r>
  <r>
    <s v="Kost Myah Make Yourself At Home Tipe B Taman Sari Jakarta Barat"/>
    <x v="3"/>
    <x v="149"/>
    <n v="14"/>
    <s v="3.5 x 4 meter"/>
    <s v="Tidak termasuk listrik"/>
    <s v=""/>
    <s v="N/A"/>
    <s v="3.5 x 4 meter; Tidak termasuk listrik; AC; Kasur; TV; Meja Rias; Lemari Baju; Wastafel; TV Kabel; K. Mandi Dalam; Kloset Duduk; Shower; Air panas; WiFi; Penjaga Kos; Laundry; Kartu Akses; Parkir Mobil; Parkir Motor; Parkir Sepeda"/>
    <n v="2800000"/>
    <s v="Rp2.800.000"/>
    <n v="0.17291666666666669"/>
    <d v="1899-12-30T04:09:00"/>
    <s v="Kos Campur"/>
    <m/>
    <m/>
  </r>
  <r>
    <s v="Kost N Tipe B Cempaka Putih Jakarta Pusat"/>
    <x v="9"/>
    <x v="51"/>
    <n v="16"/>
    <s v="4 x 4 meter"/>
    <s v="Tidak termasuk listrik"/>
    <s v=""/>
    <s v="N/A"/>
    <s v="4 x 4 meter; Tidak termasuk listrik; AC; Kasur; Meja; TV; Meja Rias; Lemari Baju; Kursi; Wastafel; Cleaning service; K. Mandi Dalam; Kloset Duduk; Shower; Air panas; WiFi; R. Cuci; R. Tamu; Laundry; R. Jemur; R. Santai; Taman; Balcon; Parkir Mobil; Parkir Motor; Parkir Sepeda"/>
    <n v="3000000"/>
    <s v="Rp3.000.000"/>
    <n v="0.20833333333333334"/>
    <d v="1899-12-30T05:00:00"/>
    <s v="Kos Campur"/>
    <m/>
    <m/>
  </r>
  <r>
    <s v="Kost N Tipe C Cempaka Putih Jakarta Pusat"/>
    <x v="9"/>
    <x v="51"/>
    <n v="12"/>
    <s v="3 x 4 meter"/>
    <s v="Tidak termasuk listrik"/>
    <s v=""/>
    <s v="N/A"/>
    <s v="3 x 4 meter; Tidak termasuk listrik; AC; Kasur; Meja; TV; Meja Rias; Lemari Baju; Kursi; Wastafel; Cleaning service; K. Mandi Dalam; Kloset Duduk; Shower; Air panas; WiFi; R. Cuci; Laundry; R. Jemur; R. Santai; Taman; Parkir Mobil; Parkir Motor; Parkir Sepeda"/>
    <n v="3500000"/>
    <s v="Rp3.500.000"/>
    <n v="0"/>
    <m/>
    <s v="Kos Campur"/>
    <m/>
    <m/>
  </r>
  <r>
    <s v="Kost N Tipe D Cempaka Putih Jakarta Pusat"/>
    <x v="9"/>
    <x v="51"/>
    <n v="24"/>
    <s v="4 x 6 meter"/>
    <s v="Tidak termasuk listrik"/>
    <s v=""/>
    <s v="N/A"/>
    <s v="4 x 6 meter; Tidak termasuk listrik; AC; Kasur; Meja; TV; Meja Rias; Lemari Baju; Kursi; Wastafel; Cleaning service; K. Mandi Dalam; Kloset Duduk; Shower; Air panas; WiFi; R. Cuci; R. Tamu; Laundry; R. Jemur; R. Santai; Taman; Balcon; Parkir Mobil; Parkir Motor; Parkir Sepeda"/>
    <n v="4000000"/>
    <s v="Rp4.000.000"/>
    <n v="0"/>
    <m/>
    <s v="Kos Campur"/>
    <m/>
    <m/>
  </r>
  <r>
    <s v="Kost N2 Beji Depok"/>
    <x v="1"/>
    <x v="15"/>
    <n v="12"/>
    <s v="3 x 4 meter"/>
    <s v="Tidak termasuk listrik"/>
    <s v=""/>
    <s v="N/A"/>
    <s v="3 x 4 meter; Tidak termasuk listrik; AC; Kasur; Meja; Lemari Baju; Kursi; K. Mandi Dalam; Kloset Duduk; Shower; WiFi; Kulkas; R. Jemur; Dapur; CCTV; Jemuran; Parkir Motor"/>
    <n v="1000000"/>
    <s v="Rp1.000.000"/>
    <n v="0.17083333333333331"/>
    <d v="1899-12-30T04:06:00"/>
    <s v="Kos Putra"/>
    <m/>
    <s v="Diskon 110rb"/>
  </r>
  <r>
    <s v="Kost NA Tipe AC Executive Pamulang Tangerang Selatan"/>
    <x v="2"/>
    <x v="54"/>
    <n v="20"/>
    <s v="4 x 5 meter"/>
    <s v="Tidak termasuk listrik"/>
    <s v=""/>
    <s v="N/A"/>
    <s v="4 x 5 meter; Tidak termasuk listrik; AC; Kasur; Meja; Lemari Baju; Ventilasi; Bantal; Cermin; Jendela; Kursi; Wastafel; K. Mandi Dalam; Kloset Duduk; Shower; WiFi; Penjaga Kos; Mushola; Pengurus Kos; Jual Makanan; Rice Cooker; Parkir Mobil; Parkir Motor &amp; Sepeda"/>
    <n v="1400000"/>
    <s v="Rp1.400.000"/>
    <n v="0.20833333333333334"/>
    <d v="1899-12-30T05:00:00"/>
    <s v="Kos Campur"/>
    <m/>
    <m/>
  </r>
  <r>
    <s v="Kost Nabila Cibodas Tangerang"/>
    <x v="6"/>
    <x v="129"/>
    <n v="9"/>
    <s v="3 x 3 meter"/>
    <s v="Termasuk listrik (implied)"/>
    <s v=""/>
    <s v="N/A"/>
    <s v="3 x 3 meter; Termasuk listrik; Kasur; Lemari Baju; Ventilasi; Cleaning service; K. Mandi Dalam; Kloset Jongkok; Ember mandi; WiFi; R. Jemur; Dapur; CCTV; Pengurus Kos; Jemuran; Parkir Motor; Parkir Sepeda"/>
    <n v="850000"/>
    <s v="Rp850.000"/>
    <n v="0.1673611111111111"/>
    <d v="1899-12-30T04:01:00"/>
    <s v="Kos Campur"/>
    <m/>
    <m/>
  </r>
  <r>
    <s v="Kost Nadia 4 Tambun Utara Bekasi"/>
    <x v="7"/>
    <x v="175"/>
    <n v="12"/>
    <s v="3 x 4 meter"/>
    <s v="Tidak termasuk listrik"/>
    <s v=""/>
    <s v="N/A"/>
    <s v="3 x 4 meter; Tidak termasuk listrik; Jendela; K. Mandi Dalam; Bak mandi; Jemuran; Parkir Motor &amp; Sepeda"/>
    <n v="500000"/>
    <s v="Rp500.000"/>
    <n v="0.20833333333333334"/>
    <d v="1899-12-30T05:00:00"/>
    <s v="Kos Campur"/>
    <m/>
    <m/>
  </r>
  <r>
    <s v="Kost Naf Tipe A Limo Depok"/>
    <x v="1"/>
    <x v="9"/>
    <n v="9"/>
    <s v="3 x 3 meter"/>
    <s v="Tidak termasuk listrik"/>
    <s v=""/>
    <s v="N/A"/>
    <s v="3 x 3 meter; Tidak termasuk listrik; AC; Kasur; Meja; Lemari Baju; Ventilasi; Bantal; Cermin; Guling; Jendela; Kursi; K. Mandi Dalam; Kloset Duduk; Shower; Air panas; WiFi; Kulkas; R. Cuci; R. Tamu; R. Jemur; R. Makan; R. Santai; Dapur; Dispenser; Balcon; Parkir Motor &amp; Sepeda"/>
    <n v="1500000"/>
    <s v="Rp1.500.000"/>
    <n v="0"/>
    <m/>
    <s v="Kos Putri"/>
    <m/>
    <m/>
  </r>
  <r>
    <s v="Kost Nakula 1 Tipe A Cikarang Selatan Bekasi"/>
    <x v="7"/>
    <x v="27"/>
    <n v="9"/>
    <s v="3 x 3 meter"/>
    <s v="Tidak termasuk listrik"/>
    <s v=""/>
    <s v="N/A"/>
    <s v="3 x 3 meter; Tidak termasuk listrik; AC; Kasur; Meja; Lemari Baju; Ventilasi; Bantal; Cermin; Guling; Jendela; Kursi; K. Mandi Dalam; Kloset Duduk; Ember mandi; Shower; WiFi; Kulkas; R. Cuci; Mesin Cuci; R. Jemur; Dapur; Dispenser; Jemuran; CCTV; Parkir Mobil; Parkir Motor; Parkir Sepeda"/>
    <n v="1600000"/>
    <s v="Rp1.600.000"/>
    <n v="0"/>
    <m/>
    <s v="Kos Putri"/>
    <m/>
    <m/>
  </r>
  <r>
    <s v="Kost Nala Tipe Gold Pesanggrahan Jakarta Selatan"/>
    <x v="5"/>
    <x v="166"/>
    <n v="23.099999999999998"/>
    <s v="3.3 x 7 meter"/>
    <s v="Tidak termasuk listrik"/>
    <s v=""/>
    <s v="N/A"/>
    <s v="3.3 x 7 meter; Tidak termasuk listrik; AC; Kasur; Meja; Lemari Baju; Ventilasi; Bantal; Cermin; Cleaning service; Guling; Jendela; K. Mandi Dalam; Kloset Jongkok; Ember mandi; Shower; WiFi; Kulkas; Laundry; Penjaga Kos; R. Jemur; R. Makan; Dapur; Dispenser; CCTV; Jemuran; Parkir Motor; Parkir Sepeda; Parkir Motor &amp; Sepeda"/>
    <n v="2100000"/>
    <s v="Rp2.100.000"/>
    <n v="0.17083333333333331"/>
    <d v="1899-12-30T04:06:00"/>
    <s v="Kos Putri"/>
    <m/>
    <s v="Diskon 110rb"/>
  </r>
  <r>
    <s v="Kost Nali House Tipe B Kelapa Gading Jakarta Utara"/>
    <x v="4"/>
    <x v="111"/>
    <n v="9"/>
    <s v="3 x 3 meter"/>
    <s v="Tidak termasuk listrik"/>
    <s v=""/>
    <s v="N/A"/>
    <s v="3 x 3 meter; Tidak termasuk listrik; AC; Kasur; Meja; Lemari Baju; Ventilasi; Bantal; Cermin; Guling; Kursi; Jendela; Kloset Duduk; K. Mandi Luar; Wastafel; Ember mandi; Shower; WiFi; Kulkas; R. Cuci; R. Tamu; R. Jemur; Dapur; CCTV; Jemuran; TV; Parkir Sepeda; Parkir Motor &amp; Sepeda"/>
    <n v="1400000"/>
    <s v="Rp1.400.000"/>
    <n v="0.17291666666666669"/>
    <d v="1899-12-30T04:09:00"/>
    <s v="Kos Putri"/>
    <m/>
    <m/>
  </r>
  <r>
    <s v="Kost Nama Coliving Cikarang Utara Bekasi"/>
    <x v="7"/>
    <x v="33"/>
    <n v="12"/>
    <s v="3 x 4 meter"/>
    <s v="Tidak termasuk listrik"/>
    <s v=""/>
    <s v="N/A"/>
    <s v="3 x 4 meter; Tidak termasuk listrik; AC; Kasur; Meja; Lemari Baju; Bantal; Jendela; Kursi; Cermin; Cleaning service; Guling; K. Mandi Dalam; Kloset Duduk; Shower; WiFi; Kulkas; Laundry; R. Makan; R. Santai; Dapur; Dispenser; CCTV; Kartu Akses; Rice Cooker; Parkir Mobil; Parkir Motor; Parkir Motor &amp; Sepeda"/>
    <n v="1700000"/>
    <s v="Rp1.700.000"/>
    <n v="0"/>
    <m/>
    <s v="Kos Putri"/>
    <m/>
    <m/>
  </r>
  <r>
    <s v="Kost Nama Home Tipe A Pondok Aren Tangerang Selatan"/>
    <x v="2"/>
    <x v="29"/>
    <n v="12"/>
    <s v="3 x 4 meter"/>
    <s v="Tidak termasuk listrik"/>
    <s v=""/>
    <s v="N/A"/>
    <s v="3 x 4 meter; Tidak termasuk listrik; AC; Kasur; Meja; Lemari Baju; Bantal; Jendela; Kursi; K. Mandi Dalam; Kloset Duduk; Shower; WiFi; Kulkas; R. Cuci; Penjaga Kos; R. Jemur; R. Makan; Dapur; Dispenser; CCTV; Jemuran; Parkir Motor; Parkir Sepeda"/>
    <n v="1300000"/>
    <s v="Rp1.300.000"/>
    <n v="0.17013888888888887"/>
    <d v="1899-12-30T04:05:00"/>
    <s v="Kos Campur"/>
    <m/>
    <s v="Diskon 104rb"/>
  </r>
  <r>
    <s v="Kost Nanda AC Exclusive Suite Plus Pulo Gadung Jakarta Timur"/>
    <x v="8"/>
    <x v="94"/>
    <n v="20"/>
    <s v="5 x 4 meter"/>
    <s v="Tidak termasuk listrik"/>
    <s v=""/>
    <s v="N/A"/>
    <s v="5 x 4 meter; Tidak termasuk listrik; AC; Kasur; Dispenser; Meja; TV; Kulkas; Lemari Baju; Ventilasi; Bantal; Cermin; K. Mandi Dalam; Kloset Duduk; Ember mandi; Wastafel; Shower; Air panas; WiFi; R. Cuci; Penjaga Kos; R. Tamu; Mesin Cuci; R. Jemur; R. Makan; R. Santai; Dapur; Parkir Mobil; Parkir Motor; Parkir Sepeda"/>
    <n v="3650000"/>
    <s v="Rp3.650.000"/>
    <n v="0.20833333333333334"/>
    <d v="1899-12-30T05:00:00"/>
    <s v="Kos Campur"/>
    <m/>
    <m/>
  </r>
  <r>
    <s v="Kost Narendras House Kelapa Gading Jakarta Utara"/>
    <x v="4"/>
    <x v="79"/>
    <n v="9"/>
    <s v="3 x 3 meter"/>
    <s v="Tidak termasuk listrik"/>
    <s v=""/>
    <s v="N/A"/>
    <s v="3 x 3 meter; Tidak termasuk listrik; AC; Kasur; Meja; Lemari Baju; Bantal; Cermin; Guling; Kursi; K. Mandi Dalam; Kloset Duduk; Shower; R. Cuci; Mesin Cuci; Penjaga Kos; Mushola; R. Jemur; Dapur; Dispenser; Balcon; Jemuran; Rooftop; Parkir Motor"/>
    <n v="2000000"/>
    <s v="Rp2.000.000"/>
    <n v="0.16666666666666666"/>
    <d v="1899-12-30T04:00:00"/>
    <s v="Kos Campur"/>
    <m/>
    <s v="Diskon 105rb"/>
  </r>
  <r>
    <s v="Kost Naviri Jatiuwung Periuk Tangerang"/>
    <x v="6"/>
    <x v="81"/>
    <e v="#VALUE!"/>
    <s v="2â€™7 x 8 meter"/>
    <s v="Tidak termasuk listrik"/>
    <s v=""/>
    <s v="N/A"/>
    <s v="2â€™7 x 8 meter; Tidak termasuk listrik; Dapur Pribadi; Jendela; K. Mandi Dalam; Kloset Jongkok; Dapur; Parkir Motor; Parkir Sepeda"/>
    <n v="700000"/>
    <s v="Rp700.000"/>
    <n v="0.16666666666666666"/>
    <d v="1899-12-30T04:00:00"/>
    <s v="Kos Campur"/>
    <m/>
    <m/>
  </r>
  <r>
    <s v="Kost Nebi Home Stay Cimanggis Depok"/>
    <x v="1"/>
    <x v="46"/>
    <n v="14"/>
    <s v="3.5 x 4 meter"/>
    <s v="Tidak termasuk listrik"/>
    <s v=""/>
    <s v="N/A"/>
    <s v="3.5 x 4 meter; Tidak termasuk listrik; AC; Kasur; Meja; Meja Rias; Lemari Baju; Kursi; Cleaning service; Kloset Duduk; Air panas; WiFi; Kulkas; R. Tamu; R. Jemur; Dapur; TV; Parkir Mobil; Parkir Motor"/>
    <n v="1675000"/>
    <s v="Rp1.675.000"/>
    <n v="0.17013888888888887"/>
    <d v="1899-12-30T04:05:00"/>
    <s v="Kos Putri"/>
    <m/>
    <s v="Diskon 179rb"/>
  </r>
  <r>
    <s v="Kost New Beyem Cibubur Tipe Executive Gunung Putri Bogor"/>
    <x v="0"/>
    <x v="95"/>
    <n v="9"/>
    <s v="3 x 3 meter"/>
    <s v="Tidak termasuk listrik"/>
    <s v=""/>
    <s v="N/A"/>
    <s v="3 x 3 meter; Tidak termasuk listrik; Kasur; Lemari Baju; Ventilasi; Bantal; Jendela; Kloset Duduk; Kloset Jongkok; K. Mandi Luar; Ember mandi; Wastafel; Shower; WiFi; Kulkas; Laundry; Dapur; Dispenser; Balcon; Gazebo; Jemuran; Jual Makanan; Pengurus Kos; Parkir Mobil; Parkir Motor"/>
    <n v="1300000"/>
    <s v="Rp1.300.000"/>
    <n v="0.17083333333333331"/>
    <d v="1899-12-30T04:06:00"/>
    <s v="Kos Campur"/>
    <m/>
    <m/>
  </r>
  <r>
    <s v="Kost Nias Kelapa Gading Jakarta Utara"/>
    <x v="4"/>
    <x v="111"/>
    <n v="9"/>
    <s v="3 x 3 meter"/>
    <s v="Termasuk listrik (implied)"/>
    <s v=""/>
    <s v="N/A"/>
    <s v="3 x 3 meter; Termasuk listrik; AC; Kasur; Meja; Lemari Baju; Ventilasi; Bantal; Cermin; Jendela; Kursi; K. Mandi Dalam; Kloset Duduk; K. Mandi Luar; Shower; WiFi; Kulkas; R. Cuci; Mesin Cuci; Penjaga Kos; R. Tamu; R. Makan; R. Jemur; R. Santai; Dapur; Parkir Mobil; Parkir Motor"/>
    <n v="1900000"/>
    <s v="Rp1.900.000"/>
    <n v="0.16666666666666666"/>
    <d v="1899-12-30T04:00:00"/>
    <s v="Kos Campur"/>
    <m/>
    <m/>
  </r>
  <r>
    <s v="Kost Nicks Residence 1 Tipe Executive Pulo Gadung Jakarta Timur"/>
    <x v="8"/>
    <x v="32"/>
    <n v="15"/>
    <s v="3 x 5 meter"/>
    <s v="Tidak termasuk listrik"/>
    <s v=""/>
    <s v="N/A"/>
    <s v="3 x 5 meter; Tidak termasuk listrik; AC; Kasur; Meja; Lemari Baju; Ventilasi; Cermin; Jendela; Kipas Angin; Bantal; Cleaning service; K. Mandi Dalam; Kloset Duduk; Wastafel; Shower; Air panas; WiFi; Kulkas; R. Cuci; Penjaga Kos; R. Tamu; R. Jemur; Dapur; CCTV; Jemuran; Jual Makanan; Parkir Mobil; Parkir Motor; Parkir Sepeda; Parkir Motor &amp; Sepeda"/>
    <n v="2650000"/>
    <s v="Rp2.650.000"/>
    <n v="0.20833333333333334"/>
    <d v="1899-12-30T05:00:00"/>
    <s v="Kos Campur"/>
    <m/>
    <m/>
  </r>
  <r>
    <s v="Kost Nikros Coliving BSD Tipe A Serpong Tangerang Selatan"/>
    <x v="2"/>
    <x v="106"/>
    <n v="12"/>
    <s v="3 x 4 meter"/>
    <s v="Tidak termasuk listrik"/>
    <s v=""/>
    <s v="N/A"/>
    <s v="3 x 4 meter; Tidak termasuk listrik; AC; Kasur; Meja; TV; Lemari Baju; Jendela; Kursi; Wastafel; K. Mandi Dalam; Kloset Duduk; Shower; Air panas; WiFi; Kulkas; R. Tamu; R. Makan; Dapur; Balcon; CCTV; Parkir Mobil; Parkir Motor; Parkir Sepeda; Parkir Motor &amp; Sepeda"/>
    <n v="2200000"/>
    <s v="Rp2.200.000"/>
    <n v="0.20833333333333334"/>
    <d v="1899-12-30T05:00:00"/>
    <s v="Kos Campur"/>
    <m/>
    <m/>
  </r>
  <r>
    <s v="Kost Nine Living Tipe A Tanjung Priok Jakarta Utara"/>
    <x v="4"/>
    <x v="5"/>
    <n v="9"/>
    <s v="3 x 3 meter"/>
    <s v="Tidak termasuk listrik"/>
    <s v=""/>
    <s v="N/A"/>
    <s v="3 x 3 meter; Tidak termasuk listrik; AC; Kasur; Meja; TV; Lemari Baju; Bantal; Jendela; Wastafel; Guling; Kursi; K. Mandi Dalam; Kloset Jongkok; Ember mandi; WiFi; Kulkas; R. Jemur; Dapur; CCTV; Jemuran; Pengurus Kos; Balcon; Parkir Mobil; Parkir Motor"/>
    <n v="1400000"/>
    <s v="Rp1.400.000"/>
    <n v="0"/>
    <m/>
    <s v="Kos Campur"/>
    <m/>
    <m/>
  </r>
  <r>
    <s v="Kost NJ AC Karawaci Tangerang"/>
    <x v="6"/>
    <x v="141"/>
    <n v="14"/>
    <s v="3.5 x 4 meter"/>
    <s v="Tidak termasuk listrik"/>
    <s v=""/>
    <s v="N/A"/>
    <s v="3.5 x 4 meter; Tidak termasuk listrik; AC; Kasur; TV; Lemari Baju; Ventilasi; Bantal; Cermin; Guling; K. Mandi Dalam; Ember mandi; Shower; Penjaga Kos; Dapur; Dispenser; Balcon; Jual Makanan; Parkir Motor; Parkir Sepeda; Parkir Motor &amp; Sepeda"/>
    <n v="1200000"/>
    <s v="Rp1.200.000"/>
    <n v="0.16944444444444443"/>
    <d v="1899-12-30T04:04:00"/>
    <s v="Kos Campur"/>
    <m/>
    <m/>
  </r>
  <r>
    <s v="Kost Noeks Cinere Depok"/>
    <x v="1"/>
    <x v="1"/>
    <n v="7.5"/>
    <s v="2.5 x 3 meter"/>
    <s v="Tidak termasuk listrik"/>
    <s v=""/>
    <s v="N/A"/>
    <s v="2.5 x 3 meter; Tidak termasuk listrik; AC; Kasur; Meja; Lemari Baju; Kursi; Bantal; Cermin; K. Mandi Dalam; Kloset Duduk; Wastafel; Shower; Parkir Motor"/>
    <n v="1700000"/>
    <s v="Rp1.700.000"/>
    <n v="4.7916666666666663E-2"/>
    <d v="1899-12-30T01:09:00"/>
    <s v="Kos Putri"/>
    <m/>
    <m/>
  </r>
  <r>
    <s v="Kost Norita Tipe A Benda Tangerang"/>
    <x v="6"/>
    <x v="24"/>
    <n v="12"/>
    <s v="3 x 4 meter"/>
    <s v="Tidak termasuk listrik"/>
    <s v=""/>
    <s v="N/A"/>
    <s v="3 x 4 meter; Tidak termasuk listrik; AC; Kasur; Meja; TV; Lemari Baju; Kursi; K. Mandi Dalam; Kloset Duduk; Shower; Air panas; WiFi; R. Tamu; Laundry; Dapur; Parkir Mobil; Parkir Motor; Parkir Sepeda"/>
    <n v="2000000"/>
    <s v="Rp2.000.000"/>
    <n v="0.20833333333333334"/>
    <d v="1899-12-30T05:00:00"/>
    <s v="Kos Campur"/>
    <m/>
    <s v="Diskon 95rb"/>
  </r>
  <r>
    <s v="Kost Norita Tipe C Benda Tangerang"/>
    <x v="6"/>
    <x v="24"/>
    <n v="12"/>
    <s v="3 x 4 meter"/>
    <s v="Tidak termasuk listrik"/>
    <s v=""/>
    <s v="N/A"/>
    <s v="3 x 4 meter; Tidak termasuk listrik; AC; Kasur; Meja; TV; Lemari Baju; Kursi; K. Mandi Dalam; Kloset Duduk; Shower; Air panas; WiFi; R. Tamu; Laundry; Dapur; Parkir Mobil; Parkir Motor; Parkir Sepeda"/>
    <n v="1800000"/>
    <s v="Rp1.800.000"/>
    <n v="0.20833333333333334"/>
    <d v="1899-12-30T05:00:00"/>
    <s v="Kos Campur"/>
    <m/>
    <s v="Diskon 95rb"/>
  </r>
  <r>
    <s v="Kost Norita Tipe D Benda Tangerang"/>
    <x v="6"/>
    <x v="24"/>
    <n v="12"/>
    <s v="3 x 4 meter"/>
    <s v="Tidak termasuk listrik"/>
    <s v=""/>
    <s v="N/A"/>
    <s v="3 x 4 meter; Tidak termasuk listrik; AC; Kasur; Meja; TV; Lemari Baju; Kursi; Bantal; Guling; Jendela; K. Mandi Dalam; Kloset Duduk; Shower; Air panas; WiFi; Kulkas; R. Tamu; Penjaga Kos; Laundry; R. Makan; R. Jemur; R. Santai; Dapur; Dispenser; Parkir Mobil; Parkir Motor; Parkir Sepeda"/>
    <n v="2500000"/>
    <s v="Rp2.500.000"/>
    <n v="0"/>
    <m/>
    <s v="Kos Campur"/>
    <m/>
    <m/>
  </r>
  <r>
    <s v="Kost Nugie I Beji Depok"/>
    <x v="1"/>
    <x v="15"/>
    <n v="15.75"/>
    <s v="3.5 x 4.5 meter"/>
    <s v="Tidak termasuk listrik"/>
    <s v=""/>
    <s v="N/A"/>
    <s v="3.5 x 4.5 meter; Tidak termasuk listrik; AC; Kasur; Meja; Meja Rias; Lemari Baju; Kursi; K. Mandi Dalam; Kloset Duduk; Shower; WiFi; Kulkas; R. Tamu; Penjaga Kos; Dapur; Dispenser; TV; Balcon; Parkir Motor; Parkir Sepeda"/>
    <n v="1500000"/>
    <s v="Rp1.500.000"/>
    <n v="0.17222222222222225"/>
    <d v="1899-12-30T04:08:00"/>
    <s v="Kos Putra"/>
    <m/>
    <m/>
  </r>
  <r>
    <s v="Kost Nugie II Tipe A Beji Depok"/>
    <x v="1"/>
    <x v="15"/>
    <n v="12"/>
    <s v="3 x 4 meter"/>
    <s v="Tidak termasuk listrik"/>
    <s v=""/>
    <s v="N/A"/>
    <s v="3 x 4 meter; Tidak termasuk listrik; AC; Kasur; Meja; Lemari Baju; Kursi; Cleaning service; Bantal; Guling; K. Mandi Dalam; Kloset Duduk; Ember mandi; Shower; WiFi; Kulkas; R. Tamu; R. Santai; Dapur; Dispenser; TV; CCTV; Pengurus Kos; Parkir Motor; Parkir Sepeda"/>
    <n v="1500000"/>
    <s v="Rp1.500.000"/>
    <n v="0.1673611111111111"/>
    <d v="1899-12-30T04:01:00"/>
    <s v="Kos Putra"/>
    <m/>
    <m/>
  </r>
  <r>
    <s v="Kost Nugroho Tipe A Cikarang Pusat Bekasi"/>
    <x v="7"/>
    <x v="118"/>
    <n v="15"/>
    <s v="3 x 5 meter"/>
    <s v="Tidak termasuk listrik"/>
    <s v=""/>
    <s v="N/A"/>
    <s v="3 x 5 meter; Tidak termasuk listrik; Kasur; Lemari Baju; Jendela; Bantal; K. Mandi Dalam; Kloset Jongkok; Ember mandi; WiFi; Penjaga Kos; R. Jemur; Jemuran; Balcon; Pengurus Kos; CCTV; Parkir Motor; Parkir Motor &amp; Sepeda"/>
    <n v="700000"/>
    <s v="Rp700.000"/>
    <n v="0"/>
    <m/>
    <s v="Kos Campur"/>
    <m/>
    <m/>
  </r>
  <r>
    <s v="Kost Nuo Atu Udayana Babakan Madang Bogor"/>
    <x v="0"/>
    <x v="80"/>
    <n v="1.5"/>
    <s v="1 x 1.5 meter"/>
    <s v="Termasuk listrik (implied)"/>
    <s v=""/>
    <s v="N/A"/>
    <s v="1 x 1.5 meter; Termasuk listrik; Kasur; Meja; Lemari Baju; Bantal; Cermin; Guling; Jendela; Kipas Angin; K. Mandi Dalam; Kloset Duduk; K. Mandi Luar; Ember mandi; Shower; WiFi; Kulkas; R. Tamu; R. Makan; R. Santai; Dapur; CCTV; Balcon; Jemuran; Pengurus Kos; Parkir Mobil; Parkir Motor; Parkir Sepeda"/>
    <n v="800000"/>
    <s v="Rp800.000"/>
    <n v="0"/>
    <m/>
    <s v="Kos Putra"/>
    <m/>
    <m/>
  </r>
  <r>
    <s v="Kost Nur Residance Cicau Tipe A Cikarang Pusat Bekasi"/>
    <x v="7"/>
    <x v="118"/>
    <n v="16.900000000000002"/>
    <s v="2.6 x 6.5 meter"/>
    <s v="Tidak termasuk listrik"/>
    <s v=""/>
    <s v="N/A"/>
    <s v="2.6 x 6.5 meter; Tidak termasuk listrik; AC; Kasur; Ventilasi; Dapur Pribadi; Jendela; Wastafel; K. Mandi Dalam; Kloset Jongkok; Ember mandi; WiFi; Penjaga Kos; Mushola; Dapur; CCTV; Jemuran; Pengurus Kos; Parkir Mobil; Parkir Motor &amp; Sepeda"/>
    <n v="1050000"/>
    <s v="Rp1.050.000"/>
    <n v="0"/>
    <m/>
    <s v="Kos Campur"/>
    <m/>
    <m/>
  </r>
  <r>
    <s v="Kost Nur Residance Mekarwangi Executive Cikarang Barat Bekasi"/>
    <x v="7"/>
    <x v="19"/>
    <n v="16.900000000000002"/>
    <s v="2.6 x 6.5 meter"/>
    <s v="Tidak termasuk listrik"/>
    <s v=""/>
    <s v="N/A"/>
    <s v="2.6 x 6.5 meter; Tidak termasuk listrik; AC; Kasur; Ventilasi; Jendela; Wastafel; K. Mandi Dalam; Kloset Jongkok; Ember mandi; WiFi; Penjaga Kos; R. Jemur; Balcon; CCTV; Jemuran; Jual Makanan; Pengurus Kos; Taman; Parkir Mobil; Parkir Motor &amp; Sepeda"/>
    <n v="1035000"/>
    <s v="Rp1.035.000"/>
    <n v="0"/>
    <m/>
    <s v="Kos Campur"/>
    <m/>
    <m/>
  </r>
  <r>
    <s v="Kost Nur Residance Mekarwangi Executive Cikarang Barat Bekasi"/>
    <x v="7"/>
    <x v="19"/>
    <n v="16.900000000000002"/>
    <s v="2.6 x 6.5 meter"/>
    <s v="Tidak termasuk listrik"/>
    <s v=""/>
    <s v="N/A"/>
    <s v="2.6 x 6.5 meter; Tidak termasuk listrik; AC; Kasur; Ventilasi; Jendela; Wastafel; WiFi; Penjaga Kos; R. Jemur; Balcon; CCTV; Jemuran; Jual Makanan; Pengurus Kos; Taman; Parkir Mobil; Parkir Motor &amp; Sepeda"/>
    <n v="1035000"/>
    <s v="Rp1.035.000"/>
    <n v="0"/>
    <m/>
    <s v="Kos Campur"/>
    <m/>
    <m/>
  </r>
  <r>
    <s v="Kost Nur Residance Telajung Executive Cikarang Barat Bekasi"/>
    <x v="7"/>
    <x v="19"/>
    <n v="16.900000000000002"/>
    <s v="2.6 x 6.5 meter"/>
    <s v="Tidak termasuk listrik"/>
    <s v=""/>
    <s v="N/A"/>
    <s v="2.6 x 6.5 meter; Tidak termasuk listrik; AC; Kasur; Jendela; K. Mandi Dalam; Kloset Jongkok; Ember mandi; Parkir Mobil; Parkir Motor &amp; Sepeda"/>
    <n v="1040000"/>
    <s v="Rp1.040.000"/>
    <n v="0"/>
    <m/>
    <s v="Kos Campur"/>
    <m/>
    <m/>
  </r>
  <r>
    <s v="Kost Nurlaila H Cileungsi Bogor"/>
    <x v="0"/>
    <x v="31"/>
    <n v="12"/>
    <s v="3 x 4 meter"/>
    <s v="Tidak termasuk listrik"/>
    <s v=""/>
    <s v="N/A"/>
    <s v="3 x 4 meter; Tidak termasuk listrik; Kasur; Meja; Lemari Baju; Kulkas; Kipas Angin; Cermin; Bantal; Kursi; Jendela; Sofa; K. Mandi Dalam; K. Mandi Luar; Ember mandi; Shower; WiFi; TV; Parkir Mobil; Parkir Motor; Parkir Sepeda"/>
    <n v="900000"/>
    <s v="Rp900.000"/>
    <n v="0"/>
    <m/>
    <s v="Kos Putri"/>
    <m/>
    <m/>
  </r>
  <r>
    <s v="Kost Ny Linda Kelapa Gading Jakarta Utara"/>
    <x v="4"/>
    <x v="111"/>
    <n v="9"/>
    <s v="3 x 3 meter"/>
    <s v="Tidak termasuk listrik"/>
    <s v=""/>
    <s v="N/A"/>
    <s v="3 x 3 meter; Tidak termasuk listrik; Kasur; Lemari Baju; Wastafel; Kipas Angin; Cleaning service; Kloset Duduk; K. Mandi Luar; Shower; WiFi; Penjaga Kos; R. Jemur; Dapur; Balcon; CCTV; Jemuran; Parkir Motor; Parkir Sepeda"/>
    <n v="885000"/>
    <s v="Rp885.000"/>
    <n v="0.17222222222222225"/>
    <d v="1899-12-30T04:08:00"/>
    <s v="Kos Campur"/>
    <m/>
    <m/>
  </r>
  <r>
    <s v="Kost Nyaman Dekat Bandara Mahkota Benda Tangerang"/>
    <x v="6"/>
    <x v="122"/>
    <n v="9"/>
    <s v="3 x 3 meter"/>
    <s v="Tidak termasuk listrik"/>
    <s v=""/>
    <s v="N/A"/>
    <s v="3 x 3 meter; Tidak termasuk listrik; AC; Kasur; TV; Lemari Baju; Bantal; Cermin; Cleaning service; Wastafel; K. Mandi Dalam; Kloset Duduk; Air panas; WiFi; Penjaga Kos; R. Tamu; CCTV; Pengurus Kos; Parkir Motor"/>
    <n v="1100000"/>
    <s v="Rp1.100.000"/>
    <n v="0.17083333333333331"/>
    <d v="1899-12-30T04:06:00"/>
    <s v="Kos Campur"/>
    <m/>
    <m/>
  </r>
  <r>
    <s v="Kost Nyaman Disini Tipe B Cipondoh Tangerang"/>
    <x v="6"/>
    <x v="97"/>
    <n v="9"/>
    <s v="3 x 3 meter"/>
    <s v="Tidak termasuk listrik"/>
    <s v=""/>
    <s v="N/A"/>
    <s v="3 x 3 meter; Tidak termasuk listrik; AC; Kasur; Lemari Baju; Cermin; Jendela; K. Mandi Dalam; Kloset Jongkok; Ember mandi; R. Santai; Dapur; Balcon; Gazebo; Parkir Motor"/>
    <n v="1400000"/>
    <s v="Rp1.400.000"/>
    <n v="0.1673611111111111"/>
    <d v="1899-12-30T04:01:00"/>
    <s v="Kos Campur"/>
    <m/>
    <m/>
  </r>
  <r>
    <s v="Kost Nyaman Kelapa Gading Jakarta Utara"/>
    <x v="4"/>
    <x v="111"/>
    <n v="9"/>
    <s v="3 x 3 meter"/>
    <s v="Tidak termasuk listrik"/>
    <s v=""/>
    <s v="N/A"/>
    <s v="3 x 3 meter; Tidak termasuk listrik; AC; Kasur; TV; Lemari Baju; Bantal; Cermin; Cleaning service; TV Kabel; K. Mandi Dalam; Kloset Duduk; Shower; WiFi; Kulkas; R. Cuci; Mesin Cuci; Penjaga Kos; R. Jemur; R. Santai; Dapur; Dispenser; Balcon; Parkir Motor; Parkir Sepeda; Parkir Motor &amp; Sepeda"/>
    <n v="1399999"/>
    <s v="Rp1.399.999"/>
    <n v="0"/>
    <m/>
    <s v="Kos Campur"/>
    <m/>
    <m/>
  </r>
  <r>
    <s v="Kost Nyaman Kemanggisan President Suite Palmerah Jakarta Barat"/>
    <x v="3"/>
    <x v="104"/>
    <n v="12"/>
    <s v="3 x 4 meter"/>
    <s v="Tidak termasuk listrik"/>
    <s v=""/>
    <s v="N/A"/>
    <s v="3 x 4 meter; Tidak termasuk listrik; AC; Kasur; Meja; Meja Rias; TV; Lemari Baju; Ventilasi; Bantal; Cermin; Cleaning service; K. Mandi Dalam; Kloset Duduk; Wastafel; Shower; Air panas; WiFi; Kulkas; R. Cuci; Laundry; Mesin Cuci; Penjaga Kos; R. Jemur; R. Santai; Dapur; Dispenser; Parkir Mobil; Parkir Motor; Parkir Sepeda; Parkir Motor &amp; Sepeda"/>
    <n v="2650000"/>
    <s v="Rp2.650.000"/>
    <n v="0.17083333333333331"/>
    <d v="1899-12-30T04:06:00"/>
    <s v="Kos Campur"/>
    <m/>
    <m/>
  </r>
  <r>
    <s v="Kost Nyaman Nanggewer Gunung Putri Bogor"/>
    <x v="0"/>
    <x v="89"/>
    <n v="24"/>
    <s v="3 x 8 meter"/>
    <s v="Tidak termasuk listrik"/>
    <s v=""/>
    <s v="N/A"/>
    <s v="3 x 8 meter; Tidak termasuk listrik; Jendela; Wastafel; K. Mandi Dalam; Kloset Jongkok; R. Tamu; Dapur; Jemuran; Parkir Motor"/>
    <n v="650000"/>
    <s v="Rp650.000"/>
    <n v="0"/>
    <m/>
    <s v="Kos Campur"/>
    <m/>
    <m/>
  </r>
  <r>
    <s v="Kost Nyaman Tipe VIP Tanah Abang Jakarta Pusat"/>
    <x v="9"/>
    <x v="42"/>
    <n v="9"/>
    <s v="3 x 3 meter"/>
    <s v="Tidak termasuk listrik"/>
    <s v=""/>
    <s v="N/A"/>
    <s v="3 x 3 meter; Tidak termasuk listrik; AC; Kasur; Meja; Meja Rias; TV; Kulkas; Lemari Baju; Ventilasi; Bantal; Cermin; K. Mandi Dalam; Wastafel; Shower; Air panas; WiFi; R. Cuci; Laundry; Mesin Cuci; Penjaga Kos; R. Jemur; Dapur; Dispenser; Balcon; Parkir Mobil; Parkir Motor; Parkir Sepeda"/>
    <n v="2600000"/>
    <s v="Rp2.600.000"/>
    <n v="0.17083333333333331"/>
    <d v="1899-12-30T04:06:00"/>
    <s v="Kos Campur"/>
    <m/>
    <s v="Diskon 125rb"/>
  </r>
  <r>
    <s v="Kost Oemah Noor Regular Karang Tengah Tangerang"/>
    <x v="6"/>
    <x v="121"/>
    <n v="10.5"/>
    <s v="3 x 3.5 meter"/>
    <s v="Tidak termasuk listrik"/>
    <s v=""/>
    <s v="N/A"/>
    <s v="3 x 3.5 meter; Tidak termasuk listrik; AC; Kasur; Meja; Lemari Baju; Ventilasi; Bantal; Kursi; Jendela; K. Mandi Dalam; Kloset Duduk; Shower; WiFi; Kulkas; Penjaga Kos; R. Jemur; R. Makan; R. Santai; Dapur; Dispenser; CCTV; Jemuran; Parkir Motor; Parkir Sepeda"/>
    <n v="1350000"/>
    <s v="Rp1.350.000"/>
    <n v="0"/>
    <m/>
    <s v="Kos Putri"/>
    <m/>
    <m/>
  </r>
  <r>
    <s v="Kost Oemahkoe Depok Tipe Vvip 2 Beji Depok"/>
    <x v="1"/>
    <x v="15"/>
    <n v="13.5"/>
    <s v="4.5 x 3 meter"/>
    <s v="Tidak termasuk listrik"/>
    <s v=""/>
    <s v="N/A"/>
    <s v="4.5 x 3 meter; Tidak termasuk listrik; AC; Kasur; Meja; Lemari Baju; Kulkas; Bantal; Cermin; Guling; Jendela; Kursi; K. Mandi Dalam; Kloset Duduk; Shower; WiFi; Penjaga Kos; R. Tamu; R. Jemur; R. Makan; R. Santai; Dapur; Balcon; CCTV; Parkir Mobil; Parkir Motor; Parkir Sepeda"/>
    <n v="2499000"/>
    <s v="Rp2.499.000"/>
    <n v="0"/>
    <m/>
    <s v="Kos Putri"/>
    <m/>
    <s v="Diskon 250rb"/>
  </r>
  <r>
    <s v="Kost Oemahkoe Univ Indonesia Tipe Super VVIP 2 Beji Depok"/>
    <x v="1"/>
    <x v="16"/>
    <n v="20.25"/>
    <s v="4.5 x 4.5 meter"/>
    <s v="Tidak termasuk listrik"/>
    <s v=""/>
    <s v="N/A"/>
    <s v="4.5 x 4.5 meter; Tidak termasuk listrik; AC; Kasur; Meja; Kulkas; Lemari Baju; Ventilasi; Bantal; Cermin; Dapur Pribadi; Jendela; K. Mandi Dalam; Kloset Duduk; Wastafel; Shower; WiFi; R. Cuci; Penjaga Kos; R. Tamu; R. Jemur; R. Makan; R. Santai; Dapur; Balcon; Parkir Mobil; Parkir Motor; Parkir Sepeda"/>
    <n v="2800000"/>
    <s v="Rp2.800.000"/>
    <n v="0"/>
    <m/>
    <s v="Kos Putri"/>
    <m/>
    <m/>
  </r>
  <r>
    <s v="Kost Olga Astrid Puspita Tipe A Kramatjati Jakarta Timur"/>
    <x v="8"/>
    <x v="47"/>
    <n v="7.5"/>
    <s v="2.5 x 3 meter"/>
    <s v="Tidak termasuk listrik"/>
    <s v=""/>
    <s v="N/A"/>
    <s v="2.5 x 3 meter; Tidak termasuk listrik; Kasur; Wastafel; Kipas Angin; K. Mandi Dalam; Kloset Jongkok; WiFi; R. Jemur; Dapur; Parkir Motor; Parkir Sepeda"/>
    <n v="1300000"/>
    <s v="Rp1.300.000"/>
    <n v="0.17291666666666669"/>
    <d v="1899-12-30T04:09:00"/>
    <s v="Kos Campur"/>
    <m/>
    <s v="Diskon 70rb"/>
  </r>
  <r>
    <s v="Kost Olin Tipe A Kramatjati Jakarta Timur"/>
    <x v="8"/>
    <x v="163"/>
    <n v="21"/>
    <s v="3 x 7 meter"/>
    <s v="Tidak termasuk listrik"/>
    <s v=""/>
    <s v="N/A"/>
    <s v="3 x 7 meter; Tidak termasuk listrik; AC; Kasur; Lemari Baju; Ventilasi; Dapur Pribadi; Jendela; Wastafel; Bantal; Guling; K. Mandi Dalam; Kloset Jongkok; Ember mandi; R. Cuci; R. Jemur; Balcon; CCTV; Jemuran; Rooftop; Parkir Motor; Parkir Sepeda; Parkir Motor &amp; Sepeda"/>
    <n v="1550000"/>
    <s v="Rp1.550.000"/>
    <n v="0.17222222222222225"/>
    <d v="1899-12-30T04:08:00"/>
    <s v="Kos Campur"/>
    <m/>
    <s v="Diskon 85rb"/>
  </r>
  <r>
    <s v="Kost Oma Gunung Putri Bogor"/>
    <x v="0"/>
    <x v="89"/>
    <n v="20"/>
    <s v="2.5 x 08 meter"/>
    <s v="Tidak termasuk listrik"/>
    <s v=""/>
    <s v="N/A"/>
    <s v="2.5 x 08 meter; Tidak termasuk listrik; Dapur Pribadi; Jendela; K. Mandi Dalam; Kloset Jongkok; Bak mandi; Penjaga Kos; Dapur; Jemuran; Parkir Motor &amp; Sepeda"/>
    <n v="650000"/>
    <s v="Rp650.000"/>
    <n v="0"/>
    <m/>
    <s v="Kos Campur"/>
    <m/>
    <m/>
  </r>
  <r>
    <s v="Kost Oma Ida Tipe B Kelapa Gading Jakarta Utara"/>
    <x v="4"/>
    <x v="111"/>
    <n v="9"/>
    <s v="3 x 3 meter"/>
    <s v="Termasuk listrik (implied)"/>
    <s v=""/>
    <s v="N/A"/>
    <s v="3 x 3 meter; Termasuk listrik; Kasur; Meja; Lemari Baju; Ventilasi; Cermin; Guling; Jendela; Kursi; Kloset Jongkok; K. Mandi Luar; Ember mandi; WiFi; R. Cuci; Laundry; R. Jemur; Dapur; Dispenser; Balcon; Jemuran; Parkir Mobil; Parkir Motor; Parkir Sepeda"/>
    <n v="1300000"/>
    <s v="Rp1.300.000"/>
    <n v="0.1277777777777778"/>
    <d v="1899-12-30T03:04:00"/>
    <s v="Kos Campur"/>
    <m/>
    <m/>
  </r>
  <r>
    <s v="Kost Oma Tipe AC Ciputat Timur Tangerang Selatan"/>
    <x v="2"/>
    <x v="8"/>
    <n v="9"/>
    <s v="3 x 3 meter"/>
    <s v="Tidak termasuk listrik"/>
    <s v=""/>
    <s v="N/A"/>
    <s v="3 x 3 meter; Tidak termasuk listrik; AC; Kasur; Meja; Lemari Baju; Ventilasi; Bantal; Guling; Jendela; Kursi; Kloset Duduk; Kloset Jongkok; K. Mandi Luar; Ember mandi; Wastafel; Shower; WiFi; Kulkas; R. Cuci; Penjaga Kos; R. Tamu; R. Jemur; R. Makan; R. Santai; Dapur; Dispenser; Parkir Motor &amp; Sepeda"/>
    <n v="1100000"/>
    <s v="Rp1.100.000"/>
    <n v="0.20833333333333334"/>
    <d v="1899-12-30T05:00:00"/>
    <s v="Kos Putri"/>
    <m/>
    <m/>
  </r>
  <r>
    <s v="Kost Omaesopo Tipe B Dramaga Bogor"/>
    <x v="0"/>
    <x v="73"/>
    <n v="9"/>
    <s v="3 x 3 meter"/>
    <s v="Tidak termasuk listrik"/>
    <s v=""/>
    <s v="N/A"/>
    <s v="3 x 3 meter; Tidak termasuk listrik; AC; Kasur; Meja; Lemari Baju; Bantal; Jendela; Kursi; Kloset Duduk; K. Mandi Luar; Shower; WiFi; Kulkas; R. Cuci; R. Tamu; Mesin Cuci; R. Jemur; R. Makan; R. Santai; Dapur; Parkir Motor"/>
    <n v="1475000"/>
    <s v="Rp1.475.000"/>
    <n v="0"/>
    <m/>
    <s v="Kos Putri"/>
    <m/>
    <m/>
  </r>
  <r>
    <s v="Kost Omah 37 Tipe B Cikarang Barat Bekasi"/>
    <x v="7"/>
    <x v="108"/>
    <n v="24.75"/>
    <s v="4.5 x 5.5 meter"/>
    <s v="Tidak termasuk listrik"/>
    <s v=""/>
    <s v="N/A"/>
    <s v="4.5 x 5.5 meter; Tidak termasuk listrik; Kasur; Lemari Baju; Jendela; Bantal; K. Mandi Dalam; Kloset Jongkok; Jemuran; Parkir Motor"/>
    <n v="700000"/>
    <s v="Rp700.000"/>
    <n v="0"/>
    <m/>
    <s v="Kos Campur"/>
    <m/>
    <m/>
  </r>
  <r>
    <s v="Kost Omah Amalia Beji Depok"/>
    <x v="1"/>
    <x v="15"/>
    <n v="12"/>
    <s v="3 x 4 meter"/>
    <s v="Termasuk listrik (implied)"/>
    <s v=""/>
    <s v="N/A"/>
    <s v="3 x 4 meter; Termasuk listrik; AC; Kasur; Meja; Lemari Baju; Kursi; Wastafel; Cleaning service; Bantal; Jendela; K. Mandi Dalam; Kloset Duduk; Shower; WiFi; Kulkas; R. Tamu; R. Makan; Dapur; Dispenser; TV; Parkir Motor"/>
    <n v="1700000"/>
    <s v="Rp1.700.000"/>
    <n v="0.17222222222222225"/>
    <d v="1899-12-30T04:08:00"/>
    <s v="Kos Campur"/>
    <m/>
    <s v="Diskon 90rb"/>
  </r>
  <r>
    <s v="Kost Omah Andriz Tipe B Pamulang Tangerang Selatan"/>
    <x v="2"/>
    <x v="77"/>
    <n v="9"/>
    <s v="3 x 3 meter"/>
    <s v="Tidak termasuk listrik"/>
    <s v=""/>
    <s v="N/A"/>
    <s v="3 x 3 meter; Tidak termasuk listrik; Kasur; Meja; Lemari Baju; Ventilasi; Bantal; Jendela; Kursi; K. Mandi Dalam; Kloset Duduk; Shower; WiFi; Kulkas; R. Tamu; R. Jemur; R. Santai; Dapur; CCTV; Gazebo; Jemuran; Pengurus Kos; Parkir Motor"/>
    <n v="1000000"/>
    <s v="Rp1.000.000"/>
    <n v="0.16944444444444443"/>
    <d v="1899-12-30T04:04:00"/>
    <s v="Kos Putri"/>
    <m/>
    <m/>
  </r>
  <r>
    <s v="Kost Omah Cuantique Tipe A Cibinong Bogor"/>
    <x v="0"/>
    <x v="35"/>
    <n v="12"/>
    <s v="3 x 4 meter"/>
    <s v="Tidak termasuk listrik"/>
    <s v=""/>
    <s v="N/A"/>
    <s v="3 x 4 meter; Tidak termasuk listrik; AC; Kasur; Meja; Meja Rias; TV; Lemari Baju; Bantal; Guling; K. Mandi Dalam; Kloset Jongkok; Ember mandi; Bak mandi; WiFi; R. Cuci; Penjaga Kos; R. Tamu; R. Jemur; R. Makan; R. Santai; Jual Makanan; Taman; Parkir Motor"/>
    <n v="1000000"/>
    <s v="Rp1.000.000"/>
    <n v="0"/>
    <m/>
    <s v="Kos Putri"/>
    <m/>
    <m/>
  </r>
  <r>
    <s v="Kost Omah Grow Standar Cinere Depok"/>
    <x v="1"/>
    <x v="124"/>
    <n v="12"/>
    <s v="3 x 4 meter"/>
    <s v="Tidak termasuk listrik"/>
    <s v=""/>
    <s v="N/A"/>
    <s v="3 x 4 meter; Tidak termasuk listrik; AC; Kasur; Meja; Meja Rias; Lemari Baju; Ventilasi; Bantal; Cermin; Jendela; Kursi; K. Mandi Dalam; Kloset Duduk; Shower; WiFi; Kulkas; Penjaga Kos; R. Tamu; R. Santai; Dapur; Dispenser; Balcon; CCTV; Jemuran; Parkir Motor; Parkir Sepeda; Parkir Motor &amp; Sepeda"/>
    <n v="2000000"/>
    <s v="Rp2.000.000"/>
    <n v="0.17291666666666669"/>
    <d v="1899-12-30T04:09:00"/>
    <s v="Kos Campur"/>
    <m/>
    <m/>
  </r>
  <r>
    <s v="Kost Omah Ijo Beji Depok"/>
    <x v="1"/>
    <x v="16"/>
    <n v="16"/>
    <s v="4 x 4 meter"/>
    <s v="Tidak termasuk listrik"/>
    <s v=""/>
    <s v="N/A"/>
    <s v="4 x 4 meter; Tidak termasuk listrik; Kasur; Meja; Lemari Baju; Ventilasi; Kursi; Jendela; K. Mandi Dalam; Kloset Duduk; Ember mandi; Shower; WiFi; R. Santai; Balcon; Pengurus Kos; Parkir Motor; Parkir Sepeda"/>
    <n v="825000"/>
    <s v="Rp825.000"/>
    <n v="0.17083333333333331"/>
    <d v="1899-12-30T04:06:00"/>
    <s v="Kos Putra"/>
    <m/>
    <s v="Diskon 90rb"/>
  </r>
  <r>
    <s v="Kost Omah Kita Cikokol Kota Tangerang"/>
    <x v="6"/>
    <x v="22"/>
    <n v="6"/>
    <s v="2 x 3 meter"/>
    <s v="Tidak termasuk listrik"/>
    <s v=""/>
    <s v="N/A"/>
    <s v="2 x 3 meter; Tidak termasuk listrik; AC; Kasur; Meja; Lemari Baju; Bantal; Guling; Jendela; Kloset Duduk; K. Mandi Luar; Wastafel; Shower; Air panas; WiFi; Kulkas; Penjaga Kos; R. Jemur; Dispenser; Dapur; Balcon; CCTV; Jemuran; Parkir Motor; Parkir Sepeda"/>
    <n v="1100000"/>
    <s v="Rp1.100.000"/>
    <n v="0.20833333333333334"/>
    <d v="1899-12-30T05:00:00"/>
    <s v="Kos Campur"/>
    <m/>
    <m/>
  </r>
  <r>
    <s v="Kost Omah Ningrat Dramaga Bogor"/>
    <x v="0"/>
    <x v="73"/>
    <n v="9"/>
    <s v="3 x 3 meter"/>
    <s v="Tidak termasuk listrik"/>
    <s v=""/>
    <s v="N/A"/>
    <s v="3 x 3 meter; Tidak termasuk listrik; Kasur; Lemari Baju; K. Mandi Dalam; Kloset Duduk; Shower; WiFi; R. Tamu; Dapur; TV; Balcon; Pengurus Kos; Jemuran; Parkir Mobil; Parkir Motor; Parkir Sepeda"/>
    <n v="1300000"/>
    <s v="Rp1.300.000"/>
    <n v="0"/>
    <m/>
    <s v="Kos Putri"/>
    <m/>
    <m/>
  </r>
  <r>
    <s v="Kost Omah Sin Kiang Tanjung Priok Jakarta Utara"/>
    <x v="4"/>
    <x v="10"/>
    <n v="9"/>
    <s v="3 x 3 meter"/>
    <s v="Termasuk listrik (implied)"/>
    <s v=""/>
    <s v="N/A"/>
    <s v="3 x 3 meter; Termasuk listrik; Kasur; TV; Lemari Baju; Ventilasi; Kipas Angin; Bantal; Jendela; K. Mandi Dalam; Kloset Jongkok; K. Mandi Luar; Ember mandi; WiFi; Penjaga Kos; Laundry; R. Santai; Balcon; Jual Makanan; Pengurus Kos; Jemuran; Parkir Mobil; Parkir Motor; Parkir Sepeda"/>
    <n v="700000"/>
    <s v="Rp700.000"/>
    <n v="0"/>
    <m/>
    <s v="Kos Campur"/>
    <m/>
    <m/>
  </r>
  <r>
    <s v="Kost Omah Tentrem Serpong Tangerang Selatan"/>
    <x v="2"/>
    <x v="106"/>
    <n v="12"/>
    <s v="3 x 4 meter"/>
    <s v="Tidak termasuk listrik"/>
    <s v=""/>
    <s v="N/A"/>
    <s v="3 x 4 meter; Tidak termasuk listrik; AC; Kasur; Meja; Lemari Baju; Bantal; Cermin; Jendela; Kursi; K. Mandi Dalam; Kloset Duduk; Wastafel; Shower; WiFi; CCTV; Jemuran; Parkir Mobil; Parkir Motor; Parkir Sepeda; Parkir Motor &amp; Sepeda"/>
    <n v="1200000"/>
    <s v="Rp1.200.000"/>
    <n v="0"/>
    <m/>
    <s v="Kos Campur"/>
    <m/>
    <m/>
  </r>
  <r>
    <s v="Kost Omah Tipe A Pondok Aren Tangerang Selatan"/>
    <x v="2"/>
    <x v="2"/>
    <n v="8.6999999999999993"/>
    <s v="3 x 2.9 meter"/>
    <s v="Tidak termasuk listrik"/>
    <s v=""/>
    <s v="N/A"/>
    <s v="3 x 2.9 meter; Tidak termasuk listrik; AC; Bantal; K. Mandi Dalam; Kloset Jongkok; Ember mandi; WiFi; Dapur; CCTV; Parkir Motor"/>
    <n v="650000"/>
    <s v="Rp650.000"/>
    <n v="0.20833333333333334"/>
    <d v="1899-12-30T05:00:00"/>
    <s v="Kos Putri"/>
    <m/>
    <m/>
  </r>
  <r>
    <s v="Kost Omahe Arfasya Tambun Selatan Bekasi"/>
    <x v="7"/>
    <x v="101"/>
    <n v="9"/>
    <s v="3 x 3 meter"/>
    <s v="Termasuk listrik (implied)"/>
    <s v=""/>
    <s v="N/A"/>
    <s v="3 x 3 meter; Termasuk listrik; AC; Kasur; Meja; Lemari Baju; Ventilasi; Bantal; Cermin; Cleaning service; Guling; Jendela; K. Mandi Dalam; Kloset Duduk; Shower; Air panas; WiFi; Kulkas; R. Cuci; Laundry; Mesin Cuci; Penjaga Kos; R. Tamu; R. Jemur; R. Makan; Dapur; Parkir Mobil; Parkir Motor"/>
    <n v="1900000"/>
    <s v="Rp1.900.000"/>
    <n v="0"/>
    <m/>
    <s v="Kos Putri"/>
    <m/>
    <m/>
  </r>
  <r>
    <s v="Kost Omahku Pondok Aren Tangerang Selatan"/>
    <x v="2"/>
    <x v="29"/>
    <n v="9"/>
    <s v="3 x 3 meter"/>
    <s v="Tidak termasuk listrik"/>
    <s v=""/>
    <s v="N/A"/>
    <s v="3 x 3 meter; Tidak termasuk listrik; AC; Kasur; Meja; Lemari Baju; Kursi; Bantal; Cermin; Guling; Jendela; Meja makan; Kloset Duduk; K. Mandi Luar; Shower; WiFi; Kulkas; R. Cuci; R. Tamu; R. Makan; R. Jemur; R. Santai; Dapur; Balcon; Parkir Motor"/>
    <n v="1200000"/>
    <s v="Rp1.200.000"/>
    <n v="0.17222222222222225"/>
    <d v="1899-12-30T04:08:00"/>
    <s v="Kos Putri"/>
    <m/>
    <m/>
  </r>
  <r>
    <s v="Kost Omahku Villa Mutiara Executive Cikarang Selatan Bekasi"/>
    <x v="7"/>
    <x v="27"/>
    <n v="9"/>
    <s v="3 x 3 meter"/>
    <s v="Tidak termasuk listrik"/>
    <s v=""/>
    <s v="N/A"/>
    <s v="3 x 3 meter; Tidak termasuk listrik; AC; Kasur; Meja; Lemari Baju; Bantal; Cermin; Guling; Jendela; Kursi; K. Mandi Dalam; Kloset Duduk; Shower; Air panas; WiFi; Kulkas; R. Jemur; Dapur; CCTV; Jemuran; Pengurus Kos; Rooftop; Parkir Motor; Parkir Sepeda"/>
    <n v="1500000"/>
    <s v="Rp1.500.000"/>
    <n v="0"/>
    <m/>
    <s v="Kos Putra"/>
    <m/>
    <m/>
  </r>
  <r>
    <s v="Kost Opung 1 Tipe A Tangerang Tangerang"/>
    <x v="6"/>
    <x v="22"/>
    <n v="12"/>
    <s v="3 x 4 meter"/>
    <s v="Tidak termasuk listrik"/>
    <s v=""/>
    <s v="N/A"/>
    <s v="3 x 4 meter; Tidak termasuk listrik; AC; Kasur; Meja; Lemari Baju; Ventilasi; Kursi; Jendela; Guling; Cermin; Bantal; K. Mandi Dalam; Kloset Jongkok; Bak mandi; WiFi; R. Cuci; Laundry; R. Tamu; Penjaga Kos; R. Jemur; R. Makan; R. Santai; Balcon; Jemuran; Parkir Mobil; Parkir Motor; Parkir Sepeda"/>
    <n v="1300000"/>
    <s v="Rp1.300.000"/>
    <n v="0"/>
    <m/>
    <s v="Kos Campur"/>
    <m/>
    <m/>
  </r>
  <r>
    <s v="Kost Opung 1 Tipe B Tangerang Tangerang"/>
    <x v="6"/>
    <x v="90"/>
    <n v="12"/>
    <s v="3 x 4 meter"/>
    <s v="Tidak termasuk listrik"/>
    <s v=""/>
    <s v="N/A"/>
    <s v="3 x 4 meter; Tidak termasuk listrik; Kasur; Meja; Lemari Baju; Bantal; Guling; Jendela; Kipas Angin; Kursi; K. Mandi Dalam; Kloset Jongkok; Ember mandi; WiFi; R. Cuci; Laundry; Mesin Cuci; Penjaga Kos; R. Tamu; R. Jemur; R. Makan; R. Santai; Balcon; Parkir Mobil; Parkir Motor; Parkir Sepeda"/>
    <n v="950000"/>
    <s v="Rp950.000"/>
    <n v="0"/>
    <m/>
    <s v="Kos Campur"/>
    <m/>
    <m/>
  </r>
  <r>
    <s v="Kost Orange Beji Depok"/>
    <x v="1"/>
    <x v="15"/>
    <n v="10.799999999999999"/>
    <s v="4.5 x 2.4 meter"/>
    <s v="Tidak termasuk listrik"/>
    <s v=""/>
    <s v="N/A"/>
    <s v="4.5 x 2.4 meter; Tidak termasuk listrik; AC; Kasur; Meja; Lemari Baju; Bantal; Jendela; Kursi; K. Mandi Dalam; Kloset Duduk; Shower; Air panas; WiFi; Kulkas; Laundry"/>
    <n v="1600000"/>
    <s v="Rp1.600.000"/>
    <n v="0.1673611111111111"/>
    <d v="1899-12-30T04:01:00"/>
    <s v="Kos Putra"/>
    <m/>
    <m/>
  </r>
  <r>
    <s v="Kost Orange Tipe B Pulo Gadung Jakarta Timur"/>
    <x v="8"/>
    <x v="94"/>
    <n v="6"/>
    <s v="2 x 3 meter"/>
    <s v="Tidak termasuk listrik"/>
    <s v=""/>
    <s v="N/A"/>
    <s v="2 x 3 meter; Tidak termasuk listrik; AC; Kasur; Lemari Baju; Bantal; Jendela; Kloset Duduk; K. Mandi Luar; Ember mandi; WiFi; Mesin Cuci; Dapur; Balcon; CCTV; Jemuran; Parkir Motor"/>
    <n v="1005000"/>
    <s v="Rp1.005.000"/>
    <n v="0.17222222222222225"/>
    <d v="1899-12-30T04:08:00"/>
    <s v="Kos Putra"/>
    <m/>
    <m/>
  </r>
  <r>
    <s v="Kost Oren Pancoran Mas Depok"/>
    <x v="1"/>
    <x v="171"/>
    <n v="20"/>
    <s v="4 x 5 meter"/>
    <s v="Termasuk listrik (implied)"/>
    <s v=""/>
    <s v="N/A"/>
    <s v="4 x 5 meter; Termasuk listrik; Kasur; Lemari Baju; Ventilasi; Bantal; Jendela; K. Mandi Dalam; Kloset Jongkok; Ember mandi; Bak mandi; WiFi; Balcon; Jemuran; Pengurus Kos; CCTV; Parkir Motor; Parkir Sepeda; Parkir Motor &amp; Sepeda"/>
    <n v="800000"/>
    <s v="Rp800.000"/>
    <n v="0"/>
    <m/>
    <s v="Kos Campur"/>
    <m/>
    <m/>
  </r>
  <r>
    <s v="Kost Pa Guru Tanjung Priok Jakarta Utara"/>
    <x v="4"/>
    <x v="5"/>
    <n v="12"/>
    <s v="3 x 4 meter"/>
    <s v="Tidak termasuk listrik"/>
    <s v=""/>
    <s v="N/A"/>
    <s v="3 x 4 meter; Tidak termasuk listrik; Kasur; Lemari Baju; Ventilasi; Bantal; Jendela; Kloset Jongkok; K. Mandi Luar; Wastafel; Ember mandi; Bak mandi; R. Cuci; R. Jemur; Balcon; Jemuran; Parkir Motor; Parkir Sepeda"/>
    <n v="700000"/>
    <s v="Rp700.000"/>
    <n v="0.16944444444444443"/>
    <d v="1899-12-30T04:04:00"/>
    <s v="Kos Campur"/>
    <m/>
    <m/>
  </r>
  <r>
    <s v="Kost Padussi Tipen Tipe C Beji Depok"/>
    <x v="1"/>
    <x v="16"/>
    <n v="9"/>
    <s v="3 x 3 meter"/>
    <s v="Tidak termasuk listrik"/>
    <s v=""/>
    <s v="N/A"/>
    <s v="3 x 3 meter; Tidak termasuk listrik; Kasur; Meja; Lemari Baju; Kursi; K. Mandi Dalam; Kloset Jongkok; WiFi; Kulkas; Penjaga Kos; Dapur; Dispenser; Gazebo; Pengurus Kos; Taman; Parkir Mobil; Parkir Motor; Parkir Sepeda"/>
    <n v="650000"/>
    <s v="Rp650.000"/>
    <n v="0"/>
    <m/>
    <s v="Kos Putri"/>
    <m/>
    <m/>
  </r>
  <r>
    <s v="Kost Pahala Sunter Podomoro Tipe A Tanjung Priok Jakarta Utara"/>
    <x v="4"/>
    <x v="10"/>
    <n v="12"/>
    <s v="3 x 4 meter"/>
    <s v="Tidak termasuk listrik"/>
    <s v=""/>
    <s v="N/A"/>
    <s v="3 x 4 meter; Tidak termasuk listrik; AC; Kasur; TV; Lemari Baju; K. Mandi Dalam; Kloset Jongkok; Ember mandi; Shower; Air panas; WiFi; Dapur; Parkir Mobil; Parkir Motor; Parkir Sepeda"/>
    <n v="1300000"/>
    <s v="Rp1.300.000"/>
    <n v="0.12569444444444444"/>
    <d v="1899-12-30T03:01:00"/>
    <s v="Kos Campur"/>
    <m/>
    <m/>
  </r>
  <r>
    <s v="Kost Pahala Sunter Podomoro Tipe C Tanjung Priok Jakarta Utara"/>
    <x v="4"/>
    <x v="5"/>
    <n v="12"/>
    <s v="3 x 4 meter"/>
    <s v="Tidak termasuk listrik"/>
    <s v=""/>
    <s v="N/A"/>
    <s v="3 x 4 meter; Tidak termasuk listrik; AC; Kasur; TV; Lemari Baju; K. Mandi Dalam; Ember mandi; Shower; WiFi; Penjaga Kos; R. Jemur; Dapur; Parkir Mobil; Parkir Motor; Parkir Sepeda"/>
    <n v="1300000"/>
    <s v="Rp1.300.000"/>
    <n v="4.3750000000000004E-2"/>
    <d v="1899-12-30T01:03:00"/>
    <s v="Kos Campur"/>
    <m/>
    <m/>
  </r>
  <r>
    <s v="Kost Pak Aji Tipe A Tanjung Priok Jakarta Utara"/>
    <x v="4"/>
    <x v="10"/>
    <n v="5"/>
    <s v="2 x 2.5 meter"/>
    <s v="Tidak termasuk listrik"/>
    <s v=""/>
    <s v="N/A"/>
    <s v="2 x 2.5 meter; Tidak termasuk listrik; AC; Kasur; Lemari Baju; Bantal; Guling; Jendela; K. Mandi Dalam; Kloset Jongkok; Ember mandi; Shower; WiFi; Kulkas; Penjaga Kos; R. Jemur; Dapur; Jemuran; Parkir Motor"/>
    <n v="1100000"/>
    <s v="Rp1.100.000"/>
    <n v="0"/>
    <m/>
    <s v="Kos Campur"/>
    <m/>
    <m/>
  </r>
  <r>
    <s v="Kost Pak Harto Dramaga Bogor"/>
    <x v="0"/>
    <x v="23"/>
    <n v="9"/>
    <s v="3 x 3 meter"/>
    <s v="Termasuk listrik (implied)"/>
    <s v=""/>
    <s v="N/A"/>
    <s v="3 x 3 meter; Termasuk listrik; Kasur; Lemari Baju; Ventilasi; Bantal; Jendela; K. Mandi Luar; Ember mandi; Bak mandi; WiFi; R. Cuci; Kulkas; R. Tamu; R. Jemur; R. Santai; Dapur; Taman; R. Keluarga; CCTV; Parkir Mobil; Parkir Motor; Parkir Sepeda"/>
    <n v="650000"/>
    <s v="Rp650.000"/>
    <n v="0.17222222222222225"/>
    <d v="1899-12-30T04:08:00"/>
    <s v="Kos Putra"/>
    <m/>
    <m/>
  </r>
  <r>
    <s v="Kost Pak Is Ph6 Cikarang Selatan Bekasi"/>
    <x v="7"/>
    <x v="27"/>
    <n v="6"/>
    <s v="3 x 2 meter"/>
    <s v="Termasuk listrik (implied)"/>
    <s v=""/>
    <s v="N/A"/>
    <s v="3 x 2 meter; Termasuk listrik; AC; Kasur; Lemari Baju; Kulkas; Ventilasi; Bantal; Guling; Jendela; Kloset Duduk; K. Mandi Luar; Shower; WiFi; R. Cuci; Mesin Cuci; Laundry; R. Jemur; Dapur; Balcon; Jemuran; Parkir Mobil; Parkir Motor; Parkir Sepeda"/>
    <n v="1050000"/>
    <s v="Rp1.050.000"/>
    <n v="0.20833333333333334"/>
    <d v="1899-12-30T05:00:00"/>
    <s v="Kos Campur"/>
    <m/>
    <m/>
  </r>
  <r>
    <s v="Kost Pak RT Cipayung Jakarta Timur"/>
    <x v="8"/>
    <x v="176"/>
    <n v="12"/>
    <s v="3 x 4 meter"/>
    <s v="Tidak termasuk listrik"/>
    <s v=""/>
    <s v="N/A"/>
    <s v="3 x 4 meter; Tidak termasuk listrik; Kasur; Lemari Baju; Guling; Kipas Angin; Bantal; K. Mandi Dalam; Kloset Jongkok; WiFi; Parkir Motor &amp; Sepeda"/>
    <n v="900000"/>
    <s v="Rp900.000"/>
    <n v="0.20833333333333334"/>
    <d v="1899-12-30T05:00:00"/>
    <s v="Kos Putri"/>
    <m/>
    <m/>
  </r>
  <r>
    <s v="Kost Pak Salim Executive Penjaringan Jakarta Utara"/>
    <x v="4"/>
    <x v="12"/>
    <n v="12"/>
    <s v="3 x 4 meter"/>
    <s v="Tidak termasuk listrik"/>
    <s v=""/>
    <s v="N/A"/>
    <s v="3 x 4 meter; Tidak termasuk listrik; AC; Kasur; Meja; Lemari Baju; Bantal; Cermin; Cleaning service; Guling; Jendela; Kursi; K. Mandi Dalam; Kloset Duduk; K. Mandi Luar; Wastafel; Ember mandi; Shower; Air panas; WiFi; Kulkas; Laundry; Penjaga Kos; R. Tamu; R. Jemur; R. Makan; R. Santai; Dapur; Dispenser; Parkir Motor &amp; Sepeda"/>
    <n v="1700000"/>
    <s v="Rp1.700.000"/>
    <n v="0"/>
    <m/>
    <s v="Kos Campur"/>
    <m/>
    <m/>
  </r>
  <r>
    <s v="Kost Pak Yanto 2 Tipe B Cinere Depok"/>
    <x v="1"/>
    <x v="124"/>
    <n v="9"/>
    <s v="3 x 3 meter"/>
    <s v="Tidak termasuk listrik"/>
    <s v=""/>
    <s v="N/A"/>
    <s v="3 x 3 meter; Tidak termasuk listrik; AC; Wastafel; K. Mandi Dalam; Kloset Jongkok; R. Tamu; Parkir Motor"/>
    <n v="1200000"/>
    <s v="Rp1.200.000"/>
    <n v="0.20833333333333334"/>
    <d v="1899-12-30T05:00:00"/>
    <s v="Kos Campur"/>
    <m/>
    <m/>
  </r>
  <r>
    <s v="Kost Pak Yanto Tipe A Cibitung Bekasi"/>
    <x v="7"/>
    <x v="110"/>
    <n v="12"/>
    <s v="3 x 4 meter"/>
    <s v="Tidak termasuk listrik"/>
    <s v=""/>
    <s v="N/A"/>
    <s v="3 x 4 meter; Tidak termasuk listrik; Kasur; Lemari Baju; Ventilasi; Bantal; Jendela; K. Mandi Dalam; Kloset Jongkok; Ember mandi; WiFi; R. Jemur; Taman; Parkir Motor; Parkir Sepeda"/>
    <n v="650000"/>
    <s v="Rp650.000"/>
    <n v="0.20833333333333334"/>
    <d v="1899-12-30T05:00:00"/>
    <s v="Kos Putra"/>
    <m/>
    <m/>
  </r>
  <r>
    <s v="Kost Pak Yul 2 Tipe A Gunung Putri Bogor"/>
    <x v="0"/>
    <x v="89"/>
    <n v="9"/>
    <s v="3 x 3 meter"/>
    <s v="Termasuk listrik (implied)"/>
    <s v=""/>
    <s v="N/A"/>
    <s v="3 x 3 meter; Termasuk listrik; Kasur; Meja; Lemari Baju; Ventilasi; Bantal; Cermin; Guling; Jendela; Kipas Angin; Wastafel; Kloset Duduk; Ember mandi; R. Cuci; R. Tamu; R. Jemur; R. Makan; R. Santai; Dapur; Jemuran; Jual Makanan; R. Keluarga; Taman; Parkir Mobil; Parkir Motor"/>
    <n v="1000000"/>
    <s v="Rp1.000.000"/>
    <n v="0"/>
    <m/>
    <s v="Kos Putri"/>
    <m/>
    <m/>
  </r>
  <r>
    <s v="Kost Pakis Living Tipe Deluxe Serpong Tangerang Selatan"/>
    <x v="2"/>
    <x v="18"/>
    <n v="15"/>
    <s v="3 x 5 meter"/>
    <s v="Tidak termasuk listrik"/>
    <s v=""/>
    <s v="N/A"/>
    <s v="3 x 5 meter; Tidak termasuk listrik; AC; Kasur; Meja; TV; Lemari Baju; Jendela; Bantal; Kursi; Cleaning service; K. Mandi Dalam; Kloset Duduk; Shower; Air panas; WiFi; Kulkas; R. Cuci; Mesin Cuci; Penjaga Kos; R. Tamu; R. Jemur; R. Santai; Dapur; Dispenser; Parkir Mobil; Parkir Motor"/>
    <n v="3500000"/>
    <s v="Rp3.500.000"/>
    <n v="0"/>
    <m/>
    <s v="Kos Putri"/>
    <m/>
    <m/>
  </r>
  <r>
    <s v="Kost Palem Griya Tipe A Cibodas Tangerang"/>
    <x v="6"/>
    <x v="129"/>
    <n v="9"/>
    <s v="3 x 3 meter"/>
    <s v="Tidak termasuk listrik"/>
    <s v=""/>
    <s v="N/A"/>
    <s v="3 x 3 meter; Tidak termasuk listrik; AC; Kasur; Lemari Baju; Ventilasi; Jendela; Kloset Duduk; Ember mandi; Wastafel; WiFi; Kulkas; R. Cuci; R. Tamu; R. Jemur; R. Santai; Dapur; CCTV; Jemuran; Jual Makanan; Parkir Motor; Parkir Sepeda"/>
    <n v="898000"/>
    <s v="Rp898.000"/>
    <n v="0.13055555555555556"/>
    <d v="1899-12-30T03:08:00"/>
    <s v="Kos Campur"/>
    <m/>
    <m/>
  </r>
  <r>
    <s v="Kost Palem Griya Tipe Single 2 Cibodas Tangerang"/>
    <x v="6"/>
    <x v="129"/>
    <n v="9"/>
    <s v="3 x 3 meter"/>
    <s v="Tidak termasuk listrik"/>
    <s v=""/>
    <s v="N/A"/>
    <s v="3 x 3 meter; Tidak termasuk listrik; AC; Kasur; Lemari Baju; Ventilasi; Jendela; K. Mandi Dalam; Kloset Duduk; Ember mandi; Shower; WiFi; R. Cuci; R. Tamu; Penjaga Kos; R. Makan; R. Jemur; R. Santai; Dapur; R. Keluarga; Balcon; Parkir Motor; Parkir Sepeda"/>
    <n v="1065000"/>
    <s v="Rp1.065.000"/>
    <n v="0"/>
    <m/>
    <s v="Kos Campur"/>
    <m/>
    <m/>
  </r>
  <r>
    <s v="Kost Pamahan Tipe A Cikarang Timur Bekasi"/>
    <x v="7"/>
    <x v="91"/>
    <n v="12"/>
    <s v="3 x 4 meter"/>
    <s v="Tidak termasuk listrik"/>
    <s v=""/>
    <s v="N/A"/>
    <s v="3 x 4 meter; Tidak termasuk listrik; Kasur; Meja; Lemari Baju; Jendela; K. Mandi Dalam; Kloset Duduk; R. Jemur; Pengurus Kos; Jemuran; Parkir Motor; Parkir Sepeda"/>
    <n v="800000"/>
    <s v="Rp800.000"/>
    <n v="0.16666666666666666"/>
    <d v="1899-12-30T04:00:00"/>
    <s v="Kos Campur"/>
    <m/>
    <m/>
  </r>
  <r>
    <s v="Kost Pan Regist Jelambar Angke Tipe A Grogol Petamburan Jakarta Barat"/>
    <x v="3"/>
    <x v="13"/>
    <n v="12"/>
    <s v="3 x 4 meter"/>
    <s v="Tidak termasuk listrik"/>
    <s v=""/>
    <s v="N/A"/>
    <s v="3 x 4 meter; Tidak termasuk listrik; AC; Kasur; Meja; Dispenser; TV; Meja Rias; Lemari Baju; Kulkas; Kursi; TV Kabel; K. Mandi Dalam; Kloset Duduk; Shower; Air panas; WiFi; Mesin Cuci; Laundry; Penjaga Kos; CCTV; Jemuran; Pengurus Kos; Parkir Mobil; Parkir Motor; Parkir Motor &amp; Sepeda"/>
    <n v="2225000"/>
    <s v="Rp2.225.000"/>
    <n v="0.16874999999999998"/>
    <d v="1899-12-30T04:03:00"/>
    <s v="Kos Campur"/>
    <m/>
    <m/>
  </r>
  <r>
    <s v="Kost Paradise VVIP Cibinong Bogor"/>
    <x v="0"/>
    <x v="35"/>
    <n v="12"/>
    <s v="3 x 4 meter"/>
    <s v="Tidak termasuk listrik"/>
    <s v=""/>
    <s v="N/A"/>
    <s v="3 x 4 meter; Tidak termasuk listrik; AC; Kasur; Meja; Lemari Baju; Ventilasi; Bantal; Cermin; Jendela; Kipas Angin; Kursi; K. Mandi Dalam; Kloset Jongkok; Wastafel; Ember mandi; Bak mandi; WiFi; R. Tamu; Dapur; CCTV; Jemuran; Pengurus Kos; TV; Parkir Mobil; Parkir Motor; Parkir Sepeda"/>
    <n v="1750000"/>
    <s v="Rp1.750.000"/>
    <n v="0"/>
    <m/>
    <s v="Kos Campur"/>
    <m/>
    <m/>
  </r>
  <r>
    <s v="Kost Parung Parung Bogor"/>
    <x v="0"/>
    <x v="177"/>
    <n v="14.399999999999999"/>
    <s v="3 x 4.8 meter"/>
    <s v="Tidak termasuk listrik"/>
    <s v=""/>
    <s v="N/A"/>
    <s v="3 x 4.8 meter; Tidak termasuk listrik; Kasur; Dapur Pribadi; Jendela; K. Mandi Dalam; Kloset Duduk; Ember mandi; Shower; Penjaga Kos; R. Tamu; R. Santai; Dapur; Jemuran; Parkir Mobil; Parkir Motor; Parkir Sepeda"/>
    <n v="800000"/>
    <s v="Rp800.000"/>
    <n v="0"/>
    <m/>
    <s v="Kos Campur"/>
    <m/>
    <m/>
  </r>
  <r>
    <s v="Kost Paseban 45 Tipe C Senen Jakarta Pusat"/>
    <x v="9"/>
    <x v="41"/>
    <n v="5.76"/>
    <s v="2.4 x 2.4 meter"/>
    <s v="Tidak termasuk listrik"/>
    <s v=""/>
    <s v="N/A"/>
    <s v="2.4 x 2.4 meter; Tidak termasuk listrik; Kasur; Meja; Lemari Baju; K. Mandi Dalam; Kloset Duduk; K. Mandi Luar; WiFi"/>
    <n v="1600000"/>
    <s v="Rp1.600.000"/>
    <n v="0.17222222222222225"/>
    <d v="1899-12-30T04:08:00"/>
    <s v="Kos Campur"/>
    <m/>
    <s v="Diskon 68rb"/>
  </r>
  <r>
    <s v="Kost Pasir Gombong Tipe A di Pasir Gombong Cikarang"/>
    <x v="7"/>
    <x v="78"/>
    <n v="12"/>
    <s v="3 x 4 meter"/>
    <s v="Tidak termasuk listrik"/>
    <s v=""/>
    <s v="N/A"/>
    <s v="3 x 4 meter; Tidak termasuk listrik; Kasur; Lemari Baju; Kipas Angin; K. Mandi Dalam; Kloset Jongkok; WiFi; Dapur; Gazebo; Parkir Motor; Parkir Sepeda"/>
    <n v="700000"/>
    <s v="Rp700.000"/>
    <n v="0.1673611111111111"/>
    <d v="1899-12-30T04:01:00"/>
    <s v="Kos Putri"/>
    <m/>
    <m/>
  </r>
  <r>
    <s v="Kost Pavilion Cimanggis Depok"/>
    <x v="1"/>
    <x v="46"/>
    <n v="16"/>
    <s v="4 x 4 meter"/>
    <s v="Termasuk listrik (implied)"/>
    <s v=""/>
    <s v="N/A"/>
    <s v="4 x 4 meter; Termasuk listrik; Kasur; Lemari Baju; Guling; Jendela; Bantal; K. Mandi Dalam; Kloset Duduk; Ember mandi; WiFi; Jual Makanan; Jemuran; Parkir Motor &amp; Sepeda"/>
    <n v="1050000"/>
    <s v="Rp1.050.000"/>
    <n v="0.20833333333333334"/>
    <d v="1899-12-30T05:00:00"/>
    <s v="Kos Putra"/>
    <m/>
    <s v="Diskon 110rb"/>
  </r>
  <r>
    <s v="Kost Pavilion Grande Jababeka 2 Tipe A Cikarang Utara Bekasi"/>
    <x v="7"/>
    <x v="78"/>
    <n v="12"/>
    <s v="3 x 4 meter"/>
    <s v="Tidak termasuk listrik"/>
    <s v=""/>
    <s v="N/A"/>
    <s v="3 x 4 meter; Tidak termasuk listrik; AC; Kasur; Meja; TV; Lemari Baju; Ventilasi; Bantal; Cermin; Cleaning service; Guling; K. Mandi Dalam; Kloset Duduk; Wastafel; Shower; Air panas; WiFi; Kulkas; R. Cuci; Laundry; Mesin Cuci; Penjaga Kos; R. Tamu; R. Jemur; R. Makan; R. Santai; Parkir Mobil"/>
    <n v="1850000"/>
    <s v="Rp1.850.000"/>
    <n v="0"/>
    <m/>
    <s v="Kos Putri"/>
    <m/>
    <m/>
  </r>
  <r>
    <s v="Kost Pavilion Grande Jababeka 2 Tipe B Cikarang Utara Bekasi"/>
    <x v="7"/>
    <x v="78"/>
    <n v="12"/>
    <s v="3 x 4 meter"/>
    <s v="Tidak termasuk listrik"/>
    <s v=""/>
    <s v="N/A"/>
    <s v="3 x 4 meter; Tidak termasuk listrik; AC; Kasur; Meja; TV; Lemari Baju; Ventilasi; Bantal; Cermin; Cleaning service; Guling; K. Mandi Dalam; Kloset Duduk; Wastafel; Shower; Air panas; WiFi; Kulkas; R. Cuci; Laundry; Mesin Cuci; Penjaga Kos; R. Tamu; R. Jemur; R. Makan; R. Santai; Parkir Mobil"/>
    <n v="1900000"/>
    <s v="Rp1.900.000"/>
    <n v="0"/>
    <m/>
    <s v="Kos Putri"/>
    <m/>
    <m/>
  </r>
  <r>
    <s v="Kost Pavilion Jababeka A1 Cikarang Utara Bekasi"/>
    <x v="7"/>
    <x v="33"/>
    <n v="12"/>
    <s v="3 x 4 meter"/>
    <s v="Termasuk listrik (implied)"/>
    <s v=""/>
    <s v="N/A"/>
    <s v="3 x 4 meter; Termasuk listrik; AC; Kasur; Meja; TV; Lemari Baju; Bantal; Cermin; Cleaning service; Guling; Kursi; K. Mandi Dalam; Kloset Duduk; Ember mandi; Shower; WiFi; Kulkas; R. Cuci; Laundry; Mesin Cuci; Penjaga Kos; R. Tamu; R. Jemur; R. Makan; R. Santai; Parkir Mobil; Parkir Motor; Parkir Sepeda"/>
    <n v="1550000"/>
    <s v="Rp1.550.000"/>
    <n v="0.16874999999999998"/>
    <d v="1899-12-30T04:03:00"/>
    <s v="Kos Campur"/>
    <m/>
    <m/>
  </r>
  <r>
    <s v="Kost Pavilion Jababeka Tipe A Cikarang Utara Bekasi"/>
    <x v="7"/>
    <x v="78"/>
    <n v="12"/>
    <s v="3 x 4 meter"/>
    <s v="Termasuk listrik (implied)"/>
    <s v=""/>
    <s v="N/A"/>
    <s v="3 x 4 meter; Termasuk listrik; AC; Kasur; Meja; TV; Lemari Baju; Ventilasi; Kursi; Cleaning service; Guling; Jendela; K. Mandi Dalam; Kloset Duduk; Shower; WiFi; R. Cuci; Kulkas; R. Tamu; Penjaga Kos; R. Makan; R. Jemur; R. Santai; Dapur; Dispenser; Parkir Mobil; Parkir Motor; Parkir Sepeda"/>
    <n v="1800000"/>
    <s v="Rp1.800.000"/>
    <n v="0"/>
    <m/>
    <s v="Kos Campur"/>
    <m/>
    <m/>
  </r>
  <r>
    <s v="Kost Paviliun Kemanggisan Tipe Executive Palmerah Jakarta Barat"/>
    <x v="3"/>
    <x v="104"/>
    <n v="15"/>
    <s v="5 x 3 meter"/>
    <s v="Termasuk listrik (implied)"/>
    <s v=""/>
    <s v="N/A"/>
    <s v="5 x 3 meter; Termasuk listrik; AC; Kasur; Meja; Meja Rias; TV; Lemari Baju; Ventilasi; Bantal; Cermin; Jendela; K. Mandi Dalam; Kloset Duduk; Wastafel; Shower; WiFi; Kulkas; R. Cuci; Laundry; Mesin Cuci; Penjaga Kos; R. Tamu; R. Jemur; R. Makan; R. Santai; Parkir Mobil; Parkir Motor; Parkir Sepeda"/>
    <n v="2250000"/>
    <s v="Rp2.250.000"/>
    <n v="0.20833333333333334"/>
    <d v="1899-12-30T05:00:00"/>
    <s v="Kos Campur"/>
    <m/>
    <m/>
  </r>
  <r>
    <s v="Kost PBS Pramuka Tipe A Cempaka Putih Jakarta Pusat"/>
    <x v="9"/>
    <x v="66"/>
    <n v="17.5"/>
    <s v="5 x 3.5 meter"/>
    <s v="Tidak termasuk listrik"/>
    <s v=""/>
    <s v="N/A"/>
    <s v="5 x 3.5 meter; Tidak termasuk listrik; AC; Kasur; Meja; Kulkas; Lemari Baju; Ventilasi; Bantal; Cermin; Dapur Pribadi; Guling; K. Mandi Dalam; Kloset Duduk; Ember mandi; Wastafel; Shower; Air panas; WiFi; R. Tamu; Dapur; CCTV; Jemuran; Pengurus Kos; Parkir Motor &amp; Sepeda"/>
    <n v="2350000"/>
    <s v="Rp2.350.000"/>
    <n v="0"/>
    <m/>
    <s v="Kos Putri"/>
    <m/>
    <m/>
  </r>
  <r>
    <s v="Kost Pelajar Karyawan Tipe Standart Karawaci Tangerang"/>
    <x v="6"/>
    <x v="141"/>
    <n v="9"/>
    <s v="3 x 3 meter"/>
    <s v="Tidak termasuk listrik"/>
    <s v=""/>
    <s v="N/A"/>
    <s v="3 x 3 meter; Tidak termasuk listrik; AC; Kasur; Meja; Lemari Baju; Ventilasi; Bantal; Cermin; Guling; Jendela; Kursi; K. Mandi Dalam; Kloset Duduk; K. Mandi Luar; Ember mandi; Shower; R. Cuci; Laundry; Penjaga Kos; R. Tamu; R. Jemur; R. Makan; R. Santai; CCTV; Gazebo; Jemuran; Parkir Sepeda; Parkir Motor"/>
    <n v="1200000"/>
    <s v="Rp1.200.000"/>
    <n v="0"/>
    <m/>
    <s v="Kos Campur"/>
    <m/>
    <m/>
  </r>
  <r>
    <s v="Kost Pelangi 4 Cileungsi Bogor"/>
    <x v="0"/>
    <x v="31"/>
    <n v="9"/>
    <s v="3 x 3 meter"/>
    <s v="Tidak termasuk listrik"/>
    <s v=""/>
    <s v="N/A"/>
    <s v="3 x 3 meter; Tidak termasuk listrik; Kasur; Meja; Kursi; Kipas Angin; Bantal; Guling; Jendela; Kloset Duduk; K. Mandi Luar; Ember mandi; Mesin Cuci; R. Jemur; R. Santai; Dapur; Dispenser; TV; Jemuran; Parkir Motor; Parkir Sepeda"/>
    <n v="600000"/>
    <s v="Rp600.000"/>
    <n v="0.20833333333333334"/>
    <d v="1899-12-30T05:00:00"/>
    <s v="Kos Putri"/>
    <m/>
    <m/>
  </r>
  <r>
    <s v="Kost Pelangi TIpe B Kelapa Gading Jakarta Utara"/>
    <x v="4"/>
    <x v="111"/>
    <n v="6.6000000000000005"/>
    <s v="2.2 x 3 meter"/>
    <s v="Tidak termasuk listrik"/>
    <s v=""/>
    <s v="N/A"/>
    <s v="2.2 x 3 meter; Tidak termasuk listrik; Ventilasi; Kloset Duduk; WiFi; R. Cuci; R. Jemur; Dapur; Balcon; Parkir Motor"/>
    <n v="1050000"/>
    <s v="Rp1.050.000"/>
    <n v="4.5138888888888888E-2"/>
    <d v="1899-12-30T01:05:00"/>
    <s v="Kos Putra"/>
    <m/>
    <m/>
  </r>
  <r>
    <s v="Kost Pelita Terang Bulan VVIP Cikarang Pusat Bekasi"/>
    <x v="7"/>
    <x v="118"/>
    <n v="12"/>
    <s v="3 x 4 meter"/>
    <s v="Tidak termasuk listrik"/>
    <s v=""/>
    <s v="N/A"/>
    <s v="3 x 4 meter; Tidak termasuk listrik; AC; Kasur; Lemari Baju; Ventilasi; Jendela; Wastafel; K. Mandi Dalam; Kloset Duduk; Shower; Air panas; WiFi; Kulkas; R. Cuci; Mesin Cuci; R. Jemur; Dapur; Jemuran; Pengurus Kos; Parkir Mobil; Parkir Motor; Parkir Motor &amp; Sepeda"/>
    <n v="1700000"/>
    <s v="Rp1.700.000"/>
    <n v="0"/>
    <m/>
    <s v="Kos Putra"/>
    <m/>
    <m/>
  </r>
  <r>
    <s v="Kost Pemerena Dramaga Bogor"/>
    <x v="0"/>
    <x v="73"/>
    <n v="12"/>
    <s v="4 x 3 meter"/>
    <s v="Tidak termasuk listrik"/>
    <s v=""/>
    <s v="N/A"/>
    <s v="4 x 3 meter; Tidak termasuk listrik; AC; Kasur; Meja; Lemari Baju; Kursi; K. Mandi Dalam; Kloset Jongkok; Ember mandi; WiFi; Kulkas; R. Tamu; Penjaga Kos; R. Jemur; R. Santai; Dapur; TV; Taman; K. Mandi Luar; Parkir Mobil; Parkir Motor; Parkir Sepeda"/>
    <n v="1000000"/>
    <s v="Rp1.000.000"/>
    <n v="0"/>
    <m/>
    <s v="Kos Putri"/>
    <m/>
    <m/>
  </r>
  <r>
    <s v="Kost Peony Flower Peony C Mampang Prapatan Jakarta Selatan"/>
    <x v="5"/>
    <x v="178"/>
    <n v="6"/>
    <s v="3 x 2 meter"/>
    <s v="Tidak termasuk listrik"/>
    <s v=""/>
    <s v="N/A"/>
    <s v="3 x 2 meter; Tidak termasuk listrik; Kasur; Lemari Baju; Ventilasi; Kipas Angin; Jendela; K. Mandi Dalam; Kloset Duduk; Ember mandi; Shower; WiFi; Kulkas; Dapur; Balcon; CCTV; Jemuran"/>
    <n v="1100000"/>
    <s v="Rp1.100.000"/>
    <n v="0.12916666666666668"/>
    <d v="1899-12-30T03:06:00"/>
    <s v="Kos Putri"/>
    <m/>
    <m/>
  </r>
  <r>
    <s v="Kost Perkici Apik Pondok Aren Tangerang Selatan"/>
    <x v="2"/>
    <x v="52"/>
    <n v="12"/>
    <s v="3 x 4 meter"/>
    <s v="Tidak termasuk listrik"/>
    <s v=""/>
    <s v="N/A"/>
    <s v="3 x 4 meter; Tidak termasuk listrik; AC; Kasur; Meja; Lemari Baju; Bantal; Guling; Kursi; Kloset Duduk; K. Mandi Luar; Ember mandi; Shower; WiFi; Kulkas; R. Tamu; R. Jemur; Dapur; Balcon; Jemuran; Rice Cooker; TV; CCTV; Parkir Motor"/>
    <n v="1200000"/>
    <s v="Rp1.200.000"/>
    <n v="0.17222222222222225"/>
    <d v="1899-12-30T04:08:00"/>
    <s v="Kos Putri"/>
    <m/>
    <m/>
  </r>
  <r>
    <s v="Kost Perkici Apik Pondok Aren Tangerang Selatan"/>
    <x v="2"/>
    <x v="52"/>
    <e v="#VALUE!"/>
    <s v="N/A"/>
    <s v="N/A"/>
    <s v=""/>
    <s v="N/A"/>
    <s v=""/>
    <n v="1200000"/>
    <s v="Rp1.200.000"/>
    <n v="0"/>
    <m/>
    <s v="Kos Putri"/>
    <m/>
    <m/>
  </r>
  <r>
    <s v="Kost Permata Biru Tipe A Kelapa Gading Jakarta Utara"/>
    <x v="4"/>
    <x v="111"/>
    <n v="7.5"/>
    <s v="2.5 x 3 meter"/>
    <s v="Tidak termasuk listrik"/>
    <s v=""/>
    <s v="N/A"/>
    <s v="2.5 x 3 meter; Tidak termasuk listrik; AC; Kasur; Lemari Baju; K. Mandi Dalam; Kloset Duduk; Kloset Jongkok; K. Mandi Luar; WiFi; Mesin Cuci; Laundry; Dapur; Parkir Mobil; Parkir Motor"/>
    <n v="1300000"/>
    <s v="Rp1.300.000"/>
    <n v="0.12916666666666668"/>
    <d v="1899-12-30T03:06:00"/>
    <s v="Kos Campur"/>
    <m/>
    <m/>
  </r>
  <r>
    <s v="Kost Permata Pancoran Mas Depok"/>
    <x v="0"/>
    <x v="170"/>
    <n v="9"/>
    <s v="3 x 3 meter"/>
    <s v="Termasuk listrik (implied)"/>
    <s v=""/>
    <s v="N/A"/>
    <s v="3 x 3 meter; Termasuk listrik; Kasur; Lemari Baju; Bantal; Cermin; Jendela; Kloset Duduk; Kloset Jongkok; K. Mandi Luar; Ember mandi; Wastafel; Shower; R. Cuci; Penjaga Kos; R. Jemur; R. Santai; Jemuran; R. Keluarga; Parkir Motor"/>
    <n v="800000"/>
    <s v="Rp800.000"/>
    <n v="0"/>
    <m/>
    <s v="Kos Putri"/>
    <m/>
    <m/>
  </r>
  <r>
    <s v="Kost Permata Sukses 2 Tipe A Beji Depok"/>
    <x v="1"/>
    <x v="16"/>
    <n v="12"/>
    <s v="3 x 4 meter"/>
    <s v="Tidak termasuk listrik"/>
    <s v=""/>
    <s v="N/A"/>
    <s v="3 x 4 meter; Tidak termasuk listrik; AC; Kasur; Meja; Lemari Baju; Ventilasi; Bantal; Cermin; Guling; Jendela; Kursi; K. Mandi Dalam; Kloset Duduk; Wastafel; Shower; Air panas; WiFi; Kulkas; Laundry; Penjaga Kos; R. Tamu; R. Makan; R. Santai; Dapur; Balcon; CCTV; Parkir Mobil; Parkir Sepeda; Parkir Motor"/>
    <n v="2000000"/>
    <s v="Rp2.000.000"/>
    <n v="0"/>
    <m/>
    <s v="Kos Putra"/>
    <m/>
    <m/>
  </r>
  <r>
    <s v="Kost Permata Sukses 2 Tipe B Beji Depok"/>
    <x v="1"/>
    <x v="16"/>
    <n v="12"/>
    <s v="3 x 4 meter"/>
    <s v="Tidak termasuk listrik"/>
    <s v=""/>
    <s v="N/A"/>
    <s v="3 x 4 meter; Tidak termasuk listrik; AC; Kasur; Meja; Bantal; Cermin; Jendela; Kursi; Wastafel; K. Mandi Dalam; Kloset Duduk; Shower; Air panas; WiFi; Kulkas; Laundry; Penjaga Kos; R. Tamu; R. Makan; R. Santai; Dapur; Balcon; CCTV; Parkir Mobil; Parkir Motor; Parkir Sepeda"/>
    <n v="1900000"/>
    <s v="Rp1.900.000"/>
    <n v="0.17013888888888887"/>
    <d v="1899-12-30T04:05:00"/>
    <s v="Kos Putri"/>
    <m/>
    <s v="Diskon 179rb"/>
  </r>
  <r>
    <s v="Kost Permata Tipe D Cipondoh Tangerang"/>
    <x v="6"/>
    <x v="97"/>
    <n v="5.95"/>
    <s v="1.7 x 3.5 meter"/>
    <s v="Termasuk listrik (implied)"/>
    <s v=""/>
    <s v="N/A"/>
    <s v="1.7 x 3.5 meter; Termasuk listrik; Kasur; Dispenser; Lemari Baju; Ventilasi; Wastafel; Kipas Angin; Cleaning service; Bantal; K. Mandi Dalam; Kloset Duduk; Kloset Jongkok; K. Mandi Luar; Ember mandi; Shower; Bak mandi; WiFi; R. Cuci; R. Tamu; Laundry; R. Makan; R. Jemur; Mushola; R. Santai; TV; Parkir Mobil; Parkir Motor; Parkir Sepeda"/>
    <n v="800000"/>
    <s v="Rp800.000"/>
    <n v="0.17083333333333331"/>
    <d v="1899-12-30T04:06:00"/>
    <s v="Kos Campur"/>
    <m/>
    <m/>
  </r>
  <r>
    <s v="Kost Permata Tipe F1 Cipondoh Tangerang"/>
    <x v="6"/>
    <x v="97"/>
    <n v="10"/>
    <s v="2.5 x 4 meter"/>
    <s v="Tidak termasuk listrik"/>
    <s v=""/>
    <s v="N/A"/>
    <s v="2.5 x 4 meter; Tidak termasuk listrik; AC; Kasur; Dispenser; Meja; Lemari Baju; Ventilasi; Bantal; Cermin; Cleaning service; Jendela; K. Mandi Dalam; Kloset Duduk; Kloset Jongkok; K. Mandi Luar; Wastafel; Ember mandi; Shower; Bak mandi; WiFi; R. Cuci; R. Tamu; Laundry; Penjaga Kos; R. Makan; R. Jemur; Mushola; R. Santai; Parkir Mobil; Parkir Motor; Parkir Sepeda"/>
    <n v="1700000"/>
    <s v="Rp1.700.000"/>
    <n v="0.1673611111111111"/>
    <d v="1899-12-30T04:01:00"/>
    <s v="Kos Campur"/>
    <m/>
    <m/>
  </r>
  <r>
    <s v="Kost Permata Tipe T Plus Cipondoh Tangerang"/>
    <x v="6"/>
    <x v="97"/>
    <n v="10"/>
    <s v="4 x 2.5 meter"/>
    <s v="Tidak termasuk listrik"/>
    <s v=""/>
    <s v="N/A"/>
    <s v="4 x 2.5 meter; Tidak termasuk listrik; Ventilasi; Cleaning service; Jendela; K. Mandi Dalam; Kloset Duduk; Ember mandi; Shower; WiFi; Kulkas; R. Tamu; Laundry; Penjaga Kos; R. Makan; R. Jemur; R. Santai; Dispenser; TV; Parkir Mobil; Parkir Motor &amp; Sepeda"/>
    <n v="1507500"/>
    <s v="Rp1.507.500"/>
    <n v="0.1277777777777778"/>
    <d v="1899-12-30T03:04:00"/>
    <s v="Kos Putra"/>
    <m/>
    <m/>
  </r>
  <r>
    <s v="Kost Pertiwi Matraman Jakarta Timur"/>
    <x v="8"/>
    <x v="72"/>
    <n v="9"/>
    <s v="3 x 3 meter"/>
    <s v="Tidak termasuk listrik"/>
    <s v=""/>
    <s v="N/A"/>
    <s v="3 x 3 meter; Tidak termasuk listrik; AC; Kasur; Meja; TV; Lemari Baju; Bantal; Guling; Jendela; Kursi; K. Mandi Dalam; Kloset Jongkok; Ember mandi; WiFi; Kulkas; R. Tamu; Penjaga Kos; R. Jemur; Dapur; Dispenser; CCTV; Parkir Motor; Parkir Sepeda"/>
    <n v="1650000"/>
    <s v="Rp1.650.000"/>
    <n v="0.17083333333333331"/>
    <d v="1899-12-30T04:06:00"/>
    <s v="Kos Putri"/>
    <m/>
    <s v="Diskon 87rb"/>
  </r>
  <r>
    <s v="Kost Perum Bambu Kuning Bojong Gede Bogor"/>
    <x v="0"/>
    <x v="102"/>
    <n v="9"/>
    <s v="3 x 3 meter"/>
    <s v="Tidak termasuk listrik"/>
    <s v=""/>
    <s v="N/A"/>
    <s v="3 x 3 meter; Tidak termasuk listrik; Wastafel; K. Mandi Dalam; Bak mandi; R. Cuci; R. Tamu; R. Jemur; Dapur; Taman; Parkir Mobil"/>
    <n v="1500000"/>
    <s v="Rp1.500.000"/>
    <n v="0.17013888888888887"/>
    <d v="1899-12-30T04:05:00"/>
    <s v="Kos Campur"/>
    <m/>
    <m/>
  </r>
  <r>
    <s v="Kost PHT27 Cikarang Selatan Bekasi"/>
    <x v="7"/>
    <x v="27"/>
    <n v="8.3999999999999986"/>
    <s v="3 x 2.8 meter"/>
    <s v="Tidak termasuk listrik"/>
    <s v=""/>
    <s v="N/A"/>
    <s v="3 x 2.8 meter; Tidak termasuk listrik; AC; Kasur; TV; Lemari Baju; Bantal; Cermin; Cleaning service; Guling; Jendela; K. Mandi Dalam; Kloset Duduk; Shower; Air panas; WiFi; Kulkas; Laundry; Mesin Cuci; Penjaga Kos; R. Tamu; R. Jemur; R. Santai; Dapur; Dispenser; Parkir Mobil; Parkir Motor"/>
    <n v="1500000"/>
    <s v="Rp1.500.000"/>
    <n v="0.16874999999999998"/>
    <d v="1899-12-30T04:03:00"/>
    <s v="Kos Campur"/>
    <m/>
    <m/>
  </r>
  <r>
    <s v="Kost Pilar Residence Kebon Jeruk Jakarta Barat"/>
    <x v="3"/>
    <x v="14"/>
    <n v="7.1999999999999993"/>
    <s v="2.4 x 3 meter"/>
    <s v="Tidak termasuk listrik"/>
    <s v=""/>
    <s v="N/A"/>
    <s v="2.4 x 3 meter; Tidak termasuk listrik; AC; Kasur; Meja; Lemari Baju; Ventilasi; Bantal; Cermin; Cleaning service; Jendela; Guling; K. Mandi Dalam; Kloset Duduk; Shower; Air panas; WiFi; R. Cuci; R. Tamu; R. Makan; R. Jemur; Dapur; CCTV; Jemuran; Taman; Pengurus Kos; Parkir Mobil; Parkir Motor; Parkir Sepeda"/>
    <n v="2000000"/>
    <s v="Rp2.000.000"/>
    <n v="0.17291666666666669"/>
    <d v="1899-12-30T04:09:00"/>
    <s v="Kos Putri"/>
    <m/>
    <s v="Diskon 93rb"/>
  </r>
  <r>
    <s v="Kost Pinang 17a Tipe A Beji Depok"/>
    <x v="1"/>
    <x v="15"/>
    <n v="9"/>
    <s v="3 x 3 meter"/>
    <s v="Termasuk listrik (implied)"/>
    <s v=""/>
    <s v="N/A"/>
    <s v="3 x 3 meter; Termasuk listrik; Kasur; Meja; Lemari Baju; Kursi; Kipas Angin; Bantal; Cermin; K. Mandi Dalam; Kloset Jongkok; Ember mandi; WiFi; Penjaga Kos; Dispenser; CCTV; Pengurus Kos; Parkir Motor"/>
    <n v="900000"/>
    <s v="Rp900.000"/>
    <n v="0.17083333333333331"/>
    <d v="1899-12-30T04:06:00"/>
    <s v="Kos Putra"/>
    <m/>
    <m/>
  </r>
  <r>
    <s v="Kost Pinky Tipe Executive Pulo Gadung Jakarta Timur"/>
    <x v="8"/>
    <x v="32"/>
    <n v="9"/>
    <s v="3 x 3 meter"/>
    <s v="Tidak termasuk listrik"/>
    <s v=""/>
    <s v="N/A"/>
    <s v="3 x 3 meter; Tidak termasuk listrik; AC; Kasur; Meja; Lemari Baju; Bantal; Jendela; Kursi; K. Mandi Dalam; Kloset Duduk; Shower; WiFi; Kulkas; R. Cuci; Mesin Cuci; Penjaga Kos; R. Jemur; Dapur; CCTV; Jemuran; Parkir Motor; Parkir Sepeda"/>
    <n v="1400000"/>
    <s v="Rp1.400.000"/>
    <n v="0"/>
    <m/>
    <s v="Kos Putri"/>
    <m/>
    <m/>
  </r>
  <r>
    <s v="Kost Pinta Tipe 1 Cileungsi Bogor"/>
    <x v="0"/>
    <x v="128"/>
    <n v="9"/>
    <s v="3 x 3 meter"/>
    <s v="Termasuk listrik (implied)"/>
    <s v=""/>
    <s v="N/A"/>
    <s v="3 x 3 meter; Termasuk listrik; AC; Kasur; TV; Lemari Baju; Kulkas; Wastafel; Guling; Bantal; Kloset Duduk; K. Mandi Luar; Ember mandi; Shower; WiFi; R. Tamu; Penjaga Kos; R. Makan; Dapur; CCTV; Jual Makanan; Parkir Mobil; Parkir Motor"/>
    <n v="1300000"/>
    <s v="Rp1.300.000"/>
    <n v="0.20833333333333334"/>
    <d v="1899-12-30T05:00:00"/>
    <s v="Kos Campur"/>
    <m/>
    <m/>
  </r>
  <r>
    <s v="Kost Pintu Hijau Tipe A Kelapa Gading Jakarta Utara"/>
    <x v="4"/>
    <x v="79"/>
    <n v="12"/>
    <s v="3 x 4 meter"/>
    <s v="Tidak termasuk listrik"/>
    <s v=""/>
    <s v="N/A"/>
    <s v="3 x 4 meter; Tidak termasuk listrik; AC; Kasur; Meja Rias; Lemari Baju; Bantal; Cermin; Guling; Jendela; Kursi; K. Mandi Dalam; Kloset Duduk; Shower; Air panas; WiFi; Kulkas; R. Cuci; Mesin Cuci; R. Tamu; R. Jemur; Dapur; Dispenser; CCTV; Jemuran; Parkir Mobil; Parkir Motor"/>
    <n v="2500000"/>
    <s v="Rp2.500.000"/>
    <n v="0"/>
    <m/>
    <s v="Kos Putri"/>
    <m/>
    <s v="Diskon 200rb"/>
  </r>
  <r>
    <s v="Kost Pinus 3 11 Tipe Non AC Cikarang Selatan Bekasi"/>
    <x v="7"/>
    <x v="27"/>
    <n v="9"/>
    <s v="3 x 3 meter"/>
    <s v="Tidak termasuk listrik"/>
    <s v=""/>
    <s v="N/A"/>
    <s v="3 x 3 meter; Tidak termasuk listrik; Kasur; Meja; Lemari Baju; Bantal; Guling; Jendela; Kipas Angin; K. Mandi Dalam; Kloset Duduk; Shower; WiFi; R. Cuci; Kulkas; Mesin Cuci; Laundry; R. Makan; R. Jemur; R. Santai; Dapur; Parkir Mobil"/>
    <n v="1250000"/>
    <s v="Rp1.250.000"/>
    <n v="0"/>
    <m/>
    <s v="Kos Campur"/>
    <m/>
    <m/>
  </r>
  <r>
    <s v="Kost Pinus 6 Cikarang Selatan Bekasi"/>
    <x v="7"/>
    <x v="27"/>
    <n v="9"/>
    <s v="3 x 3 meter"/>
    <s v="Termasuk listrik (implied)"/>
    <s v=""/>
    <s v="N/A"/>
    <s v="3 x 3 meter; Termasuk listrik; AC; Kasur; Meja; TV; Lemari Baju; Kursi; Cleaning service; TV Kabel; Bantal; Guling; K. Mandi Dalam; Kloset Duduk; Shower; Air panas; WiFi; R. Cuci; Kulkas; Mesin Cuci; Penjaga Kos; Laundry; R. Jemur; R. Makan; R. Santai; Dapur; Parkir Mobil; Parkir Motor; Parkir Sepeda"/>
    <n v="1600000"/>
    <s v="Rp1.600.000"/>
    <n v="0.16874999999999998"/>
    <d v="1899-12-30T04:03:00"/>
    <s v="Kos Campur"/>
    <m/>
    <m/>
  </r>
  <r>
    <s v="Kost Pinus 7 Tipe B Cikarang Selatan Bekasi"/>
    <x v="7"/>
    <x v="27"/>
    <n v="9"/>
    <s v="3 x 3 meter"/>
    <s v="Tidak termasuk listrik"/>
    <s v=""/>
    <s v="N/A"/>
    <s v="3 x 3 meter; Tidak termasuk listrik; AC; Kasur; Meja; Dispenser; TV; Lemari Baju; Kulkas; Ventilasi; Wastafel; Cleaning service; K. Mandi Dalam; Kloset Duduk; Shower; Air panas; WiFi; R. Cuci; R. Tamu; Mesin Cuci; Penjaga Kos; Laundry; R. Jemur; Dapur; Parkir Mobil; Parkir Motor"/>
    <n v="1700000"/>
    <s v="Rp1.700.000"/>
    <n v="0"/>
    <m/>
    <s v="Kos Campur"/>
    <m/>
    <m/>
  </r>
  <r>
    <s v="Kost Piter Tipe B Pulo Gadung Jakarta Timur"/>
    <x v="8"/>
    <x v="32"/>
    <n v="12"/>
    <s v="3 x 4 meter"/>
    <s v="Tidak termasuk listrik"/>
    <s v=""/>
    <s v="N/A"/>
    <s v="3 x 4 meter; Tidak termasuk listrik; AC; Kasur; Lemari Baju; Bantal; Cermin; Guling; K. Mandi Dalam; Kloset Duduk; Kloset Jongkok; K. Mandi Luar; Wastafel; Shower; WiFi; Kulkas; R. Cuci; R. Tamu; Laundry; Mesin Cuci; R. Jemur; Dapur; Dispenser; Balcon; Parkir Motor; Parkir Sepeda"/>
    <n v="1200000"/>
    <s v="Rp1.200.000"/>
    <n v="0"/>
    <m/>
    <s v="Kos Campur"/>
    <m/>
    <m/>
  </r>
  <r>
    <s v="Kost Pondok Aisyah Tipe VIP Dramaga Bogor"/>
    <x v="0"/>
    <x v="73"/>
    <n v="12"/>
    <s v="3 x 4 meter"/>
    <s v="Termasuk listrik (implied)"/>
    <s v=""/>
    <s v="N/A"/>
    <s v="3 x 4 meter; Termasuk listrik; Kasur; Meja; Lemari Baju; Ventilasi; Kursi; Kipas Angin; Bantal; Cermin; Guling; Jendela; K. Mandi Dalam; Kloset Jongkok; Ember mandi; Shower; WiFi; R. Cuci; Kulkas; R. Tamu; Mesin Cuci; Penjaga Kos; R. Jemur; Mushola; R. Makan; R. Santai; Parkir Motor; Parkir Sepeda; Parkir Motor &amp; Sepeda"/>
    <n v="900000"/>
    <s v="Rp900.000"/>
    <n v="0"/>
    <m/>
    <s v="Kos Putri"/>
    <m/>
    <m/>
  </r>
  <r>
    <s v="Kost Pondok Alissa Sawangan Depok"/>
    <x v="1"/>
    <x v="179"/>
    <n v="9"/>
    <s v="3 x 3 meter"/>
    <s v="Tidak termasuk listrik"/>
    <s v=""/>
    <s v="N/A"/>
    <s v="3 x 3 meter; Tidak termasuk listrik; AC; Kasur; Lemari Baju; Kloset Duduk; K. Mandi Luar; Shower; WiFi; Parkir Mobil"/>
    <n v="1150000"/>
    <s v="Rp1.150.000"/>
    <n v="0"/>
    <m/>
    <s v="Kos Putri"/>
    <m/>
    <m/>
  </r>
  <r>
    <s v="Kost Pondok Ananda Tipe A Beji Depok"/>
    <x v="1"/>
    <x v="16"/>
    <n v="12"/>
    <s v="3 x 4 meter"/>
    <s v="Tidak termasuk listrik"/>
    <s v=""/>
    <s v="N/A"/>
    <s v="3 x 4 meter; Tidak termasuk listrik; Kasur; Meja; Lemari Baju; Jendela; Kursi; Kipas Angin; K. Mandi Dalam; Kloset Duduk; Ember mandi; Shower; WiFi; Penjaga Kos; R. Jemur; Dapur; Jemuran; Jual Makanan; Pengurus Kos; Parkir Motor; Parkir Sepeda"/>
    <n v="850000"/>
    <s v="Rp850.000"/>
    <n v="0.17083333333333331"/>
    <d v="1899-12-30T04:06:00"/>
    <s v="Kos Putra"/>
    <m/>
    <m/>
  </r>
  <r>
    <s v="Kost Pondok Bahagia Gg Ki Pelo Cikarang Utara Bekasi"/>
    <x v="7"/>
    <x v="78"/>
    <n v="9"/>
    <s v="3 x 3 meter"/>
    <s v="Termasuk listrik (implied)"/>
    <s v=""/>
    <s v="N/A"/>
    <s v="3 x 3 meter; Termasuk listrik; Ventilasi; Dapur Pribadi; Jendela; K. Mandi Dalam; Kloset Jongkok; Ember mandi; R. Cuci; Penjaga Kos; R. Jemur; Balcon; Jemuran; Jual Makanan; Pengurus Kos; Parkir Motor"/>
    <n v="610000"/>
    <s v="Rp610.000"/>
    <n v="0.1673611111111111"/>
    <d v="1899-12-30T04:01:00"/>
    <s v="Kos Campur"/>
    <m/>
    <m/>
  </r>
  <r>
    <s v="Kost Pondok Barokah Larangan Tangerang"/>
    <x v="6"/>
    <x v="74"/>
    <n v="12"/>
    <s v="3 x 4 meter"/>
    <s v="Tidak termasuk listrik"/>
    <s v=""/>
    <s v="N/A"/>
    <s v="3 x 4 meter; Tidak termasuk listrik; Kasur; Meja Rias; Lemari Baju; Ventilasi; Jendela; Bantal; Cermin; Guling; Kipas Angin; K. Mandi Dalam; Kloset Duduk; Shower; WiFi; Kulkas; Dapur; CCTV; Parkir Motor"/>
    <n v="1100000"/>
    <s v="Rp1.100.000"/>
    <n v="0.17222222222222225"/>
    <d v="1899-12-30T04:08:00"/>
    <s v="Kos Putri"/>
    <m/>
    <m/>
  </r>
  <r>
    <s v="Kost Pondok Cattleya UPN Pondok Labu Fatmawati Tipe B Cinere Depok"/>
    <x v="1"/>
    <x v="1"/>
    <n v="6.25"/>
    <s v="2.5 x 2.5 meter"/>
    <s v="Termasuk listrik (implied)"/>
    <s v=""/>
    <s v="N/A"/>
    <s v="2.5 x 2.5 meter; Termasuk listrik; AC; Kasur; Meja; Lemari Baju; Kursi; Cleaning service; Jendela; Bantal; Kloset Duduk; K. Mandi Luar; Shower; WiFi; Kulkas; R. Tamu; Laundry; R. Jemur; Mushola; Dapur; CCTV; Pengurus Kos; Parkir Mobil; Parkir Motor; Parkir Sepeda"/>
    <n v="1450000"/>
    <s v="Rp1.450.000"/>
    <n v="0.1673611111111111"/>
    <d v="1899-12-30T04:01:00"/>
    <s v="Kos Putri"/>
    <m/>
    <m/>
  </r>
  <r>
    <s v="Kost Pondok Damai Lippo Cikarang Selatan Bekasi"/>
    <x v="7"/>
    <x v="27"/>
    <n v="9"/>
    <s v="3 x 3 meter"/>
    <s v="Tidak termasuk listrik"/>
    <s v=""/>
    <s v="N/A"/>
    <s v="3 x 3 meter; Tidak termasuk listrik; AC; Kasur; Meja; Lemari Baju; Ventilasi; Kursi; Cleaning service; microwave; Bantal; Cermin; Kloset Duduk; K. Mandi Luar; Wastafel; Ember mandi; Shower; Air panas; WiFi; Kulkas; R. Cuci; Mesin Cuci; Penjaga Kos; Laundry; R. Makan; R. Jemur; Dapur; Dispenser; Parkir Mobil; Parkir Motor; Parkir Sepeda"/>
    <n v="1500000"/>
    <s v="Rp1.500.000"/>
    <n v="0.17222222222222225"/>
    <d v="1899-12-30T04:08:00"/>
    <s v="Kos Campur"/>
    <m/>
    <m/>
  </r>
  <r>
    <s v="Kost Pondok Damai Lippo Cikarang Selatan Bekasi"/>
    <x v="7"/>
    <x v="27"/>
    <n v="9"/>
    <s v="3 x 3 meter"/>
    <s v="Tidak termasuk listrik"/>
    <s v=""/>
    <s v="N/A"/>
    <s v="3 x 3 meter; Tidak termasuk listrik; AC; Kasur; Meja; Lemari Baju; Ventilasi; Kursi; Cleaning service; microwave; Bantal; Cermin; Kloset Duduk; K. Mandi Luar; Wastafel; Ember mandi; Shower; Air panas; WiFi; Kulkas; R. Cuci; Mesin Cuci; Penjaga Kos; Laundry; R. Makan; R. Jemur; Dapur; Dispenser; Parkir Mobil; Parkir Motor; Parkir Sepeda"/>
    <n v="1500000"/>
    <s v="Rp1.500.000"/>
    <n v="0.17222222222222225"/>
    <d v="1899-12-30T04:08:00"/>
    <s v="Kos Campur"/>
    <m/>
    <m/>
  </r>
  <r>
    <s v="Kost Pondok Damai Tipe C Larangan Tangerang"/>
    <x v="6"/>
    <x v="74"/>
    <n v="11.399999999999999"/>
    <s v="3 x 3.8 meter"/>
    <s v="Tidak termasuk listrik"/>
    <s v=""/>
    <s v="N/A"/>
    <s v="3 x 3.8 meter; Tidak termasuk listrik; AC; Kasur; TV; Lemari Baju; Kulkas; K. Mandi Dalam; Kloset Duduk; Shower; Air panas; R. Cuci; Laundry; R. Jemur; Parkir Mobil; Parkir Motor; Parkir Sepeda"/>
    <n v="1400000"/>
    <s v="Rp1.400.000"/>
    <n v="0"/>
    <m/>
    <s v="Kos Campur"/>
    <m/>
    <m/>
  </r>
  <r>
    <s v="Kost Pondok Damai Tipe D Larangan Tangerang"/>
    <x v="6"/>
    <x v="74"/>
    <n v="16"/>
    <s v="4 x 4 meter"/>
    <s v="Tidak termasuk listrik"/>
    <s v=""/>
    <s v="N/A"/>
    <s v="4 x 4 meter; Tidak termasuk listrik; AC; Kasur; TV; Meja Rias; Lemari Baju; Kulkas; Sofa; K. Mandi Dalam; Kloset Duduk; Shower; Air panas; R. Cuci; Laundry; R. Jemur; Parkir Mobil; Parkir Motor; Parkir Sepeda"/>
    <n v="1200000"/>
    <s v="Rp1.200.000"/>
    <n v="0"/>
    <m/>
    <s v="Kos Campur"/>
    <m/>
    <m/>
  </r>
  <r>
    <s v="Kost Pondok Delima 2 Tipe A Dramaga Bogor"/>
    <x v="0"/>
    <x v="23"/>
    <n v="6"/>
    <s v="2 x 3 meter"/>
    <s v="Tidak termasuk listrik"/>
    <s v=""/>
    <s v="N/A"/>
    <s v="2 x 3 meter; Tidak termasuk listrik; Kasur; Meja; Lemari Baju; Bantal; Guling; Jendela; Kursi; Kloset Jongkok; K. Mandi Luar; Ember mandi; WiFi; Kulkas; R. Cuci; R. Tamu; R. Jemur; R. Santai; Dapur; Balcon; Jemuran; R. Keluarga; Parkir Motor &amp; Sepeda"/>
    <n v="550000"/>
    <s v="Rp550.000"/>
    <n v="0.17013888888888887"/>
    <d v="1899-12-30T04:05:00"/>
    <s v="Kos Putri"/>
    <m/>
    <m/>
  </r>
  <r>
    <s v="Kost Pondok Delima Tipe A Dramaga Bogor"/>
    <x v="0"/>
    <x v="73"/>
    <n v="7.5"/>
    <s v="3 x 2.5 meter"/>
    <s v="Tidak termasuk listrik"/>
    <s v=""/>
    <s v="N/A"/>
    <s v="3 x 2.5 meter; Tidak termasuk listrik; Kasur; Meja; Lemari Baju; Ventilasi; Bantal; Guling; Jendela; Kursi; Kloset Jongkok; K. Mandi Luar; Ember mandi; Wastafel; Bak mandi; WiFi; Kulkas; R. Tamu; R. Jemur; R. Makan; R. Santai; Dapur; Balcon; Jemuran; Parkir Motor &amp; Sepeda"/>
    <n v="600000"/>
    <s v="Rp600.000"/>
    <n v="0"/>
    <m/>
    <s v="Kos Putri"/>
    <m/>
    <m/>
  </r>
  <r>
    <s v="Kost Pondok Delima Tipe B Dramaga Bogor"/>
    <x v="0"/>
    <x v="73"/>
    <n v="5"/>
    <s v="2 x 2.5 meter"/>
    <s v="Tidak termasuk listrik"/>
    <s v=""/>
    <s v="N/A"/>
    <s v="2 x 2.5 meter; Tidak termasuk listrik; Kasur; Meja; Lemari Baju; Ventilasi; Bantal; Guling; Jendela; Kursi; Kloset Jongkok; K. Mandi Luar; Ember mandi; Wastafel; Bak mandi; WiFi; Kulkas; R. Tamu; R. Jemur; R. Makan; R. Santai; Dapur; Balcon; Jemuran; Parkir Motor &amp; Sepeda"/>
    <n v="550000"/>
    <s v="Rp550.000"/>
    <n v="0"/>
    <m/>
    <s v="Kos Putri"/>
    <m/>
    <m/>
  </r>
  <r>
    <s v="Kost Pondok Dewa Cikarang Utara Bekasi"/>
    <x v="7"/>
    <x v="78"/>
    <n v="15"/>
    <s v="3 x 5 meter"/>
    <s v="Tidak termasuk listrik"/>
    <s v=""/>
    <s v="N/A"/>
    <s v="3 x 5 meter; Tidak termasuk listrik; AC; Kasur; Meja; Lemari Baju; Ventilasi; Jendela; Bantal; Guling; K. Mandi Dalam; Kloset Jongkok; Ember mandi; WiFi; Kulkas; R. Cuci; R. Jemur; Pengurus Kos; Jemuran; Balcon; Parkir Motor; Parkir Sepeda"/>
    <n v="1100000"/>
    <s v="Rp1.100.000"/>
    <n v="0.20833333333333334"/>
    <d v="1899-12-30T05:00:00"/>
    <s v="Kos Putra"/>
    <m/>
    <m/>
  </r>
  <r>
    <s v="Kost Pondok Diana Cibinong Bogor"/>
    <x v="0"/>
    <x v="35"/>
    <n v="12"/>
    <s v="3 x 4 meter"/>
    <s v="Termasuk listrik (implied)"/>
    <s v=""/>
    <s v="N/A"/>
    <s v="3 x 4 meter; Termasuk listrik; Kasur; Meja; Dispenser; Lemari Baju; Kipas Angin; Bantal; Guling; Kloset Jongkok; K. Mandi Luar; Ember mandi; Shower; Bak mandi; R. Cuci; R. Tamu; Laundry; R. Jemur; R. Santai; Parkir Motor"/>
    <n v="800000"/>
    <s v="Rp800.000"/>
    <n v="0.20833333333333334"/>
    <d v="1899-12-30T05:00:00"/>
    <s v="Kos Putri"/>
    <m/>
    <m/>
  </r>
  <r>
    <s v="Kost Pondok Fanay Standard Pancoran Mas Depok"/>
    <x v="1"/>
    <x v="171"/>
    <n v="7.5"/>
    <s v="2.5 x 3 meter"/>
    <s v="Tidak termasuk listrik"/>
    <s v=""/>
    <s v="N/A"/>
    <s v="2.5 x 3 meter; Tidak termasuk listrik; AC; Kasur; Meja; Lemari Baju; Ventilasi; Bantal; Cermin; Guling; Jendela; Kursi; K. Mandi Dalam; Kloset Duduk; Shower; Air panas; WiFi; Kulkas; R. Cuci; Mesin Cuci; R. Jemur; R. Makan; Dapur; Dispenser; CCTV; Jemuran; Parkir Motor &amp; Sepeda"/>
    <n v="1500000"/>
    <s v="Rp1.500.000"/>
    <n v="0.20833333333333334"/>
    <d v="1899-12-30T05:00:00"/>
    <s v="Kos Putri"/>
    <m/>
    <m/>
  </r>
  <r>
    <s v="Kost Pondok Hijau Dramaga Bogor"/>
    <x v="0"/>
    <x v="73"/>
    <n v="9"/>
    <s v="3 x 3 meter"/>
    <s v="Termasuk listrik (implied)"/>
    <s v=""/>
    <s v="N/A"/>
    <s v="3 x 3 meter; Termasuk listrik; Kasur; Meja; Lemari Baju; Kloset Jongkok; K. Mandi Luar; Ember mandi; Shower; WiFi; Kulkas; Penjaga Kos; Dapur; Pengurus Kos; Parkir Motor"/>
    <n v="560000"/>
    <s v="Rp560.000"/>
    <n v="0"/>
    <m/>
    <s v="Kos Putri"/>
    <m/>
    <m/>
  </r>
  <r>
    <s v="Kost Pondok Iona Tipe A Ciampea Bogor"/>
    <x v="0"/>
    <x v="117"/>
    <n v="12"/>
    <s v="3 x 4 meter"/>
    <s v="Termasuk listrik (implied)"/>
    <s v=""/>
    <s v="N/A"/>
    <s v="3 x 4 meter; Termasuk listrik; Kasur; Meja; Lemari Baju; Ventilasi; Kursi; Bantal; Jendela; Kloset Jongkok; K. Mandi Luar; Ember mandi; WiFi; R. Tamu; Penjaga Kos; R. Makan; R. Jemur; R. Santai; Dapur; TV; Taman; R. Keluarga; Parkir Mobil; Parkir Motor; Parkir Sepeda"/>
    <n v="710000"/>
    <s v="Rp710.000"/>
    <n v="0.1673611111111111"/>
    <d v="1899-12-30T04:01:00"/>
    <s v="Kos Campur"/>
    <m/>
    <m/>
  </r>
  <r>
    <s v="Kost Pondok Iona Tipe B Ciampea Bogor"/>
    <x v="0"/>
    <x v="117"/>
    <n v="12"/>
    <s v="3 x 4 meter"/>
    <s v="Termasuk listrik (implied)"/>
    <s v=""/>
    <s v="N/A"/>
    <s v="3 x 4 meter; Termasuk listrik; Kasur; Meja; Lemari Baju; Ventilasi; Kursi; Bantal; Jendela; K. Mandi Dalam; Kloset Jongkok; Ember mandi; WiFi; R. Tamu; Penjaga Kos; R. Makan; R. Jemur; R. Santai; Dapur; TV; Taman; R. Keluarga; Parkir Mobil; Parkir Motor; Parkir Sepeda"/>
    <n v="820000"/>
    <s v="Rp820.000"/>
    <n v="0.125"/>
    <d v="1899-12-30T03:00:00"/>
    <s v="Kos Campur"/>
    <m/>
    <m/>
  </r>
  <r>
    <s v="Kost Pondok Iona Tipe C Ciampea Bogor"/>
    <x v="0"/>
    <x v="117"/>
    <n v="21"/>
    <s v="7 x 3 meter"/>
    <s v="Termasuk listrik (implied)"/>
    <s v=""/>
    <s v="N/A"/>
    <s v="7 x 3 meter; Termasuk listrik; Kasur; Meja; Lemari Baju; Ventilasi; Kursi; Bantal; Jendela; K. Mandi Dalam; Kloset Duduk; Bak mandi; WiFi; R. Tamu; Penjaga Kos; R. Makan; R. Jemur; R. Santai; Dapur; TV; Taman; R. Keluarga; Parkir Mobil; Parkir Motor; Parkir Sepeda"/>
    <n v="1040000"/>
    <s v="Rp1.040.000"/>
    <n v="0.17222222222222225"/>
    <d v="1899-12-30T04:08:00"/>
    <s v="Kos Campur"/>
    <m/>
    <m/>
  </r>
  <r>
    <s v="Kost Pondok Khadijah Executive Dramaga Bogor"/>
    <x v="0"/>
    <x v="73"/>
    <n v="9"/>
    <s v="3 x 3 meter"/>
    <s v="Tidak termasuk listrik"/>
    <s v=""/>
    <s v="N/A"/>
    <s v="3 x 3 meter; Tidak termasuk listrik; AC; Kasur; Lemari Baju; Ventilasi; Bantal; Jendela; Kursi; Meja makan; K. Mandi Dalam; Kloset Duduk; Ember mandi; Shower; WiFi; Kulkas; R. Jemur; Dapur; Balcon; CCTV; Jemuran; Pengurus Kos; Rooftop; Parkir Motor &amp; Sepeda"/>
    <n v="850000"/>
    <s v="Rp850.000"/>
    <n v="0"/>
    <m/>
    <s v="Kos Putri"/>
    <m/>
    <m/>
  </r>
  <r>
    <s v="Kost Pondok Midini 2 Cikarang Selatan Bekasi"/>
    <x v="7"/>
    <x v="27"/>
    <n v="25.6"/>
    <s v="3.2 x 8 meter"/>
    <s v="Tidak termasuk listrik"/>
    <s v=""/>
    <s v="N/A"/>
    <s v="3.2 x 8 meter; Tidak termasuk listrik; AC; Kasur; TV; Lemari Baju; Dapur Pribadi; K. Mandi Dalam; Kloset Duduk; R. Jemur; Parkir Motor"/>
    <n v="1200000"/>
    <s v="Rp1.200.000"/>
    <n v="0"/>
    <m/>
    <s v="Kos Campur"/>
    <m/>
    <m/>
  </r>
  <r>
    <s v="Kost Pondok Midini Tipe A Cikarang Selatan Bekasi"/>
    <x v="7"/>
    <x v="27"/>
    <n v="21"/>
    <s v="3 x 7 meter"/>
    <s v="Tidak termasuk listrik"/>
    <s v=""/>
    <s v="N/A"/>
    <s v="3 x 7 meter; Tidak termasuk listrik; AC; Kasur; TV; Lemari Baju; Bantal; Dapur Pribadi; Guling; Jendela; K. Mandi Dalam; Kloset Duduk; Jemuran; Pengurus Kos; Parkir Mobil; Parkir Motor"/>
    <n v="1050000"/>
    <s v="Rp1.050.000"/>
    <n v="0"/>
    <m/>
    <s v="Kos Campur"/>
    <m/>
    <m/>
  </r>
  <r>
    <s v="Kost Pondok Mitra Tipe B Tanjung Priok Jakarta Utara"/>
    <x v="4"/>
    <x v="5"/>
    <n v="12"/>
    <s v="3 x 4 meter"/>
    <s v="Tidak termasuk listrik"/>
    <s v=""/>
    <s v="N/A"/>
    <s v="3 x 4 meter; Tidak termasuk listrik; AC; Kasur; Lemari Baju; Ventilasi; Bantal; Guling; Jendela; K. Mandi Dalam; WiFi"/>
    <n v="1100000"/>
    <s v="Rp1.100.000"/>
    <n v="0.13055555555555556"/>
    <d v="1899-12-30T03:08:00"/>
    <s v="Kos Campur"/>
    <m/>
    <m/>
  </r>
  <r>
    <s v="Kost Pondok Mitra Tipe C Tanjung Priok Jakarta Utara"/>
    <x v="4"/>
    <x v="10"/>
    <n v="18"/>
    <s v="3 x 6 meter"/>
    <s v="Tidak termasuk listrik"/>
    <s v=""/>
    <s v="N/A"/>
    <s v="3 x 6 meter; Tidak termasuk listrik; Kasur; Lemari Baju; Ventilasi; Kursi; Kipas Angin; Bantal; K. Mandi Dalam; Kloset Jongkok; Ember mandi; WiFi; R. Jemur; CCTV; Parkir Motor"/>
    <n v="1100000"/>
    <s v="Rp1.100.000"/>
    <n v="0.20833333333333334"/>
    <d v="1899-12-30T05:00:00"/>
    <s v="Kos Campur"/>
    <m/>
    <m/>
  </r>
  <r>
    <s v="Kost Pondok Muslimah Tipe B Gudep Jakarta Timur"/>
    <x v="8"/>
    <x v="72"/>
    <n v="9"/>
    <s v="3 x 3 meter"/>
    <s v="Tidak termasuk listrik"/>
    <s v=""/>
    <s v="N/A"/>
    <s v="3 x 3 meter; Tidak termasuk listrik; Ventilasi; Kloset Duduk; R. Jemur; Dapur; Balcon"/>
    <n v="950000"/>
    <s v="Rp950.000"/>
    <n v="0.17083333333333331"/>
    <d v="1899-12-30T04:06:00"/>
    <s v="Kos Putri"/>
    <m/>
    <s v="Diskon 84rb"/>
  </r>
  <r>
    <s v="Kost Pondok Nila Tipe VVIP Karawaci Tangerang"/>
    <x v="6"/>
    <x v="116"/>
    <n v="9"/>
    <s v="3 x 3 meter"/>
    <s v="Tidak termasuk listrik"/>
    <s v=""/>
    <s v="N/A"/>
    <s v="3 x 3 meter; Tidak termasuk listrik; AC; Kasur; Meja; Lemari Baju; Ventilasi; Bantal; Cermin; Guling; Jendela; Kipas Angin; Kloset Duduk; K. Mandi Luar; Ember mandi; Shower; WiFi; Kulkas; R. Cuci; Mesin Cuci; R. Tamu; R. Jemur; Dapur; CCTV; Jemuran; Pengurus Kos; Parkir Motor &amp; Sepeda"/>
    <n v="1200000"/>
    <s v="Rp1.200.000"/>
    <n v="0"/>
    <m/>
    <s v="Kos Putri"/>
    <m/>
    <m/>
  </r>
  <r>
    <s v="Kost Pondok Raos Dramaga Bogor"/>
    <x v="0"/>
    <x v="23"/>
    <n v="6.75"/>
    <s v="2.5 x 2.7 meter"/>
    <s v="Tidak termasuk listrik"/>
    <s v=""/>
    <s v="N/A"/>
    <s v="2.5 x 2.7 meter; Tidak termasuk listrik; Kasur; Ventilasi; Bantal; Jendela; Kloset Duduk; Kloset Jongkok; K. Mandi Luar; Ember mandi; Shower; R. Cuci; R. Jemur; Dapur; Dispenser; Balcon; Jemuran; Parkir Motor &amp; Sepeda"/>
    <n v="500000"/>
    <s v="Rp500.000"/>
    <n v="0.17013888888888887"/>
    <d v="1899-12-30T04:05:00"/>
    <s v="Kos Putri"/>
    <m/>
    <m/>
  </r>
  <r>
    <s v="Kost Pondok Rindang Tipe C Beji Depok"/>
    <x v="1"/>
    <x v="15"/>
    <n v="9"/>
    <s v="3 x 3 meter"/>
    <s v="Termasuk listrik (implied)"/>
    <s v=""/>
    <s v="N/A"/>
    <s v="3 x 3 meter; Termasuk listrik; AC; Kasur; Meja; Lemari Baju; Kursi; K. Mandi Dalam; Kloset Duduk; Ember mandi; Shower; Parkir Mobil; Parkir Motor; Parkir Sepeda"/>
    <n v="1500000"/>
    <s v="Rp1.500.000"/>
    <n v="0.1277777777777778"/>
    <d v="1899-12-30T03:04:00"/>
    <s v="Kos Putra"/>
    <m/>
    <m/>
  </r>
  <r>
    <s v="Kost Pondok Rizquna Beji Depok"/>
    <x v="1"/>
    <x v="15"/>
    <n v="7.5"/>
    <s v="2.5 x 3 meter"/>
    <s v="Tidak termasuk listrik"/>
    <s v=""/>
    <s v="N/A"/>
    <s v="2.5 x 3 meter; Tidak termasuk listrik; AC; Kasur; Meja; Lemari Baju; Kursi; K. Mandi Dalam; Kloset Jongkok; Shower; WiFi; Dapur; Parkir Motor; Parkir Sepeda"/>
    <n v="1000000"/>
    <s v="Rp1.000.000"/>
    <n v="0.17083333333333331"/>
    <d v="1899-12-30T04:06:00"/>
    <s v="Kos Putra"/>
    <m/>
    <s v="Diskon 110rb"/>
  </r>
  <r>
    <s v="Kost Pondok Salam Ciampea Bogor"/>
    <x v="0"/>
    <x v="85"/>
    <n v="9"/>
    <s v="3 x 3 meter"/>
    <s v="Tidak termasuk listrik"/>
    <s v=""/>
    <s v="N/A"/>
    <s v="3 x 3 meter; Tidak termasuk listrik; Jendela; K. Mandi Dalam; Kloset Jongkok; Shower; R. Tamu; R. Jemur; R. Makan; Dapur; Balcon; Jemuran; R. Keluarga; Parkir Mobil; Parkir Motor; Parkir Sepeda; Parkir Motor &amp; Sepeda"/>
    <n v="1250000"/>
    <s v="Rp1.250.000"/>
    <n v="0"/>
    <m/>
    <s v="Kos Campur"/>
    <m/>
    <m/>
  </r>
  <r>
    <s v="Kost Pondok Sofura Beji Depok"/>
    <x v="1"/>
    <x v="15"/>
    <n v="12"/>
    <s v="3 x 4 meter"/>
    <s v="Termasuk listrik (implied)"/>
    <s v=""/>
    <s v="N/A"/>
    <s v="3 x 4 meter; Termasuk listrik; Kasur; Meja; Lemari Baju; Jendela; K. Mandi Dalam; Kloset Duduk; Ember mandi; Shower; WiFi; Penjaga Kos; R. Jemur; R. Santai; Jemuran; Pengurus Kos; Taman; Parkir Mobil; Parkir Motor; Parkir Sepeda"/>
    <n v="1100000"/>
    <s v="Rp1.100.000"/>
    <n v="0.17083333333333331"/>
    <d v="1899-12-30T04:06:00"/>
    <s v="Kos Putra"/>
    <m/>
    <s v="Diskon 90rb"/>
  </r>
  <r>
    <s v="Kost Pondok Terang Tipe A Cibodas Tangerang"/>
    <x v="6"/>
    <x v="92"/>
    <n v="18"/>
    <s v="3 x 6 meter"/>
    <s v="Tidak termasuk listrik"/>
    <s v=""/>
    <s v="N/A"/>
    <s v="3 x 6 meter; Tidak termasuk listrik; Ventilasi; K. Mandi Dalam; Kloset Jongkok; Ember mandi; R. Jemur; Parkir Motor; Parkir Sepeda"/>
    <n v="500000"/>
    <s v="Rp500.000"/>
    <n v="0"/>
    <m/>
    <s v="Kos Campur"/>
    <m/>
    <m/>
  </r>
  <r>
    <s v="Kost Pondok Tipe Menengah Pulo Gadung Jakarta Timur"/>
    <x v="8"/>
    <x v="32"/>
    <n v="9"/>
    <s v="3 x 3 meter"/>
    <s v="Termasuk listrik (implied)"/>
    <s v=""/>
    <s v="N/A"/>
    <s v="3 x 3 meter; Termasuk listrik; Kasur; Meja; Ventilasi; Bantal; Jendela; Kipas Angin; K. Mandi Dalam; Kloset Jongkok; K. Mandi Luar; Bak mandi; WiFi; Kulkas; R. Cuci; R. Jemur; R. Santai; Jemuran; Pengurus Kos; TV; Parkir Sepeda; Parkir Motor"/>
    <n v="1200000"/>
    <s v="Rp1.200.000"/>
    <n v="0"/>
    <m/>
    <s v="Kos Putri"/>
    <m/>
    <m/>
  </r>
  <r>
    <s v="Kost Pondok Venesia I Babakan Madang Bogor"/>
    <x v="0"/>
    <x v="80"/>
    <n v="9"/>
    <s v="3 x 3 meter"/>
    <s v="Termasuk listrik (implied)"/>
    <s v=""/>
    <s v="N/A"/>
    <s v="3 x 3 meter; Termasuk listrik; AC; Kasur; Meja; Ventilasi; Bantal; Cermin; Guling; Jendela; Kursi; K. Mandi Dalam; Kloset Duduk; Ember mandi; Shower; Air panas; WiFi; Kulkas; Mesin Cuci; R. Tamu; R. Makan; R. Santai; Dapur; Dispenser; Pengurus Kos; Rice Cooker"/>
    <n v="1850000"/>
    <s v="Rp1.850.000"/>
    <n v="0"/>
    <m/>
    <s v="Kos Campur"/>
    <m/>
    <m/>
  </r>
  <r>
    <s v="Kost Pratama Tipe B3 Duren Sawit Jakarta Timur"/>
    <x v="8"/>
    <x v="39"/>
    <n v="15"/>
    <s v="2.5 x 6 meter"/>
    <s v="Tidak termasuk listrik"/>
    <s v=""/>
    <s v="N/A"/>
    <s v="2.5 x 6 meter; Tidak termasuk listrik; AC; Kasur; Meja; Lemari Baju; Ventilasi; Bantal; Jendela; Kursi; K. Mandi Dalam; Kloset Duduk; Ember mandi; WiFi; Kulkas; R. Cuci; R. Tamu; Penjaga Kos; R. Jemur; R. Makan; R. Santai; Dapur; Balcon; Parkir Motor"/>
    <n v="1600000"/>
    <s v="Rp1.600.000"/>
    <n v="0.20833333333333334"/>
    <d v="1899-12-30T05:00:00"/>
    <s v="Kos Campur"/>
    <m/>
    <s v="Diskon 80rb"/>
  </r>
  <r>
    <s v="Kost Pratama Tipe B3 Duren Sawit Jakarta Timur"/>
    <x v="8"/>
    <x v="39"/>
    <n v="15"/>
    <s v="2.5 x 6 meter"/>
    <s v="Tidak termasuk listrik"/>
    <s v=""/>
    <s v="N/A"/>
    <s v="2.5 x 6 meter; Tidak termasuk listrik; AC; Kasur; Meja; Lemari Baju; Ventilasi; Bantal; Jendela; Kursi; K. Mandi Dalam; Kloset Duduk; Ember mandi; WiFi; Kulkas; R. Cuci; R. Tamu; Penjaga Kos; R. Jemur; R. Makan; R. Santai; Dapur; Balcon; Parkir Motor"/>
    <n v="1600000"/>
    <s v="Rp1.600.000"/>
    <n v="0.17291666666666669"/>
    <d v="1899-12-30T04:09:00"/>
    <s v="Kos Campur"/>
    <m/>
    <s v="Diskon 80rb"/>
  </r>
  <r>
    <s v="Kost Pratama Tipe G2 Duren Sawit Jakarta Timur"/>
    <x v="8"/>
    <x v="39"/>
    <n v="12"/>
    <s v="3 x 4 meter"/>
    <s v="Tidak termasuk listrik"/>
    <s v=""/>
    <s v="N/A"/>
    <s v="3 x 4 meter; Tidak termasuk listrik; AC; Kasur; Meja; Lemari Baju; Ventilasi; Kursi; Bantal; Jendela; K. Mandi Dalam; Kloset Duduk; Ember mandi; WiFi; R. Cuci; Kulkas; R. Tamu; Penjaga Kos; R. Jemur; R. Makan; R. Santai; Dapur; Balcon; Parkir Motor"/>
    <n v="1300000"/>
    <s v="Rp1.300.000"/>
    <n v="0.17083333333333331"/>
    <d v="1899-12-30T04:06:00"/>
    <s v="Kos Putri"/>
    <m/>
    <m/>
  </r>
  <r>
    <s v="Kost Premier Cengkareng Jakarta Barat"/>
    <x v="3"/>
    <x v="53"/>
    <n v="16"/>
    <s v="4 x 4 meter"/>
    <s v="Tidak termasuk listrik"/>
    <s v=""/>
    <s v="N/A"/>
    <s v="4 x 4 meter; Tidak termasuk listrik; AC; Kasur; Meja; Dispenser; TV; Meja Rias; Lemari Baju; Kulkas; Ventilasi; Kursi; K. Mandi Dalam; Kloset Duduk; Wastafel; Ember mandi; Shower; Air panas; WiFi; R. Cuci; R. Tamu; Penjaga Kos; R. Makan; R. Jemur; R. Santai; Dapur; Parkir Mobil; Parkir Motor; Parkir Sepeda"/>
    <n v="2300000"/>
    <s v="Rp2.300.000"/>
    <n v="0.20833333333333334"/>
    <d v="1899-12-30T05:00:00"/>
    <s v="Kos Campur"/>
    <m/>
    <m/>
  </r>
  <r>
    <s v="Kost Premium Dekat UI Hypocrates Gallery Tipe A Beji Depok"/>
    <x v="1"/>
    <x v="15"/>
    <n v="12"/>
    <s v="3 x 4 meter"/>
    <s v="Tidak termasuk listrik"/>
    <s v=""/>
    <s v="N/A"/>
    <s v="3 x 4 meter; Tidak termasuk listrik; AC; Kasur; Meja; Lemari Baju; Jendela; Cermin; Wastafel; K. Mandi Dalam; Kloset Duduk; Shower; Air panas; WiFi; Kulkas; R. Tamu; Penjaga Kos; R. Makan; Dapur; CCTV; Pengurus Kos; TV"/>
    <n v="2300000"/>
    <s v="Rp2.300.000"/>
    <n v="0.20833333333333334"/>
    <d v="1899-12-30T05:00:00"/>
    <s v="Kos Putri"/>
    <m/>
    <s v="Diskon 220rb"/>
  </r>
  <r>
    <s v="Kost Premium Gading Putih Tipe 1 Kelapa Gading Jakarta Utara"/>
    <x v="4"/>
    <x v="111"/>
    <n v="11.61"/>
    <s v="2.7 x 4.3 meter"/>
    <s v="Tidak termasuk listrik"/>
    <s v=""/>
    <s v="N/A"/>
    <s v="2.7 x 4.3 meter; Tidak termasuk listrik; AC; Kasur; Meja; Lemari Baju; Ventilasi; Kursi; Cleaning service; Bantal; Cermin; Jendela; K. Mandi Dalam; Kloset Duduk; Wastafel; Shower; Air panas; R. Cuci; Kulkas; R. Tamu; Mesin Cuci; Penjaga Kos; Laundry; R. Jemur; R. Santai; Balcon; CCTV; Parkir Motor; Parkir Sepeda"/>
    <n v="2100000"/>
    <s v="Rp2.100.000"/>
    <n v="0.20833333333333334"/>
    <d v="1899-12-30T05:00:00"/>
    <s v="Kos Campur"/>
    <m/>
    <s v="Diskon 168rb"/>
  </r>
  <r>
    <s v="Kost Premium Gading Putih Tipe 2 Kelapa Gading Jakarta Utara"/>
    <x v="4"/>
    <x v="111"/>
    <n v="11.61"/>
    <s v="2.7 x 4.3 meter"/>
    <s v="Tidak termasuk listrik"/>
    <s v=""/>
    <s v="N/A"/>
    <s v="2.7 x 4.3 meter; Tidak termasuk listrik; AC; Kasur; Meja; Lemari Baju; Ventilasi; Kursi; Wastafel; Cleaning service; Bantal; Cermin; K. Mandi Dalam; Kloset Duduk; Shower; Air panas; R. Cuci; Kulkas; R. Tamu; Mesin Cuci; Penjaga Kos; Laundry; R. Jemur; R. Santai; Dapur; Balcon; Parkir Motor; Parkir Sepeda"/>
    <n v="2400000"/>
    <s v="Rp2.400.000"/>
    <n v="0.20833333333333334"/>
    <d v="1899-12-30T05:00:00"/>
    <s v="Kos Campur"/>
    <m/>
    <m/>
  </r>
  <r>
    <s v="Kost Puan Kelapa Gading Jakarta Utara"/>
    <x v="4"/>
    <x v="79"/>
    <n v="12"/>
    <s v="3 x 4 meter"/>
    <s v="Termasuk listrik (implied)"/>
    <s v=""/>
    <s v="N/A"/>
    <s v="3 x 4 meter; Termasuk listrik; AC; Kasur; Dispenser; Lemari Baju; Kulkas; Bantal; Cermin; Jendela; Kursi; Cleaning service; Kloset Duduk; K. Mandi Luar; Wastafel; Shower; Air panas; WiFi; R. Cuci; Laundry; Mesin Cuci; Penjaga Kos; Dapur; Jemuran; Jual Makanan; Parkir Mobil; Parkir Sepeda; Parkir Motor; Parkir Motor &amp; Sepeda"/>
    <n v="1900000"/>
    <s v="Rp1.900.000"/>
    <n v="0.17013888888888887"/>
    <d v="1899-12-30T04:05:00"/>
    <s v="Kos Campur"/>
    <m/>
    <s v="Diskon 168rb"/>
  </r>
  <r>
    <s v="Kost Puchay 2 Cikarang Utara Bekasi"/>
    <x v="7"/>
    <x v="78"/>
    <n v="10.5"/>
    <s v="3 x 3.5 meter"/>
    <s v="Tidak termasuk listrik"/>
    <s v=""/>
    <s v="N/A"/>
    <s v="3 x 3.5 meter; Tidak termasuk listrik; AC; Kasur; Meja; TV; Lemari Baju; Bantal; Cermin; Cleaning service; Jendela; Kursi; K. Mandi Dalam; Kloset Duduk; Shower; WiFi; Kulkas; R. Cuci; Laundry; R. Tamu; R. Jemur; R. Santai; Dapur; Balcon; CCTV; Parkir Mobil; Parkir Motor; Parkir Sepeda"/>
    <n v="1300000"/>
    <s v="Rp1.300.000"/>
    <n v="0.20833333333333334"/>
    <d v="1899-12-30T05:00:00"/>
    <s v="Kos Campur"/>
    <m/>
    <m/>
  </r>
  <r>
    <s v="Kost Pulo Asem Utara 3 Standard Pulo Gadung Jakarta Timur"/>
    <x v="8"/>
    <x v="94"/>
    <n v="9"/>
    <s v="3 x 3 meter"/>
    <s v="Termasuk listrik (implied)"/>
    <s v=""/>
    <s v="N/A"/>
    <s v="3 x 3 meter; Termasuk listrik; AC; Kasur; Meja Rias; Lemari Baju; Bantal; Kipas Angin; Jendela; Kloset Duduk; Kloset Jongkok; Ember mandi; Bak mandi; WiFi; Kulkas; R. Cuci; R. Tamu; R. Jemur; R. Makan; Dapur; CCTV; Balcon; Jemuran; Parkir Motor; Parkir Motor &amp; Sepeda"/>
    <n v="1250000"/>
    <s v="Rp1.250.000"/>
    <n v="0.17222222222222225"/>
    <d v="1899-12-30T04:08:00"/>
    <s v="Kos Putri"/>
    <m/>
    <m/>
  </r>
  <r>
    <s v="Kost Pundara Cikarang Selatan Bekasi"/>
    <x v="7"/>
    <x v="27"/>
    <n v="13.5"/>
    <s v="3 x 4.5 meter"/>
    <s v="Termasuk listrik (implied)"/>
    <s v=""/>
    <s v="N/A"/>
    <s v="3 x 4.5 meter; Termasuk listrik; Kasur; Lemari Baju; Ventilasi; Bantal; Cermin; Guling; Jendela; Kipas Angin; K. Mandi Dalam; Kloset Duduk; Kloset Jongkok; Ember mandi; WiFi; Penjaga Kos; R. Jemur; R. Santai; Taman; Pengurus Kos; Jemuran; Parkir Mobil; Parkir Motor &amp; Sepeda"/>
    <n v="950000"/>
    <s v="Rp950.000"/>
    <n v="0.20833333333333334"/>
    <d v="1899-12-30T05:00:00"/>
    <s v="Kos Campur"/>
    <m/>
    <m/>
  </r>
  <r>
    <s v="Kost Puri Asri Executive Limo Depok"/>
    <x v="1"/>
    <x v="9"/>
    <n v="9"/>
    <s v="3 x 3 meter"/>
    <s v="Tidak termasuk listrik"/>
    <s v=""/>
    <s v="N/A"/>
    <s v="3 x 3 meter; Tidak termasuk listrik; AC; Meja; Lemari Baju; Kursi; K. Mandi Dalam; Kloset Duduk; Ember mandi; Shower; R. Tamu; R. Jemur; Dapur; Dispenser; Balcon; Parkir Motor"/>
    <n v="1300000"/>
    <s v="Rp1.300.000"/>
    <n v="0"/>
    <m/>
    <s v="Kos Putri"/>
    <m/>
    <m/>
  </r>
  <r>
    <s v="Kost Puri Chayankoe Cikarang Barat Bekasi"/>
    <x v="7"/>
    <x v="19"/>
    <n v="12"/>
    <s v="3 x 4 meter"/>
    <s v="Tidak termasuk listrik"/>
    <s v=""/>
    <s v="N/A"/>
    <s v="3 x 4 meter; Tidak termasuk listrik; AC; Kasur; Lemari Baju; TV Kabel; K. Mandi Dalam; Kloset Duduk; Shower; WiFi; Laundry; Dapur; Parkir Mobil; Parkir Motor"/>
    <n v="1300000"/>
    <s v="Rp1.300.000"/>
    <n v="0.17013888888888887"/>
    <d v="1899-12-30T04:05:00"/>
    <s v="Kos Campur"/>
    <m/>
    <m/>
  </r>
  <r>
    <s v="Kost Puri Elok Cikarang Pusat Bekasi"/>
    <x v="7"/>
    <x v="118"/>
    <n v="12"/>
    <s v="3 x 4 meter"/>
    <s v="Tidak termasuk listrik"/>
    <s v=""/>
    <s v="N/A"/>
    <s v="3 x 4 meter; Tidak termasuk listrik; AC; Kasur; Meja; Lemari Baju; Ventilasi; Bantal; Guling; Jendela; Kursi; K. Mandi Dalam; Kloset Duduk; Shower"/>
    <n v="1500000"/>
    <s v="Rp1.500.000"/>
    <n v="0.17222222222222225"/>
    <d v="1899-12-30T04:08:00"/>
    <s v="Kos Campur"/>
    <m/>
    <m/>
  </r>
  <r>
    <s v="Kost Puri Elok Jababeka Cikarang Pusat Bekasi"/>
    <x v="7"/>
    <x v="118"/>
    <n v="12"/>
    <s v="3 x 4 meter"/>
    <s v="Tidak termasuk listrik"/>
    <s v=""/>
    <s v="N/A"/>
    <s v="3 x 4 meter; Tidak termasuk listrik; AC; Kasur; Meja; Lemari Baju; Ventilasi; Bantal; Guling; Jendela; Kursi; K. Mandi Dalam; Kloset Duduk; Shower; WiFi; Kulkas; R. Tamu; R. Jemur; Dapur; Dispenser; CCTV; Jemuran; TV; K. Mandi Luar; Parkir Mobil; Parkir Motor; Parkir Sepeda"/>
    <n v="1500000"/>
    <s v="Rp1.500.000"/>
    <n v="0.17222222222222225"/>
    <d v="1899-12-30T04:08:00"/>
    <s v="Kos Campur"/>
    <m/>
    <m/>
  </r>
  <r>
    <s v="Kost Puri G Hara Jatinegara Jakarta Timur"/>
    <x v="8"/>
    <x v="58"/>
    <n v="6"/>
    <s v="2 x 3 meter"/>
    <s v="Termasuk listrik (implied)"/>
    <s v=""/>
    <s v="N/A"/>
    <s v="2 x 3 meter; Termasuk listrik; Kasur; Meja; Lemari Baju; Ventilasi; Bantal; Guling; Jendela; Kursi; K. Mandi Dalam; Kloset Duduk; Ember mandi; Shower; WiFi; Penjaga Kos; R. Jemur; R. Santai; Dapur; Dispenser; Balcon; CCTV; Jemuran; Parkir Motor; Parkir Sepeda"/>
    <n v="1850000"/>
    <s v="Rp1.850.000"/>
    <n v="0.20833333333333334"/>
    <d v="1899-12-30T05:00:00"/>
    <s v="Kos Putra"/>
    <m/>
    <m/>
  </r>
  <r>
    <s v="Kost Puri Lebak Cimanggis Depok"/>
    <x v="1"/>
    <x v="46"/>
    <n v="12"/>
    <s v="3 x 4 meter"/>
    <s v="Termasuk listrik (implied)"/>
    <s v=""/>
    <s v="N/A"/>
    <s v="3 x 4 meter; Termasuk listrik; Kasur; Meja; Lemari Baju; Ventilasi; Kursi; Jendela; K. Mandi Dalam; Kloset Duduk; Ember mandi; WiFi; R. Cuci; Kulkas; R. Tamu; Mesin Cuci; Penjaga Kos; Laundry; R. Jemur; Mushola; R. Santai; Parkir Motor; Parkir Sepeda"/>
    <n v="900000"/>
    <s v="Rp900.000"/>
    <n v="0.17083333333333331"/>
    <d v="1899-12-30T04:06:00"/>
    <s v="Kos Putra"/>
    <m/>
    <s v="Diskon 90rb"/>
  </r>
  <r>
    <s v="Kost Puri Marissa Ciputat Tangerang Selatan"/>
    <x v="2"/>
    <x v="65"/>
    <n v="12"/>
    <s v="3 x 4 meter"/>
    <s v="Termasuk listrik (implied)"/>
    <s v=""/>
    <s v="N/A"/>
    <s v="3 x 4 meter; Termasuk listrik; AC; Kasur; Meja; TV; Lemari Baju; Kulkas; Wastafel; Sofa; Bantal; Cermin; K. Mandi Dalam; Kloset Duduk; Ember mandi; Shower; WiFi; Jemuran; Parkir Mobil; Parkir Motor"/>
    <n v="2250000"/>
    <s v="Rp2.250.000"/>
    <n v="0.20833333333333334"/>
    <d v="1899-12-30T05:00:00"/>
    <s v="Kos Campur"/>
    <m/>
    <m/>
  </r>
  <r>
    <s v="Kost Puri Yosefa 2 Tipe A Cikarang Utara Bekasi"/>
    <x v="7"/>
    <x v="78"/>
    <n v="12"/>
    <s v="3 x 4 meter"/>
    <s v="Tidak termasuk listrik"/>
    <s v=""/>
    <s v="N/A"/>
    <s v="3 x 4 meter; Tidak termasuk listrik; AC; Kasur; Meja; Lemari Baju; Ventilasi; Kursi; Cleaning service; Bantal; Cermin; Guling; K. Mandi Dalam; Kloset Duduk; Ember mandi; Shower; WiFi; Penjaga Kos; Pengurus Kos; Jemuran; Parkir Motor; Parkir Sepeda"/>
    <n v="1200000"/>
    <s v="Rp1.200.000"/>
    <n v="0.17083333333333331"/>
    <d v="1899-12-30T04:06:00"/>
    <s v="Kos Campur"/>
    <m/>
    <m/>
  </r>
  <r>
    <s v="Kost Puri Yosefa 3 Cikarang Selatan Bekasi"/>
    <x v="7"/>
    <x v="27"/>
    <n v="12"/>
    <s v="3 x 4 meter"/>
    <s v="Tidak termasuk listrik"/>
    <s v=""/>
    <s v="N/A"/>
    <s v="3 x 4 meter; Tidak termasuk listrik; AC; Kasur; Lemari Baju; Ventilasi; Bantal; Cermin; Jendela; K. Mandi Dalam; Kloset Jongkok; Ember mandi; WiFi; Penjaga Kos; R. Santai; Dapur; Pengurus Kos; Jemuran; Balcon; Parkir Motor"/>
    <n v="1200000"/>
    <s v="Rp1.200.000"/>
    <n v="0.20833333333333334"/>
    <d v="1899-12-30T05:00:00"/>
    <s v="Kos Campur"/>
    <m/>
    <m/>
  </r>
  <r>
    <s v="Kost Purnama Resort Nirmala Tipe B Cengkareng Jakarta Barat"/>
    <x v="3"/>
    <x v="169"/>
    <n v="9"/>
    <s v="3 x 3 meter"/>
    <s v="Tidak termasuk listrik"/>
    <s v=""/>
    <s v="N/A"/>
    <s v="3 x 3 meter; Tidak termasuk listrik; AC; Kasur; Meja; Meja Rias; Lemari Baju; Ventilasi; Bantal; Cermin; Guling; Jendela; K. Mandi Dalam; Kloset Duduk; Shower; WiFi; R. Santai; Dapur; Dispenser; Gazebo; Joglo; Parkir Motor; Parkir Sepeda"/>
    <n v="1500000"/>
    <s v="Rp1.500.000"/>
    <n v="0.17083333333333331"/>
    <d v="1899-12-30T04:06:00"/>
    <s v="Kos Campur"/>
    <m/>
    <m/>
  </r>
  <r>
    <s v="Kost Purnama Resort Palem Kalideres Jakarta Barat"/>
    <x v="3"/>
    <x v="131"/>
    <n v="9"/>
    <s v="3 x 3 meter"/>
    <s v="Tidak termasuk listrik"/>
    <s v=""/>
    <s v="N/A"/>
    <s v="3 x 3 meter; Tidak termasuk listrik; AC; Kasur; Meja; Meja Rias; Lemari Baju; Ventilasi; Jendela; Bantal; Cermin; Guling; K. Mandi Dalam; Kloset Jongkok; WiFi; Penjaga Kos; Jemuran; CCTV; Pengurus Kos; Taman; Parkir Motor; Parkir Sepeda"/>
    <n v="1400000"/>
    <s v="Rp1.400.000"/>
    <n v="0.16874999999999998"/>
    <d v="1899-12-30T04:03:00"/>
    <s v="Kos Campur"/>
    <m/>
    <m/>
  </r>
  <r>
    <s v="Kost Puspa Residence 1 Cikarang Utara Bekasi"/>
    <x v="7"/>
    <x v="78"/>
    <n v="12"/>
    <s v="3 x 4 meter"/>
    <s v="Tidak termasuk listrik"/>
    <s v=""/>
    <s v="N/A"/>
    <s v="3 x 4 meter; Tidak termasuk listrik; AC; Kasur; Meja Rias; Lemari Baju; Kursi; Cleaning service; Bantal; Cermin; Guling; Jendela; K. Mandi Dalam; Kloset Duduk; Kloset Jongkok; K. Mandi Luar; Wastafel; Ember mandi; Shower; WiFi; Kulkas; R. Tamu; R. Makan; R. Jemur; R. Santai; Dapur; Taman; CCTV; Jemuran; Parkir Mobil; Parkir Motor; Parkir Sepeda"/>
    <n v="1300000"/>
    <s v="Rp1.300.000"/>
    <n v="0"/>
    <m/>
    <s v="Kos Putri"/>
    <m/>
    <m/>
  </r>
  <r>
    <s v="Kost Puspa Residence 2 Tipe B Cikarang Utara Bekasi"/>
    <x v="7"/>
    <x v="78"/>
    <n v="12"/>
    <s v="3 x 4 meter"/>
    <s v="Tidak termasuk listrik"/>
    <s v=""/>
    <s v="N/A"/>
    <s v="3 x 4 meter; Tidak termasuk listrik; AC; Kasur; Meja; Lemari Baju; Kursi; Cleaning service; Bantal; Cermin; Guling; K. Mandi Dalam; Kloset Duduk; Wastafel; Ember mandi; Shower; WiFi; Kulkas; R. Tamu; R. Makan; R. Jemur; R. Santai; Dapur; Taman; CCTV; Jemuran; Parkir Mobil; Parkir Motor; Parkir Sepeda"/>
    <n v="1500000"/>
    <s v="Rp1.500.000"/>
    <n v="0"/>
    <m/>
    <s v="Kos Putri"/>
    <m/>
    <m/>
  </r>
  <r>
    <s v="Kost Putih 02 Cikarang Utara Bekasi"/>
    <x v="7"/>
    <x v="78"/>
    <n v="12"/>
    <s v="3 x 4 meter"/>
    <s v="Tidak termasuk listrik"/>
    <s v=""/>
    <s v="N/A"/>
    <s v="3 x 4 meter; Tidak termasuk listrik; AC; Kasur; Lemari Baju; Bantal; Cermin; Guling; Jendela; K. Mandi Dalam; Kloset Jongkok; Shower; WiFi; Penjaga Kos; Dapur; Balcon; CCTV; Jemuran; Pengurus Kos; Rooftop; Parkir Motor; Parkir Sepeda; Parkir Motor &amp; Sepeda"/>
    <n v="900000"/>
    <s v="Rp900.000"/>
    <n v="0"/>
    <m/>
    <s v="Kos Campur"/>
    <m/>
    <m/>
  </r>
  <r>
    <s v="Kost Putih Tipe A Ciputat Timur Tangerang Selatan"/>
    <x v="2"/>
    <x v="8"/>
    <n v="12"/>
    <s v="3 x 4 meter"/>
    <s v="Tidak termasuk listrik"/>
    <s v=""/>
    <s v="N/A"/>
    <s v="3 x 4 meter; Tidak termasuk listrik; Kasur; Lemari Baju; Bantal; Cermin; Jendela; K. Mandi Dalam; Kloset Jongkok; Shower; WiFi; Jemuran"/>
    <n v="1200000"/>
    <s v="Rp1.200.000"/>
    <n v="0.20833333333333334"/>
    <d v="1899-12-30T05:00:00"/>
    <s v="Kos Putri"/>
    <m/>
    <m/>
  </r>
  <r>
    <s v="Kost Qing House KG Executive Kelapa Gading Jakarta Utara"/>
    <x v="4"/>
    <x v="79"/>
    <n v="12"/>
    <s v="3 x 4 meter"/>
    <s v="Tidak termasuk listrik"/>
    <s v=""/>
    <s v="N/A"/>
    <s v="3 x 4 meter; Tidak termasuk listrik; AC; Kasur; Dispenser; Meja; Meja Rias; TV; Kulkas; Lemari Baju; Ventilasi; Bantal; Kloset Duduk; K. Mandi Luar; Wastafel; Shower; WiFi; R. Cuci; Mesin Cuci; Penjaga Kos; R. Tamu; R. Jemur; R. Makan; R. Santai; Dapur; Parkir Mobil; Parkir Motor; Parkir Sepeda; Parkir Motor &amp; Sepeda"/>
    <n v="2000000"/>
    <s v="Rp2.000.000"/>
    <n v="0"/>
    <m/>
    <s v="Kos Putri"/>
    <m/>
    <m/>
  </r>
  <r>
    <s v="Kost Qinoy Johar Baru Jakarta Pusat"/>
    <x v="9"/>
    <x v="180"/>
    <n v="12"/>
    <s v="3 x 4 meter"/>
    <s v="Termasuk listrik (implied)"/>
    <s v=""/>
    <s v="N/A"/>
    <s v="3 x 4 meter; Termasuk listrik; Kasur; Lemari Baju; Bantal; Guling; Jendela; Kipas Angin; K. Mandi Dalam; Kloset Jongkok; K. Mandi Luar; Ember mandi; Wastafel; WiFi; Kulkas; Mesin Cuci; Penjaga Kos; Dapur; Balcon; CCTV; Jemuran; Rice Cooker; Parkir Motor"/>
    <n v="1000000"/>
    <s v="Rp1.000.000"/>
    <n v="0"/>
    <m/>
    <s v="Kos Campur"/>
    <m/>
    <m/>
  </r>
  <r>
    <s v="Kost Qosanque Cakung Jakarta Timur"/>
    <x v="8"/>
    <x v="48"/>
    <n v="5"/>
    <s v="2 x 2.5 meter"/>
    <s v="Termasuk listrik (implied)"/>
    <s v=""/>
    <s v="N/A"/>
    <s v="2 x 2.5 meter; Termasuk listrik; Kasur; Meja; TV; Lemari Baju; Ventilasi; Jendela; Kipas Angin; Kursi; Bantal; Kloset Jongkok; K. Mandi Luar; Ember mandi; Shower; WiFi; R. Tamu; R. Jemur; R. Santai; Dapur; CCTV; Jemuran; Pengurus Kos; Parkir Motor"/>
    <n v="950000"/>
    <s v="Rp950.000"/>
    <n v="0"/>
    <m/>
    <s v="Kos Putra"/>
    <m/>
    <m/>
  </r>
  <r>
    <s v="Kost Qta Tipe A Cikarang Selatan Bekasi"/>
    <x v="7"/>
    <x v="27"/>
    <n v="9"/>
    <s v="3 x 3 meter"/>
    <s v="Termasuk listrik (implied)"/>
    <s v=""/>
    <s v="N/A"/>
    <s v="3 x 3 meter; Termasuk listrik; AC; Kasur; Meja; Lemari Baju; Ventilasi; Bantal; Jendela; Kipas Angin; K. Mandi Dalam; Kloset Duduk; Kloset Jongkok; K. Mandi Luar; Ember mandi; Shower; WiFi; Kulkas; R. Jemur; Dapur; Jemuran; Parkir Mobil; Parkir Motor; Parkir Sepeda; Parkir Motor &amp; Sepeda"/>
    <n v="1300000"/>
    <s v="Rp1.300.000"/>
    <n v="0"/>
    <m/>
    <s v="Kos Putri"/>
    <m/>
    <m/>
  </r>
  <r>
    <s v="Kost Queen Sunter Tipe A Jakarta Utara"/>
    <x v="4"/>
    <x v="5"/>
    <n v="7.5"/>
    <s v="2.5 x 3 meter"/>
    <s v="Tidak termasuk listrik"/>
    <s v=""/>
    <s v="N/A"/>
    <s v="2.5 x 3 meter; Tidak termasuk listrik; AC; Kasur; Meja; TV; Meja Rias; Lemari Baju; Kursi; Cermin; Bantal; Guling; K. Mandi Dalam; Kloset Duduk; Wastafel; Shower; Bak mandi; Air panas; WiFi; Penjaga Kos; Parkir Mobil; Parkir Motor"/>
    <n v="2500000"/>
    <s v="Rp2.500.000"/>
    <n v="0.20833333333333334"/>
    <d v="1899-12-30T05:00:00"/>
    <s v="Kos Campur"/>
    <m/>
    <m/>
  </r>
  <r>
    <s v="Kost Queen Sunter Tipe D Jakarta Utara"/>
    <x v="4"/>
    <x v="5"/>
    <e v="#VALUE!"/>
    <s v="N/A"/>
    <s v="N/A"/>
    <s v=""/>
    <s v="N/A"/>
    <s v="WiFi; Penjaga Kos"/>
    <n v="2000000"/>
    <s v="Rp2.000.000"/>
    <n v="0"/>
    <m/>
    <s v="Kos Campur"/>
    <m/>
    <m/>
  </r>
  <r>
    <s v="Kost R 15 Tipe A Cempaka Putih Jakarta Pusat"/>
    <x v="9"/>
    <x v="51"/>
    <n v="9"/>
    <s v="3 x 3 meter"/>
    <s v="Termasuk listrik (implied)"/>
    <s v=""/>
    <s v="N/A"/>
    <s v="3 x 3 meter; Termasuk listrik; Kasur; Lemari Baju; Bantal; Guling; Jendela; Kipas Angin; K. Mandi Dalam; Kloset Duduk; Ember mandi; Shower; WiFi; R. Jemur; Balcon; Jemuran; Pengurus Kos; Parkir Motor"/>
    <n v="1400000"/>
    <s v="Rp1.400.000"/>
    <n v="0.17013888888888887"/>
    <d v="1899-12-30T04:05:00"/>
    <s v="Kos Campur"/>
    <m/>
    <m/>
  </r>
  <r>
    <s v="Kost R Serpong Tangerang Selatan"/>
    <x v="2"/>
    <x v="106"/>
    <n v="9"/>
    <s v="3 x 3 meter"/>
    <s v="Tidak termasuk listrik"/>
    <s v=""/>
    <s v="N/A"/>
    <s v="3 x 3 meter; Tidak termasuk listrik; AC; Kasur; Meja; Lemari Baju; Bantal; Cermin; Guling; K. Mandi Dalam; Kloset Duduk; WiFi; Laundry; R. Tamu; R. Jemur; Dapur; CCTV; Jemuran; Pengurus Kos; Parkir Motor; Parkir Sepeda; Parkir Motor &amp; Sepeda"/>
    <n v="1200000"/>
    <s v="Rp1.200.000"/>
    <n v="0.17222222222222225"/>
    <d v="1899-12-30T04:08:00"/>
    <s v="Kos Putri"/>
    <m/>
    <m/>
  </r>
  <r>
    <s v="Kost Raden Tipe A Pulo Gadung Jakarta Timur"/>
    <x v="8"/>
    <x v="32"/>
    <n v="13.75"/>
    <s v="2.5 x 5.5 meter"/>
    <s v="Tidak termasuk listrik"/>
    <s v=""/>
    <s v="N/A"/>
    <s v="2.5 x 5.5 meter; Tidak termasuk listrik; Kasur; Bantal; Dapur Pribadi; K. Mandi Dalam; Kloset Jongkok; Ember mandi; WiFi; Dapur; Jemuran; Parkir Motor"/>
    <n v="1200000"/>
    <s v="Rp1.200.000"/>
    <n v="0.16944444444444443"/>
    <d v="1899-12-30T04:04:00"/>
    <s v="Kos Putra"/>
    <m/>
    <s v="Diskon 106rb"/>
  </r>
  <r>
    <s v="Kost Rafa Rafi 2 Tipe B Cibinong Bogor"/>
    <x v="0"/>
    <x v="35"/>
    <n v="15"/>
    <s v="3 x 5 meter"/>
    <s v="Tidak termasuk listrik"/>
    <s v=""/>
    <s v="N/A"/>
    <s v="3 x 5 meter; Tidak termasuk listrik; AC; Kasur; Meja; Kulkas; Lemari Baju; Bantal; Cermin; Guling; Jendela; Kursi; K. Mandi Dalam; Kloset Duduk; Shower; Air panas; WiFi; R. Cuci; Penjaga Kos; R. Tamu; R. Jemur; R. Santai; Dapur; Balcon; CCTV; Parkir Mobil; Parkir Motor; Parkir Sepeda"/>
    <n v="1700000"/>
    <s v="Rp1.700.000"/>
    <n v="0"/>
    <m/>
    <s v="Kos Campur"/>
    <m/>
    <m/>
  </r>
  <r>
    <s v="Kost Rafaelina Tipe A Pamulang Tangerang Selatan"/>
    <x v="2"/>
    <x v="54"/>
    <n v="12"/>
    <s v="3 x 4 meter"/>
    <s v="Termasuk listrik (implied)"/>
    <s v=""/>
    <s v="N/A"/>
    <s v="3 x 4 meter; Termasuk listrik; AC; Kasur; Meja; Lemari Baju; Ventilasi; Bantal; Cermin; Cleaning service; Guling; Jendela; K. Mandi Dalam; Kloset Duduk; Ember mandi; Wastafel; Shower; Air panas; WiFi; R. Jemur; Dapur; CCTV; Jemuran; Taman; Parkir Motor"/>
    <n v="1600000"/>
    <s v="Rp1.600.000"/>
    <n v="0"/>
    <m/>
    <s v="Kos Putri"/>
    <m/>
    <m/>
  </r>
  <r>
    <s v="Kost Rafidah Bilqis Tipe A Kramatjati Jakarta Timur"/>
    <x v="8"/>
    <x v="47"/>
    <n v="12"/>
    <s v="3 x 4 meter"/>
    <s v="Termasuk listrik (implied)"/>
    <s v=""/>
    <s v="N/A"/>
    <s v="3 x 4 meter; Termasuk listrik; AC; Kasur; Lemari Baju; Bantal; Cermin; Guling; Jendela; K. Mandi Dalam; Kloset Jongkok; Ember mandi; WiFi; R. Jemur; Balcon; Jemuran; CCTV; Parkir Motor; Parkir Sepeda; Parkir Motor &amp; Sepeda"/>
    <n v="1800000"/>
    <s v="Rp1.800.000"/>
    <n v="0.16666666666666666"/>
    <d v="1899-12-30T04:00:00"/>
    <s v="Kos Campur"/>
    <m/>
    <m/>
  </r>
  <r>
    <s v="Kost Rafka 1 Limo Depok"/>
    <x v="1"/>
    <x v="138"/>
    <n v="12"/>
    <s v="3 x 4 meter"/>
    <s v="Tidak termasuk listrik"/>
    <s v=""/>
    <s v="N/A"/>
    <s v="3 x 4 meter; Tidak termasuk listrik; AC; Kasur; Lemari Baju; Ventilasi; Bantal; Dapur Pribadi; Guling; Jendela; Wastafel; K. Mandi Dalam; Kloset Duduk; Shower; WiFi; CCTV; Parkir Motor; Parkir Sepeda; Parkir Motor &amp; Sepeda"/>
    <n v="1300000"/>
    <s v="Rp1.300.000"/>
    <n v="0"/>
    <m/>
    <s v="Kos Putri"/>
    <m/>
    <m/>
  </r>
  <r>
    <s v="Kost Rainbow Tanjung Priok Jakarta Utara"/>
    <x v="4"/>
    <x v="5"/>
    <n v="12"/>
    <s v="3 x 4 meter"/>
    <s v="Tidak termasuk listrik"/>
    <s v=""/>
    <s v="N/A"/>
    <s v="3 x 4 meter; Tidak termasuk listrik; AC; Kasur; TV; Kulkas; Lemari Baju; Ventilasi; Bantal; Guling; Jendela; Kursi; Kloset Duduk; K. Mandi Luar; Shower; WiFi; R. Cuci; Penjaga Kos; R. Tamu; R. Jemur; R. Makan; R. Santai; Dapur; CCTV; Parkir Mobil; Parkir Motor; Parkir Sepeda"/>
    <n v="2000000"/>
    <s v="Rp2.000.000"/>
    <n v="0.17083333333333331"/>
    <d v="1899-12-30T04:06:00"/>
    <s v="Kos Campur"/>
    <m/>
    <s v="Diskon 100rb"/>
  </r>
  <r>
    <s v="Kost Raj Tio Tipe A Tanjung Priok Jakarta Utara"/>
    <x v="4"/>
    <x v="5"/>
    <n v="9"/>
    <s v="3 x 3 meter"/>
    <s v="Termasuk listrik (implied)"/>
    <s v=""/>
    <s v="N/A"/>
    <s v="3 x 3 meter; Termasuk listrik; Kasur; Meja; TV; Lemari Baju; Ventilasi; Bantal; Cermin; Guling; Jendela; Kipas Angin; K. Mandi Dalam; Kloset Jongkok; K. Mandi Luar; Ember mandi; Shower; WiFi; R. Cuci; R. Tamu; R. Jemur; R. Santai; Dapur; Balcon; CCTV; R. Keluarga; Parkir Motor; Parkir Sepeda"/>
    <n v="650000"/>
    <s v="Rp650.000"/>
    <n v="0"/>
    <m/>
    <s v="Kos Campur"/>
    <m/>
    <m/>
  </r>
  <r>
    <s v="Kost Rani Tipe A Pondok Aren Tangerang Selatan"/>
    <x v="2"/>
    <x v="2"/>
    <n v="9"/>
    <s v="3 x 3 meter"/>
    <s v="Tidak termasuk listrik"/>
    <s v=""/>
    <s v="N/A"/>
    <s v="3 x 3 meter; Tidak termasuk listrik; AC; Kasur; Ventilasi; K. Mandi Dalam; Kloset Duduk; Ember mandi; Shower; Kulkas; R. Jemur; Dapur; Balcon; CCTV; Jemuran; Jual Makanan; Pengurus Kos; Taman; Parkir Motor"/>
    <n v="1100000"/>
    <s v="Rp1.100.000"/>
    <n v="0.17222222222222225"/>
    <d v="1899-12-30T04:08:00"/>
    <s v="Kos Putri"/>
    <m/>
    <m/>
  </r>
  <r>
    <s v="Kost Rantau Tipe A Pinang Tangerang"/>
    <x v="6"/>
    <x v="105"/>
    <n v="9"/>
    <s v="3 x 3 meter"/>
    <s v="Tidak termasuk listrik"/>
    <s v=""/>
    <s v="N/A"/>
    <s v="3 x 3 meter; Tidak termasuk listrik; Lemari Baju; Kipas Angin; Wastafel; Ember mandi; Shower; Bak mandi; R. Cuci; R. Tamu; Laundry; R. Jemur; Dapur; Dispenser; K. Mandi Luar; Parkir Mobil; Parkir Motor; Parkir Sepeda"/>
    <n v="835000"/>
    <s v="Rp835.000"/>
    <n v="0.20833333333333334"/>
    <d v="1899-12-30T05:00:00"/>
    <s v="Kos Campur"/>
    <m/>
    <m/>
  </r>
  <r>
    <s v="Kost Rawakopi Cinere Depok"/>
    <x v="1"/>
    <x v="1"/>
    <n v="12"/>
    <s v="3 x 4 meter"/>
    <s v="Tidak termasuk listrik"/>
    <s v=""/>
    <s v="N/A"/>
    <s v="3 x 4 meter; Tidak termasuk listrik; AC; Kasur; TV; Lemari Baju; Ventilasi; Bantal; Cermin; Guling; Jendela; Kursi; K. Mandi Dalam; Kloset Duduk; Wastafel; Shower; Air panas; WiFi; R. Tamu; R. Makan; Dapur; Parkir Mobil; Parkir Motor; Parkir Sepeda"/>
    <n v="2700000"/>
    <s v="Rp2.700.000"/>
    <n v="0.17222222222222225"/>
    <d v="1899-12-30T04:08:00"/>
    <s v="Kos Campur"/>
    <m/>
    <m/>
  </r>
  <r>
    <s v="Kost Raya Kelapa Gading North Jakarta"/>
    <x v="4"/>
    <x v="111"/>
    <n v="12"/>
    <s v="3 x 4 meter"/>
    <s v="Tidak termasuk listrik"/>
    <s v=""/>
    <s v="N/A"/>
    <s v="3 x 4 meter; Tidak termasuk listrik; AC; Kasur; Ventilasi; Bantal; Cleaning service; Jendela; TV Kabel; K. Mandi Dalam; Kloset Duduk; Kloset Jongkok; Shower; WiFi; Kulkas; Laundry; Mesin Cuci; Penjaga Kos; R. Jemur; R. Makan; Dapur; Dispenser; CCTV; Parkir Motor"/>
    <n v="1850000"/>
    <s v="Rp1.850.000"/>
    <n v="0.17291666666666669"/>
    <d v="1899-12-30T04:09:00"/>
    <s v="Kos Campur"/>
    <m/>
    <s v="Diskon 140rb"/>
  </r>
  <r>
    <s v="Kost Raya Permai DE 15 Kelapa Gading Jakarta Utara"/>
    <x v="4"/>
    <x v="111"/>
    <n v="9.8999999999999986"/>
    <s v="3 x 3.3 meter"/>
    <s v="Tidak termasuk listrik"/>
    <s v=""/>
    <s v="N/A"/>
    <s v="3 x 3.3 meter; Tidak termasuk listrik; AC; Kasur; Meja; Lemari Baju; Kursi; Cleaning service; K. Mandi Dalam; Kloset Duduk; K. Mandi Luar; Wastafel; Ember mandi; Shower; WiFi; Kulkas; R. Tamu; Mesin Cuci; Penjaga Kos; R. Makan; R. Santai; Dispenser; R. Keluarga; Balcon; Parkir Mobil; Parkir Motor; Parkir Sepeda"/>
    <n v="1400000"/>
    <s v="Rp1.400.000"/>
    <n v="0"/>
    <m/>
    <s v="Kos Campur"/>
    <m/>
    <m/>
  </r>
  <r>
    <s v="Kost Rayka Tipe A Cikarang Pusat Bekasi"/>
    <x v="7"/>
    <x v="118"/>
    <n v="12"/>
    <s v="3 x 4 meter"/>
    <s v="Tidak termasuk listrik"/>
    <s v=""/>
    <s v="N/A"/>
    <s v="3 x 4 meter; Tidak termasuk listrik; AC; Kasur; Meja; Lemari Baju; Bantal; Cermin; Guling; Jendela; Kipas Angin; Kursi; K. Mandi Dalam; Kloset Jongkok; K. Mandi Luar; Ember mandi; Shower; WiFi; Kulkas; R. Cuci; R. Tamu; Penjaga Kos; Mushola; R. Jemur; R. Santai; Dapur; Balcon; Parkir Mobil; Parkir Motor"/>
    <n v="1500000"/>
    <s v="Rp1.500.000"/>
    <n v="0"/>
    <m/>
    <s v="Kos Putri"/>
    <m/>
    <m/>
  </r>
  <r>
    <s v="Kost RegFel Kota Wisata Gunung Putri Bogor"/>
    <x v="0"/>
    <x v="95"/>
    <n v="12"/>
    <s v="3 x 4 meter"/>
    <s v="Termasuk listrik (implied)"/>
    <s v=""/>
    <s v="N/A"/>
    <s v="3 x 4 meter; Termasuk listrik; AC; Kasur; Meja; Lemari Baju; Kursi; Wastafel; Bantal; Guling; Jendela; K. Mandi Dalam; Kloset Duduk; Shower; Air panas; WiFi; R. Cuci; Kulkas; R. Tamu; Mesin Cuci; Penjaga Kos; R. Makan; R. Jemur; Dapur; Dispenser; Parkir Mobil; Parkir Motor"/>
    <n v="2250000"/>
    <s v="Rp2.250.000"/>
    <n v="0.20833333333333334"/>
    <d v="1899-12-30T05:00:00"/>
    <s v="Kos Putri"/>
    <m/>
    <m/>
  </r>
  <r>
    <s v="Kost RegFel Residence 2 Gunung Putri Bogor"/>
    <x v="0"/>
    <x v="89"/>
    <n v="12"/>
    <s v="3 x 4 meter"/>
    <s v="Termasuk listrik (implied)"/>
    <s v=""/>
    <s v="N/A"/>
    <s v="3 x 4 meter; Termasuk listrik; AC; Kasur; Meja; Lemari Baju; Bantal; Cermin; Guling; Jendela; Kloset Duduk; K. Mandi Luar; Wastafel; Shower; Air panas; WiFi; Kulkas; Laundry; Dapur; Dispenser; CCTV; Parkir Mobil; Parkir Motor; Parkir Sepeda"/>
    <n v="2000000"/>
    <s v="Rp2.000.000"/>
    <n v="0.20833333333333334"/>
    <d v="1899-12-30T05:00:00"/>
    <s v="Kos Putri"/>
    <m/>
    <m/>
  </r>
  <r>
    <s v="Kost Renata Tipe A Kelapa Gading Jakarta Utara"/>
    <x v="4"/>
    <x v="111"/>
    <n v="16"/>
    <s v="4 x 4 meter"/>
    <s v="Tidak termasuk listrik"/>
    <s v=""/>
    <s v="N/A"/>
    <s v="4 x 4 meter; Tidak termasuk listrik; AC; Kasur; Meja; Lemari Baju; Kursi; Wastafel; K. Mandi Dalam; Kloset Duduk; Shower; Air panas; WiFi; Kulkas; R. Cuci; Laundry; R. Tamu; Penjaga Kos; R. Jemur; Dapur; Dispenser; TV; Parkir Mobil; Parkir Motor"/>
    <n v="2500000"/>
    <s v="Rp2.500.000"/>
    <n v="0.20833333333333334"/>
    <d v="1899-12-30T05:00:00"/>
    <s v="Kos Campur"/>
    <m/>
    <m/>
  </r>
  <r>
    <s v="Kost Residence Siliwangi Pancoran Mas Depok"/>
    <x v="1"/>
    <x v="170"/>
    <n v="9"/>
    <s v="3 x 3 meter"/>
    <s v="Tidak termasuk listrik"/>
    <s v=""/>
    <s v="N/A"/>
    <s v="3 x 3 meter; Tidak termasuk listrik; AC; Kasur; Dispenser; Meja; Lemari Baju; Bantal; Jendela; K. Mandi Dalam; Kloset Duduk; Ember mandi; Shower; WiFi; R. Jemur; R. Santai; Dapur; CCTV; Jemuran; Parkir Motor"/>
    <n v="1250000"/>
    <s v="Rp1.250.000"/>
    <n v="0.17013888888888887"/>
    <d v="1899-12-30T04:05:00"/>
    <s v="Kos Campur"/>
    <m/>
    <s v="Diskon 112rb"/>
  </r>
  <r>
    <s v="Kost Rid House I Tipe D Ciputat Timur Tangerang Selatan"/>
    <x v="2"/>
    <x v="8"/>
    <n v="24"/>
    <s v="7.5 x 3.2 meter"/>
    <s v="Tidak termasuk listrik"/>
    <s v=""/>
    <s v="N/A"/>
    <s v="7.5 x 3.2 meter; Tidak termasuk listrik; Kasur; Lemari Baju; Ventilasi; Jendela; Kipas Angin; K. Mandi Dalam; Kloset Jongkok; Ember mandi; WiFi; Balcon"/>
    <n v="1100000"/>
    <s v="Rp1.100.000"/>
    <n v="0.20833333333333334"/>
    <d v="1899-12-30T05:00:00"/>
    <s v="Kos Putri"/>
    <m/>
    <s v="Diskon 72rb"/>
  </r>
  <r>
    <s v="Kost Ridhan Tipe A Cibodas Tangerang"/>
    <x v="6"/>
    <x v="129"/>
    <n v="12"/>
    <s v="3 x 4 meter"/>
    <s v="Tidak termasuk listrik"/>
    <s v=""/>
    <s v="N/A"/>
    <s v="3 x 4 meter; Tidak termasuk listrik; AC; Kasur; Meja; TV; Lemari Baju; Bantal; Cermin; Jendela; K. Mandi Dalam; Kloset Duduk; Shower; WiFi; R. Cuci; Penjaga Kos; R. Jemur; Dapur; Dispenser; Balcon; CCTV; Jemuran; Pengurus Kos; Parkir Mobil; Parkir Motor; Parkir Sepeda"/>
    <n v="1600000"/>
    <s v="Rp1.600.000"/>
    <n v="0.12916666666666668"/>
    <d v="1899-12-30T03:06:00"/>
    <s v="Kos Campur"/>
    <m/>
    <m/>
  </r>
  <r>
    <s v="Kost Ridwan I Ciputat Tangerang Selatan"/>
    <x v="2"/>
    <x v="65"/>
    <n v="25"/>
    <s v="5 x 5 meter"/>
    <s v="Tidak termasuk listrik"/>
    <s v=""/>
    <s v="N/A"/>
    <s v="5 x 5 meter; Tidak termasuk listrik; AC; Kasur; Meja; Meja Rias; Lemari Baju; Kursi; K. Mandi Dalam; Kloset Duduk; Ember mandi; Shower; WiFi; Kulkas; R. Tamu; Mesin Cuci; R. Jemur; Dapur; Taman; Parkir Mobil; Parkir Motor; Parkir Sepeda"/>
    <n v="1250000"/>
    <s v="Rp1.250.000"/>
    <n v="0.17291666666666669"/>
    <d v="1899-12-30T04:09:00"/>
    <s v="Kos Putri"/>
    <m/>
    <s v="Diskon 70rb"/>
  </r>
  <r>
    <s v="Kost Rie Cozy Bsd Homey Serpong Tangerang Selatan"/>
    <x v="2"/>
    <x v="106"/>
    <n v="12"/>
    <s v="3 x 4 meter"/>
    <s v="Tidak termasuk listrik"/>
    <s v=""/>
    <s v="N/A"/>
    <s v="3 x 4 meter; Tidak termasuk listrik; AC; Kasur; Meja; Meja Rias; Lemari Baju; Ventilasi; Bantal; Cermin; Guling; Jendela; K. Mandi Dalam; Kloset Duduk; Wastafel; Ember mandi; Shower; Air panas; WiFi; Kulkas; R. Cuci; Laundry; Mesin Cuci; Penjaga Kos; R. Tamu; R. Jemur; R. Makan; R. Santai; Parkir Mobil; Parkir Motor"/>
    <n v="2300000"/>
    <s v="Rp2.300.000"/>
    <n v="0.20833333333333334"/>
    <d v="1899-12-30T05:00:00"/>
    <s v="Kos Campur"/>
    <m/>
    <m/>
  </r>
  <r>
    <s v="Kost Rimba Homestay Tipe Large Deluxe Tambun Selatan Bekasi"/>
    <x v="7"/>
    <x v="113"/>
    <n v="25"/>
    <s v="5 x 5 meter"/>
    <s v="Termasuk listrik (implied)"/>
    <s v=""/>
    <s v="N/A"/>
    <s v="5 x 5 meter; Termasuk listrik; Kasur; Dispenser; Meja; Lemari Baju; Ventilasi; Bantal; Dapur Pribadi; Guling; Jendela; Kipas Angin; K. Mandi Dalam; Kloset Duduk; Ember mandi; Shower; WiFi; R. Jemur; CCTV; Jemuran; Pengurus Kos; Parkir Mobil; Parkir Motor; Parkir Sepeda; Parkir Motor &amp; Sepeda"/>
    <n v="1450000"/>
    <s v="Rp1.450.000"/>
    <n v="0.20833333333333334"/>
    <d v="1899-12-30T05:00:00"/>
    <s v="Kos Campur"/>
    <m/>
    <m/>
  </r>
  <r>
    <s v="Kost Rindu II Executive Serpong Tangerang Selatan"/>
    <x v="2"/>
    <x v="106"/>
    <n v="12"/>
    <s v="3 x 4 meter"/>
    <s v="Tidak termasuk listrik"/>
    <s v=""/>
    <s v="N/A"/>
    <s v="3 x 4 meter; Tidak termasuk listrik; AC; Kasur; Dispenser; Meja; Kulkas; Lemari Baju; Ventilasi; Bantal; Cermin; Guling; K. Mandi Dalam; Kloset Duduk; Ember mandi; Wastafel; Shower; WiFi; R. Jemur; Dapur; Balcon; Jemuran; Taman; Parkir Mobil; Parkir Motor; Parkir Sepeda; Parkir Motor &amp; Sepeda"/>
    <n v="1750000"/>
    <s v="Rp1.750.000"/>
    <n v="0.17083333333333331"/>
    <d v="1899-12-30T04:06:00"/>
    <s v="Kos Campur"/>
    <m/>
    <m/>
  </r>
  <r>
    <s v="Kost Rini Green Exclusive Serpong BSD Tipe R1 Serpong Tangerang Selatan"/>
    <x v="2"/>
    <x v="106"/>
    <n v="15"/>
    <s v="3 x 5 meter"/>
    <s v="Tidak termasuk listrik"/>
    <s v=""/>
    <s v="N/A"/>
    <s v="3 x 5 meter; Tidak termasuk listrik; AC; Kasur; Meja; Lemari Baju; Ventilasi; Bantal; Cermin; Jendela; Kursi; K. Mandi Dalam; Kloset Duduk; Shower; Kulkas; R. Cuci; Laundry; Mesin Cuci; R. Jemur; R. Makan; Dapur; Balcon; CCTV; Jemuran; Parkir Mobil; Parkir Motor"/>
    <n v="1800000"/>
    <s v="Rp1.800.000"/>
    <n v="0"/>
    <m/>
    <s v="Kos Putri"/>
    <m/>
    <m/>
  </r>
  <r>
    <s v="Kost Rizki 1 Gunung Putri Bogor"/>
    <x v="0"/>
    <x v="89"/>
    <n v="9"/>
    <s v="3 x 3 meter"/>
    <s v="Tidak termasuk listrik"/>
    <s v=""/>
    <s v="N/A"/>
    <s v="3 x 3 meter; Tidak termasuk listrik; Ventilasi; Kloset Duduk; Penjaga Kos; R. Jemur; Jemuran; Pengurus Kos; Parkir Motor"/>
    <n v="500000"/>
    <s v="Rp500.000"/>
    <n v="0"/>
    <m/>
    <s v="Kos Campur"/>
    <m/>
    <m/>
  </r>
  <r>
    <s v="Kost Rizki Santen Tipe A Cikarang Utara Bekasi"/>
    <x v="7"/>
    <x v="78"/>
    <n v="9"/>
    <s v="3 x 3 meter"/>
    <s v="Termasuk listrik (implied)"/>
    <s v=""/>
    <s v="N/A"/>
    <s v="3 x 3 meter; Termasuk listrik; Kasur; Lemari Baju; Kipas Angin; Kloset Jongkok; K. Mandi Luar; Mesin Cuci; Dapur; Parkir Motor; Parkir Sepeda"/>
    <n v="500000"/>
    <s v="Rp500.000"/>
    <n v="0.20833333333333334"/>
    <d v="1899-12-30T05:00:00"/>
    <s v="Kos Putri"/>
    <m/>
    <m/>
  </r>
  <r>
    <s v="Kost Rizky VIP Lantai 1 Grogol Petamburan Jakarta Barat"/>
    <x v="3"/>
    <x v="13"/>
    <n v="14.28"/>
    <s v="3.4 x 4.2 meter"/>
    <s v="Tidak termasuk listrik"/>
    <s v=""/>
    <s v="N/A"/>
    <s v="3.4 x 4.2 meter; Tidak termasuk listrik; AC; Kasur; Meja; TV; Lemari Baju; Kulkas; Bantal; Cermin; Kursi; Jendela; K. Mandi Dalam; Kloset Duduk; Wastafel; Ember mandi; Shower; Air panas; WiFi; Mesin Cuci; Penjaga Kos; R. Tamu; Dapur; Balcon; CCTV; Jemuran; Parkir Motor &amp; Sepeda"/>
    <n v="2600000"/>
    <s v="Rp2.600.000"/>
    <n v="0"/>
    <m/>
    <s v="Kos Putri"/>
    <m/>
    <m/>
  </r>
  <r>
    <s v="Kost RKN Tapos Depok"/>
    <x v="1"/>
    <x v="153"/>
    <n v="9"/>
    <s v="3 x 3 meter"/>
    <s v="Tidak termasuk listrik"/>
    <s v=""/>
    <s v="N/A"/>
    <s v="3 x 3 meter; Tidak termasuk listrik; AC; Kasur; Meja; Lemari Baju; Kulkas; Ventilasi; Bantal; Cleaning service; Guling; Jendela; K. Mandi Dalam; Kloset Duduk; K. Mandi Luar; Ember mandi; Wastafel; Shower; WiFi; R. Cuci; Penjaga Kos; R. Tamu; Laundry; R. Jemur; R. Makan; R. Santai; Dapur; Parkir Mobil; Parkir Motor; Parkir Sepeda"/>
    <n v="1250000"/>
    <s v="Rp1.250.000"/>
    <n v="0"/>
    <m/>
    <s v="Kos Putri"/>
    <m/>
    <m/>
  </r>
  <r>
    <s v="Kost Roa Duren Sawit Jakarta Timur"/>
    <x v="8"/>
    <x v="39"/>
    <n v="25"/>
    <s v="5 x 5 meter"/>
    <s v="Tidak termasuk listrik"/>
    <s v=""/>
    <s v="N/A"/>
    <s v="5 x 5 meter; Tidak termasuk listrik; AC; Kasur; Meja; TV; Lemari Baju; Bantal; Dapur Pribadi; Guling; Jendela; Kursi; K. Mandi Dalam; Kloset Duduk; Ember mandi; Shower; WiFi; Dapur; Balcon; CCTV; Jemuran; Parkir Motor"/>
    <n v="2500000"/>
    <s v="Rp2.500.000"/>
    <n v="0.17083333333333331"/>
    <d v="1899-12-30T04:06:00"/>
    <s v="Kos Campur"/>
    <m/>
    <m/>
  </r>
  <r>
    <s v="Kost Romario Sunter Tipe B Tanjung Priok Jakarta Utara"/>
    <x v="4"/>
    <x v="5"/>
    <n v="9"/>
    <s v="3 x 3 meter"/>
    <s v="Tidak termasuk listrik"/>
    <s v=""/>
    <s v="N/A"/>
    <s v="3 x 3 meter; Tidak termasuk listrik; AC; Kasur; Lemari Baju; K. Mandi Dalam; Kloset Duduk; Kloset Jongkok; WiFi; Kulkas; R. Tamu; Dapur; Dispenser; TV; Parkir Motor"/>
    <n v="1600000"/>
    <s v="Rp1.600.000"/>
    <n v="0"/>
    <m/>
    <s v="Kos Campur"/>
    <m/>
    <m/>
  </r>
  <r>
    <s v="Kost Rosela Tipe B Serpong Utara Tangerang Selatan"/>
    <x v="2"/>
    <x v="181"/>
    <n v="9"/>
    <s v="3 x 3 meter"/>
    <s v="Tidak termasuk listrik"/>
    <s v=""/>
    <s v="N/A"/>
    <s v="3 x 3 meter; Tidak termasuk listrik; AC; Kasur; Meja; Lemari Baju; Ventilasi; Kursi; Bantal; Guling; Jendela; Cermin; K. Mandi Dalam; Kloset Duduk; K. Mandi Luar; Ember mandi; Wastafel; Shower; Air panas; WiFi; R. Cuci; Kulkas; R. Tamu; R. Makan; R. Jemur; Dapur; Jemuran; Parkir Mobil; Parkir Motor; Parkir Sepeda"/>
    <n v="1500000"/>
    <s v="Rp1.500.000"/>
    <n v="0"/>
    <m/>
    <s v="Kos Putri"/>
    <m/>
    <m/>
  </r>
  <r>
    <s v="Kost ROW 39 Kenari Kernolong Tipe B Senen Jakarta Pusat"/>
    <x v="9"/>
    <x v="68"/>
    <n v="16"/>
    <s v="4 x 4 meter"/>
    <s v="Tidak termasuk listrik"/>
    <s v=""/>
    <s v="N/A"/>
    <s v="4 x 4 meter; Tidak termasuk listrik; AC; Kasur; Meja; Meja Rias; TV; Lemari Baju; Ventilasi; Bantal; Cermin; Guling; K. Mandi Dalam; Kloset Duduk; Wastafel; Shower; Air panas; WiFi; Kulkas; R. Cuci; Mesin Cuci; Penjaga Kos; R. Tamu; R. Jemur; R. Makan; R. Santai; Dapur; Parkir Motor; Parkir Motor &amp; Sepeda"/>
    <n v="3200000"/>
    <s v="Rp3.200.000"/>
    <n v="0"/>
    <m/>
    <s v="Kos Campur"/>
    <m/>
    <m/>
  </r>
  <r>
    <s v="Kost Rresidence Tipe D Kemayoran Jakarta Pusat"/>
    <x v="9"/>
    <x v="56"/>
    <n v="12"/>
    <s v="3 x 4 meter"/>
    <s v="Tidak termasuk listrik"/>
    <s v=""/>
    <s v="N/A"/>
    <s v="3 x 4 meter; Tidak termasuk listrik; AC; Kasur; Meja; Meja Rias; Lemari Baju; Ventilasi; Bantal; Cermin; Jendela; Guling; K. Mandi Dalam; Kloset Duduk; K. Mandi Luar; Shower; Air panas; WiFi; Kulkas; R. Cuci; Mesin Cuci; Penjaga Kos; R. Jemur; R. Santai; Dapur; Balcon; CCTV; Parkir Motor; Parkir Sepeda; Parkir Motor &amp; Sepeda"/>
    <n v="2400000"/>
    <s v="Rp2.400.000"/>
    <n v="0.20833333333333334"/>
    <d v="1899-12-30T05:00:00"/>
    <s v="Kos Campur"/>
    <m/>
    <s v="Diskon 120rb"/>
  </r>
  <r>
    <s v="Kost Ruko Cikarang Selatan Bekasi"/>
    <x v="7"/>
    <x v="27"/>
    <n v="12"/>
    <s v="3 x 4 meter"/>
    <s v="Tidak termasuk listrik"/>
    <s v=""/>
    <s v="N/A"/>
    <s v="3 x 4 meter; Tidak termasuk listrik; Kasur; Lemari Baju; Bantal; Kipas Angin; Kloset Duduk; K. Mandi Luar; Wastafel; Ember mandi; Shower; WiFi; Kulkas; Penjaga Kos; Laundry; Mesin Cuci; R. Makan; Mushola; R. Jemur; R. Santai; Dapur; Parkir Mobil; Parkir Motor; Parkir Sepeda; Parkir Motor &amp; Sepeda"/>
    <n v="609999"/>
    <s v="Rp609.999"/>
    <n v="0.20833333333333334"/>
    <d v="1899-12-30T05:00:00"/>
    <s v="Kos Campur"/>
    <m/>
    <m/>
  </r>
  <r>
    <s v="Kost Ruko Mahkota Mas Tipe A Tangerang Tangerang"/>
    <x v="6"/>
    <x v="90"/>
    <n v="4"/>
    <s v="2 x 2 meter"/>
    <s v="Tidak termasuk listrik"/>
    <s v=""/>
    <s v="N/A"/>
    <s v="2 x 2 meter; Tidak termasuk listrik; AC; Kasur; Meja; Lemari Baju; Bantal; Cermin; Kloset Duduk; K. Mandi Luar; Ember mandi; Shower; WiFi; R. Cuci; Penjaga Kos; R. Tamu; R. Jemur; R. Makan; R. Santai; Dapur; CCTV; Jemuran; Parkir Mobil; Parkir Motor; Parkir Sepeda"/>
    <n v="700000"/>
    <s v="Rp700.000"/>
    <n v="0"/>
    <m/>
    <s v="Kos Campur"/>
    <m/>
    <m/>
  </r>
  <r>
    <s v="Kost Ruko52 Residence Tipe A Pamulang Tangerang Selatan"/>
    <x v="2"/>
    <x v="77"/>
    <n v="42"/>
    <s v="3.5 x 12 meter"/>
    <s v="Tidak termasuk listrik"/>
    <s v=""/>
    <s v="N/A"/>
    <s v="3.5 x 12 meter; Tidak termasuk listrik; Ventilasi; Jendela; K. Mandi Dalam; Kloset Jongkok; Ember mandi; CCTV; Pengurus Kos; Parkir Motor; Parkir Sepeda"/>
    <n v="1200000"/>
    <s v="Rp1.200.000"/>
    <n v="0.20833333333333334"/>
    <d v="1899-12-30T05:00:00"/>
    <s v="Kos Campur"/>
    <m/>
    <s v="Diskon 125rb"/>
  </r>
  <r>
    <s v="Kost Ruma Cemara CH4 Meadow Green C Cikarang Selatan Bekasi"/>
    <x v="7"/>
    <x v="27"/>
    <n v="9"/>
    <s v="3 x 3 meter"/>
    <s v="Tidak termasuk listrik"/>
    <s v=""/>
    <s v="N/A"/>
    <s v="3 x 3 meter; Tidak termasuk listrik; AC; Kasur; Dispenser; Meja; TV; Lemari Baju; Bantal; Cermin; Cleaning service; Guling; K. Mandi Dalam; Kloset Duduk; Wastafel; Shower; Air panas; WiFi; Kulkas; Laundry; R. Tamu; R. Makan; R. Santai; Dapur; CCTV; Pengurus Kos; Parkir Mobil; Parkir Motor &amp; Sepeda"/>
    <n v="2500000"/>
    <s v="Rp2.500.000"/>
    <n v="0"/>
    <m/>
    <s v="Kos Campur"/>
    <m/>
    <m/>
  </r>
  <r>
    <s v="Kost Ruma Cemara CH4 Meadow Green C Cikarang Selatan Bekasi"/>
    <x v="7"/>
    <x v="27"/>
    <n v="9"/>
    <s v="3 x 3 meter"/>
    <s v="Tidak termasuk listrik"/>
    <s v=""/>
    <s v="N/A"/>
    <s v="3 x 3 meter; Tidak termasuk listrik; AC; Kasur; Dispenser; Meja; TV; Lemari Baju; Bantal; Cermin; Cleaning service; Guling; K. Mandi Dalam; Kloset Duduk; Wastafel; Shower; Air panas"/>
    <n v="2500000"/>
    <s v="Rp2.500.000"/>
    <n v="0"/>
    <m/>
    <s v="Kos Campur"/>
    <m/>
    <m/>
  </r>
  <r>
    <s v="Kost Ruma Cemara CH4 Meadow Green C Cikarang Selatan Bekasi"/>
    <x v="7"/>
    <x v="27"/>
    <n v="9"/>
    <s v="3 x 3 meter"/>
    <s v="Tidak termasuk listrik"/>
    <s v=""/>
    <s v="N/A"/>
    <s v="3 x 3 meter; Tidak termasuk listrik; AC; Kasur; Dispenser; Meja; TV; Lemari Baju; Bantal; Cermin; Cleaning service; Guling"/>
    <n v="2500000"/>
    <s v="Rp2.500.000"/>
    <n v="0"/>
    <m/>
    <s v="Kos Campur"/>
    <m/>
    <m/>
  </r>
  <r>
    <s v="Kost Ruma Cemara CH4 Meadow Green C Cikarang Selatan Bekasi"/>
    <x v="7"/>
    <x v="27"/>
    <n v="9"/>
    <s v="3 x 3 meter"/>
    <s v="Tidak termasuk listrik"/>
    <s v=""/>
    <s v="N/A"/>
    <s v="3 x 3 meter; Tidak termasuk listrik; AC; Kasur; Dispenser; Meja; TV; Lemari Baju; Bantal; Cermin; Cleaning service; Guling; K. Mandi Dalam; Kloset Duduk; Wastafel; Shower; Air panas; WiFi; Kulkas; Laundry; R. Tamu; R. Makan; R. Santai; Dapur; CCTV; Pengurus Kos; Parkir Mobil; Parkir Motor &amp; Sepeda"/>
    <n v="2500000"/>
    <s v="Rp2.500.000"/>
    <n v="0"/>
    <m/>
    <s v="Kos Campur"/>
    <m/>
    <m/>
  </r>
  <r>
    <s v="Kost Ruma Cemara VVIP Cikarang Selatan Bekasi"/>
    <x v="7"/>
    <x v="27"/>
    <n v="17.5"/>
    <s v="3.5 x 5 meter"/>
    <s v="Tidak termasuk listrik"/>
    <s v=""/>
    <s v="N/A"/>
    <s v="3.5 x 5 meter; Tidak termasuk listrik; AC; Kasur; Meja; TV; Lemari Baju; Bantal; Cermin; Cleaning service; Guling; Jendela; K. Mandi Dalam; Kloset Duduk; Wastafel; Shower; Air panas; WiFi; Kulkas; Laundry; R. Tamu; R. Makan; R. Santai; Dapur; Dispenser; CCTV; R. Keluarga; Parkir Mobil"/>
    <n v="3500000"/>
    <s v="Rp3.500.000"/>
    <n v="0"/>
    <m/>
    <s v="Kos Campur"/>
    <m/>
    <m/>
  </r>
  <r>
    <s v="Kost Ruma Cemara VVIP Cikarang Selatan Bekasi"/>
    <x v="7"/>
    <x v="27"/>
    <n v="17.5"/>
    <s v="3.5 x 5 meter"/>
    <s v="Tidak termasuk listrik"/>
    <s v=""/>
    <s v="N/A"/>
    <s v="3.5 x 5 meter; Tidak termasuk listrik; AC; Kasur; Meja; TV; Lemari Baju; Bantal; Cermin; Cleaning service; Guling; Jendela; K. Mandi Dalam; Kloset Duduk; Wastafel; Shower; Air panas; Parkir Mobil"/>
    <n v="3500000"/>
    <s v="Rp3.500.000"/>
    <n v="0"/>
    <m/>
    <s v="Kos Campur"/>
    <m/>
    <m/>
  </r>
  <r>
    <s v="Kost Ruma Residence Deltamas Cikarang Pusat Bekasi"/>
    <x v="7"/>
    <x v="100"/>
    <n v="14.850000000000001"/>
    <s v="2.7 x 5.5 meter"/>
    <s v="Tidak termasuk listrik"/>
    <s v=""/>
    <s v="N/A"/>
    <s v="2.7 x 5.5 meter; Tidak termasuk listrik; AC; Kasur; Meja; Lemari Baju; Ventilasi; Bantal; Dapur Pribadi; Guling; Jendela; Kursi; K. Mandi Dalam; Kloset Duduk; Kloset Jongkok; Ember mandi; Shower; WiFi; Penjaga Kos; R. Jemur; Dapur; Balcon; CCTV; Pengurus Kos; Parkir Motor; Parkir Sepeda"/>
    <n v="1200000"/>
    <s v="Rp1.200.000"/>
    <n v="0"/>
    <m/>
    <s v="Kos Campur"/>
    <m/>
    <m/>
  </r>
  <r>
    <s v="Kost Ruma Residence Tipe A Cikarang Utara Bekasi"/>
    <x v="7"/>
    <x v="33"/>
    <n v="12"/>
    <s v="3 x 4 meter"/>
    <s v="Tidak termasuk listrik"/>
    <s v=""/>
    <s v="N/A"/>
    <s v="3 x 4 meter; Tidak termasuk listrik; AC; Kasur; Lemari Baju; Bantal; Guling; Jendela; K. Mandi Dalam; Kloset Duduk; Ember mandi; Shower; WiFi; Penjaga Kos; R. Jemur; Dapur; Balcon; CCTV; Jemuran; Jual Makanan; Pengurus Kos"/>
    <n v="1000000"/>
    <s v="Rp1.000.000"/>
    <n v="8.4027777777777771E-2"/>
    <d v="1899-12-30T02:01:00"/>
    <s v="Kos Campur"/>
    <m/>
    <m/>
  </r>
  <r>
    <s v="Kost Ruma Residence Tipe B Cikarang Utara Bekasi"/>
    <x v="7"/>
    <x v="33"/>
    <n v="12"/>
    <s v="3 x 4 meter"/>
    <s v="Tidak termasuk listrik"/>
    <s v=""/>
    <s v="N/A"/>
    <s v="3 x 4 meter; Tidak termasuk listrik; AC; Kasur; Lemari Baju; Ventilasi; Bantal; Guling; Jendela; K. Mandi Dalam; Kloset Duduk; Ember mandi; Shower; WiFi; Penjaga Kos; R. Jemur; Dapur; Balcon; CCTV; Jemuran; Jual Makanan; Pengurus Kos; Parkir Motor; Parkir Sepeda"/>
    <n v="1200000"/>
    <s v="Rp1.200.000"/>
    <n v="0.17083333333333331"/>
    <d v="1899-12-30T04:06:00"/>
    <s v="Kos Campur"/>
    <m/>
    <m/>
  </r>
  <r>
    <s v="Kost Rumah 4C Tipe C Pulogadung Jakarta Timur"/>
    <x v="8"/>
    <x v="94"/>
    <n v="7.0400000000000009"/>
    <s v="2.2 x 3.2 meter"/>
    <s v="Termasuk listrik (implied)"/>
    <s v=""/>
    <s v="N/A"/>
    <s v="2.2 x 3.2 meter; Termasuk listrik; Kasur; Lemari Baju; Ventilasi; Jendela; K. Mandi Dalam; Kloset Jongkok; Shower; WiFi; Penjaga Kos; R. Santai; Dapur; Jemuran; K. Mandi Luar; Pengurus Kos; Parkir Mobil; Parkir Motor; Parkir Sepeda"/>
    <n v="1100000"/>
    <s v="Rp1.100.000"/>
    <n v="0"/>
    <m/>
    <s v="Kos Putra"/>
    <m/>
    <m/>
  </r>
  <r>
    <s v="Kost Rumah Aghva Tipe B Cibodas Tangerang"/>
    <x v="6"/>
    <x v="92"/>
    <n v="12"/>
    <s v="3 x 4 meter"/>
    <s v="Termasuk listrik (implied)"/>
    <s v=""/>
    <s v="N/A"/>
    <s v="3 x 4 meter; Termasuk listrik; Kasur; Lemari Baju; Kipas Angin; Kloset Jongkok; K. Mandi Luar; Ember mandi; Bak mandi; Laundry; R. Jemur; R. Santai; Dapur; Parkir Mobil; Parkir Motor; Parkir Sepeda"/>
    <n v="525000"/>
    <s v="Rp525.000"/>
    <n v="0"/>
    <m/>
    <s v="Kos Putri"/>
    <m/>
    <m/>
  </r>
  <r>
    <s v="Kost Rumah An Nisa 1 Karang Tengah Tangerang"/>
    <x v="6"/>
    <x v="26"/>
    <n v="12"/>
    <s v="3 x 4 meter"/>
    <s v="Tidak termasuk listrik"/>
    <s v=""/>
    <s v="N/A"/>
    <s v="3 x 4 meter; Tidak termasuk listrik; AC; Kasur; Meja Rias; Lemari Baju; Bantal; Cermin; Jendela; K. Mandi Dalam; Kloset Duduk; Shower; WiFi; Kulkas; R. Tamu; R. Makan; R. Jemur; R. Santai; Dapur; Dispenser; TV; R. Keluarga; Parkir Mobil; Parkir Motor; Parkir Sepeda"/>
    <n v="1250000"/>
    <s v="Rp1.250.000"/>
    <n v="0.20833333333333334"/>
    <d v="1899-12-30T05:00:00"/>
    <s v="Kos Putri"/>
    <m/>
    <m/>
  </r>
  <r>
    <s v="Kost Rumah An Nisa 2 Karang Tengah Tangerang"/>
    <x v="6"/>
    <x v="26"/>
    <n v="12"/>
    <s v="3 x 4 meter"/>
    <s v="Tidak termasuk listrik"/>
    <s v=""/>
    <s v="N/A"/>
    <s v="3 x 4 meter; Tidak termasuk listrik; AC; Kasur; Meja; Lemari Baju; Bantal; Cermin; Jendela; K. Mandi Dalam; Kloset Duduk; Shower; WiFi; Kulkas; R. Tamu; R. Makan; R. Jemur; R. Santai; Dapur; Dispenser; TV; Taman; Parkir Mobil; Parkir Motor; Parkir Sepeda"/>
    <n v="1300000"/>
    <s v="Rp1.300.000"/>
    <n v="0.20833333333333334"/>
    <d v="1899-12-30T05:00:00"/>
    <s v="Kos Putri"/>
    <m/>
    <m/>
  </r>
  <r>
    <s v="Kost Rumah Anjani Beji Depok"/>
    <x v="1"/>
    <x v="15"/>
    <n v="9"/>
    <s v="3 x 3 meter"/>
    <s v="Termasuk listrik (implied)"/>
    <s v=""/>
    <s v="N/A"/>
    <s v="3 x 3 meter; Termasuk listrik; Kasur; Meja; Lemari Baju; Bantal; Cermin; Guling; Kursi; K. Mandi Dalam; Kloset Duduk; Ember mandi; WiFi; Kulkas; Laundry; Penjaga Kos; R. Jemur; R. Makan; Dapur; Jemuran; Pengurus Kos; Parkir Motor; Parkir Sepeda"/>
    <n v="750000"/>
    <s v="Rp750.000"/>
    <n v="0.17291666666666669"/>
    <d v="1899-12-30T04:09:00"/>
    <s v="Kos Putri"/>
    <m/>
    <s v="Diskon 80rb"/>
  </r>
  <r>
    <s v="Kost Rumah Bunda 3 Beji Depok"/>
    <x v="1"/>
    <x v="15"/>
    <n v="12"/>
    <s v="3 x 4 meter"/>
    <s v="Tidak termasuk listrik"/>
    <s v=""/>
    <s v="N/A"/>
    <s v="3 x 4 meter; Tidak termasuk listrik; AC; Kasur; Meja; TV; Lemari Baju; Bantal; Cermin; Guling; Jendela; Kursi; K. Mandi Dalam; Kloset Duduk; Ember mandi; Shower; WiFi; Kulkas; R. Santai; Dispenser; Dapur; Pengurus Kos; Parkir Motor; Parkir Sepeda"/>
    <n v="1300000"/>
    <s v="Rp1.300.000"/>
    <n v="0.20833333333333334"/>
    <d v="1899-12-30T05:00:00"/>
    <s v="Kos Putra"/>
    <m/>
    <m/>
  </r>
  <r>
    <s v="Kost Rumah Fitri BPM Non AC Pancoran Mas Depok"/>
    <x v="1"/>
    <x v="170"/>
    <n v="9"/>
    <s v="3 x 3 meter"/>
    <s v="Termasuk listrik (implied)"/>
    <s v=""/>
    <s v="N/A"/>
    <s v="3 x 3 meter; Termasuk listrik; Kasur; Meja; Lemari Baju; Bantal; Jendela; Kursi; K. Mandi Dalam; Kloset Duduk; Ember mandi; Shower; WiFi; Kulkas; R. Cuci; R. Jemur; Dapur; Jemuran; Pengurus Kos; R. Keluarga; TV; Parkir Mobil; Parkir Motor"/>
    <n v="950000"/>
    <s v="Rp950.000"/>
    <n v="0"/>
    <m/>
    <s v="Kos Putri"/>
    <m/>
    <m/>
  </r>
  <r>
    <s v="Kost Rumah Gading Elok Barat Kelapa Gading Jakarta Utara"/>
    <x v="4"/>
    <x v="79"/>
    <e v="#VALUE!"/>
    <s v="N/A"/>
    <s v="N/A"/>
    <s v=""/>
    <s v="N/A"/>
    <s v=""/>
    <n v="1600000"/>
    <s v="Rp1.600.000"/>
    <n v="0"/>
    <m/>
    <s v="Kos Campur"/>
    <m/>
    <m/>
  </r>
  <r>
    <s v="Kost Rumah Gemma Tipe A Cibinong Bogor"/>
    <x v="0"/>
    <x v="96"/>
    <n v="12"/>
    <s v="3 x 4 meter"/>
    <s v="Tidak termasuk listrik"/>
    <s v=""/>
    <s v="N/A"/>
    <s v="3 x 4 meter; Tidak termasuk listrik; Kasur; Meja; Lemari Baju; Bantal; Jendela; Kipas Angin; Kloset Jongkok; Ember mandi; WiFi; Kulkas; R. Tamu; R. Jemur; R. Santai; Dapur; Jemuran; Pengurus Kos; R. Keluarga; Parkir Motor; Parkir Sepeda; Parkir Motor &amp; Sepeda"/>
    <n v="800000"/>
    <s v="Rp800.000"/>
    <n v="0"/>
    <m/>
    <s v="Kos Campur"/>
    <m/>
    <m/>
  </r>
  <r>
    <s v="Kost Rumah GH97 Tipe A Pinang Tangerang"/>
    <x v="6"/>
    <x v="17"/>
    <n v="12"/>
    <s v="3 x 4 meter"/>
    <s v="Tidak termasuk listrik"/>
    <s v=""/>
    <s v="N/A"/>
    <s v="3 x 4 meter; Tidak termasuk listrik; AC; Kasur; Dispenser; Meja; TV; Lemari Baju; Ventilasi; Bantal; Cermin; Guling; K. Mandi Dalam; Kloset Duduk; Wastafel; Shower; WiFi; Penjaga Kos; R. Jemur; R. Santai; Balcon; CCTV; Gazebo; Jemuran; Jual Makanan; Parkir Mobil; Parkir Motor; Parkir Sepeda; Parkir Motor &amp; Sepeda"/>
    <n v="1500000"/>
    <s v="Rp1.500.000"/>
    <n v="0"/>
    <m/>
    <s v="Kos Campur"/>
    <m/>
    <m/>
  </r>
  <r>
    <s v="Kost Rumah Jojo Beji Depok"/>
    <x v="1"/>
    <x v="16"/>
    <n v="9"/>
    <s v="3 x 3 meter"/>
    <s v="Tidak termasuk listrik"/>
    <s v=""/>
    <s v="N/A"/>
    <s v="3 x 3 meter; Tidak termasuk listrik; AC; Kasur; Meja; Lemari Baju; Ventilasi; Bantal; Cermin; Guling; Jendela; Wastafel; K. Mandi Dalam; Kloset Duduk; Shower; WiFi; Kulkas; R. Cuci; Mesin Cuci; Penjaga Kos; R. Tamu; Mushola; R. Jemur; R. Makan; R. Santai; Parkir Motor; Parkir Sepeda"/>
    <n v="1400000"/>
    <s v="Rp1.400.000"/>
    <n v="0.1673611111111111"/>
    <d v="1899-12-30T04:01:00"/>
    <s v="Kos Putra"/>
    <m/>
    <m/>
  </r>
  <r>
    <s v="Kost Rumah Kaca Metland Cileungsi Bogor"/>
    <x v="0"/>
    <x v="31"/>
    <n v="12"/>
    <s v="3 x 4 meter"/>
    <s v="Tidak termasuk listrik"/>
    <s v=""/>
    <s v="N/A"/>
    <s v="3 x 4 meter; Tidak termasuk listrik; AC; Kasur; Meja; Lemari Baju; Jendela; K. Mandi Dalam; Kloset Duduk; Kloset Jongkok; K. Mandi Luar; Ember mandi; WiFi; R. Cuci; Kulkas; Penjaga Kos; R. Jemur; R. Makan; Dapur; Jemuran; Balcon; Parkir Mobil; Parkir Motor; Parkir Sepeda"/>
    <n v="885000"/>
    <s v="Rp885.000"/>
    <n v="0.17083333333333331"/>
    <d v="1899-12-30T04:06:00"/>
    <s v="Kos Campur"/>
    <m/>
    <m/>
  </r>
  <r>
    <s v="Kost Rumah Kamang Residence Tipe Studio Pasar Minggu Jakarta Selatan"/>
    <x v="5"/>
    <x v="43"/>
    <n v="19.25"/>
    <s v="3.5 x 5.5 meter"/>
    <s v="Termasuk listrik (implied)"/>
    <s v=""/>
    <s v="N/A"/>
    <s v="3.5 x 5.5 meter; Termasuk listrik; AC; Kasur; Meja; Dispenser; TV; Lemari Baju; Kulkas; Ventilasi; Kursi; Wastafel; K. Mandi Dalam; Kloset Duduk; Shower; Air panas; WiFi; R. Cuci; R. Tamu; Mesin Cuci; Penjaga Kos; Laundry; R. Makan; Mushola; R. Santai; Parkir Mobil; Parkir Motor; Parkir Sepeda"/>
    <n v="4200000"/>
    <s v="Rp4.200.000"/>
    <n v="0.17083333333333331"/>
    <d v="1899-12-30T04:06:00"/>
    <s v="Kos Campur"/>
    <m/>
    <m/>
  </r>
  <r>
    <s v="Kost Rumah Kedua Tipe Mezzanine Tangerang"/>
    <x v="6"/>
    <x v="90"/>
    <n v="12"/>
    <s v="3 x 4 meter"/>
    <s v="Tidak termasuk listrik"/>
    <s v=""/>
    <s v="N/A"/>
    <s v="3 x 4 meter; Tidak termasuk listrik; AC; Kasur; Meja; Lemari Baju; Ventilasi; Bantal; Cermin; Cleaning service; Guling; Jendela; K. Mandi Dalam; Kloset Duduk; Wastafel; Shower; Air panas; WiFi; Kulkas; Laundry; Penjaga Kos; R. Tamu; R. Jemur; R. Makan; R. Santai; Dapur; Dispenser; Parkir Mobil; Parkir Motor; Parkir Sepeda"/>
    <n v="2150000"/>
    <s v="Rp2.150.000"/>
    <n v="0.17083333333333331"/>
    <d v="1899-12-30T04:06:00"/>
    <s v="Kos Campur"/>
    <m/>
    <s v="Diskon 105rb"/>
  </r>
  <r>
    <s v="Kost Rumah Marshall Tipe A Cikarang Utara Bekasi"/>
    <x v="7"/>
    <x v="33"/>
    <n v="12"/>
    <s v="3 x 4 meter"/>
    <s v="Tidak termasuk listrik"/>
    <s v=""/>
    <s v="N/A"/>
    <s v="3 x 4 meter; Tidak termasuk listrik; AC; Kasur; Meja; Lemari Baju; Ventilasi; Bantal; Jendela; K. Mandi Dalam; Kloset Duduk; Shower; WiFi; Kulkas; Laundry; Dapur; Dispenser; Parkir Motor"/>
    <n v="1500000"/>
    <s v="Rp1.500.000"/>
    <n v="0.20833333333333334"/>
    <d v="1899-12-30T05:00:00"/>
    <s v="Kos Putra"/>
    <m/>
    <m/>
  </r>
  <r>
    <s v="Kost Rumah Milanos Kelapa Gading Jakarta Utara"/>
    <x v="4"/>
    <x v="111"/>
    <n v="9"/>
    <s v="3 x 3 meter"/>
    <s v="Tidak termasuk listrik"/>
    <s v=""/>
    <s v="N/A"/>
    <s v="3 x 3 meter; Tidak termasuk listrik; AC; Kasur; Lemari Baju; Bantal; Jendela; K. Mandi Dalam; Kloset Duduk; Shower; WiFi; Mesin Cuci; R. Jemur; Dapur; Balcon; Jual Makanan; Jemuran; CCTV; Parkir Motor"/>
    <n v="1500000"/>
    <s v="Rp1.500.000"/>
    <n v="0"/>
    <m/>
    <s v="Kos Campur"/>
    <m/>
    <m/>
  </r>
  <r>
    <s v="Kost Rumah Niaga Raya 11 Tipe C Karang Tengah Tangerang"/>
    <x v="6"/>
    <x v="26"/>
    <n v="12"/>
    <s v="3 x 4 meter"/>
    <s v="Tidak termasuk listrik"/>
    <s v=""/>
    <s v="N/A"/>
    <s v="3 x 4 meter; Tidak termasuk listrik; AC; Kasur; Meja; TV; Lemari Baju; Kursi; K. Mandi Dalam; Kloset Duduk; K. Mandi Luar; Wastafel; WiFi; R. Tamu; R. Santai; Dapur; Parkir Motor"/>
    <n v="1600000"/>
    <s v="Rp1.600.000"/>
    <n v="0"/>
    <m/>
    <s v="Kos Campur"/>
    <m/>
    <m/>
  </r>
  <r>
    <s v="Kost Rumah Niaga Raya 11 Tipe D Karang Tengah Tangerang"/>
    <x v="6"/>
    <x v="26"/>
    <n v="16"/>
    <s v="4 x 4 meter"/>
    <s v="Tidak termasuk listrik"/>
    <s v=""/>
    <s v="N/A"/>
    <s v="4 x 4 meter; Tidak termasuk listrik; AC; Kasur; Meja; Lemari Baju; Kursi; Wastafel; K. Mandi Dalam; Kloset Duduk; K. Mandi Luar; WiFi; R. Makan; R. Santai; Dapur; TV; Parkir Motor"/>
    <n v="1700000"/>
    <s v="Rp1.700.000"/>
    <n v="0.20833333333333334"/>
    <d v="1899-12-30T05:00:00"/>
    <s v="Kos Campur"/>
    <m/>
    <m/>
  </r>
  <r>
    <s v="Kost Rumah Nimas Sawangan Depok"/>
    <x v="1"/>
    <x v="179"/>
    <n v="12"/>
    <s v="3 x 4 meter"/>
    <s v="Tidak termasuk listrik"/>
    <s v=""/>
    <s v="N/A"/>
    <s v="3 x 4 meter; Tidak termasuk listrik; AC; Kasur; Meja; Lemari Baju; Ventilasi; Bantal; Jendela; Kipas Angin; K. Mandi Dalam; Kloset Duduk; Kloset Jongkok; Ember mandi; Bak mandi; R. Cuci; Kulkas; R. Tamu; R. Jemur; R. Makan; R. Santai; Dapur; Jemuran; Jual Makanan; Pengurus Kos; Parkir Mobil; Parkir Motor; Parkir Sepeda"/>
    <n v="1000000"/>
    <s v="Rp1.000.000"/>
    <n v="0"/>
    <m/>
    <s v="Kos Putri"/>
    <m/>
    <m/>
  </r>
  <r>
    <s v="Kost Rumah Pepaya Sebelah Kampus UI Beji Depok"/>
    <x v="1"/>
    <x v="16"/>
    <n v="7.5"/>
    <s v="3 x 2.5 meter"/>
    <s v="Tidak termasuk listrik"/>
    <s v=""/>
    <s v="N/A"/>
    <s v="3 x 2.5 meter; Tidak termasuk listrik; AC; Kasur; Meja; Lemari Baju; Kursi; K. Mandi Dalam; WiFi; R. Tamu; R. Santai; Dapur; Parkir Motor"/>
    <n v="1350000"/>
    <s v="Rp1.350.000"/>
    <n v="0.1673611111111111"/>
    <d v="1899-12-30T04:01:00"/>
    <s v="Kos Putra"/>
    <m/>
    <m/>
  </r>
  <r>
    <s v="Kost Rumah Permata Sukses Beji Depok"/>
    <x v="1"/>
    <x v="16"/>
    <n v="16"/>
    <s v="4 x 4 meter"/>
    <s v="Tidak termasuk listrik"/>
    <s v=""/>
    <s v="N/A"/>
    <s v="4 x 4 meter; Tidak termasuk listrik; AC; Kasur; Meja; Lemari Baju; Kursi; Wastafel; Cleaning service; K. Mandi Dalam; Kloset Duduk; Shower; Air panas; WiFi; R. Cuci; R. Tamu; Penjaga Kos; R. Makan; R. Jemur; R. Santai; Dapur; Kartu Akses; TV; Parkir Mobil; Parkir Motor; Parkir Sepeda"/>
    <n v="2000000"/>
    <s v="Rp2.000.000"/>
    <n v="0.20833333333333334"/>
    <d v="1899-12-30T05:00:00"/>
    <s v="Kos Putri"/>
    <m/>
    <s v="Diskon 179rb"/>
  </r>
  <r>
    <s v="Kost Rumah Tenjo Bogor"/>
    <x v="0"/>
    <x v="168"/>
    <n v="12"/>
    <s v="3 x 4 meter"/>
    <s v="Tidak termasuk listrik"/>
    <s v=""/>
    <s v="N/A"/>
    <s v="3 x 4 meter; Tidak termasuk listrik; AC; Kloset Duduk; R. Cuci; R. Tamu; R. Jemur; R. Makan; R. Santai; Dapur; Balcon; Kartu Akses; R. Keluarga; Taman; Parkir Mobil; Parkir Motor; Parkir Sepeda; Parkir Motor &amp; Sepeda"/>
    <n v="2000000"/>
    <s v="Rp2.000.000"/>
    <n v="0"/>
    <m/>
    <s v="Kos Campur"/>
    <m/>
    <m/>
  </r>
  <r>
    <s v="Kost Rumah Tipe Standard Pademangan Jakarta Utara"/>
    <x v="4"/>
    <x v="158"/>
    <n v="9"/>
    <s v="3 x 3 meter"/>
    <s v="Tidak termasuk listrik"/>
    <s v=""/>
    <s v="N/A"/>
    <s v="3 x 3 meter; Tidak termasuk listrik; AC; Kasur; Dispenser; Lemari Baju; Cleaning service; Jendela; Bantal; Cermin; Wastafel; K. Mandi Dalam; Kloset Duduk; Kloset Jongkok; K. Mandi Luar; Shower; WiFi; R. Cuci; R. Makan; R. Jemur; Dapur; CCTV; Pengurus Kos; R. Keluarga; Parkir Motor; Parkir Sepeda"/>
    <n v="1800000"/>
    <s v="Rp1.800.000"/>
    <n v="0.17222222222222225"/>
    <d v="1899-12-30T04:08:00"/>
    <s v="Kos Campur"/>
    <m/>
    <s v="Diskon 152rb"/>
  </r>
  <r>
    <s v="Kost Rumah Zakia Tipe A Dramaga Bogor"/>
    <x v="0"/>
    <x v="23"/>
    <n v="9"/>
    <s v="3 x 3 meter"/>
    <s v="Tidak termasuk listrik"/>
    <s v=""/>
    <s v="N/A"/>
    <s v="3 x 3 meter; Tidak termasuk listrik; AC; Kasur; Meja; Lemari Baju; Kulkas; Kursi; Cleaning service; Bantal; Cermin; Guling; K. Mandi Dalam; Kloset Duduk; Shower; WiFi; R. Jemur; Dapur; TV; Balcon; CCTV; Jual Makanan; Pengurus Kos; Jemuran; Parkir Mobil; Parkir Motor; Parkir Sepeda"/>
    <n v="1750000"/>
    <s v="Rp1.750.000"/>
    <n v="0"/>
    <m/>
    <s v="Kos Putri"/>
    <m/>
    <m/>
  </r>
  <r>
    <s v="Kost Rumo Haya Tipe Balkon Cimanggis Depok"/>
    <x v="1"/>
    <x v="114"/>
    <n v="9"/>
    <s v="3 x 3 meter"/>
    <s v="Termasuk listrik (implied)"/>
    <s v=""/>
    <s v="N/A"/>
    <s v="3 x 3 meter; Termasuk listrik; AC; Kasur; Dispenser; Meja; Kulkas; Lemari Baju; Bantal; Cermin; Guling; Jendela; K. Mandi Dalam; Kloset Duduk; Shower; WiFi; R. Cuci; Mesin Cuci; R. Tamu; Mushola; R. Jemur; R. Santai; Dapur; Parkir Mobil; Parkir Motor; Parkir Motor &amp; Sepeda"/>
    <n v="2000000"/>
    <s v="Rp2.000.000"/>
    <n v="0"/>
    <m/>
    <s v="Kos Putra"/>
    <m/>
    <m/>
  </r>
  <r>
    <s v="Kost Saadi Cipondoh Tangerang"/>
    <x v="6"/>
    <x v="98"/>
    <n v="7.839999999999999"/>
    <s v="2.8 x 2.8 meter"/>
    <s v="Tidak termasuk listrik"/>
    <s v=""/>
    <s v="N/A"/>
    <s v="2.8 x 2.8 meter; Tidak termasuk listrik; Kasur; Lemari Baju; Ventilasi; Bantal; Kipas Angin; K. Mandi Dalam; Kloset Jongkok; Ember mandi; WiFi; R. Jemur; Dispenser; Balcon; CCTV; Pengurus Kos; Parkir Motor; Parkir Sepeda"/>
    <n v="850000"/>
    <s v="Rp850.000"/>
    <n v="0.20833333333333334"/>
    <d v="1899-12-30T05:00:00"/>
    <s v="Kos Campur"/>
    <m/>
    <m/>
  </r>
  <r>
    <s v="Kost Sabana Bojong Gede Bogor"/>
    <x v="0"/>
    <x v="102"/>
    <n v="9"/>
    <s v="3 x 3 meter"/>
    <s v="Termasuk listrik (implied)"/>
    <s v=""/>
    <s v="N/A"/>
    <s v="3 x 3 meter; Termasuk listrik; Kasur; Meja Rias; Lemari Baju; Ventilasi; Cleaning service; Jendela; Bantal; K. Mandi Dalam; Kloset Jongkok; K. Mandi Luar; Ember mandi; WiFi; R. Cuci; Kulkas; R. Tamu; Penjaga Kos; Laundry; R. Makan; R. Jemur; R. Santai; Dapur; Parkir Mobil; Parkir Motor; Parkir Sepeda"/>
    <n v="495000"/>
    <s v="Rp495.000"/>
    <n v="0.17083333333333331"/>
    <d v="1899-12-30T04:06:00"/>
    <s v="Kos Putri"/>
    <m/>
    <m/>
  </r>
  <r>
    <s v="Kost Sadinda Linda Safitri Tipe Executive A Kebayoran Baru Jakarta Selatan"/>
    <x v="5"/>
    <x v="182"/>
    <n v="16"/>
    <s v="4 x 4 meter"/>
    <s v="Tidak termasuk listrik"/>
    <s v=""/>
    <s v="N/A"/>
    <s v="4 x 4 meter; Tidak termasuk listrik; AC; Kasur; Meja; Dispenser; TV; Meja Rias; Lemari Baju; Kulkas; Ventilasi; Kursi; K. Mandi Dalam; Kloset Duduk; Wastafel; Ember mandi; Shower; Air panas; WiFi; R. Cuci; R. Tamu; Penjaga Kos; R. Makan; R. Jemur; R. Santai; Dapur; Parkir Mobil; Parkir Motor; Parkir Sepeda"/>
    <n v="3000000"/>
    <s v="Rp3.000.000"/>
    <n v="0.125"/>
    <d v="1899-12-30T03:00:00"/>
    <s v="Kos Campur"/>
    <m/>
    <s v="Diskon 145rb"/>
  </r>
  <r>
    <s v="Kost Safar Nama 1 Koja Jakarta Utara"/>
    <x v="4"/>
    <x v="93"/>
    <n v="12"/>
    <s v="3 x 4 meter"/>
    <s v="Tidak termasuk listrik"/>
    <s v=""/>
    <s v="N/A"/>
    <s v="3 x 4 meter; Tidak termasuk listrik; AC; Kasur; Meja; Lemari Baju; Ventilasi; Bantal; Guling; Jendela; Kursi; K. Mandi Dalam; Kloset Duduk; Ember mandi; Shower; Bak mandi; WiFi; Kulkas; Penjaga Kos; R. Tamu; R. Jemur; R. Santai; Dapur; Dispenser; Balcon; CCTV; Parkir Motor"/>
    <n v="1600000"/>
    <s v="Rp1.600.000"/>
    <n v="0.12847222222222224"/>
    <d v="1899-12-30T03:05:00"/>
    <s v="Kos Putri"/>
    <m/>
    <m/>
  </r>
  <r>
    <s v="Kost Sahabat Tipe A Cempaka Putih Jakarta Pusat"/>
    <x v="9"/>
    <x v="66"/>
    <n v="9"/>
    <s v="3 x 3 meter"/>
    <s v="Tidak termasuk listrik"/>
    <s v=""/>
    <s v="N/A"/>
    <s v="3 x 3 meter; Tidak termasuk listrik; AC; Kasur; Lemari Baju; Ventilasi; Bantal; Jendela; K. Mandi Dalam; Ember mandi; WiFi; R. Cuci; Penjaga Kos; Laundry; R. Jemur; Mushola; R. Santai; Dapur; K. Mandi Luar; CCTV; Parkir Motor; Parkir Sepeda"/>
    <n v="1100000"/>
    <s v="Rp1.100.000"/>
    <n v="0.17083333333333331"/>
    <d v="1899-12-30T04:06:00"/>
    <s v="Kos Campur"/>
    <m/>
    <s v="Diskon 63rb"/>
  </r>
  <r>
    <s v="Kost Sakura AC Pinang Tangerang"/>
    <x v="6"/>
    <x v="17"/>
    <n v="12"/>
    <s v="3 x 4 meter"/>
    <s v="Tidak termasuk listrik"/>
    <s v=""/>
    <s v="N/A"/>
    <s v="3 x 4 meter; Tidak termasuk listrik; AC; Kasur; Lemari Baju; Cermin; Bantal; Guling; Kloset Jongkok; K. Mandi Luar; Ember mandi; Shower; WiFi; R. Cuci; Kulkas; Mesin Cuci; R. Tamu; R. Jemur; R. Santai; Dapur; Jemuran; Jual Makanan; Parkir Motor; Parkir Sepeda"/>
    <n v="1200000"/>
    <s v="Rp1.200.000"/>
    <n v="0"/>
    <m/>
    <s v="Kos Putri"/>
    <m/>
    <m/>
  </r>
  <r>
    <s v="Kost Sakura Tipe A Cikarang Selatan Bekasi"/>
    <x v="7"/>
    <x v="27"/>
    <n v="12"/>
    <s v="3 x 4 meter"/>
    <s v="Tidak termasuk listrik"/>
    <s v=""/>
    <s v="N/A"/>
    <s v="3 x 4 meter; Tidak termasuk listrik; AC; Kasur; Dispenser; Lemari Baju; K. Mandi Dalam; Kloset Duduk; Shower; Air panas; WiFi; R. Cuci; Kulkas; R. Tamu; Mesin Cuci; Laundry; R. Makan; R. Jemur; R. Santai; Dapur; Parkir Mobil; Parkir Motor; Parkir Sepeda"/>
    <n v="1600000"/>
    <s v="Rp1.600.000"/>
    <n v="0.13125000000000001"/>
    <d v="1899-12-30T03:09:00"/>
    <s v="Kos Campur"/>
    <m/>
    <m/>
  </r>
  <r>
    <s v="Kost Sal Tipe A Limo Depok"/>
    <x v="1"/>
    <x v="9"/>
    <n v="15"/>
    <s v="3 x 5 meter"/>
    <s v="Tidak termasuk listrik"/>
    <s v=""/>
    <s v="N/A"/>
    <s v="3 x 5 meter; Tidak termasuk listrik; AC; Kasur; Meja; Lemari Baju; Bantal; Cermin; Wastafel; K. Mandi Dalam; Kloset Jongkok; Ember mandi; WiFi; Kulkas; Penjaga Kos; R. Tamu; R. Jemur; Dapur; Balcon; CCTV; Jemuran; Jual Makanan; Parkir Mobil; Parkir Motor; Parkir Sepeda"/>
    <n v="1400000"/>
    <s v="Rp1.400.000"/>
    <n v="0"/>
    <m/>
    <s v="Kos Putri"/>
    <m/>
    <m/>
  </r>
  <r>
    <s v="Kost Salira 1 Tipe A Cibinong Bogor"/>
    <x v="0"/>
    <x v="35"/>
    <n v="12"/>
    <s v="3 x 4 meter"/>
    <s v="Termasuk listrik (implied)"/>
    <s v=""/>
    <s v="N/A"/>
    <s v="3 x 4 meter; Termasuk listrik; AC; Kasur; Meja; Lemari Baju; Ventilasi; Cermin; Guling; TV Kabel; Jendela; Kursi; K. Mandi Dalam; Kloset Duduk; Ember mandi; WiFi; Kulkas; R. Cuci; R. Tamu; Mesin Cuci; R. Jemur; R. Santai; Dapur; Dispenser; Jemuran; Parkir Mobil; Parkir Motor; Parkir Sepeda"/>
    <n v="1500000"/>
    <s v="Rp1.500.000"/>
    <n v="0.17013888888888887"/>
    <d v="1899-12-30T04:05:00"/>
    <s v="Kos Campur"/>
    <m/>
    <m/>
  </r>
  <r>
    <s v="Kost Salira New Cibinong Bogor"/>
    <x v="0"/>
    <x v="35"/>
    <n v="12"/>
    <s v="3 x 4 meter"/>
    <s v="Tidak termasuk listrik"/>
    <s v=""/>
    <s v="N/A"/>
    <s v="3 x 4 meter; Tidak termasuk listrik; AC; Kasur; Meja; Lemari Baju; Ventilasi; Bantal; Cermin; Dapur Pribadi; Jendela; Kursi; K. Mandi Dalam; Kloset Duduk; Ember mandi; Wastafel; WiFi; R. Cuci; Kulkas; R. Tamu; Mesin Cuci; R. Jemur; R. Santai; CCTV; Jemuran; Pengurus Kos; Parkir Motor; Parkir Sepeda; Parkir Motor &amp; Sepeda"/>
    <n v="1200000"/>
    <s v="Rp1.200.000"/>
    <n v="0.12569444444444444"/>
    <d v="1899-12-30T03:01:00"/>
    <s v="Kos Campur"/>
    <m/>
    <m/>
  </r>
  <r>
    <s v="Kost Salkia Tipe Ac Beji Depok"/>
    <x v="1"/>
    <x v="16"/>
    <n v="12"/>
    <s v="3 x 4 meter"/>
    <s v="Termasuk listrik (implied)"/>
    <s v=""/>
    <s v="N/A"/>
    <s v="3 x 4 meter; Termasuk listrik; AC; Kasur; Meja; Lemari Baju; Ventilasi; Bantal; Guling; Jendela; Kursi; Wastafel; K. Mandi Dalam; Kloset Duduk; Shower; WiFi; Kulkas; Penjaga Kos; R. Tamu; Mushola; R. Jemur; R. Santai; Dapur; Dispenser; Gazebo; Parkir Mobil; Parkir Motor; Parkir Sepeda"/>
    <n v="1700000"/>
    <s v="Rp1.700.000"/>
    <n v="0.17013888888888887"/>
    <d v="1899-12-30T04:05:00"/>
    <s v="Kos Putri"/>
    <m/>
    <s v="Diskon 179rb"/>
  </r>
  <r>
    <s v="Kost Sambina Empang Bahagia Grogol Petamburan Jakarta Barat"/>
    <x v="3"/>
    <x v="13"/>
    <n v="12"/>
    <s v="3 x 4 meter"/>
    <s v="Tidak termasuk listrik"/>
    <s v=""/>
    <s v="N/A"/>
    <s v="3 x 4 meter; Tidak termasuk listrik; AC; Kasur; Meja; TV; Kulkas; Lemari Baju; Ventilasi; Bantal; Cermin; Cleaning service; K. Mandi Dalam; Kloset Duduk; Wastafel; Shower; Air panas; WiFi; Laundry; Penjaga Kos; R. Makan; R. Santai; Dapur; Dispenser; Balcon; CCTV; Parkir Mobil; Parkir Motor; Parkir Sepeda; Parkir Motor &amp; Sepeda"/>
    <n v="3800000"/>
    <s v="Rp3.800.000"/>
    <n v="0"/>
    <m/>
    <s v="Kos Campur"/>
    <m/>
    <m/>
  </r>
  <r>
    <s v="Kost Samitra Tipe AC Cimanggis Depok"/>
    <x v="1"/>
    <x v="46"/>
    <n v="12"/>
    <s v="3 x 4 meter"/>
    <s v="Termasuk listrik (implied)"/>
    <s v=""/>
    <s v="N/A"/>
    <s v="3 x 4 meter; Termasuk listrik; AC; Kasur; Meja; Lemari Baju; Ventilasi; Kursi; Kipas Angin; Cleaning service; Bantal; Cermin; K. Mandi Dalam; Kloset Duduk; K. Mandi Luar; Shower; WiFi; R. Cuci; Kulkas; R. Tamu; Mesin Cuci; Laundry; R. Jemur; R. Santai; Dapur; TV; Parkir Mobil; Parkir Motor; Parkir Sepeda"/>
    <n v="1450000"/>
    <s v="Rp1.450.000"/>
    <n v="0.17222222222222225"/>
    <d v="1899-12-30T04:08:00"/>
    <s v="Kos Putra"/>
    <m/>
    <m/>
  </r>
  <r>
    <s v="Kost Sandratex Ciputat Timur Tangerang Selatan"/>
    <x v="2"/>
    <x v="8"/>
    <n v="9"/>
    <s v="3 x 3 meter"/>
    <s v="Tidak termasuk listrik"/>
    <s v=""/>
    <s v="N/A"/>
    <s v="3 x 3 meter; Tidak termasuk listrik; Kasur; Meja; Lemari Baju; Ventilasi; Kipas Angin; Bantal; Guling; Jendela; Sofa; Cermin; K. Mandi Dalam; Kloset Jongkok; Ember mandi; Shower; WiFi; R. Cuci; R. Tamu; R. Jemur; R. Santai; Dapur; Balcon; CCTV; Gazebo; Jemuran; Parkir Motor; Parkir Sepeda"/>
    <n v="900000"/>
    <s v="Rp900.000"/>
    <n v="0"/>
    <m/>
    <s v="Kos Putri"/>
    <m/>
    <m/>
  </r>
  <r>
    <s v="Kost Santoso Tipe B Tarumajaya Bekasi"/>
    <x v="7"/>
    <x v="183"/>
    <n v="9"/>
    <s v="3 x 3 meter"/>
    <s v="Tidak termasuk listrik"/>
    <s v=""/>
    <s v="N/A"/>
    <s v="3 x 3 meter; Tidak termasuk listrik; AC; Kasur; Lemari Baju; Bantal; Cermin; K. Mandi Luar; Wastafel; Shower; Air panas; Kulkas; R. Cuci; R. Jemur; Dapur; Dispenser; Parkir Mobil; Parkir Motor"/>
    <n v="900000"/>
    <s v="Rp900.000"/>
    <n v="0.12916666666666668"/>
    <d v="1899-12-30T03:06:00"/>
    <s v="Kos Putra"/>
    <m/>
    <m/>
  </r>
  <r>
    <s v="Kost Saphire House Tipe B Executive Kembangan Jakarta Barat"/>
    <x v="3"/>
    <x v="133"/>
    <n v="16"/>
    <s v="4 x 4 meter"/>
    <s v="Tidak termasuk listrik"/>
    <s v=""/>
    <s v="N/A"/>
    <s v="4 x 4 meter; Tidak termasuk listrik; AC; Kasur; Meja; TV; Lemari Baju; Ventilasi; Kursi; Wastafel; Cleaning service; Bantal; K. Mandi Dalam; Kloset Duduk; Shower; Air panas; WiFi; R. Tamu; Penjaga Kos; R. Santai; Dispenser; R. Keluarga; Gazebo; Balcon; Kartu Akses; Parkir Mobil; Parkir Motor"/>
    <n v="2750000"/>
    <s v="Rp2.750.000"/>
    <n v="0.17291666666666669"/>
    <d v="1899-12-30T04:09:00"/>
    <s v="Kos Campur"/>
    <m/>
    <m/>
  </r>
  <r>
    <s v="Kost Sati 2 Cikarang Pusat Bekasi"/>
    <x v="7"/>
    <x v="118"/>
    <n v="9"/>
    <s v="3 x 3 meter"/>
    <s v="Tidak termasuk listrik"/>
    <s v=""/>
    <s v="N/A"/>
    <s v="3 x 3 meter; Tidak termasuk listrik; AC; Kasur; Lemari Baju; Ventilasi; Bantal; Jendela; K. Mandi Dalam; Kloset Jongkok; Ember mandi; WiFi; Kartu Akses; Jual Makanan; Parkir Motor"/>
    <n v="1100000"/>
    <s v="Rp1.100.000"/>
    <n v="0"/>
    <m/>
    <s v="Kos Putri"/>
    <m/>
    <m/>
  </r>
  <r>
    <s v="Kost Sde Larangan Tangerang"/>
    <x v="6"/>
    <x v="87"/>
    <n v="12"/>
    <s v="3 x 4 meter"/>
    <s v="Tidak termasuk listrik"/>
    <s v=""/>
    <s v="N/A"/>
    <s v="3 x 4 meter; Tidak termasuk listrik; AC; Kasur; Meja; Lemari Baju; Ventilasi; Bantal; Cermin; Jendela; Kursi; K. Mandi Dalam; Kloset Duduk; Shower; Air panas; WiFi; Kulkas; R. Cuci; R. Tamu; R. Jemur; R. Makan; R. Santai; Dapur; Balcon; CCTV; Parkir Mobil; Parkir Motor; Parkir Sepeda; Parkir Motor &amp; Sepeda"/>
    <n v="1650000"/>
    <s v="Rp1.650.000"/>
    <n v="0.17222222222222225"/>
    <d v="1899-12-30T04:08:00"/>
    <s v="Kos Putri"/>
    <m/>
    <s v="Diskon 75rb"/>
  </r>
  <r>
    <s v="Kost Senantiasa Premium Tangerang"/>
    <x v="6"/>
    <x v="22"/>
    <n v="12"/>
    <s v="3 x 4 meter"/>
    <s v="Tidak termasuk listrik"/>
    <s v=""/>
    <s v="N/A"/>
    <s v="3 x 4 meter; Tidak termasuk listrik; Kasur; Lemari Baju; Ventilasi; Bantal; Cermin; Guling; Jendela; Kipas Angin; K. Mandi Dalam; Kloset Duduk; Ember mandi; Shower; WiFi; Kulkas; R. Tamu; R. Jemur; R. Makan; R. Santai; Dapur; Jemuran; Jual Makanan; Pengurus Kos; Parkir Motor; Parkir Sepeda"/>
    <n v="1400000"/>
    <s v="Rp1.400.000"/>
    <n v="0"/>
    <m/>
    <s v="Kos Putri"/>
    <m/>
    <m/>
  </r>
  <r>
    <s v="Kost Sendy Cibatu Cikarang Selatan Bekasi"/>
    <x v="7"/>
    <x v="27"/>
    <n v="9"/>
    <s v="3 x 3 meter"/>
    <s v="Termasuk listrik (implied)"/>
    <s v=""/>
    <s v="N/A"/>
    <s v="3 x 3 meter; Termasuk listrik; Kasur; Lemari Baju; Kulkas; Kipas Angin; TV Kabel; K. Mandi Dalam; WiFi; Laundry; Dapur; Parkir Mobil"/>
    <n v="1200000"/>
    <s v="Rp1.200.000"/>
    <n v="0"/>
    <m/>
    <s v="Kos Campur"/>
    <m/>
    <m/>
  </r>
  <r>
    <s v="Kost Serumah Bareng Tipe C Tangerang"/>
    <x v="6"/>
    <x v="90"/>
    <n v="6.25"/>
    <s v="2.5 x 2.5 meter"/>
    <s v="Termasuk listrik (implied)"/>
    <s v=""/>
    <s v="N/A"/>
    <s v="2.5 x 2.5 meter; Termasuk listrik; AC; Kasur; Meja; Lemari Baju; Ventilasi; Cleaning service; Bantal; Cermin; Guling; Jendela; K. Mandi Dalam; Kloset Duduk; K. Mandi Luar; Wastafel; Shower; WiFi; Kulkas; R. Cuci; Laundry; Penjaga Kos; Mesin Cuci; R. Jemur; R. Makan; Dapur; Dispenser; Parkir Mobil; Parkir Motor; Parkir Sepeda; Parkir Motor &amp; Sepeda"/>
    <n v="2000000"/>
    <s v="Rp2.000.000"/>
    <n v="0"/>
    <m/>
    <s v="Kos Putri"/>
    <m/>
    <m/>
  </r>
  <r>
    <s v="Kost Shabira Pulo Gadung Jakarta Timur"/>
    <x v="8"/>
    <x v="32"/>
    <n v="12"/>
    <s v="3 x 4 meter"/>
    <s v="Tidak termasuk listrik"/>
    <s v=""/>
    <s v="N/A"/>
    <s v="3 x 4 meter; Tidak termasuk listrik; AC; Kasur; Meja; Lemari Baju; Bantal; Jendela; Guling; Kursi; K. Mandi Dalam; Kloset Duduk; Ember mandi; Shower; WiFi; Kulkas; Dapur; Jemuran; Kartu Akses; CCTV; Parkir Motor &amp; Sepeda"/>
    <n v="1600000"/>
    <s v="Rp1.600.000"/>
    <n v="0.17291666666666669"/>
    <d v="1899-12-30T04:09:00"/>
    <s v="Kos Campur"/>
    <m/>
    <s v="Diskon 170rb"/>
  </r>
  <r>
    <s v="Kost Shambala 2 Ciampea Bogor"/>
    <x v="0"/>
    <x v="85"/>
    <n v="18"/>
    <s v="3 x 6 meter"/>
    <s v="Termasuk listrik (implied)"/>
    <s v=""/>
    <s v="N/A"/>
    <s v="3 x 6 meter; Termasuk listrik; Kasur; Meja; Lemari Baju; Jendela; K. Mandi Dalam; Kloset Duduk; WiFi; R. Jemur; R. Makan; R. Santai; Dapur; Jemuran; Parkir Mobil; Parkir Motor; Parkir Sepeda"/>
    <n v="670000"/>
    <s v="Rp670.000"/>
    <n v="0"/>
    <m/>
    <s v="Kos Campur"/>
    <m/>
    <m/>
  </r>
  <r>
    <s v="Kost Si Ganteng Beji Depok"/>
    <x v="1"/>
    <x v="15"/>
    <n v="9.4500000000000011"/>
    <s v="2.7 x 3.5 meter"/>
    <s v="Tidak termasuk listrik"/>
    <s v=""/>
    <s v="N/A"/>
    <s v="2.7 x 3.5 meter; Tidak termasuk listrik; AC; Kasur; Meja; Lemari Baju; Bantal; Jendela; Kursi; K. Mandi Dalam; Kloset Duduk; Shower; WiFi; Kulkas; R. Santai; Dapur; Parkir Motor; Parkir Motor &amp; Sepeda"/>
    <n v="1200000"/>
    <s v="Rp1.200.000"/>
    <n v="0.17083333333333331"/>
    <d v="1899-12-30T04:06:00"/>
    <s v="Kos Putra"/>
    <m/>
    <s v="Diskon 110rb"/>
  </r>
  <r>
    <s v="Kost Simbah Non AC Kramatjati Jakarta Timur"/>
    <x v="8"/>
    <x v="47"/>
    <n v="9"/>
    <s v="3 x 3 meter"/>
    <s v="Tidak termasuk listrik"/>
    <s v=""/>
    <s v="N/A"/>
    <s v="3 x 3 meter; Tidak termasuk listrik; Kasur; Lemari Baju; Jendela; Kloset Jongkok; Shower; Bak mandi; WiFi; R. Jemur; Dapur; Balcon; Jemuran; Taman; Parkir Motor"/>
    <n v="650000"/>
    <s v="Rp650.000"/>
    <n v="0.16666666666666666"/>
    <d v="1899-12-30T04:00:00"/>
    <s v="Kos Putri"/>
    <m/>
    <m/>
  </r>
  <r>
    <s v="Kost Sinar Mulya Batuceper Tangerang"/>
    <x v="6"/>
    <x v="157"/>
    <n v="18"/>
    <s v="4 x 4.5 meter"/>
    <s v="Tidak termasuk listrik"/>
    <s v=""/>
    <s v="N/A"/>
    <s v="4 x 4.5 meter; Tidak termasuk listrik; AC; Kasur; Meja; Lemari Baju; Jendela; Bantal; Kursi; Cermin; K. Mandi Dalam; Kloset Jongkok; Ember mandi; R. Cuci; R. Jemur; Dapur; CCTV; Jemuran; Pengurus Kos; Parkir Motor; Parkir Sepeda"/>
    <n v="900000"/>
    <s v="Rp900.000"/>
    <n v="0"/>
    <m/>
    <s v="Kos Campur"/>
    <m/>
    <m/>
  </r>
  <r>
    <s v="Kost Singgahsini 123 Tipe A Cengkareng Jakarta Barat"/>
    <x v="3"/>
    <x v="53"/>
    <n v="12.15"/>
    <s v="2.7 x 4.5 meter"/>
    <s v="Tidak termasuk listrik"/>
    <n v="2425000"/>
    <s v="Rp2.425.000"/>
    <s v="2.7 x 4.5 meter; Tidak termasuk listrik; AC; Kasur; TV; Lemari Baju; Bantal; Cermin; Guling; Jendela; K. Mandi Dalam; Kloset Duduk; Shower; Air panas; WiFi; Penjaga Kos; K. Mandi Luar; CCTV; Parkir Motor &amp; Sepeda"/>
    <n v="2233000"/>
    <s v="Rp2.233.000"/>
    <n v="0.17222222222222225"/>
    <d v="1899-12-30T04:08:00"/>
    <s v="Kos Campur"/>
    <m/>
    <s v="Diskon 192rb"/>
  </r>
  <r>
    <s v="Kost Singgahsini 123 Tipe C Cengkareng Jakarta Barat"/>
    <x v="3"/>
    <x v="53"/>
    <n v="8.3999999999999986"/>
    <s v="3 x 2.8 meter"/>
    <s v="Tidak termasuk listrik"/>
    <s v=""/>
    <s v="N/A"/>
    <s v="3 x 2.8 meter; Tidak termasuk listrik; AC; Kasur; Lemari Baju; Bantal; Cermin; Guling; Jendela; K. Mandi Dalam; Kloset Duduk; Shower; Air panas; WiFi; Penjaga Kos; K. Mandi Luar; CCTV; Parkir Motor &amp; Sepeda"/>
    <n v="1975000"/>
    <s v="Rp1.975.000"/>
    <n v="0.17013888888888887"/>
    <d v="1899-12-30T04:05:00"/>
    <s v="Kos Campur"/>
    <m/>
    <s v="Diskon 180rb"/>
  </r>
  <r>
    <s v="Kost Singgahsini 123 Tipe D Cengkareng Jakarta Barat"/>
    <x v="3"/>
    <x v="53"/>
    <n v="7.5"/>
    <s v="2.5 x 3 meter"/>
    <s v="Tidak termasuk listrik"/>
    <s v=""/>
    <s v="N/A"/>
    <s v="2.5 x 3 meter; Tidak termasuk listrik; AC; Kasur; Lemari Baju; Bantal; Cermin; Guling; Jendela; K. Mandi Dalam; Kloset Duduk; Shower; Air panas; WiFi; Penjaga Kos; K. Mandi Luar; CCTV; Parkir Motor &amp; Sepeda"/>
    <n v="1875000"/>
    <s v="Rp1.875.000"/>
    <n v="0.17013888888888887"/>
    <d v="1899-12-30T04:05:00"/>
    <s v="Kos Campur"/>
    <m/>
    <s v="Diskon 180rb"/>
  </r>
  <r>
    <s v="Kost Singgahsini 21 Tipe A Cengkareng Jakarta Barat"/>
    <x v="3"/>
    <x v="53"/>
    <n v="16"/>
    <s v="4 x 4 meter"/>
    <s v="Tidak termasuk listrik"/>
    <n v="2125000"/>
    <s v="Rp2.125.000"/>
    <s v="4 x 4 meter; Tidak termasuk listrik; AC; Kasur; Meja; Lemari Baju; Ventilasi; Jendela; Kursi; Bantal; Cermin; K. Mandi Dalam; Kloset Duduk; Shower; Air panas; WiFi; Penjaga Kos; CCTV; Balcon; Parkir Mobil; Parkir Motor &amp; Sepeda"/>
    <n v="1957000"/>
    <s v="Rp1.957.000"/>
    <n v="0.17083333333333331"/>
    <d v="1899-12-30T04:06:00"/>
    <s v="Kos Campur"/>
    <m/>
    <s v="Diskon 168rb"/>
  </r>
  <r>
    <s v="Kost Singgahsini 21 Tipe B Cengkareng Jakarta Barat"/>
    <x v="3"/>
    <x v="53"/>
    <n v="7.68"/>
    <s v="3.2 x 2.4 meter"/>
    <s v="Tidak termasuk listrik"/>
    <n v="1875000"/>
    <s v="Rp1.875.000"/>
    <s v="3.2 x 2.4 meter; Tidak termasuk listrik; AC; Kasur; Meja; Lemari Baju; Jendela; Kursi; Bantal; Guling; K. Mandi Dalam; Kloset Duduk; Shower; Air panas; WiFi; Penjaga Kos; CCTV; Balcon; Parkir Mobil; Parkir Motor &amp; Sepeda"/>
    <n v="1727000"/>
    <s v="Rp1.727.000"/>
    <n v="0"/>
    <m/>
    <s v="Kos Campur"/>
    <m/>
    <s v="Diskon 148rb"/>
  </r>
  <r>
    <s v="Kost Singgahsini 3L Residence Tipe A Kelapa Gading Jakarta Utara"/>
    <x v="4"/>
    <x v="79"/>
    <n v="10.5"/>
    <s v="3 x 3.5 meter"/>
    <s v="Tidak termasuk listrik"/>
    <n v="2025000"/>
    <s v="Rp2.025.000"/>
    <s v="3 x 3.5 meter; Tidak termasuk listrik; AC; Kasur; Meja; Lemari Baju; Ventilasi; Kursi; Bantal; Cermin; Jendela; Kloset Duduk; K. Mandi Luar; Shower; Air panas; WiFi; Kulkas; Penjaga Kos; Dapur; Dispenser; CCTV; Parkir Mobil; Parkir Motor; Parkir Motor &amp; Sepeda"/>
    <n v="1865000"/>
    <s v="Rp1.865.000"/>
    <n v="0.17291666666666669"/>
    <d v="1899-12-30T04:09:00"/>
    <s v="Kos Campur"/>
    <m/>
    <s v="Diskon 160rb"/>
  </r>
  <r>
    <s v="Kost Singgahsini 3L Residence Tipe B Kelapa Gading Jakarta Utara"/>
    <x v="4"/>
    <x v="79"/>
    <n v="9"/>
    <s v="2.5 x 3.6 meter"/>
    <s v="Tidak termasuk listrik"/>
    <s v=""/>
    <s v="N/A"/>
    <s v="2.5 x 3.6 meter; Tidak termasuk listrik; AC; Kasur; Meja; Lemari Baju; Ventilasi; Kursi; Bantal; Cermin; Jendela; Kloset Duduk; K. Mandi Luar; Shower; Air panas; WiFi; Kulkas; Penjaga Kos; Dapur; Dispenser; CCTV; Parkir Mobil; Parkir Motor; Parkir Motor &amp; Sepeda"/>
    <n v="1875000"/>
    <s v="Rp1.875.000"/>
    <n v="0.17222222222222225"/>
    <d v="1899-12-30T04:08:00"/>
    <s v="Kos Campur"/>
    <m/>
    <s v="Diskon 160rb"/>
  </r>
  <r>
    <s v="Kost Singgahsini 3L Residence Tipe C Kelapa Gading Jakarta Utara"/>
    <x v="4"/>
    <x v="79"/>
    <n v="6.8999999999999995"/>
    <s v="2.3 x 3 meter"/>
    <s v="Tidak termasuk listrik"/>
    <s v=""/>
    <s v="N/A"/>
    <s v="2.3 x 3 meter; Tidak termasuk listrik; AC; Kasur; Meja; Lemari Baju; Ventilasi; Kursi; Bantal; Cermin; Jendela; Kloset Duduk; Shower; Air panas; WiFi; Kulkas; Penjaga Kos; Dapur; Dispenser; K. Mandi Luar; CCTV; Parkir Mobil; Parkir Motor; Parkir Motor &amp; Sepeda"/>
    <n v="1725000"/>
    <s v="Rp1.725.000"/>
    <n v="0.17222222222222225"/>
    <d v="1899-12-30T04:08:00"/>
    <s v="Kos Campur"/>
    <m/>
    <s v="Diskon 160rb"/>
  </r>
  <r>
    <s v="Kost Singgahsini 77 Tipe D Cengkareng Jakarta Barat"/>
    <x v="3"/>
    <x v="53"/>
    <n v="6.8999999999999995"/>
    <s v="3.0 x 2.3 meter"/>
    <s v="Tidak termasuk listrik"/>
    <n v="1925000"/>
    <s v="Rp1.925.000"/>
    <s v="3.0 x 2.3 meter; Tidak termasuk listrik; AC; Kasur; Meja; Lemari Baju; Kursi; Bantal; Cermin; Guling; Jendela; K. Mandi Dalam; Kloset Duduk; Shower; WiFi; Kulkas; R. Jemur; Dispenser; CCTV; Parkir Mobil; Parkir Motor; Parkir Sepeda"/>
    <n v="1830000"/>
    <s v="Rp1.830.000"/>
    <n v="0.17222222222222225"/>
    <d v="1899-12-30T04:08:00"/>
    <s v="Kos Putri"/>
    <m/>
    <s v="Diskon 95rb"/>
  </r>
  <r>
    <s v="Kost Singgahsini 88 Tipe A Cengkareng Jakarta Barat"/>
    <x v="3"/>
    <x v="53"/>
    <n v="18"/>
    <s v="4 x 4.5 meter"/>
    <s v="Tidak termasuk listrik"/>
    <s v=""/>
    <s v="N/A"/>
    <s v="4 x 4.5 meter; Tidak termasuk listrik; AC; Kasur; Meja; TV; Lemari Baju; Kursi; Jendela; Bantal; K. Mandi Dalam; Kloset Duduk; Shower; Air panas; WiFi; Penjaga Kos; R. Santai; Kartu Akses; CCTV; Balcon; Parkir Motor &amp; Sepeda"/>
    <n v="2525000"/>
    <s v="Rp2.525.000"/>
    <n v="0.17083333333333331"/>
    <d v="1899-12-30T04:06:00"/>
    <s v="Kos Putri"/>
    <m/>
    <s v="Diskon 164rb"/>
  </r>
  <r>
    <s v="Kost Singgahsini 88 Tipe C Cengkareng Jakarta Barat"/>
    <x v="3"/>
    <x v="53"/>
    <n v="7.26"/>
    <s v="3.3 x 2.2 meter"/>
    <s v="Tidak termasuk listrik"/>
    <n v="2075000"/>
    <s v="Rp2.075.000"/>
    <s v="3.3 x 2.2 meter; Tidak termasuk listrik; AC; Kasur; TV; Lemari Baju; Jendela; Bantal; K. Mandi Dalam; Kloset Duduk; Shower; Air panas; WiFi; Penjaga Kos; R. Santai; Kartu Akses; CCTV; Balcon; Parkir Motor &amp; Sepeda"/>
    <n v="1911000"/>
    <s v="Rp1.911.000"/>
    <n v="0.16944444444444443"/>
    <d v="1899-12-30T04:04:00"/>
    <s v="Kos Putri"/>
    <m/>
    <s v="Diskon 164rb"/>
  </r>
  <r>
    <s v="Kost Singgahsini 99 Residence Tipe A Palmerah Jakarta Barat"/>
    <x v="3"/>
    <x v="4"/>
    <n v="14"/>
    <s v="4 x 3.5 meter"/>
    <s v="Tidak termasuk listrik"/>
    <n v="2825000"/>
    <s v="Rp2.825.000"/>
    <s v="4 x 3.5 meter; Tidak termasuk listrik; AC; Kasur; Meja; Lemari Baju; Kursi; Jendela; Bantal; K. Mandi Dalam; Kloset Duduk; Wastafel; Shower; Air panas; WiFi; R. Cuci; Kulkas; R. Tamu; Penjaga Kos; R. Jemur; Dapur; CCTV; Rooftop; Balcon; Parkir Mobil; Parkir Motor &amp; Sepeda"/>
    <n v="2685000"/>
    <s v="Rp2.685.000"/>
    <n v="0.20833333333333334"/>
    <d v="1899-12-30T05:00:00"/>
    <s v="Kos Campur"/>
    <m/>
    <s v="Diskon 140rb"/>
  </r>
  <r>
    <s v="Kost Singgahsini 99 Residence Tipe B Palmerah Jakarta Barat"/>
    <x v="3"/>
    <x v="4"/>
    <n v="11.2"/>
    <s v="4 x 2.8 meter"/>
    <s v="Tidak termasuk listrik"/>
    <n v="2425000"/>
    <s v="Rp2.425.000"/>
    <s v="4 x 2.8 meter; Tidak termasuk listrik; AC; Kasur; Meja; Lemari Baju; Kursi; Bantal; K. Mandi Dalam; Kloset Duduk; Shower; Air panas; WiFi; R. Cuci; Kulkas; R. Tamu; Penjaga Kos; R. Jemur; Dapur; CCTV; Rooftop; Balcon; Parkir Mobil; Parkir Motor &amp; Sepeda"/>
    <n v="2233000"/>
    <s v="Rp2.233.000"/>
    <n v="0.16874999999999998"/>
    <d v="1899-12-30T04:03:00"/>
    <s v="Kos Campur"/>
    <m/>
    <s v="Diskon 192rb"/>
  </r>
  <r>
    <s v="Kost Singgahsini Abdul Majid Dalam Tipe B Cilandak Jakarta Selatan"/>
    <x v="5"/>
    <x v="7"/>
    <n v="8.32"/>
    <s v="2.6 x 3.2 meter"/>
    <s v="Tidak termasuk listrik"/>
    <s v=""/>
    <s v="N/A"/>
    <s v="2.6 x 3.2 meter; Tidak termasuk listrik; AC; Kasur; Lemari Baju; Ventilasi; Bantal; Jendela; K. Mandi Dalam; Kloset Duduk; Shower; WiFi; Penjaga Kos; R. Santai; Dapur; Parkir Motor; Parkir Sepeda"/>
    <n v="1652500"/>
    <s v="Rp1.652.500"/>
    <n v="0.17083333333333331"/>
    <d v="1899-12-30T04:06:00"/>
    <s v="Kos Campur"/>
    <m/>
    <s v="Diskon 95rb"/>
  </r>
  <r>
    <s v="Kost Singgahsini Abdul Majid Dalam Tipe C Cilandak Jakarta Selatan"/>
    <x v="5"/>
    <x v="7"/>
    <n v="9"/>
    <s v="3 x 3 meter"/>
    <s v="Tidak termasuk listrik"/>
    <s v=""/>
    <s v="N/A"/>
    <s v="3 x 3 meter; Tidak termasuk listrik; AC; Kasur; K. Mandi Dalam; Kloset Duduk; WiFi; Penjaga Kos; R. Santai; Dapur; Parkir Sepeda; Parkir Motor &amp; Sepeda"/>
    <n v="1675000"/>
    <s v="Rp1.675.000"/>
    <n v="0.17291666666666669"/>
    <d v="1899-12-30T04:09:00"/>
    <s v="Kos Campur"/>
    <m/>
    <s v="Diskon 95rb"/>
  </r>
  <r>
    <s v="Kost Singgahsini Abel Tipe A Kalideres Jakarta Barat"/>
    <x v="3"/>
    <x v="184"/>
    <n v="12.8"/>
    <s v="4 x 3.2 meter"/>
    <s v="Tidak termasuk listrik"/>
    <s v=""/>
    <s v="N/A"/>
    <s v="4 x 3.2 meter; Tidak termasuk listrik; AC; Kasur; Meja; Lemari Baju; Ventilasi; Kursi; Bantal; Cermin; Guling; Jendela; K. Mandi Dalam; Kloset Duduk; Shower; WiFi; Kulkas; Penjaga Kos; R. Makan; Dapur; Dispenser; K. Mandi Luar; CCTV; Parkir Mobil; Parkir Motor; Parkir Sepeda"/>
    <n v="1875000"/>
    <s v="Rp1.875.000"/>
    <n v="0.17222222222222225"/>
    <d v="1899-12-30T04:08:00"/>
    <s v="Kos Putri"/>
    <m/>
    <m/>
  </r>
  <r>
    <s v="Kost Singgahsini Abel Tipe B Kalideres Jakarta Barat"/>
    <x v="3"/>
    <x v="184"/>
    <n v="11.520000000000001"/>
    <s v="3.6 x 3.2 meter"/>
    <s v="Tidak termasuk listrik"/>
    <s v=""/>
    <s v="N/A"/>
    <s v="3.6 x 3.2 meter; Tidak termasuk listrik; AC; Kasur; Meja; Lemari Baju; Ventilasi; Kursi; Bantal; Cermin; Guling; Jendela; Kloset Duduk; K. Mandi Luar; Wastafel; Shower; WiFi; Kulkas; Penjaga Kos; R. Makan; Dapur; Dispenser; CCTV; Parkir Mobil; Parkir Motor; Parkir Sepeda"/>
    <n v="1725000"/>
    <s v="Rp1.725.000"/>
    <n v="0.17083333333333331"/>
    <d v="1899-12-30T04:06:00"/>
    <s v="Kos Putri"/>
    <m/>
    <s v="Diskon 180rb"/>
  </r>
  <r>
    <s v="Kost Singgahsini Ada Lika Halim Perdana Kusuma Tipe A Makasar Jakarta Timur"/>
    <x v="8"/>
    <x v="45"/>
    <n v="5.28"/>
    <s v="2.4 x 2.2 meter"/>
    <s v="Tidak termasuk listrik"/>
    <n v="1480000"/>
    <s v="Rp1.480.000"/>
    <s v="2.4 x 2.2 meter; Tidak termasuk listrik; AC; Kasur; Meja; Lemari Baju; Ventilasi; Kursi; Bantal; Guling; K. Mandi Dalam; Kloset Duduk; Ember mandi; Shower; WiFi; R. Tamu; R. Jemur; Dapur; CCTV; Parkir Mobil; Parkir Motor; Parkir Sepeda"/>
    <n v="1406000"/>
    <s v="Rp1.406.000"/>
    <n v="0.17291666666666669"/>
    <d v="1899-12-30T04:09:00"/>
    <s v="Kos Putra"/>
    <m/>
    <s v="Diskon 74rb"/>
  </r>
  <r>
    <s v="Kost Singgahsini Ada Lika Halim Perdana Kusuma Tipe B Makasar Jakarta Timur"/>
    <x v="8"/>
    <x v="45"/>
    <n v="5.28"/>
    <s v="2.4 x 2.2 meter"/>
    <s v="Tidak termasuk listrik"/>
    <n v="1350000"/>
    <s v="Rp1.350.000"/>
    <s v="2.4 x 2.2 meter; Tidak termasuk listrik; AC; Kasur; Meja; Lemari Baju; Kursi; Bantal; Guling; Jendela; Kloset Duduk; Kloset Jongkok; K. Mandi Luar; Shower; WiFi; R. Tamu; R. Jemur; Dapur; CCTV; Parkir Mobil; Parkir Motor; Parkir Sepeda"/>
    <n v="1282500"/>
    <s v="Rp1.282.500"/>
    <n v="0.17291666666666669"/>
    <d v="1899-12-30T04:09:00"/>
    <s v="Kos Putra"/>
    <m/>
    <s v="Diskon 68rb"/>
  </r>
  <r>
    <s v="Kost Singgahsini Ada Lika Halim Perdana Kusuma Tipe C Makasar Jakarta Timur"/>
    <x v="8"/>
    <x v="45"/>
    <n v="5.28"/>
    <s v="2.4 x 2.2 meter"/>
    <s v="Tidak termasuk listrik"/>
    <n v="1000000"/>
    <s v="Rp1.000.000"/>
    <s v="2.4 x 2.2 meter; Tidak termasuk listrik; Kasur; Meja; Lemari Baju; Kursi; Kipas Angin; Jendela; Kloset Duduk; Kloset Jongkok; K. Mandi Luar; Shower; WiFi; R. Tamu; R. Jemur; Dapur; CCTV; Parkir Mobil; Parkir Motor; Parkir Sepeda"/>
    <n v="950000"/>
    <s v="Rp950.000"/>
    <n v="0.17222222222222225"/>
    <d v="1899-12-30T04:08:00"/>
    <s v="Kos Putra"/>
    <m/>
    <s v="Diskon 50rb"/>
  </r>
  <r>
    <s v="Kost Singgahsini Agde Living 2 Tipe A Kalibata Jakarta Selatan"/>
    <x v="5"/>
    <x v="55"/>
    <n v="12.25"/>
    <s v="3.5 x 3.5 meter"/>
    <s v="Tidak termasuk listrik"/>
    <n v="2325000"/>
    <s v="Rp2.325.000"/>
    <s v="3.5 x 3.5 meter; Tidak termasuk listrik; AC; Kasur; Meja; TV; Lemari Baju; Kursi; Jendela; Bantal; Cermin; Guling; K. Mandi Dalam; Kloset Duduk; Wastafel; Shower; Air panas; WiFi; Penjaga Kos; R. Jemur; Dapur; Dispenser; Parkir Mobil; Parkir Motor &amp; Sepeda"/>
    <n v="2141000"/>
    <s v="Rp2.141.000"/>
    <n v="0.17291666666666669"/>
    <d v="1899-12-30T04:09:00"/>
    <s v="Kos Campur"/>
    <m/>
    <s v="Diskon 184rb"/>
  </r>
  <r>
    <s v="Kost Singgahsini Aglonema Lebak Bulus Tipe A Cilandak Jakarta Selatan"/>
    <x v="5"/>
    <x v="172"/>
    <n v="7.4399999999999995"/>
    <s v="3.1 x 2.4 meter"/>
    <s v="Termasuk listrik (implied)"/>
    <s v=""/>
    <s v="N/A"/>
    <s v="3.1 x 2.4 meter; Termasuk listrik; AC; Kasur; Meja; Lemari Baju; Kursi; Bantal; Cermin; Guling; Jendela; K. Mandi Dalam; Kloset Duduk; Ember mandi; Shower; WiFi; Kulkas; R. Tamu; Penjaga Kos; R. Makan; R. Jemur; Dapur; Parkir Mobil; Parkir Motor; Parkir Sepeda"/>
    <n v="2125000"/>
    <s v="Rp2.125.000"/>
    <n v="0.17291666666666669"/>
    <d v="1899-12-30T04:09:00"/>
    <s v="Kos Campur"/>
    <m/>
    <m/>
  </r>
  <r>
    <s v="Kost Singgahsini Akifa Tipe A Pasar Rebo Jakarta Timur"/>
    <x v="8"/>
    <x v="28"/>
    <n v="12.25"/>
    <s v="3.5 x 3.5 meter"/>
    <s v="Tidak termasuk listrik"/>
    <n v="1255000"/>
    <s v="Rp1.255.000"/>
    <s v="3.5 x 3.5 meter; Tidak termasuk listrik; AC; Kasur; Lemari Baju; Ventilasi; Jendela; Bantal; Cermin; Guling; Kloset Duduk; K. Mandi Luar; Ember mandi; WiFi; R. Cuci; Kulkas; Penjaga Kos; Dapur; Parkir Motor &amp; Sepeda"/>
    <n v="1156600"/>
    <s v="Rp1.156.600"/>
    <n v="0.17291666666666669"/>
    <d v="1899-12-30T04:09:00"/>
    <s v="Kos Putri"/>
    <m/>
    <s v="Diskon 98rb"/>
  </r>
  <r>
    <s v="Kost Singgahsini Al Farisy Tipe A Kalideres Jakarta Barat"/>
    <x v="6"/>
    <x v="130"/>
    <n v="12"/>
    <s v="3 x 4 meter"/>
    <s v="Tidak termasuk listrik"/>
    <s v=""/>
    <s v="N/A"/>
    <s v="3 x 4 meter; Tidak termasuk listrik; AC; Kasur; Meja; Lemari Baju; Kursi; Bantal; Cermin; Guling; Jendela; K. Mandi Dalam; Kloset Jongkok; Ember mandi; WiFi; R. Tamu; Penjaga Kos; R. Jemur; Dapur; Jemuran; Parkir Mobil; Parkir Motor; Parkir Sepeda"/>
    <n v="1325000"/>
    <s v="Rp1.325.000"/>
    <n v="0.17291666666666669"/>
    <d v="1899-12-30T04:09:00"/>
    <s v="Kos Campur"/>
    <m/>
    <m/>
  </r>
  <r>
    <s v="Kost Singgahsini Al Farisy Tipe B Kalideres Jakarta Barat"/>
    <x v="6"/>
    <x v="130"/>
    <n v="12"/>
    <s v="3 x 4 meter"/>
    <s v="Tidak termasuk listrik"/>
    <s v=""/>
    <s v="N/A"/>
    <s v="3 x 4 meter; Tidak termasuk listrik; Kasur; Meja; Lemari Baju; Kursi; Kipas Angin; Bantal; Cermin; Guling; Jendela; K. Mandi Dalam; Kloset Jongkok; Ember mandi; WiFi; R. Tamu; Penjaga Kos; R. Jemur; Dapur; Jemuran; Parkir Mobil; Parkir Motor; Parkir Sepeda"/>
    <n v="1025000"/>
    <s v="Rp1.025.000"/>
    <n v="0.17291666666666669"/>
    <d v="1899-12-30T04:09:00"/>
    <s v="Kos Campur"/>
    <m/>
    <m/>
  </r>
  <r>
    <s v="Kost Singgahsini Al Karim STAN Tipe A Pondok Aren Tangerang Selatan"/>
    <x v="2"/>
    <x v="29"/>
    <n v="10.240000000000002"/>
    <s v="3.2 x 3.2 meter"/>
    <s v="Tidak termasuk listrik"/>
    <s v=""/>
    <s v="N/A"/>
    <s v="3.2 x 3.2 meter; Tidak termasuk listrik; AC; Kasur; Meja; Lemari Baju; Ventilasi; Kursi; Bantal; Jendela; K. Mandi Dalam; Kloset Duduk; Ember mandi; Shower; WiFi; Kulkas; R. Tamu; Penjaga Kos; R. Makan; R. Jemur; Dapur; K. Mandi Luar; Jemuran; Parkir Motor; Parkir Sepeda; Parkir Motor &amp; Sepeda"/>
    <n v="1240000"/>
    <s v="Rp1.240.000"/>
    <n v="0.17222222222222225"/>
    <d v="1899-12-30T04:08:00"/>
    <s v="Kos Putri"/>
    <m/>
    <s v="Diskon 43rb"/>
  </r>
  <r>
    <s v="Kost Singgahsini Alamanda BSD Tipe A Serpong Tangerang Selatan"/>
    <x v="2"/>
    <x v="18"/>
    <n v="9"/>
    <s v="2.5 x 3.6 meter"/>
    <s v="Tidak termasuk listrik"/>
    <n v="1525000"/>
    <s v="Rp1.525.000"/>
    <s v="2.5 x 3.6 meter; Tidak termasuk listrik; AC; Kasur; Ventilasi; Bantal; Jendela; K. Mandi Dalam; Kloset Jongkok; Shower; WiFi; Mesin Cuci; Penjaga Kos; R. Jemur; R. Makan; Dapur; Pengurus Kos; Jemuran; Parkir Motor &amp; Sepeda"/>
    <n v="1450000"/>
    <s v="Rp1.450.000"/>
    <n v="0.17291666666666669"/>
    <d v="1899-12-30T04:09:00"/>
    <s v="Kos Campur"/>
    <m/>
    <s v="Diskon 75rb"/>
  </r>
  <r>
    <s v="Kost Singgahsini Alamanda BSD Tipe B Serpong Tangerang Selatan"/>
    <x v="2"/>
    <x v="18"/>
    <n v="9"/>
    <s v="2.5 x 3.6 meter"/>
    <s v="Tidak termasuk listrik"/>
    <n v="1475000"/>
    <s v="Rp1.475.000"/>
    <s v="2.5 x 3.6 meter; Tidak termasuk listrik; AC; Kasur; Jendela; Bantal; Kloset Duduk; K. Mandi Luar; Shower; WiFi; Mesin Cuci; Penjaga Kos; R. Jemur; R. Makan; Dapur; Jemuran; Parkir Motor &amp; Sepeda"/>
    <n v="1402500"/>
    <s v="Rp1.402.500"/>
    <n v="0.12708333333333333"/>
    <d v="1899-12-30T03:03:00"/>
    <s v="Kos Campur"/>
    <m/>
    <s v="Diskon 73rb"/>
  </r>
  <r>
    <s v="Kost Singgahsini Alamanda BSD Tipe C Serpong Tangerang Selatan"/>
    <x v="2"/>
    <x v="18"/>
    <n v="9"/>
    <s v="2.5 x 3.6 meter"/>
    <s v="Tidak termasuk listrik"/>
    <n v="975000"/>
    <s v="Rp975.000"/>
    <s v="2.5 x 3.6 meter; Tidak termasuk listrik; Kasur; Lemari Baju; Bantal; K. Mandi Dalam; Kloset Duduk; Bak mandi; WiFi; Mesin Cuci; Penjaga Kos; R. Jemur; R. Makan; Dapur; Jemuran; Parkir Motor &amp; Sepeda"/>
    <n v="927500"/>
    <s v="Rp927.500"/>
    <n v="0.16944444444444443"/>
    <d v="1899-12-30T04:04:00"/>
    <s v="Kos Campur"/>
    <m/>
    <s v="Diskon 48rb"/>
  </r>
  <r>
    <s v="Kost Singgahsini Alaya Pejompongan Tipe A Tanah Abang Jakarta Pusat"/>
    <x v="9"/>
    <x v="42"/>
    <n v="12.96"/>
    <s v="3.6 x 3.6 meter"/>
    <s v="Termasuk listrik (implied)"/>
    <s v=""/>
    <s v="N/A"/>
    <s v="3.6 x 3.6 meter; Termasuk listrik; AC; Kasur; Meja; Lemari Baju; Ventilasi; Kursi; Bantal; Jendela; K. Mandi Dalam; Kloset Duduk; Kloset Jongkok; Shower; WiFi; Kulkas; R. Tamu; Penjaga Kos; R. Makan; R. Jemur; Dapur; Dispenser; K. Mandi Luar; Jemuran; Parkir Mobil; Parkir Motor; Parkir Sepeda"/>
    <n v="1995000"/>
    <s v="Rp1.995.000"/>
    <n v="0.17083333333333331"/>
    <d v="1899-12-30T04:06:00"/>
    <s v="Kos Campur"/>
    <m/>
    <s v="Diskon 72rb"/>
  </r>
  <r>
    <s v="Kost Singgahsini Alaya Pejompongan Tipe B Tanah Abang Jakarta Pusat"/>
    <x v="9"/>
    <x v="42"/>
    <n v="5.25"/>
    <s v="2.1 x 2.5 meter"/>
    <s v="Termasuk listrik (implied)"/>
    <n v="1465000"/>
    <s v="Rp1.465.000"/>
    <s v="2.1 x 2.5 meter; Termasuk listrik; AC; Kasur; Meja; Lemari Baju; Ventilasi; Kursi; Bantal; Cermin; Jendela; Kloset Duduk; K. Mandi Luar; Shower; WiFi; Kulkas; R. Tamu; Penjaga Kos; R. Makan; R. Jemur; Dapur; Dispenser; Jemuran; Parkir Mobil; Parkir Motor; Parkir Sepeda"/>
    <n v="1393000"/>
    <s v="Rp1.393.000"/>
    <n v="0.17083333333333331"/>
    <d v="1899-12-30T04:06:00"/>
    <s v="Kos Campur"/>
    <m/>
    <s v="Diskon 72rb"/>
  </r>
  <r>
    <s v="Kost Singgahsini Alena House Tipe A Duren Sawit Jakarta Timur"/>
    <x v="8"/>
    <x v="39"/>
    <n v="10.8"/>
    <s v="3 x 3.6 meter"/>
    <s v="Tidak termasuk listrik"/>
    <s v=""/>
    <s v="N/A"/>
    <s v="3 x 3.6 meter; Tidak termasuk listrik; AC; Kasur; Meja; Lemari Baju; Ventilasi; Kursi; Bantal; Cermin; Guling; Jendela; K. Mandi Dalam; Kloset Duduk; Shower; WiFi; R. Cuci; Kulkas; R. Tamu; Mesin Cuci; Penjaga Kos; R. Makan; R. Jemur; Dapur; Dispenser; Parkir Mobil; Parkir Motor &amp; Sepeda"/>
    <n v="1725000"/>
    <s v="Rp1.725.000"/>
    <n v="0.17291666666666669"/>
    <d v="1899-12-30T04:09:00"/>
    <s v="Kos Putri"/>
    <m/>
    <s v="Diskon 108rb"/>
  </r>
  <r>
    <s v="Kost Singgahsini Alena House Tipe B Duren Sawit Jakarta Timur"/>
    <x v="8"/>
    <x v="39"/>
    <n v="9"/>
    <s v="3.6 x 2.5 meter"/>
    <s v="Tidak termasuk listrik"/>
    <s v=""/>
    <s v="N/A"/>
    <s v="3.6 x 2.5 meter; Tidak termasuk listrik; AC; Kasur; Meja; Lemari Baju; Ventilasi; Kursi; Bantal; Cermin; Guling; Jendela; K. Mandi Dalam; Kloset Duduk; Shower; WiFi; R. Cuci; Kulkas; R. Tamu; Mesin Cuci; Penjaga Kos; R. Makan; R. Jemur; Dapur; Dispenser; Parkir Mobil; Parkir Motor &amp; Sepeda"/>
    <n v="1625000"/>
    <s v="Rp1.625.000"/>
    <n v="0.17291666666666669"/>
    <d v="1899-12-30T04:09:00"/>
    <s v="Kos Putri"/>
    <m/>
    <s v="Diskon 108rb"/>
  </r>
  <r>
    <s v="Kost Singgahsini Alena House Tipe C Duren Sawit Jakarta Timur"/>
    <x v="8"/>
    <x v="39"/>
    <n v="6.25"/>
    <s v="2.5 x 2.5 meter"/>
    <s v="Tidak termasuk listrik"/>
    <n v="1375000"/>
    <s v="Rp1.375.000"/>
    <s v="2.5 x 2.5 meter; Tidak termasuk listrik; AC; Kasur; Meja; Lemari Baju; Ventilasi; Kursi; Bantal; Cermin; Guling; Jendela; Kloset Duduk; K. Mandi Luar; Shower; WiFi; R. Cuci; Kulkas; R. Tamu; Mesin Cuci; Penjaga Kos; R. Makan; R. Jemur; Dapur; Dispenser; Parkir Mobil; Parkir Motor &amp; Sepeda"/>
    <n v="1267000"/>
    <s v="Rp1.267.000"/>
    <n v="0.1673611111111111"/>
    <d v="1899-12-30T04:01:00"/>
    <s v="Kos Putri"/>
    <m/>
    <s v="Diskon 108rb"/>
  </r>
  <r>
    <s v="Kost Singgahsini Alexandria Keagungan Gajah Mada Tipe B Taman Sari Jakarta Barat"/>
    <x v="3"/>
    <x v="149"/>
    <n v="42"/>
    <s v="7 x 6 meter"/>
    <s v="Tidak termasuk listrik"/>
    <n v="1705000"/>
    <s v="Rp1.705.000"/>
    <s v="7 x 6 meter; Tidak termasuk listrik; AC; Kasur; Meja; Lemari Baju; Bantal; Jendela; K. Mandi Dalam; Kloset Duduk; Shower; WiFi; R. Jemur; CCTV; Parkir Motor; Parkir Sepeda"/>
    <n v="1621000"/>
    <s v="Rp1.621.000"/>
    <n v="0.17222222222222225"/>
    <d v="1899-12-30T04:08:00"/>
    <s v="Kos Putra"/>
    <m/>
    <s v="Diskon 84rb"/>
  </r>
  <r>
    <s v="Kost Singgahsini Alexandria Keagungan Gajah Mada Tipe C Taman Sari Jakarta Barat"/>
    <x v="3"/>
    <x v="149"/>
    <n v="21"/>
    <s v="7 x 3 meter"/>
    <s v="Tidak termasuk listrik"/>
    <n v="1285000"/>
    <s v="Rp1.285.000"/>
    <s v="7 x 3 meter; Tidak termasuk listrik; AC; Kasur; Lemari Baju; Ventilasi; Bantal; K. Mandi Dalam; Kloset Jongkok; Ember mandi; WiFi; R. Jemur; CCTV; Parkir Motor; Parkir Sepeda"/>
    <n v="1222000"/>
    <s v="Rp1.222.000"/>
    <n v="0.17222222222222225"/>
    <d v="1899-12-30T04:08:00"/>
    <s v="Kos Putra"/>
    <m/>
    <s v="Diskon 63rb"/>
  </r>
  <r>
    <s v="Kost Singgahsini Alfakoz Casagoya Tipe A Kebon Jeruk Jakarta Barat"/>
    <x v="3"/>
    <x v="14"/>
    <n v="13.640000000000002"/>
    <s v="4.4 x 3.1 meter"/>
    <s v="Tidak termasuk listrik"/>
    <n v="1925000"/>
    <s v="Rp1.925.000"/>
    <s v="4.4 x 3.1 meter; Tidak termasuk listrik; AC; Kasur; Meja; Lemari Baju; Ventilasi; Kursi; Jendela; Bantal; Cermin; Guling; K. Mandi Dalam; Kloset Duduk; Wastafel; Shower; WiFi; Penjaga Kos; R. Jemur; Dapur; Rooftop; Parkir Motor &amp; Sepeda"/>
    <n v="1830000"/>
    <s v="Rp1.830.000"/>
    <n v="0.17222222222222225"/>
    <d v="1899-12-30T04:08:00"/>
    <s v="Kos Campur"/>
    <m/>
    <s v="Diskon 95rb"/>
  </r>
  <r>
    <s v="Kost Singgahsini Alfakoz Casagoya Tipe B Kebon Jeruk Jakarta Barat"/>
    <x v="3"/>
    <x v="14"/>
    <n v="11.47"/>
    <s v="3.1 x 3.7 meter"/>
    <s v="Tidak termasuk listrik"/>
    <n v="1825000"/>
    <s v="Rp1.825.000"/>
    <s v="3.1 x 3.7 meter; Tidak termasuk listrik; AC; Kasur; Meja; Lemari Baju; Ventilasi; Kursi; Jendela; Bantal; Cermin; Guling; K. Mandi Dalam; Kloset Duduk; Wastafel; Shower; WiFi; Penjaga Kos; R. Jemur; Dapur; Rooftop; Parkir Motor &amp; Sepeda"/>
    <n v="1735000"/>
    <s v="Rp1.735.000"/>
    <n v="0.17222222222222225"/>
    <d v="1899-12-30T04:08:00"/>
    <s v="Kos Campur"/>
    <m/>
    <s v="Diskon 90rb"/>
  </r>
  <r>
    <s v="Kost Singgahsini Alfakoz Casagoya Tipe C Kebon Jeruk Jakarta Barat"/>
    <x v="3"/>
    <x v="14"/>
    <n v="7.75"/>
    <s v="3.1 x 2.5 meter"/>
    <s v="Tidak termasuk listrik"/>
    <n v="1725000"/>
    <s v="Rp1.725.000"/>
    <s v="3.1 x 2.5 meter; Tidak termasuk listrik; AC; Kasur; Meja; Lemari Baju; Kursi; Jendela; Wastafel; Bantal; Cermin; Guling; K. Mandi Dalam; Kloset Duduk; Shower; WiFi; Penjaga Kos; R. Jemur; Dapur; Rooftop; Parkir Motor &amp; Sepeda"/>
    <n v="1640000"/>
    <s v="Rp1.640.000"/>
    <n v="0.17222222222222225"/>
    <d v="1899-12-30T04:08:00"/>
    <s v="Kos Campur"/>
    <m/>
    <s v="Diskon 85rb"/>
  </r>
  <r>
    <s v="Kost Singgahsini Alhidayah EMH-4 Tipe A Beji Depok"/>
    <x v="1"/>
    <x v="15"/>
    <n v="20.639999999999997"/>
    <s v="4.3 x 4.8 meter"/>
    <s v="Tidak termasuk listrik"/>
    <n v="1875000"/>
    <s v="Rp1.875.000"/>
    <s v="4.3 x 4.8 meter; Tidak termasuk listrik; AC; Kasur; Meja; Lemari Baju; Ventilasi; Kursi; Bantal; Guling; Jendela; K. Mandi Dalam; Kloset Duduk; Shower; WiFi; R. Cuci; R. Tamu; R. Jemur; Dapur; K. Mandi Luar; Parkir Mobil; Parkir Motor; Parkir Sepeda; Parkir Motor &amp; Sepeda"/>
    <n v="1690000"/>
    <s v="Rp1.690.000"/>
    <n v="0.16874999999999998"/>
    <d v="1899-12-30T04:03:00"/>
    <s v="Kos Putri"/>
    <m/>
    <s v="Diskon 185rb"/>
  </r>
  <r>
    <s v="Kost Singgahsini Alhidayah EMH-4 Tipe B Beji Depok"/>
    <x v="1"/>
    <x v="15"/>
    <n v="12"/>
    <s v="3 x 4 meter"/>
    <s v="Tidak termasuk listrik"/>
    <n v="1445000"/>
    <s v="Rp1.445.000"/>
    <s v="3 x 4 meter; Tidak termasuk listrik; AC; Kasur; Meja; Lemari Baju; Kursi; Bantal; Guling; Jendela; K. Mandi Dalam; Kloset Duduk; Shower; WiFi; R. Cuci; R. Tamu; R. Jemur; Dapur; K. Mandi Luar; Parkir Mobil; Parkir Motor; Parkir Sepeda; Parkir Motor &amp; Sepeda"/>
    <n v="1303000"/>
    <s v="Rp1.303.000"/>
    <n v="0.17291666666666669"/>
    <d v="1899-12-30T04:09:00"/>
    <s v="Kos Putri"/>
    <m/>
    <s v="Diskon 142rb"/>
  </r>
  <r>
    <s v="Kost Singgahsini Amanah Pondok Kelapa Tipe A Duren Sawit Jakarta Timur"/>
    <x v="8"/>
    <x v="39"/>
    <n v="17.600000000000001"/>
    <s v="4.4 x 4 meter"/>
    <s v="Tidak termasuk listrik"/>
    <n v="1525000"/>
    <s v="Rp1.525.000"/>
    <s v="4.4 x 4 meter; Tidak termasuk listrik; AC; Kasur; Meja; Lemari Baju; Ventilasi; Kursi; Bantal; Cermin; Guling; Jendela; K. Mandi Dalam; Kloset Duduk; Shower; WiFi; R. Tamu; Penjaga Kos; R. Makan; R. Jemur; Dapur; Jemuran; Parkir Motor &amp; Sepeda"/>
    <n v="1450000"/>
    <s v="Rp1.450.000"/>
    <n v="0.17291666666666669"/>
    <d v="1899-12-30T04:09:00"/>
    <s v="Kos Putra"/>
    <m/>
    <s v="Diskon 75rb"/>
  </r>
  <r>
    <s v="Kost Singgahsini Amanah Pondok Kelapa Tipe B Duren Sawit Jakarta Timur"/>
    <x v="8"/>
    <x v="39"/>
    <n v="10.5"/>
    <s v="3.5 x 3 meter"/>
    <s v="Tidak termasuk listrik"/>
    <n v="1325000"/>
    <s v="Rp1.325.000"/>
    <s v="3.5 x 3 meter; Tidak termasuk listrik; AC; Kasur; Lemari Baju; Ventilasi; Bantal; Cermin; Guling; Jendela; K. Mandi Dalam; Kloset Jongkok; Ember mandi; Shower; WiFi; R. Tamu; Penjaga Kos; R. Makan; R. Jemur; Dapur; Jemuran; Parkir Motor &amp; Sepeda"/>
    <n v="1260000"/>
    <s v="Rp1.260.000"/>
    <n v="0.17222222222222225"/>
    <d v="1899-12-30T04:08:00"/>
    <s v="Kos Putra"/>
    <m/>
    <s v="Diskon 65rb"/>
  </r>
  <r>
    <s v="Kost Singgahsini Amanah Pondok Kelapa Tipe C Duren Sawit Jakarta Timur"/>
    <x v="8"/>
    <x v="39"/>
    <n v="10.5"/>
    <s v="3.5 x 3 meter"/>
    <s v="Tidak termasuk listrik"/>
    <s v=""/>
    <s v="N/A"/>
    <s v="3.5 x 3 meter; Tidak termasuk listrik; AC; Kasur; Lemari Baju; Ventilasi; Bantal; Cermin; Guling; Jendela; K. Mandi Dalam; Kloset Jongkok; Ember mandi; Shower; WiFi; R. Tamu; Penjaga Kos; R. Makan; R. Jemur; Dapur; Jemuran; Parkir Motor &amp; Sepeda"/>
    <n v="1125000"/>
    <s v="Rp1.125.000"/>
    <n v="0.17083333333333331"/>
    <d v="1899-12-30T04:06:00"/>
    <s v="Kos Putra"/>
    <m/>
    <s v="Diskon 65rb"/>
  </r>
  <r>
    <s v="Kost Singgahsini Amelia Condet Tipe A Kramatjati Jakarta Timur"/>
    <x v="8"/>
    <x v="47"/>
    <n v="9"/>
    <s v="3 x 3 meter"/>
    <s v="Tidak termasuk listrik"/>
    <n v="1725000"/>
    <s v="Rp1.725.000"/>
    <s v="3 x 3 meter; Tidak termasuk listrik; AC; Kasur; Meja; Lemari Baju; Kursi; Bantal; Guling; Jendela; K. Mandi Dalam; Kloset Duduk; Shower; WiFi; Kulkas; R. Tamu; R. Jemur; R. Santai; Dapur; Dispenser; Gazebo; CCTV; Parkir Mobil; Parkir Motor"/>
    <n v="1640000"/>
    <s v="Rp1.640.000"/>
    <n v="0.17222222222222225"/>
    <d v="1899-12-30T04:08:00"/>
    <s v="Kos Putri"/>
    <m/>
    <s v="Diskon 85rb"/>
  </r>
  <r>
    <s v="Kost Singgahsini Amelia Condet Tipe B Kramatjati Jakarta Timur"/>
    <x v="8"/>
    <x v="47"/>
    <n v="12"/>
    <s v="4 x 3 meter"/>
    <s v="Tidak termasuk listrik"/>
    <n v="1925000"/>
    <s v="Rp1.925.000"/>
    <s v="4 x 3 meter; Tidak termasuk listrik; AC; Kasur; Meja; Lemari Baju; Kursi; Bantal; Guling; Jendela; K. Mandi Dalam; Kloset Duduk; K. Mandi Luar; Shower; WiFi; Kulkas; R. Tamu; R. Jemur; R. Santai; Dapur; Dispenser; Gazebo; CCTV; Parkir Mobil; Parkir Motor"/>
    <n v="1830000"/>
    <s v="Rp1.830.000"/>
    <n v="0.17291666666666669"/>
    <d v="1899-12-30T04:09:00"/>
    <s v="Kos Putri"/>
    <m/>
    <s v="Diskon 95rb"/>
  </r>
  <r>
    <s v="Kost Singgahsini Ananda 123 Tipe B Kebayoran Lama Jakarta Selatan"/>
    <x v="5"/>
    <x v="57"/>
    <n v="7.5"/>
    <s v="2.5 x 3 meter"/>
    <s v="Termasuk listrik (implied)"/>
    <s v=""/>
    <s v="N/A"/>
    <s v="2.5 x 3 meter; Termasuk listrik; AC; Kasur; Meja; Lemari Baju; Ventilasi; Kursi; Bantal; Guling; Jendela; K. Mandi Dalam; Kloset Duduk; Ember mandi; Shower; WiFi; R. Tamu; Penjaga Kos; R. Jemur; Dapur; CCTV; Jemuran; Parkir Mobil; Parkir Motor &amp; Sepeda"/>
    <n v="2125000"/>
    <s v="Rp2.125.000"/>
    <n v="0.17222222222222225"/>
    <d v="1899-12-30T04:08:00"/>
    <s v="Kos Putra"/>
    <m/>
    <m/>
  </r>
  <r>
    <s v="Kost Singgahsini Ananda 123 Tipe C Kebayoran Lama Jakarta Selatan"/>
    <x v="5"/>
    <x v="57"/>
    <n v="5.7200000000000006"/>
    <s v="2.6 x 2.2 meter"/>
    <s v="Termasuk listrik (implied)"/>
    <s v=""/>
    <s v="N/A"/>
    <s v="2.6 x 2.2 meter; Termasuk listrik; AC; Kasur; Lemari Baju; Bantal; Guling; Kloset Duduk; K. Mandi Luar; Ember mandi; Shower; WiFi; R. Tamu; Penjaga Kos; R. Jemur; Dapur; CCTV; Jemuran; Parkir Mobil; Parkir Motor &amp; Sepeda"/>
    <n v="1725000"/>
    <s v="Rp1.725.000"/>
    <n v="0.17222222222222225"/>
    <d v="1899-12-30T04:08:00"/>
    <s v="Kos Putra"/>
    <m/>
    <m/>
  </r>
  <r>
    <s v="Kost Singgahsini Andara Cinere Depok"/>
    <x v="1"/>
    <x v="124"/>
    <n v="16"/>
    <s v="4 x 4 meter"/>
    <s v="Tidak termasuk listrik"/>
    <n v="2125000"/>
    <s v="Rp2.125.000"/>
    <s v="4 x 4 meter; Tidak termasuk listrik; AC; Kasur; Meja; Lemari Baju; Kursi; Bantal; Jendela; K. Mandi Dalam; Kloset Duduk; Wastafel; Shower; Air panas; WiFi; Kulkas; R. Tamu; Dapur; Dispenser; Parkir Mobil; Parkir Motor"/>
    <n v="1915000"/>
    <s v="Rp1.915.000"/>
    <n v="0.17083333333333331"/>
    <d v="1899-12-30T04:06:00"/>
    <s v="Kos Putri"/>
    <m/>
    <s v="Diskon 210rb"/>
  </r>
  <r>
    <s v="Kost Singgahsini Andatu Residence Tipe A Tangerang"/>
    <x v="6"/>
    <x v="22"/>
    <n v="14.79"/>
    <s v="5.1 x 2.9 meter"/>
    <s v="Tidak termasuk listrik"/>
    <n v="1625000"/>
    <s v="Rp1.625.000"/>
    <s v="5.1 x 2.9 meter; Tidak termasuk listrik; AC; Kasur; Meja; Lemari Baju; Kursi; Jendela; K. Mandi Dalam; Kloset Duduk; Bak mandi; WiFi; Penjaga Kos; Laundry; CCTV; Parkir Mobil; Parkir Motor &amp; Sepeda"/>
    <n v="1545000"/>
    <s v="Rp1.545.000"/>
    <n v="0.17222222222222225"/>
    <d v="1899-12-30T04:08:00"/>
    <s v="Kos Campur"/>
    <m/>
    <s v="Diskon 80rb"/>
  </r>
  <r>
    <s v="Kost Singgahsini Anggrek Bulan Tipe A Matraman Jakarta Timur"/>
    <x v="8"/>
    <x v="83"/>
    <n v="9"/>
    <s v="3 x 3 meter"/>
    <s v="Termasuk listrik (implied)"/>
    <n v="1375000"/>
    <s v="Rp1.375.000"/>
    <s v="3 x 3 meter; Termasuk listrik; AC; Kasur; Lemari Baju; Bantal; Guling; Jendela; K. Mandi Dalam; Kloset Jongkok; Ember mandi; WiFi; Kulkas; R. Tamu; TV; Parkir Motor; Parkir Sepeda"/>
    <n v="1267000"/>
    <s v="Rp1.267.000"/>
    <n v="0.17013888888888887"/>
    <d v="1899-12-30T04:05:00"/>
    <s v="Kos Campur"/>
    <m/>
    <s v="Diskon 108rb"/>
  </r>
  <r>
    <s v="Kost Singgahsini Anisa Kebon Kacang 6 Tipe A Tanah Abang Jakarta Pusat"/>
    <x v="9"/>
    <x v="42"/>
    <n v="43.2"/>
    <s v="7.2 x 6 meter"/>
    <s v="Tidak termasuk listrik"/>
    <s v=""/>
    <s v="N/A"/>
    <s v="7.2 x 6 meter; Tidak termasuk listrik; AC; Kasur; Meja; Lemari Baju; Kursi; Bantal; Guling; K. Mandi Dalam; Kloset Duduk; Shower; WiFi; R. Tamu; Penjaga Kos; R. Makan; R. Jemur; Dapur; CCTV; Parkir Mobil; Parkir Motor"/>
    <n v="3025000"/>
    <s v="Rp3.025.000"/>
    <n v="0.20833333333333334"/>
    <d v="1899-12-30T05:00:00"/>
    <s v="Kos Putri"/>
    <m/>
    <s v="Diskon 150rb"/>
  </r>
  <r>
    <s v="Kost Singgahsini Anisa Kebon Kacang 6 Tipe B Tanah Abang Jakarta Pusat"/>
    <x v="9"/>
    <x v="42"/>
    <n v="19.25"/>
    <s v="5.5 x 3.5 meter"/>
    <s v="Tidak termasuk listrik"/>
    <s v=""/>
    <s v="N/A"/>
    <s v="5.5 x 3.5 meter; Tidak termasuk listrik; AC; Kasur; Meja; Lemari Baju; Kursi; Bantal; Guling; K. Mandi Dalam; Kloset Duduk; Shower; WiFi; R. Tamu; Penjaga Kos; R. Makan; R. Jemur; Dapur; CCTV; Parkir Mobil; Parkir Motor"/>
    <n v="2725000"/>
    <s v="Rp2.725.000"/>
    <n v="0.17291666666666669"/>
    <d v="1899-12-30T04:09:00"/>
    <s v="Kos Putri"/>
    <m/>
    <m/>
  </r>
  <r>
    <s v="Kost Singgahsini Anisa Kebon Kacang 6 Tipe C Tanah Abang Jakarta Pusat"/>
    <x v="9"/>
    <x v="42"/>
    <n v="10.5"/>
    <s v="3 x 3.5 meter"/>
    <s v="Tidak termasuk listrik"/>
    <s v=""/>
    <s v="N/A"/>
    <s v="3 x 3.5 meter; Tidak termasuk listrik; AC; Kasur; Meja; Lemari Baju; Ventilasi; Kursi; Bantal; Guling; Jendela; K. Mandi Dalam; Kloset Duduk; Wastafel; Shower; WiFi; R. Tamu; Penjaga Kos; R. Makan; R. Jemur; Dapur; CCTV; Parkir Mobil; Parkir Motor"/>
    <n v="2575000"/>
    <s v="Rp2.575.000"/>
    <n v="0.17291666666666669"/>
    <d v="1899-12-30T04:09:00"/>
    <s v="Kos Putri"/>
    <m/>
    <m/>
  </r>
  <r>
    <s v="Kost Singgahsini Anisa Kebon Kacang 6 Tipe E Tanah Abang Jakarta Pusat"/>
    <x v="9"/>
    <x v="42"/>
    <n v="7.5"/>
    <s v="3 x 2.5 meter"/>
    <s v="Tidak termasuk listrik"/>
    <s v=""/>
    <s v="N/A"/>
    <s v="3 x 2.5 meter; Tidak termasuk listrik; AC; Kasur; Meja; Lemari Baju; Kursi; Bantal; Guling; Jendela; K. Mandi Dalam; Kloset Duduk; Wastafel; Shower; WiFi; R. Tamu; Penjaga Kos; R. Makan; R. Jemur; Dapur; CCTV; Parkir Mobil; Parkir Motor"/>
    <n v="2325000"/>
    <s v="Rp2.325.000"/>
    <n v="0.17083333333333331"/>
    <d v="1899-12-30T04:06:00"/>
    <s v="Kos Putri"/>
    <m/>
    <s v="Diskon 107rb"/>
  </r>
  <r>
    <s v="Kost Singgahsini AOS Home Tipe A Setiabudi Jakarta Selatan"/>
    <x v="5"/>
    <x v="185"/>
    <n v="9"/>
    <s v="3 x 3 meter"/>
    <s v="Termasuk listrik (implied)"/>
    <n v="2625000"/>
    <s v="Rp2.625.000"/>
    <s v="3 x 3 meter; Termasuk listrik; AC; Kasur; Meja; Lemari Baju; Kursi; Wastafel; Bantal; Jendela; K. Mandi Dalam; Kloset Duduk; Shower; WiFi; Penjaga Kos; Parkir Mobil; Parkir Motor; Parkir Sepeda; Parkir Motor &amp; Sepeda"/>
    <n v="2495000"/>
    <s v="Rp2.495.000"/>
    <n v="0.17013888888888887"/>
    <d v="1899-12-30T04:05:00"/>
    <s v="Kos Campur"/>
    <m/>
    <s v="Diskon 130rb"/>
  </r>
  <r>
    <s v="Kost Singgahsini Apel 166 Tipe A Tanjung Duren Grogol Jakarta Barat"/>
    <x v="3"/>
    <x v="13"/>
    <n v="9.8999999999999986"/>
    <s v="3 x 3.3 meter"/>
    <s v="Termasuk listrik (implied)"/>
    <s v=""/>
    <s v="N/A"/>
    <s v="3 x 3.3 meter; Termasuk listrik; AC; Kasur; Meja; Lemari Baju; Kursi; K. Mandi Dalam; Kloset Duduk; Wastafel; Shower; Air panas; WiFi; Kulkas; R. Tamu; Penjaga Kos; Laundry; R. Jemur; Taman; Parkir Mobil; Parkir Motor; Parkir Sepeda; Parkir Motor &amp; Sepeda"/>
    <n v="2050000"/>
    <s v="Rp2.050.000"/>
    <n v="0.17083333333333331"/>
    <d v="1899-12-30T04:06:00"/>
    <s v="Kos Campur"/>
    <m/>
    <s v="Diskon 98rb"/>
  </r>
  <r>
    <s v="Kost Singgahsini Apel 166 Tipe B Tanjung Duren Grogol Jakarta Barat"/>
    <x v="3"/>
    <x v="13"/>
    <n v="9.8999999999999986"/>
    <s v="3 x 3.3 meter"/>
    <s v="Termasuk listrik (implied)"/>
    <s v=""/>
    <s v="N/A"/>
    <s v="3 x 3.3 meter; Termasuk listrik; AC; Kasur; Meja; Lemari Baju; Kulkas; Kursi; K. Mandi Dalam; Kloset Duduk; Wastafel; Shower; Air panas; WiFi; R. Tamu; Penjaga Kos; Laundry; R. Jemur; Taman; Parkir Mobil; Parkir Motor; Parkir Sepeda; Parkir Motor &amp; Sepeda"/>
    <n v="2500000"/>
    <s v="Rp2.500.000"/>
    <n v="0.17222222222222225"/>
    <d v="1899-12-30T04:08:00"/>
    <s v="Kos Campur"/>
    <m/>
    <s v="Diskon 200rb"/>
  </r>
  <r>
    <s v="Kost Singgahsini Ara H17 Tipe A Cinere Depok"/>
    <x v="1"/>
    <x v="1"/>
    <n v="10.5"/>
    <s v="3.5 x 3 meter"/>
    <s v="Tidak termasuk listrik"/>
    <n v="1775000"/>
    <s v="Rp1.775.000"/>
    <s v="3.5 x 3 meter; Tidak termasuk listrik; AC; Kasur; Meja; Lemari Baju; Kursi; K. Mandi Dalam; Kloset Duduk; Shower; WiFi; Kulkas; R. Tamu; Penjaga Kos; R. Makan; R. Jemur; Parkir Motor &amp; Sepeda"/>
    <n v="1600000"/>
    <s v="Rp1.600.000"/>
    <n v="0.17222222222222225"/>
    <d v="1899-12-30T04:08:00"/>
    <s v="Kos Putri"/>
    <m/>
    <s v="Diskon 175rb"/>
  </r>
  <r>
    <s v="Kost Singgahsini Ara H17 Tipe B Cinere Depok"/>
    <x v="1"/>
    <x v="1"/>
    <n v="9"/>
    <s v="3 x 3 meter"/>
    <s v="Tidak termasuk listrik"/>
    <n v="1525000"/>
    <s v="Rp1.525.000"/>
    <s v="3 x 3 meter; Tidak termasuk listrik; AC; Kasur; Meja; Lemari Baju; Kursi; K. Mandi Dalam; Kloset Duduk; Shower; WiFi; Kulkas; R. Tamu; Penjaga Kos; R. Makan; R. Jemur; Parkir Motor &amp; Sepeda"/>
    <n v="1375000"/>
    <s v="Rp1.375.000"/>
    <n v="0.17222222222222225"/>
    <d v="1899-12-30T04:08:00"/>
    <s v="Kos Putri"/>
    <m/>
    <s v="Diskon 150rb"/>
  </r>
  <r>
    <s v="Kost Singgahsini Arkana Tipe A Pulo Gadung Jakarta Timur"/>
    <x v="8"/>
    <x v="32"/>
    <n v="15.179999999999998"/>
    <s v="4.6 x 3.3 meter"/>
    <s v="Tidak termasuk listrik"/>
    <n v="2825000"/>
    <s v="Rp2.825.000"/>
    <s v="4.6 x 3.3 meter; Tidak termasuk listrik; AC; Kasur; Meja; Lemari Baju; Ventilasi; Kursi; Bantal; Cermin; Jendela; K. Mandi Dalam; Kloset Duduk; Shower; Air panas; WiFi; R. Cuci; Kulkas; R. Tamu; Mesin Cuci; Penjaga Kos; R. Makan; R. Jemur; Dapur; Dispenser; Parkir Mobil; Parkir Motor &amp; Sepeda"/>
    <n v="2685000"/>
    <s v="Rp2.685.000"/>
    <n v="0.17013888888888887"/>
    <d v="1899-12-30T04:05:00"/>
    <s v="Kos Putri"/>
    <m/>
    <s v="Diskon 140rb"/>
  </r>
  <r>
    <s v="Kost Singgahsini Arkana Tipe B Pulo Gadung Jakarta Timur"/>
    <x v="8"/>
    <x v="32"/>
    <n v="12.209999999999999"/>
    <s v="3.7 x 3.3 meter"/>
    <s v="Tidak termasuk listrik"/>
    <s v=""/>
    <s v="N/A"/>
    <s v="3.7 x 3.3 meter; Tidak termasuk listrik; AC; Kasur; Meja; Lemari Baju; Ventilasi; Kursi; Bantal; Cermin; Jendela; K. Mandi Dalam; Kloset Duduk; Shower; Air panas; WiFi; R. Cuci; Kulkas; R. Tamu; Mesin Cuci; Penjaga Kos; R. Makan; R. Jemur; Dapur; Dispenser; Parkir Mobil; Parkir Motor &amp; Sepeda"/>
    <n v="2375000"/>
    <s v="Rp2.375.000"/>
    <n v="0.20833333333333334"/>
    <d v="1899-12-30T05:00:00"/>
    <s v="Kos Putri"/>
    <m/>
    <s v="Diskon 108rb"/>
  </r>
  <r>
    <s v="Kost Singgahsini Arkana Tipe C Pulo Gadung Jakarta Timur"/>
    <x v="8"/>
    <x v="32"/>
    <n v="12.209999999999999"/>
    <s v="3.7 x 3.3 meter"/>
    <s v="Tidak termasuk listrik"/>
    <n v="2275000"/>
    <s v="Rp2.275.000"/>
    <s v="3.7 x 3.3 meter; Tidak termasuk listrik; AC; Kasur; Meja; Lemari Baju; Ventilasi; Kursi; Bantal; Cermin; Jendela; K. Mandi Dalam; Kloset Duduk; Shower; WiFi; R. Cuci; Kulkas; R. Tamu; Mesin Cuci; Penjaga Kos; R. Makan; R. Jemur; Dapur; Dispenser; Parkir Mobil; Parkir Motor &amp; Sepeda"/>
    <n v="2162500"/>
    <s v="Rp2.162.500"/>
    <n v="0.17222222222222225"/>
    <d v="1899-12-30T04:08:00"/>
    <s v="Kos Putri"/>
    <m/>
    <s v="Diskon 113rb"/>
  </r>
  <r>
    <s v="Kost Singgahsini Arkana Tipe D Pulo Gadung Jakarta Timur"/>
    <x v="8"/>
    <x v="32"/>
    <n v="12.209999999999999"/>
    <s v="3.7 x 3.3 meter"/>
    <s v="Tidak termasuk listrik"/>
    <n v="2175000"/>
    <s v="Rp2.175.000"/>
    <s v="3.7 x 3.3 meter; Tidak termasuk listrik; AC; Kasur; Meja; Lemari Baju; Ventilasi; Kursi; Bantal; Cermin; Jendela; K. Mandi Dalam; Kloset Duduk; Shower; WiFi; R. Cuci; Kulkas; R. Tamu; Mesin Cuci; Penjaga Kos; R. Makan; R. Jemur; Dapur; Dispenser; Parkir Mobil; Parkir Motor &amp; Sepeda"/>
    <n v="2067500"/>
    <s v="Rp2.067.500"/>
    <n v="0.17222222222222225"/>
    <d v="1899-12-30T04:08:00"/>
    <s v="Kos Putri"/>
    <m/>
    <s v="Diskon 108rb"/>
  </r>
  <r>
    <s v="Kost Singgahsini Arte Cipete Utara Tipe D Kebayoran Baru Jakarta Selatan"/>
    <x v="5"/>
    <x v="6"/>
    <n v="14.399999999999999"/>
    <s v="3 x 4.8 meter"/>
    <s v="Tidak termasuk listrik"/>
    <n v="3525000"/>
    <s v="Rp3.525.000"/>
    <s v="3 x 4.8 meter; Tidak termasuk listrik; AC; Kasur; Meja; TV; Lemari Baju; Kursi; Jendela; Bantal; K. Mandi Dalam; Kloset Duduk; Shower; Air panas; WiFi; Penjaga Kos; CCTV; Parkir Motor &amp; Sepeda"/>
    <n v="3350000"/>
    <s v="Rp3.350.000"/>
    <n v="0.17083333333333331"/>
    <d v="1899-12-30T04:06:00"/>
    <s v="Kos Campur"/>
    <m/>
    <s v="Diskon 175rb"/>
  </r>
  <r>
    <s v="Kost Singgahsini Arti Peni Tipe B Matraman Jakarta Timur"/>
    <x v="8"/>
    <x v="72"/>
    <n v="7.8000000000000007"/>
    <s v="3 x 2.6 meter"/>
    <s v="Tidak termasuk listrik"/>
    <n v="1605000"/>
    <s v="Rp1.605.000"/>
    <s v="3 x 2.6 meter; Tidak termasuk listrik; AC; Kasur; Meja; Lemari Baju; Kursi; Jendela; Bantal; K. Mandi Dalam; Kloset Duduk; Ember mandi; Shower; WiFi; R. Tamu; Penjaga Kos; R. Jemur; Jemuran; K. Mandi Luar; Parkir Mobil; Parkir Motor &amp; Sepeda"/>
    <n v="1526000"/>
    <s v="Rp1.526.000"/>
    <n v="0.17222222222222225"/>
    <d v="1899-12-30T04:08:00"/>
    <s v="Kos Campur"/>
    <m/>
    <s v="Diskon 79rb"/>
  </r>
  <r>
    <s v="Kost Singgahsini Arti Peni Tipe C Matraman Jakarta Timur"/>
    <x v="8"/>
    <x v="72"/>
    <n v="7.8000000000000007"/>
    <s v="3 x 2.6 meter"/>
    <s v="Tidak termasuk listrik"/>
    <s v=""/>
    <s v="N/A"/>
    <s v="3 x 2.6 meter; Tidak termasuk listrik; AC; Kasur; Meja; Lemari Baju; Ventilasi; Kursi; Bantal; Kloset Duduk; K. Mandi Luar; Ember mandi; Shower; WiFi; R. Tamu; Penjaga Kos; R. Jemur; Jemuran; Parkir Mobil; Parkir Motor &amp; Sepeda"/>
    <n v="1275000"/>
    <s v="Rp1.275.000"/>
    <n v="0.17013888888888887"/>
    <d v="1899-12-30T04:05:00"/>
    <s v="Kos Campur"/>
    <m/>
    <s v="Diskon 79rb"/>
  </r>
  <r>
    <s v="Kost Singgahsini Arvani Tipe A Pulo Gadung Jakarta Timur"/>
    <x v="8"/>
    <x v="48"/>
    <n v="10.8"/>
    <s v="4 x 2.7 meter"/>
    <s v="Tidak termasuk listrik"/>
    <s v=""/>
    <s v="N/A"/>
    <s v="4 x 2.7 meter; Tidak termasuk listrik; AC; Kasur; Meja; Lemari Baju; Kursi; Bantal; Cermin; Guling; Jendela; K. Mandi Dalam; Kloset Duduk; Shower; Air panas; WiFi; R. Cuci; Kulkas; R. Tamu; Mesin Cuci; Penjaga Kos; R. Jemur; Dapur; Dispenser; CCTV; Parkir Motor &amp; Sepeda"/>
    <n v="1700000"/>
    <s v="Rp1.700.000"/>
    <n v="0.17291666666666669"/>
    <d v="1899-12-30T04:09:00"/>
    <s v="Kos Putri"/>
    <m/>
    <s v="Diskon 87rb"/>
  </r>
  <r>
    <s v="Kost Singgahsini Arvani Tipe B Pulo Gadung Jakarta Timur"/>
    <x v="8"/>
    <x v="48"/>
    <n v="8.8000000000000007"/>
    <s v="4 x 2.2 meter"/>
    <s v="Tidak termasuk listrik"/>
    <s v=""/>
    <s v="N/A"/>
    <s v="4 x 2.2 meter; Tidak termasuk listrik; AC; Kasur; Meja; Lemari Baju; Kursi; Bantal; Cermin; Guling; Jendela; K. Mandi Dalam; Kloset Duduk; Shower; Air panas; WiFi; R. Cuci; Kulkas; R. Tamu; Mesin Cuci; Penjaga Kos; R. Jemur; Dapur; Dispenser; CCTV; Parkir Motor &amp; Sepeda"/>
    <n v="1600000"/>
    <s v="Rp1.600.000"/>
    <n v="0.17222222222222225"/>
    <d v="1899-12-30T04:08:00"/>
    <s v="Kos Putri"/>
    <m/>
    <s v="Diskon 87rb"/>
  </r>
  <r>
    <s v="Kost Singgahsini Arvindo Tipe A Palmerah Jakarta Barat"/>
    <x v="3"/>
    <x v="104"/>
    <n v="9"/>
    <s v="3 x 3 meter"/>
    <s v="Termasuk listrik (implied)"/>
    <n v="2275000"/>
    <s v="Rp2.275.000"/>
    <s v="3 x 3 meter; Termasuk listrik; AC; Kasur; Meja; Lemari Baju; Kursi; Bantal; Jendela; K. Mandi Dalam; Kloset Duduk; Shower; WiFi; R. Tamu; R. Jemur; Dapur; CCTV; Parkir Motor; Parkir Sepeda"/>
    <n v="2175000"/>
    <s v="Rp2.175.000"/>
    <n v="0.17291666666666669"/>
    <d v="1899-12-30T04:09:00"/>
    <s v="Kos Campur"/>
    <m/>
    <s v="Diskon 100rb"/>
  </r>
  <r>
    <s v="Kost Singgahsini Arya Tipe A Beji Depok"/>
    <x v="1"/>
    <x v="15"/>
    <n v="10.240000000000002"/>
    <s v="3.2 x 3.2 meter"/>
    <s v="Tidak termasuk listrik"/>
    <n v="1200000"/>
    <s v="Rp1.200.000"/>
    <s v="3.2 x 3.2 meter; Tidak termasuk listrik; AC; Kasur; Meja; Lemari Baju; Ventilasi; Kursi; Jendela; Bantal; Cermin; K. Mandi Dalam; Kloset Duduk; Ember mandi; Shower; WiFi; Kulkas; Penjaga Kos; Dapur; Parkir Motor &amp; Sepeda"/>
    <n v="1080000"/>
    <s v="Rp1.080.000"/>
    <n v="0.17083333333333331"/>
    <d v="1899-12-30T04:06:00"/>
    <s v="Kos Putra"/>
    <m/>
    <s v="Diskon 120rb"/>
  </r>
  <r>
    <s v="Kost Singgahsini Asia Baru 40A Tipe A Kebon Jeruk Jakarta Barat"/>
    <x v="3"/>
    <x v="14"/>
    <n v="9.8999999999999986"/>
    <s v="3 x 3.3 meter"/>
    <s v="Termasuk listrik (implied)"/>
    <n v="1800000"/>
    <s v="Rp1.800.000"/>
    <s v="3 x 3.3 meter; Termasuk listrik; AC; Kasur; Meja; Lemari Baju; Ventilasi; Kursi; Bantal; K. Mandi Dalam; Kloset Duduk; Ember mandi; WiFi; R. Tamu; R. Jemur; Dapur; CCTV; Parkir Mobil; Parkir Motor; Parkir Sepeda; Parkir Motor &amp; Sepeda"/>
    <n v="1622500"/>
    <s v="Rp1.622.500"/>
    <n v="0.17222222222222225"/>
    <d v="1899-12-30T04:08:00"/>
    <s v="Kos Campur"/>
    <m/>
    <s v="Diskon 178rb"/>
  </r>
  <r>
    <s v="Kost Singgahsini Asia Baru 40A Tipe C Kebon Jeruk Jakarta Barat"/>
    <x v="3"/>
    <x v="14"/>
    <n v="13.299999999999999"/>
    <s v="3.5 x 3.8 meter"/>
    <s v="Termasuk listrik (implied)"/>
    <n v="1675000"/>
    <s v="Rp1.675.000"/>
    <s v="3.5 x 3.8 meter; Termasuk listrik; AC; Kasur; Meja; Lemari Baju; Ventilasi; Kursi; Bantal; Guling; Jendela; K. Mandi Dalam; Kloset Duduk; Ember mandi; WiFi; R. Tamu; R. Jemur; Dapur; CCTV; Parkir Mobil; Parkir Motor; Parkir Sepeda; Parkir Motor &amp; Sepeda"/>
    <n v="1510000"/>
    <s v="Rp1.510.000"/>
    <n v="0.17222222222222225"/>
    <d v="1899-12-30T04:08:00"/>
    <s v="Kos Campur"/>
    <m/>
    <s v="Diskon 165rb"/>
  </r>
  <r>
    <s v="Kost Singgahsini Atelier Tipe A Grogol Petamburan Jakarta Barat"/>
    <x v="3"/>
    <x v="13"/>
    <n v="6.6000000000000005"/>
    <s v="3 x 2.2 meter"/>
    <s v="Tidak termasuk listrik"/>
    <n v="1825000"/>
    <s v="Rp1.825.000"/>
    <s v="3 x 2.2 meter; Tidak termasuk listrik; AC; Kasur; Meja; Lemari Baju; Bantal; Jendela; K. Mandi Dalam; Kloset Duduk; Shower; WiFi; Kulkas; Mesin Cuci; Penjaga Kos; Laundry; R. Jemur; Dapur; CCTV; Rooftop; Parkir Motor &amp; Sepeda"/>
    <n v="1735000"/>
    <s v="Rp1.735.000"/>
    <n v="0.16944444444444443"/>
    <d v="1899-12-30T04:04:00"/>
    <s v="Kos Campur"/>
    <m/>
    <s v="Diskon 90rb"/>
  </r>
  <r>
    <s v="Kost Singgahsini Atelier Tipe B Grogol Petamburan Jakarta Barat"/>
    <x v="3"/>
    <x v="13"/>
    <n v="6.6000000000000005"/>
    <s v="3 x 2.2 meter"/>
    <s v="Tidak termasuk listrik"/>
    <n v="1725000"/>
    <s v="Rp1.725.000"/>
    <s v="3 x 2.2 meter; Tidak termasuk listrik; AC; Kasur; Meja; Lemari Baju; Bantal; Jendela; K. Mandi Dalam; Kloset Duduk; Shower; WiFi; Kulkas; Mesin Cuci; Penjaga Kos; Laundry; R. Jemur; Dapur; CCTV; Rooftop; Parkir Motor &amp; Sepeda"/>
    <n v="1640000"/>
    <s v="Rp1.640.000"/>
    <n v="0.17013888888888887"/>
    <d v="1899-12-30T04:05:00"/>
    <s v="Kos Campur"/>
    <m/>
    <s v="Diskon 85rb"/>
  </r>
  <r>
    <s v="Kost Singgahsini Atelier Tipe C Grogol Petamburan Jakarta Barat"/>
    <x v="3"/>
    <x v="13"/>
    <n v="6.6000000000000005"/>
    <s v="3 x 2.2 meter"/>
    <s v="Tidak termasuk listrik"/>
    <s v=""/>
    <s v="N/A"/>
    <s v="3 x 2.2 meter; Tidak termasuk listrik; AC; Kasur; Meja; Lemari Baju; Bantal; Jendela; K. Mandi Dalam; Kloset Duduk; Shower; WiFi; Kulkas; Mesin Cuci; Penjaga Kos; Laundry; R. Jemur; Dapur; CCTV; Rooftop; Parkir Motor &amp; Sepeda"/>
    <n v="1625000"/>
    <s v="Rp1.625.000"/>
    <n v="0.16944444444444443"/>
    <d v="1899-12-30T04:04:00"/>
    <s v="Kos Campur"/>
    <m/>
    <s v="Diskon 85rb"/>
  </r>
  <r>
    <s v="Kost Singgahsini Attahiriyah Pejaten Tipe A Pasar Minggu Jakarta Selatan"/>
    <x v="5"/>
    <x v="43"/>
    <n v="20"/>
    <s v="4 x 5 meter"/>
    <s v="Tidak termasuk listrik"/>
    <n v="2055000"/>
    <s v="Rp2.055.000"/>
    <s v="4 x 5 meter; Tidak termasuk listrik; AC; Kasur; Meja; Lemari Baju; Ventilasi; Kursi; Bantal; Jendela; K. Mandi Dalam; Kloset Duduk; Wastafel; Shower; WiFi; R. Tamu; R. Jemur; Dapur; Parkir Mobil; Parkir Motor"/>
    <n v="1953500"/>
    <s v="Rp1.953.500"/>
    <n v="0.17222222222222225"/>
    <d v="1899-12-30T04:08:00"/>
    <s v="Kos Campur"/>
    <m/>
    <s v="Diskon 102rb"/>
  </r>
  <r>
    <s v="Kost Singgahsini Audio 20 Tipe B Kebayoran Lama Jakarta Selatan"/>
    <x v="5"/>
    <x v="57"/>
    <n v="8.3999999999999986"/>
    <s v="3 x 2.8 meter"/>
    <s v="Tidak termasuk listrik"/>
    <n v="2125000"/>
    <s v="Rp2.125.000"/>
    <s v="3 x 2.8 meter; Tidak termasuk listrik; AC; Kasur; Meja; Lemari Baju; Kursi; Jendela; Bantal; Kloset Duduk; K. Mandi Luar; Shower; Air panas; WiFi; Kulkas; R. Tamu; Penjaga Kos; R. Makan; Dapur; Taman; CCTV; Rooftop; Parkir Mobil; Parkir Motor &amp; Sepeda"/>
    <n v="2020000"/>
    <s v="Rp2.020.000"/>
    <n v="0.17222222222222225"/>
    <d v="1899-12-30T04:08:00"/>
    <s v="Kos Campur"/>
    <m/>
    <s v="Diskon 105rb"/>
  </r>
  <r>
    <s v="Kost Singgahsini Avina Cilandak KKO Tipe A Ragunan Jakarta Selatan"/>
    <x v="5"/>
    <x v="43"/>
    <n v="6"/>
    <s v="3 x 2 meter"/>
    <s v="Tidak termasuk listrik"/>
    <s v=""/>
    <s v="N/A"/>
    <s v="3 x 2 meter; Tidak termasuk listrik; AC; Kasur; Meja; Lemari Baju; Kursi; Bantal; Jendela; Kloset Duduk; K. Mandi Luar; Wastafel; Shower; WiFi; Kulkas; R. Tamu; Penjaga Kos; R. Makan; R. Jemur; R. Santai; Dapur; CCTV; Parkir Motor; Parkir Sepeda"/>
    <n v="1625000"/>
    <s v="Rp1.625.000"/>
    <n v="0.20833333333333334"/>
    <d v="1899-12-30T05:00:00"/>
    <s v="Kos Putri"/>
    <m/>
    <m/>
  </r>
  <r>
    <s v="Kost Singgahsini Az Zahro Batu Alam Tipe B Kramatjati Jakarta Timur"/>
    <x v="8"/>
    <x v="47"/>
    <n v="18"/>
    <s v="3 x 6 meter"/>
    <s v="Tidak termasuk listrik"/>
    <n v="2725000"/>
    <s v="Rp2.725.000"/>
    <s v="3 x 6 meter; Tidak termasuk listrik; AC; Kasur; Meja; Dispenser; Lemari Baju; Kursi; Wastafel; Sofa; Bantal; Cermin; K. Mandi Dalam; Kloset Duduk; Shower; Air panas; WiFi; Dapur; Locker; CCTV; Parkir Mobil; Parkir Motor; Parkir Sepeda"/>
    <n v="2590000"/>
    <s v="Rp2.590.000"/>
    <n v="0.17291666666666669"/>
    <d v="1899-12-30T04:09:00"/>
    <s v="Kos Putri"/>
    <m/>
    <s v="Diskon 135rb"/>
  </r>
  <r>
    <s v="Kost Singgahsini Az Zahro Batu Alam Tipe C Kramatjati Jakarta Timur"/>
    <x v="8"/>
    <x v="47"/>
    <n v="8"/>
    <s v="4 x 2 meter"/>
    <s v="Tidak termasuk listrik"/>
    <n v="1825000"/>
    <s v="Rp1.825.000"/>
    <s v="4 x 2 meter; Tidak termasuk listrik; AC; Kasur; Lemari Baju; Ventilasi; Kursi; Bantal; Cermin; Jendela; K. Mandi Dalam; Kloset Duduk; Shower; Air panas; WiFi; Locker; CCTV; Parkir Mobil; Parkir Motor &amp; Sepeda"/>
    <n v="1735000"/>
    <s v="Rp1.735.000"/>
    <n v="0.20833333333333334"/>
    <d v="1899-12-30T05:00:00"/>
    <s v="Kos Putri"/>
    <m/>
    <s v="Diskon 90rb"/>
  </r>
  <r>
    <s v="Kost Singgahsini b211 The Syariah Residence MRT-Fatmawati Tipe A Cilandak Jakarta Selatan"/>
    <x v="5"/>
    <x v="7"/>
    <n v="15.75"/>
    <s v="4.5 x 3.5 meter"/>
    <s v="Tidak termasuk listrik"/>
    <s v=""/>
    <s v="N/A"/>
    <s v="4.5 x 3.5 meter; Tidak termasuk listrik; AC; Kasur; Meja; TV; Lemari Baju; Kursi; Wastafel; K. Mandi Dalam; Kloset Duduk; Shower; Air panas; WiFi; Kulkas; R. Tamu; Penjaga Kos; R. Makan; R. Jemur; R. Santai; Dapur; Dispenser; Rice Cooker; Parkir Mobil; Parkir Motor"/>
    <n v="2995000"/>
    <s v="Rp2.995.000"/>
    <n v="0.17083333333333331"/>
    <d v="1899-12-30T04:06:00"/>
    <s v="Kos Campur"/>
    <m/>
    <s v="Diskon 146rb"/>
  </r>
  <r>
    <s v="Kost Singgahsini Bahagia 7 Tipe A Grogol Petamburan Jakarta Barat"/>
    <x v="3"/>
    <x v="13"/>
    <n v="13.5"/>
    <s v="4.5 x 3 meter"/>
    <s v="Tidak termasuk listrik"/>
    <s v=""/>
    <s v="N/A"/>
    <s v="4.5 x 3 meter; Tidak termasuk listrik; AC; Kasur; Meja; Lemari Baju; Kursi; Bantal; Cermin; Guling; Jendela; K. Mandi Dalam; Kloset Duduk; Shower; WiFi; Kulkas; R. Tamu; Penjaga Kos; R. Santai; Dapur; Dispenser; CCTV; Rooftop; Parkir Mobil; Parkir Motor; Parkir Sepeda; Parkir Motor &amp; Sepeda"/>
    <n v="3025000"/>
    <s v="Rp3.025.000"/>
    <n v="0.20833333333333334"/>
    <d v="1899-12-30T05:00:00"/>
    <s v="Kos Campur"/>
    <m/>
    <s v="Diskon 192rb"/>
  </r>
  <r>
    <s v="Kost Singgahsini Bahagia 7 Tipe B Grogol Petamburan Jakarta Barat"/>
    <x v="3"/>
    <x v="13"/>
    <n v="12"/>
    <s v="4 x 3 meter"/>
    <s v="Tidak termasuk listrik"/>
    <n v="2425000"/>
    <s v="Rp2.425.000"/>
    <s v="4 x 3 meter; Tidak termasuk listrik; AC; Kasur; Meja; Lemari Baju; Kursi; Bantal; Cermin; Guling; Jendela; K. Mandi Dalam; Kloset Duduk; Shower; WiFi; Kulkas; R. Tamu; Penjaga Kos; R. Santai; Dapur; Dispenser; CCTV; Rooftop; Parkir Mobil; Parkir Motor; Parkir Sepeda; Parkir Motor &amp; Sepeda"/>
    <n v="2233000"/>
    <s v="Rp2.233.000"/>
    <n v="0.17013888888888887"/>
    <d v="1899-12-30T04:05:00"/>
    <s v="Kos Campur"/>
    <m/>
    <s v="Diskon 192rb"/>
  </r>
  <r>
    <s v="Kost Singgahsini Bahagia 7 Tipe D Grogol Petamburan Jakarta Barat"/>
    <x v="3"/>
    <x v="13"/>
    <n v="9"/>
    <s v="3 x 3 meter"/>
    <s v="Tidak termasuk listrik"/>
    <s v=""/>
    <s v="N/A"/>
    <s v="3 x 3 meter; Tidak termasuk listrik; AC; Kasur; Meja; Lemari Baju; Kursi; Bantal; Cermin; Guling; Jendela; K. Mandi Dalam; Kloset Duduk; Shower; WiFi; Kulkas; R. Tamu; Penjaga Kos; R. Santai; Dapur; Dispenser; CCTV; Rooftop; Parkir Mobil; Parkir Motor; Parkir Sepeda; Parkir Motor &amp; Sepeda"/>
    <n v="1925000"/>
    <s v="Rp1.925.000"/>
    <n v="0.17291666666666669"/>
    <d v="1899-12-30T04:09:00"/>
    <s v="Kos Campur"/>
    <m/>
    <s v="Diskon 192rb"/>
  </r>
  <r>
    <s v="Kost Singgahsini Baitussalam Kukusan Tipe A Beji Depok"/>
    <x v="1"/>
    <x v="16"/>
    <n v="10.5"/>
    <s v="3 x 3.5 meter"/>
    <s v="Tidak termasuk listrik"/>
    <n v="1195000"/>
    <s v="Rp1.195.000"/>
    <s v="3 x 3.5 meter; Tidak termasuk listrik; AC; Kasur; Meja; Lemari Baju; Kursi; Bantal; Cermin; Guling; Jendela; Kloset Duduk; K. Mandi Luar; Ember mandi; Shower; WiFi; R. Cuci; Kulkas; R. Tamu; R. Jemur; Dapur; Parkir Sepeda"/>
    <n v="1078000"/>
    <s v="Rp1.078.000"/>
    <n v="0.17291666666666669"/>
    <d v="1899-12-30T04:09:00"/>
    <s v="Kos Putri"/>
    <m/>
    <s v="Diskon 117rb"/>
  </r>
  <r>
    <s v="Kost Singgahsini Baitussalam Kukusan Tipe B Beji Depok"/>
    <x v="1"/>
    <x v="16"/>
    <n v="12"/>
    <s v="3 x 4 meter"/>
    <s v="Tidak termasuk listrik"/>
    <n v="1275000"/>
    <s v="Rp1.275.000"/>
    <s v="3 x 4 meter; Tidak termasuk listrik; AC; Kasur; Meja; Lemari Baju; Bantal; Guling; Jendela; K. Mandi Dalam; Kloset Duduk; Ember mandi; Shower; WiFi; R. Cuci; Kulkas; R. Tamu; R. Jemur; Dapur; K. Mandi Luar; Parkir Sepeda"/>
    <n v="1150000"/>
    <s v="Rp1.150.000"/>
    <n v="0.17222222222222225"/>
    <d v="1899-12-30T04:08:00"/>
    <s v="Kos Putri"/>
    <m/>
    <s v="Diskon 125rb"/>
  </r>
  <r>
    <s v="Kost Singgahsini Baitussalam Kukusan Tipe C Beji Depok"/>
    <x v="1"/>
    <x v="15"/>
    <n v="7.5"/>
    <s v="3 x 2.5 meter"/>
    <s v="Tidak termasuk listrik"/>
    <n v="875000"/>
    <s v="Rp875.000"/>
    <s v="3 x 2.5 meter; Tidak termasuk listrik; AC; Kasur; Meja; Lemari Baju; Kursi; Bantal; Guling; Jendela; Kloset Duduk; K. Mandi Luar; Ember mandi; Shower; WiFi; R. Cuci; Kulkas; R. Tamu; Mesin Cuci; R. Makan; R. Jemur; Dapur; TV; Parkir Motor; Parkir Sepeda"/>
    <n v="790000"/>
    <s v="Rp790.000"/>
    <n v="0.17291666666666669"/>
    <d v="1899-12-30T04:09:00"/>
    <s v="Kos Putri"/>
    <m/>
    <s v="Diskon 85rb"/>
  </r>
  <r>
    <s v="Kost Singgahsini Baitussalam Kukusan Tipe D Beji Depok"/>
    <x v="1"/>
    <x v="15"/>
    <n v="9"/>
    <s v="3 x 3 meter"/>
    <s v="Tidak termasuk listrik"/>
    <n v="1325000"/>
    <s v="Rp1.325.000"/>
    <s v="3 x 3 meter; Tidak termasuk listrik; AC; Kasur; Meja; Lemari Baju; Bantal; Cermin; Guling; Jendela; K. Mandi Dalam; Kloset Duduk; K. Mandi Luar; Shower; WiFi; R. Cuci; Kulkas; R. Tamu; Mesin Cuci; R. Makan; R. Jemur; Dapur; TV; Parkir Motor; Parkir Sepeda"/>
    <n v="1195000"/>
    <s v="Rp1.195.000"/>
    <n v="0.17222222222222225"/>
    <d v="1899-12-30T04:08:00"/>
    <s v="Kos Putri"/>
    <m/>
    <s v="Diskon 130rb"/>
  </r>
  <r>
    <s v="Kost Singgahsini Baitussalam Kukusan Tipe E Beji Depok"/>
    <x v="1"/>
    <x v="15"/>
    <n v="8.3999999999999986"/>
    <s v="3 x 2.8 meter"/>
    <s v="Tidak termasuk listrik"/>
    <n v="1125000"/>
    <s v="Rp1.125.000"/>
    <s v="3 x 2.8 meter; Tidak termasuk listrik; AC; Kasur; Meja; Lemari Baju; Ventilasi; Kursi; Bantal; Guling; Jendela; Kloset Duduk; K. Mandi Luar; Ember mandi; Shower; WiFi; R. Cuci; Kulkas; R. Tamu; R. Jemur; Dapur; Jemuran; Parkir Motor; Parkir Sepeda"/>
    <n v="1015000"/>
    <s v="Rp1.015.000"/>
    <n v="0.20833333333333334"/>
    <d v="1899-12-30T05:00:00"/>
    <s v="Kos Putri"/>
    <m/>
    <s v="Diskon 110rb"/>
  </r>
  <r>
    <s v="Kost Singgahsini Baitussalam Tipe A Kemayoran Jakarta Pusat"/>
    <x v="9"/>
    <x v="38"/>
    <n v="11.7"/>
    <s v="3.9 x 3 meter"/>
    <s v="Tidak termasuk listrik"/>
    <n v="2000000"/>
    <s v="Rp2.000.000"/>
    <s v="3.9 x 3 meter; Tidak termasuk listrik; AC; Kasur; Lemari Baju; Jendela; Bantal; Guling; K. Mandi Dalam; Kloset Duduk; Shower; WiFi; Kulkas; R. Tamu; Penjaga Kos; R. Jemur; Dapur; Dispenser; Rooftop; Parkir Motor &amp; Sepeda"/>
    <n v="1900000"/>
    <s v="Rp1.900.000"/>
    <n v="0.17083333333333331"/>
    <d v="1899-12-30T04:06:00"/>
    <s v="Kos Putri"/>
    <m/>
    <s v="Diskon 100rb"/>
  </r>
  <r>
    <s v="Kost Singgahsini Balaira Tipe A Duren Sawit Jakarta Timur"/>
    <x v="8"/>
    <x v="39"/>
    <n v="13.5"/>
    <s v="2.7 x 5 meter"/>
    <s v="Tidak termasuk listrik"/>
    <n v="2025000"/>
    <s v="Rp2.025.000"/>
    <s v="2.7 x 5 meter; Tidak termasuk listrik; AC; Kasur; Meja; Lemari Baju; Kursi; Bantal; Cermin; Jendela; K. Mandi Dalam; Kloset Duduk; Shower; WiFi; Kulkas; Penjaga Kos; R. Jemur; Dapur; Gazebo; CCTV; Jemuran; Parkir Mobil; Parkir Motor; Parkir Sepeda"/>
    <n v="1925000"/>
    <s v="Rp1.925.000"/>
    <n v="0.17291666666666669"/>
    <d v="1899-12-30T04:09:00"/>
    <s v="Kos Campur"/>
    <m/>
    <s v="Diskon 100rb"/>
  </r>
  <r>
    <s v="Kost Singgahsini Balaira Tipe B Duren Sawit Jakarta Timur"/>
    <x v="8"/>
    <x v="39"/>
    <n v="12"/>
    <s v="3 x 4 meter"/>
    <s v="Tidak termasuk listrik"/>
    <n v="2025000"/>
    <s v="Rp2.025.000"/>
    <s v="3 x 4 meter; Tidak termasuk listrik; AC; Kasur; Meja; Lemari Baju; Ventilasi; Kursi; Bantal; Cermin; Jendela; K. Mandi Dalam; Kloset Duduk; Shower; WiFi; Kulkas; Penjaga Kos; R. Jemur; Dapur; Gazebo; CCTV; Jemuran; Parkir Mobil; Parkir Motor &amp; Sepeda"/>
    <n v="1925000"/>
    <s v="Rp1.925.000"/>
    <n v="0.17083333333333331"/>
    <d v="1899-12-30T04:06:00"/>
    <s v="Kos Campur"/>
    <m/>
    <s v="Diskon 100rb"/>
  </r>
  <r>
    <s v="Kost Singgahsini Balaira Tipe D Duren Sawit Jakarta Timur"/>
    <x v="8"/>
    <x v="39"/>
    <n v="9"/>
    <s v="3 x 3 meter"/>
    <s v="Tidak termasuk listrik"/>
    <n v="1825000"/>
    <s v="Rp1.825.000"/>
    <s v="3 x 3 meter; Tidak termasuk listrik; AC; Kasur; Meja; Lemari Baju; Ventilasi; Kursi; Bantal; Cermin; Jendela; K. Mandi Dalam; Kloset Duduk; Shower; WiFi; Kulkas; Penjaga Kos; R. Jemur; Dapur; Gazebo; CCTV; Jemuran; Parkir Mobil; Parkir Motor &amp; Sepeda"/>
    <n v="1735000"/>
    <s v="Rp1.735.000"/>
    <n v="0.17083333333333331"/>
    <d v="1899-12-30T04:06:00"/>
    <s v="Kos Campur"/>
    <m/>
    <s v="Diskon 90rb"/>
  </r>
  <r>
    <s v="Kost Singgahsini Bambang Tipe B Makasar Jakarta Timur"/>
    <x v="8"/>
    <x v="45"/>
    <n v="7.5"/>
    <s v="2.5 x 3 meter"/>
    <s v="Termasuk listrik (implied)"/>
    <n v="1525000"/>
    <s v="Rp1.525.000"/>
    <s v="2.5 x 3 meter; Termasuk listrik; Kasur; Meja; Lemari Baju; Ventilasi; Kursi; Bantal; Cermin; Jendela; Kipas Angin; K. Mandi Dalam; Kloset Jongkok; Ember mandi; Shower; WiFi; R. Tamu; R. Makan; R. Jemur; Jemuran; Parkir Mobil; Parkir Motor &amp; Sepeda"/>
    <n v="1405000"/>
    <s v="Rp1.405.000"/>
    <n v="0.20833333333333334"/>
    <d v="1899-12-30T05:00:00"/>
    <s v="Kos Campur"/>
    <m/>
    <s v="Diskon 120rb"/>
  </r>
  <r>
    <s v="Kost Singgahsini Bambang Tipe C Makasar Jakarta Timur"/>
    <x v="8"/>
    <x v="45"/>
    <n v="7.5"/>
    <s v="2.5 x 3 meter"/>
    <s v="Termasuk listrik (implied)"/>
    <n v="1725000"/>
    <s v="Rp1.725.000"/>
    <s v="2.5 x 3 meter; Termasuk listrik; AC; Kasur; Meja; Lemari Baju; Ventilasi; Kursi; Bantal; Cermin; Jendela; K. Mandi Dalam; Kloset Jongkok; Ember mandi; Shower; WiFi; R. Tamu; R. Makan; R. Jemur; Jemuran; Parkir Mobil; Parkir Motor &amp; Sepeda"/>
    <n v="1640000"/>
    <s v="Rp1.640.000"/>
    <n v="0.17222222222222225"/>
    <d v="1899-12-30T04:08:00"/>
    <s v="Kos Campur"/>
    <m/>
    <s v="Diskon 85rb"/>
  </r>
  <r>
    <s v="Kost Singgahsini Banco 6 Tipe B Mampang Prapatan Jakarta Selatan"/>
    <x v="5"/>
    <x v="67"/>
    <n v="15.2"/>
    <s v="4 x 3.8 meter"/>
    <s v="Tidak termasuk listrik"/>
    <s v=""/>
    <s v="N/A"/>
    <s v="4 x 3.8 meter; Tidak termasuk listrik; AC; Kasur; Meja; Lemari Baju; Ventilasi; Kursi; Jendela; Bantal; Guling; K. Mandi Dalam; Kloset Duduk; Wastafel; Shower; Air panas; WiFi; R. Cuci; Kulkas; R. Tamu; Mesin Cuci; Penjaga Kos; R. Makan; R. Jemur; Dapur; Dispenser; Parkir Mobil; Parkir Motor &amp; Sepeda"/>
    <n v="3365000"/>
    <s v="Rp3.365.000"/>
    <n v="0.17083333333333331"/>
    <d v="1899-12-30T04:06:00"/>
    <s v="Kos Campur"/>
    <m/>
    <s v="Diskon 168rb"/>
  </r>
  <r>
    <s v="Kost Singgahsini Banjarsari IV Tipe A Cilandak Jakarta Selatan"/>
    <x v="5"/>
    <x v="7"/>
    <n v="8.9599999999999991"/>
    <s v="3.2 x 2.8 meter"/>
    <s v="Tidak termasuk listrik"/>
    <s v=""/>
    <s v="N/A"/>
    <s v="3.2 x 2.8 meter; Tidak termasuk listrik; AC; Kasur; Meja; Lemari Baju; Kursi; Wastafel; Bantal; Cermin; Guling; Jendela; K. Mandi Dalam; Kloset Duduk; Shower; WiFi; Kulkas; R. Jemur; Dapur; Dispenser; CCTV; Parkir Mobil; Parkir Motor; Parkir Sepeda"/>
    <n v="2525000"/>
    <s v="Rp2.525.000"/>
    <n v="0.17291666666666669"/>
    <d v="1899-12-30T04:09:00"/>
    <s v="Kos Putri"/>
    <m/>
    <m/>
  </r>
  <r>
    <s v="Kost Singgahsini Bapusta Rawamangun Tipe A Pulo Gadung Jakarta Timur"/>
    <x v="8"/>
    <x v="32"/>
    <n v="12.25"/>
    <s v="3.5 x 3.5 meter"/>
    <s v="Tidak termasuk listrik"/>
    <n v="2675000"/>
    <s v="Rp2.675.000"/>
    <s v="3.5 x 3.5 meter; Tidak termasuk listrik; AC; Kasur; Meja; Lemari Baju; Kursi; Jendela; Bantal; Guling; K. Mandi Dalam; Kloset Duduk; Wastafel; Shower; Air panas"/>
    <n v="2463000"/>
    <s v="Rp2.463.000"/>
    <n v="0.17291666666666669"/>
    <d v="1899-12-30T04:09:00"/>
    <s v="Kos Campur"/>
    <m/>
    <s v="Diskon 212rb"/>
  </r>
  <r>
    <s v="Kost Singgahsini Bapusta Rawamangun Tipe B Pulo Gadung Jakarta Timur"/>
    <x v="8"/>
    <x v="32"/>
    <n v="12.25"/>
    <s v="3.5 x 3.5 meter"/>
    <s v="Tidak termasuk listrik"/>
    <s v=""/>
    <s v="N/A"/>
    <s v="3.5 x 3.5 meter; Tidak termasuk listrik; AC; Kasur; Meja; Lemari Baju; Kursi; Jendela; Bantal; Guling; K. Mandi Dalam; Kloset Duduk; Wastafel; Shower; Air panas; WiFi; Kulkas; R. Tamu; Penjaga Kos; Laundry; R. Jemur; Dapur; Dispenser; Kartu Akses; CCTV; Parkir Mobil; Parkir Motor &amp; Sepeda"/>
    <n v="2775000"/>
    <s v="Rp2.775.000"/>
    <n v="0.20833333333333334"/>
    <d v="1899-12-30T05:00:00"/>
    <s v="Kos Campur"/>
    <m/>
    <s v="Diskon 212rb"/>
  </r>
  <r>
    <s v="Kost Singgahsini Barada Cipondoh Tipe A Tangerang"/>
    <x v="6"/>
    <x v="97"/>
    <n v="9"/>
    <s v="3 x 3 meter"/>
    <s v="Tidak termasuk listrik"/>
    <n v="1525000"/>
    <s v="Rp1.525.000"/>
    <s v="3 x 3 meter; Tidak termasuk listrik; AC; Kasur; TV; Lemari Baju; Bantal; Cermin; Guling; Jendela; K. Mandi Dalam; Kloset Duduk; Shower; Air panas; WiFi; Kulkas; R. Tamu; R. Makan; R. Jemur; Dapur; CCTV; Parkir Mobil; Parkir Motor; Parkir Sepeda"/>
    <n v="1450000"/>
    <s v="Rp1.450.000"/>
    <n v="0.17291666666666669"/>
    <d v="1899-12-30T04:09:00"/>
    <s v="Kos Campur"/>
    <m/>
    <s v="Diskon 75rb"/>
  </r>
  <r>
    <s v="Kost Singgahsini Barada Cipondoh Tipe B Tangerang"/>
    <x v="6"/>
    <x v="97"/>
    <n v="13.68"/>
    <s v="3.8 x 3.6 meter"/>
    <s v="Tidak termasuk listrik"/>
    <n v="1825000"/>
    <s v="Rp1.825.000"/>
    <s v="3.8 x 3.6 meter; Tidak termasuk listrik; AC; Kasur; Meja; TV; Lemari Baju; Kursi; Bantal; Cermin; Guling; Jendela; K. Mandi Dalam; Kloset Duduk; Shower; Air panas; WiFi; Kulkas; R. Tamu; R. Makan; R. Jemur; Dapur; CCTV; Parkir Mobil; Parkir Motor; Parkir Sepeda"/>
    <n v="1735000"/>
    <s v="Rp1.735.000"/>
    <n v="0.17222222222222225"/>
    <d v="1899-12-30T04:08:00"/>
    <s v="Kos Campur"/>
    <m/>
    <s v="Diskon 90rb"/>
  </r>
  <r>
    <s v="Kost Singgahsini Barada Cipondoh Tipe C Tangerang"/>
    <x v="6"/>
    <x v="97"/>
    <e v="#VALUE!"/>
    <s v="N/A"/>
    <s v="Tidak termasuk listrik"/>
    <n v="2050000"/>
    <s v="Rp2.050.000"/>
    <s v="3.5 x 8. meter; Tidak termasuk listrik; AC; Kasur; Meja; TV; Lemari Baju; Kursi; Bantal; Cermin; Guling; Jendela; K. Mandi Dalam; Kloset Duduk; Kloset Jongkok; Ember mandi; Air panas; WiFi; Kulkas; R. Tamu; R. Makan; R. Jemur; Dapur; CCTV; Parkir Mobil; Parkir Motor; Parkir Sepeda"/>
    <n v="1948750"/>
    <s v="Rp1.948.750"/>
    <n v="0.17222222222222225"/>
    <d v="1899-12-30T04:08:00"/>
    <s v="Kos Campur"/>
    <m/>
    <s v="Diskon 101rb"/>
  </r>
  <r>
    <s v="Kost Singgahsini Batik Tipe A Bendungan Hilir Jakarta Pusat"/>
    <x v="9"/>
    <x v="186"/>
    <n v="9"/>
    <s v="3 x 3 meter"/>
    <s v="Termasuk listrik (implied)"/>
    <s v=""/>
    <s v="N/A"/>
    <s v="3 x 3 meter; Termasuk listrik; AC; Kasur; Meja; Lemari Baju; Kursi; Wastafel; Bantal; Cermin; Jendela; K. Mandi Dalam; Kloset Duduk; Shower; Bak mandi; WiFi; R. Cuci; Kulkas; Laundry; R. Makan; Dapur; Parkir Mobil; Parkir Motor; Parkir Sepeda; Parkir Motor &amp; Sepeda"/>
    <n v="2425000"/>
    <s v="Rp2.425.000"/>
    <n v="0.17013888888888887"/>
    <d v="1899-12-30T04:05:00"/>
    <s v="Kos Putri"/>
    <m/>
    <m/>
  </r>
  <r>
    <s v="Kost Singgahsini Batik Tipe B Bendungan Hilir Jakarta Pusat"/>
    <x v="9"/>
    <x v="186"/>
    <n v="9"/>
    <s v="3 x 3 meter"/>
    <s v="Termasuk listrik (implied)"/>
    <s v=""/>
    <s v="N/A"/>
    <s v="3 x 3 meter; Termasuk listrik; AC; Kasur; Meja; Lemari Baju; Kursi; Bantal; Cermin; Jendela; Kloset Duduk; K. Mandi Luar; Shower; Bak mandi; WiFi; R. Cuci; Kulkas; Laundry; R. Makan; Dapur; Parkir Mobil; Parkir Motor; Parkir Sepeda; Parkir Motor &amp; Sepeda"/>
    <n v="1975000"/>
    <s v="Rp1.975.000"/>
    <n v="0.17083333333333331"/>
    <d v="1899-12-30T04:06:00"/>
    <s v="Kos Putri"/>
    <m/>
    <m/>
  </r>
  <r>
    <s v="Kost Singgahsini Batik Tipe C Bendungan Hilir Jakarta Pusat"/>
    <x v="9"/>
    <x v="42"/>
    <n v="7.5"/>
    <s v="3 x 2.5 meter"/>
    <s v="Tidak termasuk listrik"/>
    <s v=""/>
    <s v="N/A"/>
    <s v="3 x 2.5 meter; Tidak termasuk listrik; Kasur; Meja; Lemari Baju; Kursi; Kipas Angin; Bantal; Cermin; Guling; Jendela; Kloset Duduk; K. Mandi Luar; Wastafel; Shower; WiFi; Kulkas; Laundry; R. Makan; Dapur; Parkir Mobil; Parkir Motor; Parkir Sepeda; Parkir Motor &amp; Sepeda"/>
    <n v="1725000"/>
    <s v="Rp1.725.000"/>
    <n v="0.20833333333333334"/>
    <d v="1899-12-30T05:00:00"/>
    <s v="Kos Putri"/>
    <m/>
    <m/>
  </r>
  <r>
    <s v="Kost Singgahsini Bella Swadarma VI Tipe A Pesanggrahan Jakarta Selatan"/>
    <x v="5"/>
    <x v="187"/>
    <n v="21.08"/>
    <s v="6.2 x 3.4 meter"/>
    <s v="Tidak termasuk listrik"/>
    <n v="2725000"/>
    <s v="Rp2.725.000"/>
    <s v="6.2 x 3.4 meter; Tidak termasuk listrik; AC; Kasur; TV; Lemari Baju; Cermin; Jendela; Bantal; Guling; K. Mandi Dalam; Kloset Duduk; Shower; Air panas; WiFi; Kulkas; R. Tamu; R. Makan; Dapur; Dispenser; CCTV; Rooftop; Parkir Mobil; Parkir Motor &amp; Sepeda"/>
    <n v="2590000"/>
    <s v="Rp2.590.000"/>
    <n v="0.20833333333333334"/>
    <d v="1899-12-30T05:00:00"/>
    <s v="Kos Putri"/>
    <m/>
    <s v="Diskon 135rb"/>
  </r>
  <r>
    <s v="Kost Singgahsini Bella Swadarma VI Tipe B Pesanggrahan Jakarta Selatan"/>
    <x v="5"/>
    <x v="187"/>
    <n v="12.600000000000001"/>
    <s v="4.2 x 3 meter"/>
    <s v="Tidak termasuk listrik"/>
    <n v="2375000"/>
    <s v="Rp2.375.000"/>
    <s v="4.2 x 3 meter; Tidak termasuk listrik; AC; Kasur; TV; Lemari Baju; Jendela; Bantal; Guling; K. Mandi Dalam; Kloset Duduk; Shower; Air panas; WiFi; Kulkas; R. Tamu; R. Makan; Dapur; Dispenser; CCTV; Rooftop; Parkir Mobil; Parkir Motor &amp; Sepeda"/>
    <n v="2257500"/>
    <s v="Rp2.257.500"/>
    <n v="0.16944444444444443"/>
    <d v="1899-12-30T04:04:00"/>
    <s v="Kos Putri"/>
    <m/>
    <s v="Diskon 118rb"/>
  </r>
  <r>
    <s v="Kost Singgahsini Bella Vita Tipe A Salemba Jakarta Pusat"/>
    <x v="9"/>
    <x v="41"/>
    <n v="12"/>
    <s v="4 x 3 meter"/>
    <s v="Tidak termasuk listrik"/>
    <n v="2725000"/>
    <s v="Rp2.725.000"/>
    <s v="4 x 3 meter; Tidak termasuk listrik; AC; Kasur; Meja; TV; Lemari Baju; Ventilasi; Kursi; Wastafel; Bantal; Cermin; K. Mandi Dalam; Kloset Duduk; Shower; WiFi; R. Tamu; Penjaga Kos; R. Jemur; Dispenser; CCTV; Rooftop; Parkir Motor &amp; Sepeda"/>
    <n v="2509000"/>
    <s v="Rp2.509.000"/>
    <n v="0.17083333333333331"/>
    <d v="1899-12-30T04:06:00"/>
    <s v="Kos Campur"/>
    <m/>
    <s v="Diskon 216rb"/>
  </r>
  <r>
    <s v="Kost Singgahsini Bella Vita Tipe B Salemba Jakarta Pusat"/>
    <x v="9"/>
    <x v="41"/>
    <n v="12"/>
    <s v="4 x 3 meter"/>
    <s v="Tidak termasuk listrik"/>
    <n v="2025000"/>
    <s v="Rp2.025.000"/>
    <s v="4 x 3 meter; Tidak termasuk listrik; AC; Kasur; Lemari Baju; Kursi; Wastafel; Bantal; Cermin; Guling; Jendela; K. Mandi Dalam; Kloset Duduk; Shower; WiFi; R. Tamu; Penjaga Kos; R. Jemur; Dispenser; CCTV; Rooftop; Parkir Motor &amp; Sepeda"/>
    <n v="1865000"/>
    <s v="Rp1.865.000"/>
    <n v="0.1673611111111111"/>
    <d v="1899-12-30T04:01:00"/>
    <s v="Kos Campur"/>
    <m/>
    <s v="Diskon 160rb"/>
  </r>
  <r>
    <s v="Kost Singgahsini Bendi XIV Tipe A Kebayoran Lama Jakarta Selatan"/>
    <x v="5"/>
    <x v="188"/>
    <n v="6"/>
    <s v="2 x 3 meter"/>
    <s v="Tidak termasuk listrik"/>
    <s v=""/>
    <s v="N/A"/>
    <s v="2 x 3 meter; Tidak termasuk listrik; AC; Kasur; Meja; Lemari Baju; Kursi; Bantal; Guling; Jendela; Kloset Duduk; K. Mandi Luar; Wastafel; Shower; Air panas; WiFi; Kulkas; R. Makan; Dapur; Dispenser; CCTV; Parkir Mobil; Parkir Motor; Parkir Sepeda; Parkir Motor &amp; Sepeda"/>
    <n v="2055000"/>
    <s v="Rp2.055.000"/>
    <n v="0.17222222222222225"/>
    <d v="1899-12-30T04:08:00"/>
    <s v="Kos Putri"/>
    <m/>
    <s v="Diskon 100rb"/>
  </r>
  <r>
    <s v="Kost Singgahsini Bendi XIV Tipe B Kebayoran Lama Jakarta Selatan"/>
    <x v="5"/>
    <x v="188"/>
    <n v="6"/>
    <s v="2 x 3 meter"/>
    <s v="Tidak termasuk listrik"/>
    <s v=""/>
    <s v="N/A"/>
    <s v="2 x 3 meter; Tidak termasuk listrik; AC; Kasur; Meja; Lemari Baju; Kursi; Bantal; Guling; Jendela; K. Mandi Dalam; Kloset Duduk; Wastafel; Shower; Air panas; WiFi; Kulkas; R. Makan; Dapur; Dispenser; CCTV; Parkir Mobil; Parkir Motor; Parkir Sepeda; Parkir Motor &amp; Sepeda"/>
    <n v="2455000"/>
    <s v="Rp2.455.000"/>
    <n v="0.17083333333333331"/>
    <d v="1899-12-30T04:06:00"/>
    <s v="Kos Putri"/>
    <m/>
    <s v="Diskon 120rb"/>
  </r>
  <r>
    <s v="Kost Singgahsini Bendungan Hilir 95 Tipe A Tanah Abang Jakarta Pusat"/>
    <x v="9"/>
    <x v="186"/>
    <n v="12.25"/>
    <s v="3.5 x 3.5 meter"/>
    <s v="Tidak termasuk listrik"/>
    <s v=""/>
    <s v="N/A"/>
    <s v="3.5 x 3.5 meter; Tidak termasuk listrik; AC; Kasur; Meja; Lemari Baju; Bantal; Cermin; Guling; Jendela; Kloset Duduk; K. Mandi Luar; Shower; WiFi; Dapur; CCTV; Parkir Motor; Parkir Sepeda"/>
    <n v="1525000"/>
    <s v="Rp1.525.000"/>
    <n v="0.17083333333333331"/>
    <d v="1899-12-30T04:06:00"/>
    <s v="Kos Campur"/>
    <m/>
    <s v="Diskon 83rb"/>
  </r>
  <r>
    <s v="Kost Singgahsini Benito Tipe A Serpong Tangerang Selatan"/>
    <x v="2"/>
    <x v="181"/>
    <n v="6"/>
    <s v="2 x 3 meter"/>
    <s v="Termasuk listrik (implied)"/>
    <s v=""/>
    <s v="N/A"/>
    <s v="2 x 3 meter; Termasuk listrik; Kasur; Meja; Lemari Baju; Ventilasi; Kursi; Bantal; Kloset Duduk; K. Mandi Luar; Shower; Air panas; WiFi; Kulkas; R. Tamu; Penjaga Kos; R. Makan; R. Jemur; R. Santai; Dapur; Dispenser; TV; Parkir Mobil; Parkir Motor; Parkir Sepeda"/>
    <n v="1025000"/>
    <s v="Rp1.025.000"/>
    <n v="0.17222222222222225"/>
    <d v="1899-12-30T04:08:00"/>
    <s v="Kos Campur"/>
    <m/>
    <s v="Diskon 55rb"/>
  </r>
  <r>
    <s v="Kost Singgahsini Benito Tipe B Serpong Tangerang Selatan"/>
    <x v="2"/>
    <x v="181"/>
    <n v="6"/>
    <s v="2 x 3 meter"/>
    <s v="Termasuk listrik (implied)"/>
    <s v=""/>
    <s v="N/A"/>
    <s v="2 x 3 meter; Termasuk listrik; AC; Kasur; Meja; Lemari Baju; Ventilasi; Bantal; Kloset Duduk; K. Mandi Luar; Shower; Air panas; WiFi; Kulkas; R. Tamu; Penjaga Kos; R. Makan; R. Jemur; R. Santai; Dapur; Dispenser; TV; Parkir Mobil; Parkir Motor; Parkir Sepeda"/>
    <n v="1725000"/>
    <s v="Rp1.725.000"/>
    <n v="0.16944444444444443"/>
    <d v="1899-12-30T04:04:00"/>
    <s v="Kos Campur"/>
    <m/>
    <s v="Diskon 55rb"/>
  </r>
  <r>
    <s v="Kost Singgahsini Benito Tipe C Serpong Tangerang Selatan"/>
    <x v="2"/>
    <x v="181"/>
    <n v="9"/>
    <s v="3 x 3 meter"/>
    <s v="Termasuk listrik (implied)"/>
    <n v="2125000"/>
    <s v="Rp2.125.000"/>
    <s v="3 x 3 meter; Termasuk listrik; AC; Kasur; Meja; Lemari Baju; Ventilasi; Kursi; Bantal; K. Mandi Dalam; Kloset Duduk; Wastafel; Shower; Air panas; WiFi; Kulkas; R. Tamu; Penjaga Kos; R. Makan; R. Jemur; R. Santai; Dapur; Dispenser; TV; Parkir Mobil; Parkir Motor; Parkir Sepeda"/>
    <n v="2020000"/>
    <s v="Rp2.020.000"/>
    <n v="0.17013888888888887"/>
    <d v="1899-12-30T04:05:00"/>
    <s v="Kos Campur"/>
    <m/>
    <s v="Diskon 105rb"/>
  </r>
  <r>
    <s v="Kost Singgahsini Benito Tipe D Serpong Tangerang Selatan"/>
    <x v="2"/>
    <x v="181"/>
    <n v="16"/>
    <s v="4 x 4 meter"/>
    <s v="Termasuk listrik (implied)"/>
    <n v="3025000"/>
    <s v="Rp3.025.000"/>
    <s v="4 x 4 meter; Termasuk listrik; AC; Kasur; Meja; TV; Meja Rias; Lemari Baju; Kursi; Bantal; Cermin; Jendela; K. Mandi Dalam; Kloset Duduk; Wastafel; Shower; Air panas; WiFi; Kulkas; R. Tamu; Penjaga Kos; R. Makan; R. Jemur; R. Santai; Dapur; Dispenser; Parkir Mobil; Parkir Motor; Parkir Sepeda"/>
    <n v="2875000"/>
    <s v="Rp2.875.000"/>
    <n v="0.17222222222222225"/>
    <d v="1899-12-30T04:08:00"/>
    <s v="Kos Campur"/>
    <m/>
    <s v="Diskon 150rb"/>
  </r>
  <r>
    <s v="Kost Singgahsini Benito Tipe E Serpong Tangerang Selatan"/>
    <x v="2"/>
    <x v="181"/>
    <n v="6"/>
    <s v="2 x 3 meter"/>
    <s v="Termasuk listrik (implied)"/>
    <n v="1125000"/>
    <s v="Rp1.125.000"/>
    <s v="2 x 3 meter; Termasuk listrik; Kasur; Meja; Lemari Baju; Ventilasi; Kursi; Bantal; Jendela; Kloset Jongkok; K. Mandi Luar; Bak mandi; WiFi; Kulkas; R. Tamu; Penjaga Kos; R. Makan; R. Jemur; R. Santai; Dapur; Dispenser; TV; Parkir Mobil; Parkir Sepeda; Parkir Motor &amp; Sepeda"/>
    <n v="1070000"/>
    <s v="Rp1.070.000"/>
    <n v="0.16874999999999998"/>
    <d v="1899-12-30T04:03:00"/>
    <s v="Kos Campur"/>
    <m/>
    <s v="Diskon 55rb"/>
  </r>
  <r>
    <s v="Kost Singgahsini Beranda Kanaya Tipe A Senen Jakarta Pusat"/>
    <x v="9"/>
    <x v="41"/>
    <n v="13.939999999999998"/>
    <s v="4.1 x 3.4 meter"/>
    <s v="Tidak termasuk listrik"/>
    <n v="2075000"/>
    <s v="Rp2.075.000"/>
    <s v="4.1 x 3.4 meter; Tidak termasuk listrik; AC; Kasur; Meja; Lemari Baju; Kursi; Bantal; Cermin; Guling; Jendela; K. Mandi Dalam; Kloset Duduk; Shower; WiFi; Kulkas; R. Tamu; Penjaga Kos; R. Makan; Dapur; Taman; CCTV; Parkir Motor &amp; Sepeda"/>
    <n v="1972500"/>
    <s v="Rp1.972.500"/>
    <n v="0.17291666666666669"/>
    <d v="1899-12-30T04:09:00"/>
    <s v="Kos Putri"/>
    <m/>
    <s v="Diskon 103rb"/>
  </r>
  <r>
    <s v="Kost Singgahsini Berkah Bintaro Tipe A Pesanggrahan Jakarta Selatan"/>
    <x v="5"/>
    <x v="187"/>
    <n v="7"/>
    <s v="2.8 x 2.5 meter"/>
    <s v="Termasuk listrik (implied)"/>
    <s v=""/>
    <s v="N/A"/>
    <s v="2.8 x 2.5 meter; Termasuk listrik; AC; Kasur; Meja; Lemari Baju; Ventilasi; Kursi; Bantal; Cermin; Guling; Jendela; K. Mandi Dalam; Kloset Duduk; Shower; WiFi; R. Tamu; R. Makan; Dapur; Dispenser; K. Mandi Luar; Parkir Mobil; Parkir Motor; Parkir Sepeda"/>
    <n v="1675000"/>
    <s v="Rp1.675.000"/>
    <n v="0.20833333333333334"/>
    <d v="1899-12-30T05:00:00"/>
    <s v="Kos Putri"/>
    <m/>
    <s v="Diskon 75rb"/>
  </r>
  <r>
    <s v="Kost Singgahsini Berkah Bintaro Tipe B Pesanggrahan Jakarta Selatan"/>
    <x v="5"/>
    <x v="187"/>
    <n v="5.75"/>
    <s v="2.3 x 2.5 meter"/>
    <s v="Termasuk listrik (implied)"/>
    <s v=""/>
    <s v="N/A"/>
    <s v="2.3 x 2.5 meter; Termasuk listrik; AC; Kasur; Meja; Lemari Baju; Ventilasi; Kursi; Bantal; Cermin; Guling; Jendela; Kloset Duduk; K. Mandi Luar; Shower; WiFi; R. Tamu; R. Makan; Dapur; Dispenser; Parkir Mobil; Parkir Motor; Parkir Sepeda"/>
    <n v="1475000"/>
    <s v="Rp1.475.000"/>
    <n v="0.17291666666666669"/>
    <d v="1899-12-30T04:09:00"/>
    <s v="Kos Putri"/>
    <m/>
    <s v="Diskon 75rb"/>
  </r>
  <r>
    <s v="Kost Singgahsini Bintaro Executive Tipe A Pondok Aren Tangerang Selatan"/>
    <x v="2"/>
    <x v="29"/>
    <n v="9"/>
    <s v="3 x 3 meter"/>
    <s v="Tidak termasuk listrik"/>
    <n v="2000000"/>
    <s v="Rp2.000.000"/>
    <s v="3 x 3 meter; Tidak termasuk listrik; AC; Kasur; Lemari Baju; Wastafel; Bantal; Cermin; K. Mandi Dalam; Kloset Duduk; Shower; WiFi; R. Cuci; Kulkas; R. Tamu; Penjaga Kos; R. Jemur; Jemuran; Parkir Mobil; Parkir Motor &amp; Sepeda"/>
    <n v="1900000"/>
    <s v="Rp1.900.000"/>
    <n v="0.17083333333333331"/>
    <d v="1899-12-30T04:06:00"/>
    <s v="Kos Campur"/>
    <m/>
    <s v="Diskon 100rb"/>
  </r>
  <r>
    <s v="Kost Singgahsini Bintaro Executive Tipe B Pondok Aren Tangerang Selatan"/>
    <x v="2"/>
    <x v="29"/>
    <n v="7.5"/>
    <s v="3 x 2.5 meter"/>
    <s v="Tidak termasuk listrik"/>
    <n v="1500000"/>
    <s v="Rp1.500.000"/>
    <s v="3 x 2.5 meter; Tidak termasuk listrik; AC; Kasur; Meja Rias; Lemari Baju; Bantal; Cermin; K. Mandi Dalam; Kloset Duduk; Shower; WiFi; R. Cuci; Kulkas; R. Tamu; Penjaga Kos; R. Jemur; Jemuran; Parkir Mobil; Parkir Motor &amp; Sepeda"/>
    <n v="1425000"/>
    <s v="Rp1.425.000"/>
    <n v="0.17013888888888887"/>
    <d v="1899-12-30T04:05:00"/>
    <s v="Kos Campur"/>
    <m/>
    <s v="Diskon 75rb"/>
  </r>
  <r>
    <s v="Kost Singgahsini Bintaro Executive Tipe C Pondok Aren Tangerang Selatan"/>
    <x v="2"/>
    <x v="29"/>
    <n v="3.61"/>
    <s v="1.9 x 1.9 meter"/>
    <s v="Tidak termasuk listrik"/>
    <n v="1200000"/>
    <s v="Rp1.200.000"/>
    <s v="1.9 x 1.9 meter; Tidak termasuk listrik; Kasur; Lemari Baju; Kipas Angin; Bantal; Kloset Duduk; K. Mandi Luar; Ember mandi; WiFi; R. Cuci; Kulkas; R. Tamu; Penjaga Kos; R. Jemur; Jemuran; Parkir Mobil; Parkir Motor &amp; Sepeda"/>
    <n v="1104000"/>
    <s v="Rp1.104.000"/>
    <n v="0.17083333333333331"/>
    <d v="1899-12-30T04:06:00"/>
    <s v="Kos Campur"/>
    <m/>
    <s v="Diskon 96rb"/>
  </r>
  <r>
    <s v="Kost Singgahsini BINUS Melrose Laluna Residence Tipe A Palmerah Jakarta Barat"/>
    <x v="3"/>
    <x v="4"/>
    <n v="5"/>
    <s v="2 x 2.5 meter"/>
    <s v="Tidak termasuk listrik"/>
    <n v="1975000"/>
    <s v="Rp1.975.000"/>
    <s v="2 x 2.5 meter; Tidak termasuk listrik; AC; Kasur; Meja; Lemari Baju; Kursi; Bantal; Jendela; K. Mandi Dalam; Kloset Duduk; Wastafel; Shower; WiFi; R. Cuci; R. Jemur; Parkir Mobil; Parkir Motor"/>
    <n v="1877500"/>
    <s v="Rp1.877.500"/>
    <n v="0.16944444444444443"/>
    <d v="1899-12-30T04:04:00"/>
    <s v="Kos Campur"/>
    <m/>
    <s v="Diskon 98rb"/>
  </r>
  <r>
    <s v="Kost Singgahsini Black House Tipe A Kebayoran Baru Jakarta Selatan"/>
    <x v="5"/>
    <x v="182"/>
    <n v="15"/>
    <s v="3 x 5 meter"/>
    <s v="Tidak termasuk listrik"/>
    <n v="3525000"/>
    <s v="Rp3.525.000"/>
    <s v="3 x 5 meter; Tidak termasuk listrik; AC; Kasur; Lemari Baju; Bantal; Cermin; Guling; Jendela; K. Mandi Dalam; Kloset Duduk; Shower; Air panas; WiFi; Kulkas; R. Tamu; Penjaga Kos; R. Makan; Dapur; Dispenser; K. Mandi Luar; CCTV; Parkir Mobil; Parkir Motor; Parkir Sepeda"/>
    <n v="3245000"/>
    <s v="Rp3.245.000"/>
    <n v="0.17222222222222225"/>
    <d v="1899-12-30T04:08:00"/>
    <s v="Kos Campur"/>
    <m/>
    <s v="Diskon 280rb"/>
  </r>
  <r>
    <s v="Kost Singgahsini Blessing House BSD Tipe A Serpong Tangerang Selatan"/>
    <x v="2"/>
    <x v="18"/>
    <n v="16.32"/>
    <s v="5.1 x 3.2 meter"/>
    <s v="Tidak termasuk listrik"/>
    <n v="1525000"/>
    <s v="Rp1.525.000"/>
    <s v="5.1 x 3.2 meter; Tidak termasuk listrik; AC; Kasur; Lemari Baju; Ventilasi; Bantal; Cermin; Jendela; K. Mandi Dalam; Kloset Duduk; Shower; Air panas; WiFi; Kulkas; Penjaga Kos; R. Jemur; Dapur; Parkir Mobil; Parkir Motor &amp; Sepeda"/>
    <n v="1450000"/>
    <s v="Rp1.450.000"/>
    <n v="0.17291666666666669"/>
    <d v="1899-12-30T04:09:00"/>
    <s v="Kos Campur"/>
    <m/>
    <s v="Diskon 75rb"/>
  </r>
  <r>
    <s v="Kost Singgahsini Blessing House BSD Tipe B Serpong Tangerang Selatan"/>
    <x v="2"/>
    <x v="18"/>
    <n v="9.3000000000000007"/>
    <s v="3 x 3.1 meter"/>
    <s v="Tidak termasuk listrik"/>
    <n v="1275000"/>
    <s v="Rp1.275.000"/>
    <s v="3 x 3.1 meter; Tidak termasuk listrik; AC; Kasur; Lemari Baju; Ventilasi; Bantal; Cermin; Jendela; K. Mandi Dalam; Kloset Duduk; Shower; Air panas; WiFi; Kulkas; Penjaga Kos; R. Jemur; Dapur; Parkir Mobil; Parkir Motor &amp; Sepeda"/>
    <n v="1212500"/>
    <s v="Rp1.212.500"/>
    <n v="0.12708333333333333"/>
    <d v="1899-12-30T03:03:00"/>
    <s v="Kos Campur"/>
    <m/>
    <s v="Diskon 63rb"/>
  </r>
  <r>
    <s v="Kost Singgahsini Blue N Yellow Tipe A Cilincing Jakarta Utara"/>
    <x v="4"/>
    <x v="49"/>
    <n v="9"/>
    <s v="3 x 3 meter"/>
    <s v="Tidak termasuk listrik"/>
    <n v="1325000"/>
    <s v="Rp1.325.000"/>
    <s v="3 x 3 meter; Tidak termasuk listrik; AC; Kasur; Bantal; Jendela; K. Mandi Dalam; Kloset Duduk; Ember mandi; WiFi; Penjaga Kos; R. Jemur; Jemuran; Parkir Mobil; Parkir Motor &amp; Sepeda"/>
    <n v="1260000"/>
    <s v="Rp1.260.000"/>
    <n v="0"/>
    <m/>
    <s v="Kos Campur"/>
    <m/>
    <s v="Diskon 65rb"/>
  </r>
  <r>
    <s v="Kost Singgahsini Blue N Yellow Tipe B Cilincing Jakarta Utara"/>
    <x v="4"/>
    <x v="49"/>
    <n v="9"/>
    <s v="3 x 3 meter"/>
    <s v="Tidak termasuk listrik"/>
    <n v="925000"/>
    <s v="Rp925.000"/>
    <s v="3 x 3 meter; Tidak termasuk listrik; Kasur; Kipas Angin; Bantal; Jendela; K. Mandi Dalam; Kloset Duduk; Ember mandi; WiFi; Penjaga Kos; R. Jemur; Jemuran; Parkir Mobil; Parkir Motor &amp; Sepeda"/>
    <n v="880000"/>
    <s v="Rp880.000"/>
    <n v="0.16944444444444443"/>
    <d v="1899-12-30T04:04:00"/>
    <s v="Kos Campur"/>
    <m/>
    <s v="Diskon 45rb"/>
  </r>
  <r>
    <s v="Kost Singgahsini Blueberry 1 Tipe B Sawah Besar Jakarta Pusat"/>
    <x v="9"/>
    <x v="59"/>
    <n v="14.700000000000001"/>
    <s v="4.2 x 3.5 meter"/>
    <s v="Tidak termasuk listrik"/>
    <s v=""/>
    <s v="N/A"/>
    <s v="4.2 x 3.5 meter; Tidak termasuk listrik; AC; Kasur; Meja; TV; Lemari Baju; Ventilasi; Kursi; Bantal; Cermin; K. Mandi Dalam; Kloset Duduk; Wastafel; Shower; Air panas; WiFi; R. Tamu; Dapur; CCTV; Parkir Mobil; Parkir Motor"/>
    <n v="2425000"/>
    <s v="Rp2.425.000"/>
    <n v="0.17083333333333331"/>
    <d v="1899-12-30T04:06:00"/>
    <s v="Kos Campur"/>
    <m/>
    <s v="Diskon 118rb"/>
  </r>
  <r>
    <s v="Kost Singgahsini Blueberry 1 Tipe C Sawah Besar Jakarta Pusat"/>
    <x v="9"/>
    <x v="59"/>
    <n v="12.600000000000001"/>
    <s v="4.2 x 3 meter"/>
    <s v="Tidak termasuk listrik"/>
    <s v=""/>
    <s v="N/A"/>
    <s v="4.2 x 3 meter; Tidak termasuk listrik; AC; Kasur; Meja; TV; Lemari Baju; Kursi; Bantal; Cermin; K. Mandi Dalam; Kloset Duduk; Wastafel; Shower; Air panas; WiFi; R. Tamu; Dapur; CCTV; Parkir Mobil; Parkir Motor"/>
    <n v="2075000"/>
    <s v="Rp2.075.000"/>
    <n v="0.17083333333333331"/>
    <d v="1899-12-30T04:06:00"/>
    <s v="Kos Campur"/>
    <m/>
    <s v="Diskon 110rb"/>
  </r>
  <r>
    <s v="Kost Singgahsini Bluhaus Meruya Tipe A Kembangan Jakarta Barat"/>
    <x v="3"/>
    <x v="71"/>
    <n v="16.12"/>
    <s v="5.2 x 3.1 meter"/>
    <s v="Tidak termasuk listrik"/>
    <s v=""/>
    <s v="N/A"/>
    <s v="5.2 x 3.1 meter; Tidak termasuk listrik; AC; Kasur; Meja; Lemari Baju; Kursi; K. Mandi Dalam; Kloset Duduk; Shower; WiFi; Kulkas; R. Tamu; Penjaga Kos; R. Makan; Dapur; Parkir Mobil; Parkir Motor &amp; Sepeda"/>
    <n v="2225000"/>
    <s v="Rp2.225.000"/>
    <n v="0.17013888888888887"/>
    <d v="1899-12-30T04:05:00"/>
    <s v="Kos Campur"/>
    <m/>
    <s v="Diskon 176rb"/>
  </r>
  <r>
    <s v="Kost Singgahsini Bluhaus Meruya Tipe B Kembangan Jakarta Barat"/>
    <x v="3"/>
    <x v="71"/>
    <n v="8.68"/>
    <s v="3.1 x 2.8 meter"/>
    <s v="Tidak termasuk listrik"/>
    <s v=""/>
    <s v="N/A"/>
    <s v="3.1 x 2.8 meter; Tidak termasuk listrik; AC; Kasur; Meja; Lemari Baju; Kursi; K. Mandi Dalam; Kloset Duduk; Shower; WiFi; Kulkas; R. Tamu; Penjaga Kos; R. Makan; Dapur; Parkir Mobil; Parkir Motor &amp; Sepeda"/>
    <n v="1925000"/>
    <s v="Rp1.925.000"/>
    <n v="0.17291666666666669"/>
    <d v="1899-12-30T04:09:00"/>
    <s v="Kos Campur"/>
    <m/>
    <m/>
  </r>
  <r>
    <s v="Kost Singgahsini BnB Tipe B Kembangan Jakarta Barat"/>
    <x v="3"/>
    <x v="71"/>
    <n v="12.18"/>
    <s v="4.2 x 2.9 meter"/>
    <s v="Tidak termasuk listrik"/>
    <s v=""/>
    <s v="N/A"/>
    <s v="4.2 x 2.9 meter; Tidak termasuk listrik; Kasur; Meja; Lemari Baju; Jendela; K. Mandi Dalam; Kloset Jongkok; Shower; WiFi; Kulkas; R. Tamu; Penjaga Kos; R. Jemur; Dapur; Parkir Motor &amp; Sepeda"/>
    <n v="1000000"/>
    <s v="Rp1.000.000"/>
    <n v="0.17083333333333331"/>
    <d v="1899-12-30T04:06:00"/>
    <s v="Kos Campur"/>
    <m/>
    <m/>
  </r>
  <r>
    <s v="Kost Singgahsini Boboyu Tipe A Pondok Aren Tangerang Selatan"/>
    <x v="2"/>
    <x v="29"/>
    <n v="12"/>
    <s v="4 x 3 meter"/>
    <s v="Tidak termasuk listrik"/>
    <n v="2225000"/>
    <s v="Rp2.225.000"/>
    <s v="4 x 3 meter; Tidak termasuk listrik; AC; Kasur; Meja; TV; Lemari Baju; Kursi; Jendela; Bantal; Guling; K. Mandi Dalam; Kloset Duduk; Wastafel; Shower; Air panas; WiFi; Kulkas; R. Tamu; R. Makan; R. Jemur; Dapur; Dispenser; Kartu Akses; CCTV; Parkir Motor &amp; Sepeda"/>
    <n v="2115000"/>
    <s v="Rp2.115.000"/>
    <n v="0.20833333333333334"/>
    <d v="1899-12-30T05:00:00"/>
    <s v="Kos Campur"/>
    <m/>
    <s v="Diskon 110rb"/>
  </r>
  <r>
    <s v="Kost Singgahsini Boboyu Tipe B Pondok Aren Tangerang Selatan"/>
    <x v="2"/>
    <x v="29"/>
    <n v="12"/>
    <s v="4 x 3 meter"/>
    <s v="Tidak termasuk listrik"/>
    <s v=""/>
    <s v="N/A"/>
    <s v="4 x 3 meter; Tidak termasuk listrik; AC; Kasur; Meja; TV; Lemari Baju; Kursi; Jendela; Wastafel; Bantal; Cermin; K. Mandi Dalam; Kloset Duduk; Shower; Air panas; WiFi; Kulkas; R. Tamu; R. Makan; R. Jemur; Dapur; Dispenser; Kartu Akses; CCTV; Parkir Motor &amp; Sepeda"/>
    <n v="1975000"/>
    <s v="Rp1.975.000"/>
    <n v="0.17291666666666669"/>
    <d v="1899-12-30T04:09:00"/>
    <s v="Kos Campur"/>
    <m/>
    <s v="Diskon 110rb"/>
  </r>
  <r>
    <s v="Kost Singgahsini BSD 36 Tipe A Serpong Tangerang Selatan"/>
    <x v="2"/>
    <x v="18"/>
    <n v="9"/>
    <s v="3 x 3 meter"/>
    <s v="Tidak termasuk listrik"/>
    <s v=""/>
    <s v="N/A"/>
    <s v="3 x 3 meter; Tidak termasuk listrik; AC; Kasur; Lemari Baju; Wastafel; K. Mandi Dalam; Kloset Duduk; Shower; Penjaga Kos; R. Jemur; Mushola; R. Santai; Dapur; Taman; Parkir Mobil; Parkir Motor"/>
    <n v="1775000"/>
    <s v="Rp1.775.000"/>
    <n v="0.17083333333333331"/>
    <d v="1899-12-30T04:06:00"/>
    <s v="Kos Putri"/>
    <m/>
    <m/>
  </r>
  <r>
    <s v="Kost Singgahsini BSD 36 Tipe B Serpong Tangerang Selatan"/>
    <x v="2"/>
    <x v="18"/>
    <n v="9"/>
    <s v="3 x 3 meter"/>
    <s v="Tidak termasuk listrik"/>
    <s v=""/>
    <s v="N/A"/>
    <s v="3 x 3 meter; Tidak termasuk listrik; AC; Kasur; Lemari Baju; Wastafel; K. Mandi Dalam; Kloset Duduk; Shower; Penjaga Kos; R. Jemur; Mushola; R. Santai; Dapur; Taman; Parkir Mobil; Parkir Motor"/>
    <n v="1625000"/>
    <s v="Rp1.625.000"/>
    <n v="0.17222222222222225"/>
    <d v="1899-12-30T04:08:00"/>
    <s v="Kos Putri"/>
    <m/>
    <m/>
  </r>
  <r>
    <s v="Kost Singgahsini BSD Anggrek Jingga 1 Tipe A Serpong Tangerang Selatan"/>
    <x v="2"/>
    <x v="18"/>
    <n v="9.1"/>
    <s v="3.5 x 2.6 meter"/>
    <s v="Termasuk listrik (implied)"/>
    <s v=""/>
    <s v="N/A"/>
    <s v="3.5 x 2.6 meter; Termasuk listrik; AC; Kasur; Meja; Lemari Baju; Kursi; Bantal; Cermin; Jendela; K. Mandi Dalam; Kloset Duduk; Wastafel; Shower; Air panas; WiFi; Kulkas; R. Tamu; R. Jemur; Dapur; Dispenser; TV; K. Mandi Luar; CCTV; Parkir Mobil; Parkir Motor"/>
    <n v="2125000"/>
    <s v="Rp2.125.000"/>
    <n v="0.17222222222222225"/>
    <d v="1899-12-30T04:08:00"/>
    <s v="Kos Putra"/>
    <m/>
    <m/>
  </r>
  <r>
    <s v="Kost Singgahsini BSD Anggrek Jingga 1 Tipe B Serpong Tangerang Selatan"/>
    <x v="2"/>
    <x v="18"/>
    <n v="9.1"/>
    <s v="3.5 x 2.6 meter"/>
    <s v="Termasuk listrik (implied)"/>
    <s v=""/>
    <s v="N/A"/>
    <s v="3.5 x 2.6 meter; Termasuk listrik; AC; Kasur; Meja; Lemari Baju; Kursi; Bantal; Cermin; Jendela; K. Mandi Dalam; Kloset Duduk; Wastafel; Shower; Air panas; WiFi; Kulkas; R. Tamu; R. Jemur; Dapur; Dispenser; TV; K. Mandi Luar; CCTV; Parkir Mobil; Parkir Motor"/>
    <n v="1825000"/>
    <s v="Rp1.825.000"/>
    <n v="0.17291666666666669"/>
    <d v="1899-12-30T04:09:00"/>
    <s v="Kos Putra"/>
    <m/>
    <m/>
  </r>
  <r>
    <s v="Kost Singgahsini BSD Anggrek Loka AR15 Tipe B Serpong Tangerang Selatan"/>
    <x v="2"/>
    <x v="18"/>
    <n v="10.26"/>
    <s v="3.8 x 2.7 meter"/>
    <s v="Tidak termasuk listrik"/>
    <n v="1825000"/>
    <s v="Rp1.825.000"/>
    <s v="3.8 x 2.7 meter; Tidak termasuk listrik; AC; Kasur; Meja; TV; Lemari Baju; Kursi; Bantal; Guling; Jendela; Kloset Duduk; K. Mandi Luar; Shower; WiFi; Kulkas; R. Tamu; Mesin Cuci; Dapur; Dispenser; Rice Cooker; Parkir Mobil; Parkir Motor; Parkir Sepeda"/>
    <n v="1701000"/>
    <s v="Rp1.701.000"/>
    <n v="0.17222222222222225"/>
    <d v="1899-12-30T04:08:00"/>
    <s v="Kos Campur"/>
    <m/>
    <s v="Diskon 124rb"/>
  </r>
  <r>
    <s v="Kost Singgahsini BSD Anggrek Loka AR15 Tipe C Serpong Tangerang Selatan"/>
    <x v="2"/>
    <x v="18"/>
    <n v="11.02"/>
    <s v="3.8 x 2.9 meter"/>
    <s v="Tidak termasuk listrik"/>
    <s v=""/>
    <s v="N/A"/>
    <s v="3.8 x 2.9 meter; Tidak termasuk listrik; AC; Kasur; Meja; TV; Lemari Baju; Kursi; Bantal; Guling; Jendela; K. Mandi Dalam; Kloset Duduk; Kloset Jongkok; Shower; WiFi; Kulkas; R. Tamu; Mesin Cuci; Dapur; Dispenser; Rice Cooker; Parkir Mobil; Parkir Motor; Parkir Sepeda"/>
    <n v="1875000"/>
    <s v="Rp1.875.000"/>
    <n v="0.17083333333333331"/>
    <d v="1899-12-30T04:06:00"/>
    <s v="Kos Campur"/>
    <m/>
    <s v="Diskon 124rb"/>
  </r>
  <r>
    <s v="Kost Singgahsini BSD Anggrek Loka AR15 Tipe D Serpong Tangerang Selatan"/>
    <x v="2"/>
    <x v="18"/>
    <n v="8.91"/>
    <s v="3.3 x 2.7 meter"/>
    <s v="Tidak termasuk listrik"/>
    <s v=""/>
    <s v="N/A"/>
    <s v="3.3 x 2.7 meter; Tidak termasuk listrik; Kasur; Meja; Lemari Baju; Kursi; Bantal; Guling; Jendela; Kloset Duduk; K. Mandi Luar; Shower; WiFi; Kulkas; R. Tamu; Mesin Cuci; Dapur; Dispenser; Rice Cooker; Parkir Mobil; Parkir Motor; Parkir Sepeda"/>
    <n v="1445000"/>
    <s v="Rp1.445.000"/>
    <n v="0.17291666666666669"/>
    <d v="1899-12-30T04:09:00"/>
    <s v="Kos Campur"/>
    <m/>
    <s v="Diskon 124rb"/>
  </r>
  <r>
    <s v="Kost Singgahsini Buana Gandaria Tipe A Kebayoran Lama Jakarta Selatan"/>
    <x v="5"/>
    <x v="57"/>
    <n v="9.7999999999999989"/>
    <s v="2.8 x 3.5 meter"/>
    <s v="Tidak termasuk listrik"/>
    <s v=""/>
    <s v="N/A"/>
    <s v="2.8 x 3.5 meter; Tidak termasuk listrik; AC; Kasur; Meja; Lemari Baju; Kursi; Bantal; Cermin; Guling; Jendela; K. Mandi Dalam; Kloset Duduk; Shower; WiFi; R. Cuci; Mesin Cuci; Penjaga Kos; R. Jemur; Dapur; Dispenser; Parkir Motor &amp; Sepeda"/>
    <n v="1825000"/>
    <s v="Rp1.825.000"/>
    <n v="0.16944444444444443"/>
    <d v="1899-12-30T04:04:00"/>
    <s v="Kos Campur"/>
    <m/>
    <m/>
  </r>
  <r>
    <s v="Kost Singgahsini Buana Seven Tipe A Kebayoran Lama Jakarta Selatan"/>
    <x v="5"/>
    <x v="57"/>
    <n v="9"/>
    <s v="3 x 3 meter"/>
    <s v="Termasuk listrik (implied)"/>
    <s v=""/>
    <s v="N/A"/>
    <s v="3 x 3 meter; Termasuk listrik; AC; Kasur; Meja; Lemari Baju; Kursi; Bantal; Cermin; Guling; Jendela; Kloset Duduk; K. Mandi Luar; Wastafel; Shower; WiFi; R. Cuci; R. Tamu; Penjaga Kos; R. Jemur; Dapur; Dispenser; TV; Parkir Mobil; Parkir Motor"/>
    <n v="1805000"/>
    <s v="Rp1.805.000"/>
    <n v="0.17013888888888887"/>
    <d v="1899-12-30T04:05:00"/>
    <s v="Kos Putra"/>
    <m/>
    <m/>
  </r>
  <r>
    <s v="Kost Singgahsini Bukit Duri 42 Tipe A Tebet Jakarta Selatan"/>
    <x v="5"/>
    <x v="189"/>
    <n v="12"/>
    <s v="4 x 3 meter"/>
    <s v="Tidak termasuk listrik"/>
    <n v="2365000"/>
    <s v="Rp2.365.000"/>
    <s v="4 x 3 meter; Tidak termasuk listrik; AC; Kasur; Meja; Lemari Baju; Ventilasi; Kursi; Cermin; Jendela; Bantal; K. Mandi Dalam; Kloset Duduk; Ember mandi; Shower; WiFi; Kulkas; R. Tamu; Penjaga Kos; Dapur; Parkir Mobil; Parkir Motor &amp; Sepeda"/>
    <n v="2248000"/>
    <s v="Rp2.248.000"/>
    <n v="0.16944444444444443"/>
    <d v="1899-12-30T04:04:00"/>
    <s v="Kos Putri"/>
    <m/>
    <s v="Diskon 117rb"/>
  </r>
  <r>
    <s v="Kost Singgahsini Bukit Duri 42 Tipe B Tebet Jakarta Selatan"/>
    <x v="5"/>
    <x v="189"/>
    <n v="9"/>
    <s v="3 x 3 meter"/>
    <s v="Tidak termasuk listrik"/>
    <n v="1825000"/>
    <s v="Rp1.825.000"/>
    <s v="3 x 3 meter; Tidak termasuk listrik; AC; Kasur; Meja; Lemari Baju; Ventilasi; Kursi; Bantal; Cermin; Jendela; Kloset Duduk; K. Mandi Luar; Ember mandi; Shower; WiFi; Kulkas; R. Tamu; Penjaga Kos; Dapur; Parkir Mobil; Parkir Motor &amp; Sepeda"/>
    <n v="1735000"/>
    <s v="Rp1.735.000"/>
    <n v="0.17222222222222225"/>
    <d v="1899-12-30T04:08:00"/>
    <s v="Kos Putri"/>
    <m/>
    <s v="Diskon 90rb"/>
  </r>
  <r>
    <s v="Kost Singgahsini Bunda Tsamara Tipe A Tangerang"/>
    <x v="6"/>
    <x v="24"/>
    <e v="#VALUE!"/>
    <s v="N/A"/>
    <s v="N/A"/>
    <n v="1925000"/>
    <s v="Rp1.925.000"/>
    <s v=""/>
    <n v="1830000"/>
    <s v="Rp1.830.000"/>
    <n v="0.20833333333333334"/>
    <d v="1899-12-30T05:00:00"/>
    <s v="Kos Campur"/>
    <m/>
    <s v="Diskon 95rb"/>
  </r>
  <r>
    <s v="Kost Singgahsini Bunggur Wanita Tipe A Kebayoran Lama Jakarta Selatan"/>
    <x v="5"/>
    <x v="57"/>
    <n v="12"/>
    <s v="4 x 3 meter"/>
    <s v="Tidak termasuk listrik"/>
    <s v=""/>
    <s v="N/A"/>
    <s v="4 x 3 meter; Tidak termasuk listrik; AC; Kasur; Meja; Lemari Baju; Kursi; Cleaning service; K. Mandi Luar; Shower; WiFi; R. Cuci; R. Tamu; R. Makan; R. Jemur; R. Santai; R. Keluarga; Balcon; Parkir Motor; Parkir Sepeda"/>
    <n v="1395000"/>
    <s v="Rp1.395.000"/>
    <n v="0.16874999999999998"/>
    <d v="1899-12-30T04:03:00"/>
    <s v="Kos Putri"/>
    <m/>
    <s v="Diskon 75rb"/>
  </r>
  <r>
    <s v="Kost Singgahsini Bunggur Wanita Tipe B Kebayoran Lama Jakarta Selatan"/>
    <x v="5"/>
    <x v="188"/>
    <n v="12"/>
    <s v="4 x 3 meter"/>
    <s v="Tidak termasuk listrik"/>
    <s v=""/>
    <s v="N/A"/>
    <s v="4 x 3 meter; Tidak termasuk listrik; AC; Kasur; Meja; Lemari Baju; Kursi; Cleaning service; K. Mandi Luar; Shower; WiFi; R. Cuci; R. Tamu; R. Makan; R. Jemur; R. Santai; R. Keluarga; Balcon; Parkir Motor; Parkir Sepeda"/>
    <n v="1255000"/>
    <s v="Rp1.255.000"/>
    <n v="0.17083333333333331"/>
    <d v="1899-12-30T04:06:00"/>
    <s v="Kos Putri"/>
    <m/>
    <m/>
  </r>
  <r>
    <s v="Kost Singgahsini Bunggur Wanita Tipe C Kebayoran Lama Jakarta Selatan"/>
    <x v="5"/>
    <x v="188"/>
    <n v="12"/>
    <s v="4 x 3 meter"/>
    <s v="Tidak termasuk listrik"/>
    <s v=""/>
    <s v="N/A"/>
    <s v="4 x 3 meter; Tidak termasuk listrik; AC; Kasur; Meja; Lemari Baju; Kursi; Cleaning service; K. Mandi Luar; Shower; WiFi; R. Cuci; R. Tamu; R. Makan; R. Jemur; R. Santai; R. Keluarga; Balcon; Parkir Motor; Parkir Sepeda"/>
    <n v="1425000"/>
    <s v="Rp1.425.000"/>
    <n v="0.17222222222222225"/>
    <d v="1899-12-30T04:08:00"/>
    <s v="Kos Putri"/>
    <m/>
    <s v="Diskon 75rb"/>
  </r>
  <r>
    <s v="Kost Singgahsini Cahaya Mansion Tipe A Tebet Jakarta Selatan"/>
    <x v="5"/>
    <x v="189"/>
    <n v="11.2"/>
    <s v="4 x 2.8 meter"/>
    <s v="Tidak termasuk listrik"/>
    <n v="3425000"/>
    <s v="Rp3.425.000"/>
    <s v="4 x 2.8 meter; Tidak termasuk listrik; AC; Kasur; Meja; TV; Lemari Baju; Kursi; Wastafel; Bantal; Jendela; K. Mandi Dalam; Kloset Duduk; Shower; Air panas; WiFi; Kulkas; Penjaga Kos; Laundry; Dapur; Dispenser; CCTV; Parkir Mobil; Parkir Motor &amp; Sepeda"/>
    <n v="3153000"/>
    <s v="Rp3.153.000"/>
    <n v="0.17222222222222225"/>
    <d v="1899-12-30T04:08:00"/>
    <s v="Kos Campur"/>
    <m/>
    <s v="Diskon 272rb"/>
  </r>
  <r>
    <s v="Kost Singgahsini Cahaya Mansion Tipe D Tebet Jakarta Selatan"/>
    <x v="5"/>
    <x v="189"/>
    <n v="11.2"/>
    <s v="4 x 2.8 meter"/>
    <s v="Tidak termasuk listrik"/>
    <n v="2825000"/>
    <s v="Rp2.825.000"/>
    <s v="4 x 2.8 meter; Tidak termasuk listrik; AC; Kasur; Meja; TV; Lemari Baju; Kursi; Wastafel; Bantal; Jendela; K. Mandi Dalam; Kloset Duduk; Shower; Air panas; WiFi; Kulkas; Penjaga Kos; Laundry; Dapur; Dispenser; CCTV; Parkir Mobil; Parkir Motor &amp; Sepeda"/>
    <n v="2685000"/>
    <s v="Rp2.685.000"/>
    <n v="0.17083333333333331"/>
    <d v="1899-12-30T04:06:00"/>
    <s v="Kos Campur"/>
    <m/>
    <s v="Diskon 140rb"/>
  </r>
  <r>
    <s v="Kost Singgahsini Cahaya Mansion Tipe D Tebet Jakarta Selatan"/>
    <x v="5"/>
    <x v="189"/>
    <e v="#VALUE!"/>
    <s v="N/A"/>
    <s v="N/A"/>
    <n v="2825000"/>
    <s v="Rp2.825.000"/>
    <s v=""/>
    <n v="2685000"/>
    <s v="Rp2.685.000"/>
    <n v="0.17083333333333331"/>
    <d v="1899-12-30T04:06:00"/>
    <s v="Kos Campur"/>
    <m/>
    <s v="Diskon 140rb"/>
  </r>
  <r>
    <s v="Kost Singgahsini Casa De Salam Tipe A Kramat Jati Jakarta Timur"/>
    <x v="8"/>
    <x v="47"/>
    <n v="10.5"/>
    <s v="3.5 x 3 meter"/>
    <s v="Tidak termasuk listrik"/>
    <s v=""/>
    <s v="N/A"/>
    <s v="3.5 x 3 meter; Tidak termasuk listrik; AC; Kasur; Meja; Lemari Baju; Ventilasi; Kursi; Bantal; Jendela; K. Mandi Dalam; Kloset Duduk; Shower; WiFi; Penjaga Kos; CCTV; Parkir Mobil; Parkir Motor &amp; Sepeda"/>
    <n v="1875000"/>
    <s v="Rp1.875.000"/>
    <n v="0.16874999999999998"/>
    <d v="1899-12-30T04:03:00"/>
    <s v="Kos Campur"/>
    <m/>
    <s v="Diskon 160rb"/>
  </r>
  <r>
    <s v="Kost Singgahsini Casa Kalasa Tipe B Mampang Prapatan Jakarta Selatan"/>
    <x v="5"/>
    <x v="67"/>
    <n v="8.68"/>
    <s v="3.1 x 2.8 meter"/>
    <s v="Tidak termasuk listrik"/>
    <s v=""/>
    <s v="N/A"/>
    <s v="3.1 x 2.8 meter; Tidak termasuk listrik; AC; Kasur; Meja; Lemari Baju; Kursi; Bantal; Cermin; Guling; Jendela; K. Mandi Dalam; Kloset Duduk; Wastafel; Shower; WiFi; Penjaga Kos; Dapur; CCTV; Parkir Mobil; Parkir Motor; Parkir Sepeda"/>
    <n v="2675000"/>
    <s v="Rp2.675.000"/>
    <n v="0.17291666666666669"/>
    <d v="1899-12-30T04:09:00"/>
    <s v="Kos Campur"/>
    <m/>
    <s v="Diskon 140rb"/>
  </r>
  <r>
    <s v="Kost Singgahsini Casa Kalasa Tipe C Mampang Prapatan Jakarta Selatan"/>
    <x v="5"/>
    <x v="67"/>
    <n v="10.639999999999999"/>
    <s v="3.8 x 2.8 meter"/>
    <s v="Tidak termasuk listrik"/>
    <s v=""/>
    <s v="N/A"/>
    <s v="3.8 x 2.8 meter; Tidak termasuk listrik; AC; Kasur; Meja; Lemari Baju; Ventilasi; Kursi; Bantal; Cermin; Guling; Jendela; K. Mandi Dalam; Kloset Duduk; Wastafel; Shower; WiFi; Penjaga Kos; Dapur; CCTV; Parkir Mobil; Parkir Motor; Parkir Sepeda"/>
    <n v="2525000"/>
    <s v="Rp2.525.000"/>
    <n v="0.17291666666666669"/>
    <d v="1899-12-30T04:09:00"/>
    <s v="Kos Campur"/>
    <m/>
    <s v="Diskon 115rb"/>
  </r>
  <r>
    <s v="Kost Singgahsini Casa Tebet Mas Indah Tipe A Tebet Jakarta Selatan"/>
    <x v="5"/>
    <x v="64"/>
    <n v="12.96"/>
    <s v="3.6 x 3.6 meter"/>
    <s v="Tidak termasuk listrik"/>
    <s v=""/>
    <s v="N/A"/>
    <s v="3.6 x 3.6 meter; Tidak termasuk listrik; AC; Kasur; Meja; TV; Lemari Baju; Ventilasi; Kursi; Bantal; Jendela; K. Mandi Dalam; Kloset Duduk; Wastafel; Shower; Air panas; WiFi; Kulkas; R. Tamu; Laundry; R. Santai; Dapur; Balcon; Parkir Mobil; Parkir Motor"/>
    <n v="3825000"/>
    <s v="Rp3.825.000"/>
    <n v="0.17222222222222225"/>
    <d v="1899-12-30T04:08:00"/>
    <s v="Kos Putri"/>
    <m/>
    <m/>
  </r>
  <r>
    <s v="Kost Singgahsini Casa Tebet Mas Indah Tipe B Tebet Jakarta Selatan"/>
    <x v="5"/>
    <x v="64"/>
    <n v="9.8999999999999986"/>
    <s v="3.3 x 3 meter"/>
    <s v="Tidak termasuk listrik"/>
    <s v=""/>
    <s v="N/A"/>
    <s v="3.3 x 3 meter; Tidak termasuk listrik; AC; Kasur; Meja; TV; Lemari Baju; Ventilasi; Kursi; Bantal; Cermin; Jendela; K. Mandi Dalam; Kloset Duduk; Wastafel; Shower; Air panas; WiFi; Kulkas; R. Tamu; Laundry; R. Santai; Dapur; Balcon; Parkir Mobil; Parkir Motor"/>
    <n v="3525000"/>
    <s v="Rp3.525.000"/>
    <n v="0.17291666666666669"/>
    <d v="1899-12-30T04:09:00"/>
    <s v="Kos Putri"/>
    <m/>
    <m/>
  </r>
  <r>
    <s v="Kost Singgahsini Casa Tebet Mas Indah Tipe C Tebet Jakarta Selatan"/>
    <x v="5"/>
    <x v="189"/>
    <n v="12"/>
    <s v="3 x 4 meter"/>
    <s v="Tidak termasuk listrik"/>
    <s v=""/>
    <s v="N/A"/>
    <s v="3 x 4 meter; Tidak termasuk listrik; AC; Kasur; Meja; Lemari Baju; Ventilasi; Kursi; Bantal; Cermin; Jendela; Kloset Duduk; K. Mandi Luar; Wastafel; Shower; Air panas; WiFi; Kulkas; R. Tamu; Laundry; R. Santai; Dapur; Balcon; CCTV; Parkir Mobil; Parkir Motor; Parkir Sepeda"/>
    <n v="3225000"/>
    <s v="Rp3.225.000"/>
    <n v="0.17291666666666669"/>
    <d v="1899-12-30T04:09:00"/>
    <s v="Kos Putri"/>
    <m/>
    <m/>
  </r>
  <r>
    <s v="Kost Singgahsini Casablanca III Tipe A Bogor"/>
    <x v="0"/>
    <x v="0"/>
    <n v="9.6000000000000014"/>
    <s v="3.2 x 3 meter"/>
    <s v="Tidak termasuk listrik"/>
    <n v="1525000"/>
    <s v="Rp1.525.000"/>
    <s v="3.2 x 3 meter; Tidak termasuk listrik; AC; Kasur; Meja; Lemari Baju; Kursi; Bantal; Cermin; Jendela; Kloset Duduk; K. Mandi Luar; Wastafel; Shower; WiFi; Kulkas; R. Tamu; R. Makan; R. Jemur; Dapur; Dispenser; TV; CCTV; Rice Cooker; Parkir Mobil; Parkir Motor; Parkir Sepeda"/>
    <n v="1450000"/>
    <s v="Rp1.450.000"/>
    <n v="0.20833333333333334"/>
    <d v="1899-12-30T05:00:00"/>
    <s v="Kos Putri"/>
    <m/>
    <s v="Diskon 75rb"/>
  </r>
  <r>
    <s v="Kost Singgahsini Casablanca III Tipe B Bogor"/>
    <x v="0"/>
    <x v="0"/>
    <n v="9"/>
    <s v="3 x 3 meter"/>
    <s v="Tidak termasuk listrik"/>
    <n v="4525000"/>
    <s v="Rp4.525.000"/>
    <s v="3 x 3 meter; Tidak termasuk listrik; AC; Kasur; Meja; Lemari Baju; Kursi; Bantal; Cermin; Jendela; K. Mandi Dalam; Kloset Duduk; Wastafel; Shower; Air panas; WiFi; Kulkas; R. Tamu; R. Makan; R. Jemur; Dapur; Dispenser; TV; CCTV; Rice Cooker; Parkir Mobil; Parkir Motor; Parkir Sepeda"/>
    <n v="4165000"/>
    <s v="Rp4.165.000"/>
    <n v="0.17291666666666669"/>
    <d v="1899-12-30T04:09:00"/>
    <s v="Kos Putri"/>
    <m/>
    <s v="Diskon 360rb"/>
  </r>
  <r>
    <s v="Kost Singgahsini Casablanca III Tipe C Bogor"/>
    <x v="0"/>
    <x v="0"/>
    <n v="14.399999999999999"/>
    <s v="4.8 x 3 meter"/>
    <s v="Tidak termasuk listrik"/>
    <n v="2525000"/>
    <s v="Rp2.525.000"/>
    <s v="4.8 x 3 meter; Tidak termasuk listrik; AC; Kasur; Meja; Lemari Baju; Kursi; K. Mandi Dalam; Kloset Duduk; Air panas; WiFi; Kulkas; R. Tamu; R. Makan; R. Jemur; Dapur; Dispenser; TV; CCTV; Rice Cooker; Parkir Mobil; Parkir Motor; Parkir Sepeda"/>
    <n v="2400000"/>
    <s v="Rp2.400.000"/>
    <n v="0"/>
    <m/>
    <s v="Kos Putri"/>
    <m/>
    <s v="Diskon 125rb"/>
  </r>
  <r>
    <s v="Kost Singgahsini Casablanca III Tipe D Bogor"/>
    <x v="0"/>
    <x v="0"/>
    <n v="9"/>
    <s v="3 x 3 meter"/>
    <s v="Tidak termasuk listrik"/>
    <n v="1825000"/>
    <s v="Rp1.825.000"/>
    <s v="3 x 3 meter; Tidak termasuk listrik; AC; Kasur; Meja; Lemari Baju; Kursi; K. Mandi Dalam; Kloset Duduk; Air panas; WiFi; Kulkas; R. Tamu; R. Makan; R. Jemur; Dapur; Dispenser; TV; CCTV; Rice Cooker; Parkir Mobil; Parkir Motor; Parkir Sepeda; Parkir Motor &amp; Sepeda"/>
    <n v="1735000"/>
    <s v="Rp1.735.000"/>
    <n v="0"/>
    <m/>
    <s v="Kos Putri"/>
    <m/>
    <s v="Diskon 90rb"/>
  </r>
  <r>
    <s v="Kost Singgahsini Cempaka Putih 15 Tipe A Jakarta Pusat"/>
    <x v="9"/>
    <x v="66"/>
    <n v="12"/>
    <s v="4 x 3 meter"/>
    <s v="Tidak termasuk listrik"/>
    <s v=""/>
    <s v="N/A"/>
    <s v="4 x 3 meter; Tidak termasuk listrik; AC; Kasur; Meja; Lemari Baju; Kursi; Bantal; Cermin; Guling; Jendela; K. Mandi Dalam; Kloset Duduk; Shower; WiFi; R. Cuci; Kulkas; R. Tamu; Penjaga Kos; R. Makan; Dapur; Parkir Mobil"/>
    <n v="1925000"/>
    <s v="Rp1.925.000"/>
    <n v="0.17222222222222225"/>
    <d v="1899-12-30T04:08:00"/>
    <s v="Kos Campur"/>
    <m/>
    <m/>
  </r>
  <r>
    <s v="Kost Singgahsini Cempaka Putih 15 Tipe B Jakarta Pusat"/>
    <x v="9"/>
    <x v="66"/>
    <n v="12.8"/>
    <s v="4 x 3.2 meter"/>
    <s v="Tidak termasuk listrik"/>
    <s v=""/>
    <s v="N/A"/>
    <s v="4 x 3.2 meter; Tidak termasuk listrik; AC; Kasur; Meja; Lemari Baju; Kursi; K. Mandi Dalam; Kloset Duduk; Shower; WiFi; R. Cuci; Kulkas; R. Tamu; Penjaga Kos; R. Makan; Dapur; Parkir Mobil"/>
    <n v="2115000"/>
    <s v="Rp2.115.000"/>
    <n v="0.17083333333333331"/>
    <d v="1899-12-30T04:06:00"/>
    <s v="Kos Campur"/>
    <m/>
    <m/>
  </r>
  <r>
    <s v="Kost Singgahsini Cempaka Putih 15 Tipe C Jakarta Pusat"/>
    <x v="9"/>
    <x v="66"/>
    <n v="14"/>
    <s v="4 x 3.5 meter"/>
    <s v="Tidak termasuk listrik"/>
    <s v=""/>
    <s v="N/A"/>
    <s v="4 x 3.5 meter; Tidak termasuk listrik; AC; Kasur; Meja; Lemari Baju; Kursi; Bantal; Cermin; Guling; Jendela; K. Mandi Dalam; Kloset Duduk; Shower; WiFi; R. Cuci; Kulkas; R. Tamu; Penjaga Kos; R. Makan; Dapur; Parkir Mobil"/>
    <n v="2225000"/>
    <s v="Rp2.225.000"/>
    <n v="0.17291666666666669"/>
    <d v="1899-12-30T04:09:00"/>
    <s v="Kos Campur"/>
    <m/>
    <m/>
  </r>
  <r>
    <s v="Kost Singgahsini Cendrawasih I Tipe A Cilandak Jakarta Selatan"/>
    <x v="5"/>
    <x v="7"/>
    <n v="8.58"/>
    <s v="2.6 x 3.3 meter"/>
    <s v="Termasuk listrik (implied)"/>
    <s v=""/>
    <s v="N/A"/>
    <s v="2.6 x 3.3 meter; Termasuk listrik; AC; Kasur; Lemari Baju; Bantal; Cermin; Jendela; K. Mandi Dalam; Kloset Duduk; Wastafel; Shower; WiFi; Kulkas; R. Tamu; R. Jemur; Dapur; Parkir Mobil; Parkir Motor; Parkir Sepeda"/>
    <n v="2575000"/>
    <s v="Rp2.575.000"/>
    <n v="0.17083333333333331"/>
    <d v="1899-12-30T04:06:00"/>
    <s v="Kos Campur"/>
    <m/>
    <s v="Diskon 216rb"/>
  </r>
  <r>
    <s v="Kost Singgahsini Cendrawasih I Tipe B Cilandak Jakarta Selatan"/>
    <x v="5"/>
    <x v="7"/>
    <n v="14"/>
    <s v="3.5 x 4 meter"/>
    <s v="Termasuk listrik (implied)"/>
    <s v=""/>
    <s v="N/A"/>
    <s v="3.5 x 4 meter; Termasuk listrik; AC; Kasur; TV; Lemari Baju; Bantal; Cermin; Jendela; K. Mandi Dalam; Kloset Duduk; Wastafel; Shower; WiFi; Kulkas; R. Tamu; R. Jemur; Dapur; Parkir Mobil; Parkir Motor; Parkir Sepeda"/>
    <n v="2845000"/>
    <s v="Rp2.845.000"/>
    <n v="0.17013888888888887"/>
    <d v="1899-12-30T04:05:00"/>
    <s v="Kos Campur"/>
    <m/>
    <s v="Diskon 216rb"/>
  </r>
  <r>
    <s v="Kost Singgahsini Cherry Suites Tipe B Kebayoran Baru Jakarta Selatan"/>
    <x v="5"/>
    <x v="6"/>
    <n v="13.5"/>
    <s v="3 x 4.5 meter"/>
    <s v="Tidak termasuk listrik"/>
    <s v=""/>
    <s v="N/A"/>
    <s v="3 x 4.5 meter; Tidak termasuk listrik; AC; Kasur; Meja; TV; Lemari Baju; Kulkas; Kursi; Bantal; Cermin; Guling; K. Mandi Dalam; Kloset Duduk; Wastafel; Shower; Air panas; WiFi; R. Tamu; Penjaga Kos; R. Makan; R. Jemur; Dapur; Dispenser; CCTV; Jemuran; Rooftop; Parkir Motor &amp; Sepeda"/>
    <n v="3700000"/>
    <s v="Rp3.700.000"/>
    <n v="0.20833333333333334"/>
    <d v="1899-12-30T05:00:00"/>
    <s v="Kos Campur"/>
    <m/>
    <s v="Diskon 272rb"/>
  </r>
  <r>
    <s v="Kost Singgahsini Chika 19 Tipe A Pondok Aren Tangerang Selatan"/>
    <x v="2"/>
    <x v="29"/>
    <n v="9"/>
    <s v="3 x 3 meter"/>
    <s v="Tidak termasuk listrik"/>
    <n v="2175000"/>
    <s v="Rp2.175.000"/>
    <s v="3 x 3 meter; Tidak termasuk listrik; AC; Kasur; TV; Lemari Baju; Cermin; K. Mandi Dalam; Kloset Duduk; Shower; Air panas; WiFi; Laundry; Mesin Cuci; Dapur; Dispenser; CCTV; Rooftop; Parkir Motor &amp; Sepeda"/>
    <n v="2067500"/>
    <s v="Rp2.067.500"/>
    <n v="0.17083333333333331"/>
    <d v="1899-12-30T04:06:00"/>
    <s v="Kos Putri"/>
    <m/>
    <s v="Diskon 108rb"/>
  </r>
  <r>
    <s v="Kost Singgahsini Cipinang Baru Raya Tipe A Pulo Gadung Jakarta Timur"/>
    <x v="8"/>
    <x v="32"/>
    <n v="10.5"/>
    <s v="3 x 3.5 meter"/>
    <s v="Tidak termasuk listrik"/>
    <n v="1525000"/>
    <s v="Rp1.525.000"/>
    <s v="3 x 3.5 meter; Tidak termasuk listrik; AC; Kasur; Lemari Baju; Bantal; Guling; Jendela; Kloset Duduk; Kloset Jongkok; K. Mandi Luar; Ember mandi; Shower; WiFi; R. Tamu; R. Jemur; Dapur; TV; Jemuran; Parkir Mobil; Parkir Motor; Parkir Sepeda"/>
    <n v="1450000"/>
    <s v="Rp1.450.000"/>
    <n v="0.20833333333333334"/>
    <d v="1899-12-30T05:00:00"/>
    <s v="Kos Campur"/>
    <m/>
    <s v="Diskon 75rb"/>
  </r>
  <r>
    <s v="Kost Singgahsini Cira 29A Tipe B Kebayoran Lama Jakarta Selatan"/>
    <x v="5"/>
    <x v="57"/>
    <n v="12"/>
    <s v="3 x 4 meter"/>
    <s v="Termasuk listrik (implied)"/>
    <n v="1825000"/>
    <s v="Rp1.825.000"/>
    <s v="3 x 4 meter; Termasuk listrik; AC; Kasur; Meja; Lemari Baju; Ventilasi; Kursi; Bantal; Cermin; Guling; Jendela; Kloset Duduk; K. Mandi Luar; Shower; WiFi; Penjaga Kos; R. Jemur; Mushola; Dapur; Dispenser; Jemuran; Rooftop; Parkir Motor &amp; Sepeda"/>
    <n v="1735000"/>
    <s v="Rp1.735.000"/>
    <n v="0.17222222222222225"/>
    <d v="1899-12-30T04:08:00"/>
    <s v="Kos Putra"/>
    <m/>
    <s v="Diskon 90rb"/>
  </r>
  <r>
    <s v="Kost Singgahsini Cireundeu 2 Tipe A Ciputat Timur Tangerang Selatan"/>
    <x v="2"/>
    <x v="52"/>
    <n v="10.15"/>
    <s v="3.5 x 2.9 meter"/>
    <s v="Tidak termasuk listrik"/>
    <s v=""/>
    <s v="N/A"/>
    <s v="3.5 x 2.9 meter; Tidak termasuk listrik; AC; Kasur; Meja; Lemari Baju; Ventilasi; Kursi; Bantal; Guling; K. Mandi Dalam; Kloset Duduk; Wastafel; Shower; Air panas; WiFi; Mesin Cuci; Penjaga Kos; Dapur; CCTV; Parkir Mobil; Parkir Motor &amp; Sepeda"/>
    <n v="1525000"/>
    <s v="Rp1.525.000"/>
    <n v="0.17083333333333331"/>
    <d v="1899-12-30T04:06:00"/>
    <s v="Kos Campur"/>
    <m/>
    <m/>
  </r>
  <r>
    <s v="Kost Singgahsini Cireundeu 9 Tipe A Ciputat Timur Tangerang Selatan"/>
    <x v="2"/>
    <x v="52"/>
    <n v="9"/>
    <s v="3 x 3 meter"/>
    <s v="Tidak termasuk listrik"/>
    <s v=""/>
    <s v="N/A"/>
    <s v="3 x 3 meter; Tidak termasuk listrik; AC; Kasur; Meja; TV; Kursi; Bantal; Jendela; K. Mandi Dalam; Kloset Duduk; Wastafel; Shower; Air panas; WiFi; R. Cuci; Kulkas; R. Tamu; Penjaga Kos; R. Jemur; Dapur; CCTV; Rice Cooker; Parkir Mobil; Parkir Motor &amp; Sepeda"/>
    <n v="1825000"/>
    <s v="Rp1.825.000"/>
    <n v="0.17013888888888887"/>
    <d v="1899-12-30T04:05:00"/>
    <s v="Kos Campur"/>
    <m/>
    <m/>
  </r>
  <r>
    <s v="Kost Singgahsini Citron Tipe C Cipete Raya Jakarta Selatan"/>
    <x v="5"/>
    <x v="7"/>
    <n v="20"/>
    <s v="5 x 4 meter"/>
    <s v="Tidak termasuk listrik"/>
    <n v="3875000"/>
    <s v="Rp3.875.000"/>
    <s v="5 x 4 meter; Tidak termasuk listrik; AC; Kasur; Meja; TV; Lemari Baju; Kursi; Bantal; Cermin; Guling; K. Mandi Dalam; Kloset Duduk; Wastafel; Shower; Air panas; WiFi; Kulkas; R. Tamu; R. Makan; R. Jemur; Dapur; Dispenser; Rooftop; Parkir Mobil; Parkir Motor; Parkir Sepeda; Parkir Motor &amp; Sepeda"/>
    <n v="3682500"/>
    <s v="Rp3.682.500"/>
    <n v="0.17083333333333331"/>
    <d v="1899-12-30T04:06:00"/>
    <s v="Kos Campur"/>
    <m/>
    <s v="Diskon 193rb"/>
  </r>
  <r>
    <s v="Kost Singgahsini Clean Room SPR Tipe A Taman Sari Jakarta Barat"/>
    <x v="3"/>
    <x v="149"/>
    <n v="12.96"/>
    <s v="3.6 x 3.6 meter"/>
    <s v="Tidak termasuk listrik"/>
    <s v=""/>
    <s v="N/A"/>
    <s v="3.6 x 3.6 meter; Tidak termasuk listrik; AC; Kasur; Meja; Lemari Baju; Kursi; Bantal; K. Mandi Dalam; Kloset Duduk; Shower; Air panas; WiFi; Kulkas; Penjaga Kos; CCTV; Parkir Motor; Parkir Sepeda"/>
    <n v="2025000"/>
    <s v="Rp2.025.000"/>
    <n v="0.16666666666666666"/>
    <d v="1899-12-30T04:00:00"/>
    <s v="Kos Campur"/>
    <m/>
    <s v="Diskon 144rb"/>
  </r>
  <r>
    <s v="Kost Singgahsini Clean Room SPR Tipe B Taman Sari Jakarta Barat"/>
    <x v="3"/>
    <x v="149"/>
    <n v="10.56"/>
    <s v="3.2 x 3.3 meter"/>
    <s v="Tidak termasuk listrik"/>
    <s v=""/>
    <s v="N/A"/>
    <s v="3.2 x 3.3 meter; Tidak termasuk listrik; AC; Kasur; Meja; Lemari Baju; Kursi; Bantal; Cermin; K. Mandi Dalam; Kloset Duduk; Wastafel; Shower; Air panas; WiFi; Kulkas; Penjaga Kos; CCTV; Parkir Motor; Parkir Sepeda"/>
    <n v="1925000"/>
    <s v="Rp1.925.000"/>
    <n v="0.17222222222222225"/>
    <d v="1899-12-30T04:08:00"/>
    <s v="Kos Campur"/>
    <m/>
    <s v="Diskon 144rb"/>
  </r>
  <r>
    <s v="Kost Singgahsini Clean Room SPR Tipe C Taman Sari Jakarta Barat"/>
    <x v="3"/>
    <x v="149"/>
    <n v="11.16"/>
    <s v="3.1 x 3.6 meter"/>
    <s v="Tidak termasuk listrik"/>
    <n v="1825000"/>
    <s v="Rp1.825.000"/>
    <s v="3.1 x 3.6 meter; Tidak termasuk listrik; AC; Kasur; Meja; Lemari Baju; Kursi; Bantal; Cermin; Jendela; K. Mandi Dalam; Kloset Duduk; Wastafel; Shower; Air panas; WiFi; Kulkas; Penjaga Kos; CCTV; Parkir Motor; Parkir Sepeda"/>
    <n v="1681000"/>
    <s v="Rp1.681.000"/>
    <n v="0.17013888888888887"/>
    <d v="1899-12-30T04:05:00"/>
    <s v="Kos Campur"/>
    <m/>
    <s v="Diskon 144rb"/>
  </r>
  <r>
    <s v="Kost Singgahsini Cleo Damai 2 Tipe A Kebayoran Baru Jakarta Selatan"/>
    <x v="5"/>
    <x v="6"/>
    <n v="18"/>
    <s v="4.5 x 4 meter"/>
    <s v="Tidak termasuk listrik"/>
    <s v=""/>
    <s v="N/A"/>
    <s v="4.5 x 4 meter; Tidak termasuk listrik; AC; Kasur; Meja; TV; Lemari Baju; Kursi; Jendela; Bantal; K. Mandi Dalam; Kloset Duduk; Wastafel; Shower; Air panas; WiFi; Kulkas; R. Tamu; Penjaga Kos; Dapur; Dispenser; CCTV; Parkir Motor &amp; Sepeda"/>
    <n v="3625000"/>
    <s v="Rp3.625.000"/>
    <n v="0.17083333333333331"/>
    <d v="1899-12-30T04:06:00"/>
    <s v="Kos Campur"/>
    <m/>
    <m/>
  </r>
  <r>
    <s v="Kost Singgahsini Condet Raya 3 Tipe A Kramat Jati Jakarta Timur"/>
    <x v="8"/>
    <x v="47"/>
    <n v="7.5"/>
    <s v="2.5 x 3 meter"/>
    <s v="Termasuk listrik (implied)"/>
    <n v="1775000"/>
    <s v="Rp1.775.000"/>
    <s v="2.5 x 3 meter; Termasuk listrik; AC; Kasur; Meja; Lemari Baju; Kursi; Bantal; Jendela; K. Mandi Dalam; Kloset Duduk; Kloset Jongkok; Shower; WiFi; Kulkas; R. Tamu; Mesin Cuci; R. Makan; R. Jemur; Dapur; TV; K. Mandi Luar; CCTV; Parkir Mobil; Parkir Motor; Parkir Sepeda"/>
    <n v="1635000"/>
    <s v="Rp1.635.000"/>
    <n v="0.17222222222222225"/>
    <d v="1899-12-30T04:08:00"/>
    <s v="Kos Campur"/>
    <m/>
    <s v="Diskon 140rb"/>
  </r>
  <r>
    <s v="Kost Singgahsini Condet Raya 3 Tipe B Kramat Jati Jakarta Timur"/>
    <x v="8"/>
    <x v="47"/>
    <n v="7.5"/>
    <s v="2.5 x 3 meter"/>
    <s v="Termasuk listrik (implied)"/>
    <n v="1675000"/>
    <s v="Rp1.675.000"/>
    <s v="2.5 x 3 meter; Termasuk listrik; AC; Kasur; Meja; Lemari Baju; Kursi; Bantal; Jendela; K. Mandi Dalam; Kloset Duduk; Shower; WiFi; Kulkas; R. Tamu; Mesin Cuci; R. Makan; R. Jemur; Dapur; TV; K. Mandi Luar; CCTV; Parkir Mobil; Parkir Motor; Parkir Sepeda"/>
    <n v="1592500"/>
    <s v="Rp1.592.500"/>
    <n v="0.17013888888888887"/>
    <d v="1899-12-30T04:05:00"/>
    <s v="Kos Campur"/>
    <m/>
    <s v="Diskon 83rb"/>
  </r>
  <r>
    <s v="Kost Singgahsini Condet Raya 3 Tipe D Kramat Jati Jakarta Timur"/>
    <x v="8"/>
    <x v="47"/>
    <n v="7.5"/>
    <s v="2.5 x 3 meter"/>
    <s v="Termasuk listrik (implied)"/>
    <n v="1125000"/>
    <s v="Rp1.125.000"/>
    <s v="2.5 x 3 meter; Termasuk listrik; Kasur; Meja; Kursi; Bantal; K. Mandi Dalam; Kloset Duduk; Kloset Jongkok; K. Mandi Luar; Ember mandi; Shower; WiFi; Kulkas; R. Tamu; Mesin Cuci; R. Makan; R. Jemur; Dapur; TV; CCTV; Parkir Mobil; Parkir Motor; Parkir Sepeda"/>
    <n v="1037000"/>
    <s v="Rp1.037.000"/>
    <n v="0.17013888888888887"/>
    <d v="1899-12-30T04:05:00"/>
    <s v="Kos Campur"/>
    <m/>
    <s v="Diskon 88rb"/>
  </r>
  <r>
    <s v="Kost Singgahsini Condet Raya 3 Tipe E Kramat Jati Jakarta Timur"/>
    <x v="8"/>
    <x v="47"/>
    <n v="8.3999999999999986"/>
    <s v="2.8 x 3 meter"/>
    <s v="Termasuk listrik (implied)"/>
    <n v="975000"/>
    <s v="Rp975.000"/>
    <s v="2.8 x 3 meter; Termasuk listrik; Kasur; Meja; Lemari Baju; Kursi; Bantal; Kloset Jongkok; K. Mandi Luar; Ember mandi; Shower; WiFi; Kulkas; R. Tamu; Mesin Cuci; R. Makan; R. Jemur; Dapur; TV; CCTV; Parkir Mobil; Parkir Motor; Parkir Sepeda"/>
    <n v="927500"/>
    <s v="Rp927.500"/>
    <n v="0.17083333333333331"/>
    <d v="1899-12-30T04:06:00"/>
    <s v="Kos Campur"/>
    <m/>
    <s v="Diskon 48rb"/>
  </r>
  <r>
    <s v="Kost Singgahsini Coteca BINUS Anggrek Tipe A Rawa Belong Jakarta Barat"/>
    <x v="3"/>
    <x v="104"/>
    <n v="8.75"/>
    <s v="2.5 x 3.5 meter"/>
    <s v="Tidak termasuk listrik"/>
    <n v="1975000"/>
    <s v="Rp1.975.000"/>
    <s v="2.5 x 3.5 meter; Tidak termasuk listrik; AC; Kasur; Meja; Lemari Baju; Kursi; Bantal; Jendela; K. Mandi Dalam; Kloset Duduk; Wastafel; Shower; WiFi; R. Cuci; Kulkas; R. Tamu; R. Jemur; Dapur; K. Mandi Luar; Parkir Mobil; Parkir Motor; Parkir Motor &amp; Sepeda"/>
    <n v="1877500"/>
    <s v="Rp1.877.500"/>
    <n v="0.17083333333333331"/>
    <d v="1899-12-30T04:06:00"/>
    <s v="Kos Campur"/>
    <m/>
    <s v="Diskon 98rb"/>
  </r>
  <r>
    <s v="Kost Singgahsini Coteca BINUS Anggrek Tipe B Rawa Belong Jakarta Barat"/>
    <x v="3"/>
    <x v="104"/>
    <n v="7.5"/>
    <s v="2.5 x 3 meter"/>
    <s v="Termasuk listrik (implied)"/>
    <n v="1675000"/>
    <s v="Rp1.675.000"/>
    <s v="2.5 x 3 meter; Termasuk listrik; AC; Kasur; Meja; Lemari Baju; Kursi; Bantal; Kloset Duduk; K. Mandi Luar; Wastafel; Shower; WiFi; R. Cuci; Kulkas; R. Tamu; R. Jemur; Dapur; Parkir Mobil; Parkir Motor; Parkir Motor &amp; Sepeda"/>
    <n v="1592500"/>
    <s v="Rp1.592.500"/>
    <n v="0.17083333333333331"/>
    <d v="1899-12-30T04:06:00"/>
    <s v="Kos Campur"/>
    <m/>
    <s v="Diskon 83rb"/>
  </r>
  <r>
    <s v="Kost Singgahsini Cozy Rawasari Tipe A Cempaka Putih Jakarta Pusat"/>
    <x v="9"/>
    <x v="51"/>
    <n v="7.1999999999999993"/>
    <s v="3 x 2.4 meter"/>
    <s v="Tidak termasuk listrik"/>
    <n v="2000000"/>
    <s v="Rp2.000.000"/>
    <s v="3 x 2.4 meter; Tidak termasuk listrik; AC; Kasur; Meja; Lemari Baju; Kursi; Bantal; Guling; Jendela; K. Mandi Dalam; Kloset Duduk; Ember mandi; Shower; Air panas; WiFi; Kulkas; R. Tamu; R. Jemur; Dapur; Dispenser; CCTV; Parkir Mobil; Parkir Motor; Parkir Sepeda"/>
    <n v="1842000"/>
    <s v="Rp1.842.000"/>
    <n v="0.17222222222222225"/>
    <d v="1899-12-30T04:08:00"/>
    <s v="Kos Campur"/>
    <m/>
    <s v="Diskon 158rb"/>
  </r>
  <r>
    <s v="Kost Singgahsini Cozy Rawasari Tipe B Cempaka Putih Jakarta Pusat"/>
    <x v="9"/>
    <x v="51"/>
    <n v="7.1999999999999993"/>
    <s v="3 x 2.4 meter"/>
    <s v="Tidak termasuk listrik"/>
    <n v="1900000"/>
    <s v="Rp1.900.000"/>
    <s v="3 x 2.4 meter; Tidak termasuk listrik; AC; Kasur; Meja; Lemari Baju; Kursi; Bantal; Cermin; Guling; Jendela; K. Mandi Dalam; Kloset Duduk; Ember mandi; Shower; WiFi; Kulkas; R. Tamu; R. Jemur; Dapur; Dispenser; CCTV; Parkir Mobil; Parkir Motor; Parkir Sepeda"/>
    <n v="1750000"/>
    <s v="Rp1.750.000"/>
    <n v="0.17222222222222225"/>
    <d v="1899-12-30T04:08:00"/>
    <s v="Kos Campur"/>
    <m/>
    <s v="Diskon 150rb"/>
  </r>
  <r>
    <s v="Kost Singgahsini Cynthia Duren Sawit Jakarta Timur"/>
    <x v="8"/>
    <x v="115"/>
    <n v="12"/>
    <s v="4 x 3 meter"/>
    <s v="Tidak termasuk listrik"/>
    <n v="1625000"/>
    <s v="Rp1.625.000"/>
    <s v="4 x 3 meter; Tidak termasuk listrik; AC; Kasur; Meja; Lemari Baju; Kursi; Cermin; Jendela; K. Mandi Dalam; Kloset Duduk; Shower; WiFi; R. Cuci; R. Jemur; Dapur; Dispenser; Parkir Mobil; Parkir Motor; Parkir Sepeda; Parkir Motor &amp; Sepeda"/>
    <n v="1545000"/>
    <s v="Rp1.545.000"/>
    <n v="0.17291666666666669"/>
    <d v="1899-12-30T04:09:00"/>
    <s v="Kos Campur"/>
    <m/>
    <s v="Diskon 80rb"/>
  </r>
  <r>
    <s v="Kost Singgahsini D Nahuma Jatiwaringin Tipe A Makasar Jakarta Timur"/>
    <x v="8"/>
    <x v="45"/>
    <n v="16"/>
    <s v="4 x 4 meter"/>
    <s v="Termasuk listrik (implied)"/>
    <n v="2225000"/>
    <s v="Rp2.225.000"/>
    <s v="4 x 4 meter; Termasuk listrik; AC; Kasur; Meja; Meja Rias; Lemari Baju; Ventilasi; Kursi; Jendela; Wastafel; Bantal; K. Mandi Dalam; Kloset Duduk; Ember mandi; Shower; WiFi; R. Tamu; Penjaga Kos; Rooftop; Parkir Mobil; Parkir Motor &amp; Sepeda"/>
    <n v="2115000"/>
    <s v="Rp2.115.000"/>
    <n v="0.17083333333333331"/>
    <d v="1899-12-30T04:06:00"/>
    <s v="Kos Campur"/>
    <m/>
    <s v="Diskon 110rb"/>
  </r>
  <r>
    <s v="Kost Singgahsini D Nahuma Jatiwaringin Tipe B Makasar Jakarta Timur"/>
    <x v="8"/>
    <x v="45"/>
    <n v="12"/>
    <s v="4 x 3 meter"/>
    <s v="Termasuk listrik (implied)"/>
    <n v="2005000"/>
    <s v="Rp2.005.000"/>
    <s v="4 x 3 meter; Termasuk listrik; AC; Kasur; Meja; Lemari Baju; Kursi; Jendela; Bantal; K. Mandi Dalam; Kloset Duduk; Ember mandi; Shower; WiFi; R. Tamu; Penjaga Kos; Rooftop; Parkir Mobil; Parkir Motor &amp; Sepeda"/>
    <n v="1906000"/>
    <s v="Rp1.906.000"/>
    <n v="0.17083333333333331"/>
    <d v="1899-12-30T04:06:00"/>
    <s v="Kos Campur"/>
    <m/>
    <s v="Diskon 99rb"/>
  </r>
  <r>
    <s v="Kost Singgahsini D Parama Kelinci Raya Tipe A Sawah Besar Jakarta Pusat"/>
    <x v="9"/>
    <x v="59"/>
    <n v="9.6100000000000012"/>
    <s v="3.1 x 3.1 meter"/>
    <s v="Tidak termasuk listrik"/>
    <n v="2925000"/>
    <s v="Rp2.925.000"/>
    <s v="3.1 x 3.1 meter; Tidak termasuk listrik; AC; Kasur; Meja; TV; Lemari Baju; Kursi; Bantal; Cermin; Guling; Jendela; K. Mandi Dalam; Kloset Duduk; Wastafel; Shower; Air panas; WiFi; Kulkas; Penjaga Kos; R. Jemur; Dapur; Dispenser; CCTV; Parkir Mobil; Parkir Motor &amp; Sepeda"/>
    <n v="2691000"/>
    <s v="Rp2.691.000"/>
    <n v="0.17083333333333331"/>
    <d v="1899-12-30T04:06:00"/>
    <s v="Kos Campur"/>
    <m/>
    <s v="Diskon 234rb"/>
  </r>
  <r>
    <s v="Kost Singgahsini D Parama Kelinci Raya Tipe B Sawah Besar Jakarta Pusat"/>
    <x v="9"/>
    <x v="59"/>
    <n v="17.64"/>
    <s v="4.2 x 4.2 meter"/>
    <s v="Tidak termasuk listrik"/>
    <n v="3600000"/>
    <s v="Rp3.600.000"/>
    <s v="4.2 x 4.2 meter; Tidak termasuk listrik; AC; Kasur; Meja; TV; Lemari Baju; Kursi; Bantal; Cermin; Guling; Jendela; K. Mandi Dalam; Kloset Duduk; Wastafel; Shower; Air panas; WiFi; Kulkas; Penjaga Kos; R. Jemur; Dapur; Dispenser; CCTV; Parkir Mobil; Parkir Motor &amp; Sepeda"/>
    <n v="3312000"/>
    <s v="Rp3.312.000"/>
    <n v="0.17222222222222225"/>
    <d v="1899-12-30T04:08:00"/>
    <s v="Kos Campur"/>
    <m/>
    <s v="Diskon 288rb"/>
  </r>
  <r>
    <s v="Kost Singgahsini D Parama Kelinci Raya Tipe C Sawah Besar Jakarta Pusat"/>
    <x v="9"/>
    <x v="59"/>
    <n v="10.5"/>
    <s v="3.5 x 3 meter"/>
    <s v="Tidak termasuk listrik"/>
    <n v="3150000"/>
    <s v="Rp3.150.000"/>
    <s v="3.5 x 3 meter; Tidak termasuk listrik; AC; Kasur; Meja; TV; Lemari Baju; Kursi; Jendela; Bantal; Guling; K. Mandi Dalam; Kloset Duduk; Wastafel; Shower; Air panas; WiFi; Kulkas; Penjaga Kos; R. Jemur; Dapur; Dispenser; CCTV; Parkir Mobil; Parkir Motor &amp; Sepeda"/>
    <n v="2992500"/>
    <s v="Rp2.992.500"/>
    <n v="0.16666666666666666"/>
    <d v="1899-12-30T04:00:00"/>
    <s v="Kos Campur"/>
    <m/>
    <s v="Diskon 158rb"/>
  </r>
  <r>
    <s v="Kost Singgahsini Da Quinta Kelapa Sawit Tipe A Duren Sawit Jakarta Timur"/>
    <x v="8"/>
    <x v="39"/>
    <n v="12"/>
    <s v="3 x 4 meter"/>
    <s v="Tidak termasuk listrik"/>
    <n v="1675000"/>
    <s v="Rp1.675.000"/>
    <s v="3 x 4 meter; Tidak termasuk listrik; AC; Kasur; Meja; Lemari Baju; Kursi; Bantal; Jendela; K. Mandi Dalam; Kloset Duduk; Shower; WiFi; Kulkas; R. Tamu; R. Makan; R. Jemur; Dapur; Dispenser; Parkir Mobil; Parkir Motor; Parkir Sepeda"/>
    <n v="1592500"/>
    <s v="Rp1.592.500"/>
    <n v="0.17222222222222225"/>
    <d v="1899-12-30T04:08:00"/>
    <s v="Kos Campur"/>
    <m/>
    <s v="Diskon 83rb"/>
  </r>
  <r>
    <s v="Kost Singgahsini Da Quinta Kelapa Sawit Tipe B Duren Sawit Jakarta Timur"/>
    <x v="8"/>
    <x v="39"/>
    <n v="14"/>
    <s v="3.5 x 4 meter"/>
    <s v="Termasuk listrik (implied)"/>
    <n v="1925000"/>
    <s v="Rp1.925.000"/>
    <s v="3.5 x 4 meter; Termasuk listrik; AC; Kasur; Meja; Lemari Baju; Ventilasi; Kursi; Bantal; Cermin; Jendela; K. Mandi Dalam; Kloset Duduk; Shower; WiFi; Kulkas; R. Tamu; Mesin Cuci; Penjaga Kos; R. Makan; R. Jemur; Dapur; Dispenser; Parkir Mobil; Parkir Motor; Parkir Sepeda"/>
    <n v="1830000"/>
    <s v="Rp1.830.000"/>
    <n v="0.17013888888888887"/>
    <d v="1899-12-30T04:05:00"/>
    <s v="Kos Campur"/>
    <m/>
    <s v="Diskon 95rb"/>
  </r>
  <r>
    <s v="Kost Singgahsini Daan Mogot 44 Tipe A Tangerang"/>
    <x v="6"/>
    <x v="22"/>
    <n v="11.7"/>
    <s v="3.9 x 3 meter"/>
    <s v="Tidak termasuk listrik"/>
    <n v="1625000"/>
    <s v="Rp1.625.000"/>
    <s v="3.9 x 3 meter; Tidak termasuk listrik; AC; Kasur; Meja; Lemari Baju; Kursi; Wastafel; Bantal; Jendela; K. Mandi Dalam; Kloset Duduk; Shower; WiFi; R. Tamu; R. Jemur; Dapur; Parkir Motor; Parkir Sepeda; Parkir Motor &amp; Sepeda"/>
    <n v="1545000"/>
    <s v="Rp1.545.000"/>
    <n v="0.17222222222222225"/>
    <d v="1899-12-30T04:08:00"/>
    <s v="Kos Putri"/>
    <m/>
    <s v="Diskon 80rb"/>
  </r>
  <r>
    <s v="Kost Singgahsini Daan Mogot 44 Tipe B Tangerang"/>
    <x v="6"/>
    <x v="22"/>
    <n v="11.7"/>
    <s v="3.9 x 3 meter"/>
    <s v="Tidak termasuk listrik"/>
    <n v="1725000"/>
    <s v="Rp1.725.000"/>
    <s v="3.9 x 3 meter; Tidak termasuk listrik; AC; Kasur; Meja; Lemari Baju; Kursi; Wastafel; Bantal; Jendela; K. Mandi Dalam; Kloset Duduk; Shower; WiFi; R. Tamu; R. Jemur; Dapur; Parkir Motor; Parkir Sepeda; Parkir Motor &amp; Sepeda"/>
    <n v="1589000"/>
    <s v="Rp1.589.000"/>
    <n v="0.17291666666666669"/>
    <d v="1899-12-30T04:09:00"/>
    <s v="Kos Putri"/>
    <m/>
    <s v="Diskon 136rb"/>
  </r>
  <r>
    <s v="Kost Singgahsini Dahlia I Tipe A Kelapa Gading Jakarta Utara"/>
    <x v="4"/>
    <x v="111"/>
    <n v="9"/>
    <s v="3 x 3 meter"/>
    <s v="Tidak termasuk listrik"/>
    <n v="2025000"/>
    <s v="Rp2.025.000"/>
    <s v="3 x 3 meter; Tidak termasuk listrik; AC; Kasur; Lemari Baju; Ventilasi; Bantal; Cermin; Jendela; K. Mandi Dalam; Kloset Duduk; Shower; WiFi; Kulkas; R. Tamu; Penjaga Kos; Dapur; K. Mandi Luar; Parkir Mobil; Parkir Motor; Parkir Sepeda"/>
    <n v="1865000"/>
    <s v="Rp1.865.000"/>
    <n v="0.17291666666666669"/>
    <d v="1899-12-30T04:09:00"/>
    <s v="Kos Putri"/>
    <m/>
    <s v="Diskon 160rb"/>
  </r>
  <r>
    <s v="Kost Singgahsini Dahlia I Tipe B Kelapa Gading Jakarta Utara"/>
    <x v="4"/>
    <x v="111"/>
    <n v="7.1999999999999993"/>
    <s v="3 x 2.4 meter"/>
    <s v="Tidak termasuk listrik"/>
    <s v=""/>
    <s v="N/A"/>
    <s v="3 x 2.4 meter; Tidak termasuk listrik; AC; Kasur; Lemari Baju; Ventilasi; Bantal; Cermin; Jendela; K. Mandi Dalam; Kloset Duduk; Shower; WiFi; Kulkas; R. Tamu; Penjaga Kos; Dapur; K. Mandi Luar; Parkir Mobil; Parkir Motor; Parkir Sepeda"/>
    <n v="1875000"/>
    <s v="Rp1.875.000"/>
    <n v="0.17291666666666669"/>
    <d v="1899-12-30T04:09:00"/>
    <s v="Kos Putri"/>
    <m/>
    <s v="Diskon 160rb"/>
  </r>
  <r>
    <s v="Kost Singgahsini Dahlia I Tipe C Kelapa Gading Jakarta Utara"/>
    <x v="4"/>
    <x v="111"/>
    <n v="6.3000000000000007"/>
    <s v="3 x 2.1 meter"/>
    <s v="Tidak termasuk listrik"/>
    <s v=""/>
    <s v="N/A"/>
    <s v="3 x 2.1 meter; Tidak termasuk listrik; AC; Kasur; Lemari Baju; Bantal; Cermin; Jendela; Kloset Duduk; K. Mandi Luar; Shower; WiFi; Kulkas; R. Tamu; Penjaga Kos; Dapur; Parkir Mobil; Parkir Motor; Parkir Sepeda"/>
    <n v="1625000"/>
    <s v="Rp1.625.000"/>
    <n v="0.17222222222222225"/>
    <d v="1899-12-30T04:08:00"/>
    <s v="Kos Putri"/>
    <m/>
    <s v="Diskon 160rb"/>
  </r>
  <r>
    <s v="Kost Singgahsini Dahlia I Tipe D Kelapa Gading Jakarta Utara"/>
    <x v="4"/>
    <x v="111"/>
    <n v="5.76"/>
    <s v="2.4 x 2.4 meter"/>
    <s v="Tidak termasuk listrik"/>
    <s v=""/>
    <s v="N/A"/>
    <s v="2.4 x 2.4 meter; Tidak termasuk listrik; AC; Kasur; Lemari Baju; Bantal; Cermin; Jendela; Kloset Duduk; K. Mandi Luar; Shower; WiFi; Kulkas; R. Tamu; Penjaga Kos; Dapur; Parkir Mobil; Parkir Motor; Parkir Sepeda"/>
    <n v="1525000"/>
    <s v="Rp1.525.000"/>
    <n v="0.17291666666666669"/>
    <d v="1899-12-30T04:09:00"/>
    <s v="Kos Putri"/>
    <m/>
    <s v="Diskon 160rb"/>
  </r>
  <r>
    <s v="Kost Singgahsini Dali Teges Tipe A Menteng Dalam Jakarta Selatan"/>
    <x v="5"/>
    <x v="64"/>
    <n v="9"/>
    <s v="3 x 3 meter"/>
    <s v="Termasuk listrik (implied)"/>
    <s v=""/>
    <s v="N/A"/>
    <s v="3 x 3 meter; Termasuk listrik; AC; Kasur; Meja; Lemari Baju; Ventilasi; Kursi; Bantal; Guling; Jendela; K. Mandi Dalam; Kloset Duduk; K. Mandi Luar; Wastafel; Shower; WiFi; R. Tamu; Penjaga Kos; R. Jemur; Dapur; Dispenser; Jemuran; Parkir Mobil; Parkir Motor; Parkir Motor &amp; Sepeda"/>
    <n v="1925000"/>
    <s v="Rp1.925.000"/>
    <n v="0.17222222222222225"/>
    <d v="1899-12-30T04:08:00"/>
    <s v="Kos Putra"/>
    <m/>
    <s v="Diskon 224rb"/>
  </r>
  <r>
    <s v="Kost Singgahsini Dali Teges Tipe A Menteng Dalam Jakarta Selatan"/>
    <x v="5"/>
    <x v="64"/>
    <e v="#VALUE!"/>
    <s v="N/A"/>
    <s v="N/A"/>
    <s v=""/>
    <s v="N/A"/>
    <s v=""/>
    <n v="1925000"/>
    <s v="Rp1.925.000"/>
    <n v="0.17222222222222225"/>
    <d v="1899-12-30T04:08:00"/>
    <s v="Kos Putra"/>
    <m/>
    <m/>
  </r>
  <r>
    <s v="Kost Singgahsini Dali Teges Tipe B Menteng Dalam Jakarta Selatan"/>
    <x v="5"/>
    <x v="64"/>
    <n v="12"/>
    <s v="4 x 3 meter"/>
    <s v="Termasuk listrik (implied)"/>
    <s v=""/>
    <s v="N/A"/>
    <s v="4 x 3 meter; Termasuk listrik; AC; Kasur; Meja; Kursi; Bantal; Guling; K. Mandi Dalam; Kloset Duduk; Shower; WiFi; R. Tamu; Penjaga Kos; R. Jemur; Dapur; Dispenser; K. Mandi Luar; Jemuran; Parkir Mobil; Parkir Motor; Parkir Motor &amp; Sepeda"/>
    <n v="2025000"/>
    <s v="Rp2.025.000"/>
    <n v="0.17222222222222225"/>
    <d v="1899-12-30T04:08:00"/>
    <s v="Kos Campur"/>
    <m/>
    <s v="Diskon 224rb"/>
  </r>
  <r>
    <s v="Kost Singgahsini Damai Sapphire Tipe A Kebayoran Baru Jakarta Selatan"/>
    <x v="5"/>
    <x v="6"/>
    <n v="13.5"/>
    <s v="4.5 x 3 meter"/>
    <s v="Tidak termasuk listrik"/>
    <s v=""/>
    <s v="N/A"/>
    <s v="4.5 x 3 meter; Tidak termasuk listrik; AC; Kasur; Meja; TV; Lemari Baju; Ventilasi; Kursi; Bantal; Jendela; K. Mandi Dalam; Kloset Duduk; Wastafel; Shower; Air panas; WiFi; Kulkas; Dapur; CCTV; Parkir Mobil; Parkir Motor; Parkir Sepeda"/>
    <n v="4075000"/>
    <s v="Rp4.075.000"/>
    <n v="0.17222222222222225"/>
    <d v="1899-12-30T04:08:00"/>
    <s v="Kos Campur"/>
    <m/>
    <s v="Diskon 193rb"/>
  </r>
  <r>
    <s v="Kost Singgahsini Damai Sapphire Tipe E Kebayoran Baru Jakarta Selatan"/>
    <x v="5"/>
    <x v="6"/>
    <n v="13.5"/>
    <s v="4.5 x 3 meter"/>
    <s v="Tidak termasuk listrik"/>
    <s v=""/>
    <s v="N/A"/>
    <s v="4.5 x 3 meter; Tidak termasuk listrik; AC; Kasur; Meja; TV; Lemari Baju; Kursi; Bantal; Jendela; K. Mandi Dalam; Kloset Duduk; Wastafel; Shower; Air panas; WiFi; Kulkas; Dapur; CCTV; Parkir Mobil; Parkir Motor; Parkir Sepeda"/>
    <n v="3025000"/>
    <s v="Rp3.025.000"/>
    <n v="0.17222222222222225"/>
    <d v="1899-12-30T04:08:00"/>
    <s v="Kos Campur"/>
    <m/>
    <s v="Diskon 145rb"/>
  </r>
  <r>
    <s v="Kost Singgahsini Danysa Tipe A Tebet Jakarta Selatan"/>
    <x v="5"/>
    <x v="64"/>
    <n v="9"/>
    <s v="3 x 3 meter"/>
    <s v="Termasuk listrik (implied)"/>
    <n v="2375000"/>
    <s v="Rp2.375.000"/>
    <s v="3 x 3 meter; Termasuk listrik; AC; Kasur; Meja; Lemari Baju; Ventilasi; Bantal; Cermin; Jendela; K. Mandi Dalam; Kloset Duduk; Shower; WiFi; R. Tamu; Penjaga Kos; R. Jemur; Mushola; Parkir Mobil; Parkir Motor &amp; Sepeda"/>
    <n v="2187000"/>
    <s v="Rp2.187.000"/>
    <n v="0.20833333333333334"/>
    <d v="1899-12-30T05:00:00"/>
    <s v="Kos Campur"/>
    <m/>
    <s v="Diskon 188rb"/>
  </r>
  <r>
    <s v="Kost Singgahsini Davincy Bintaro Pondok Aren Tangerang Selatan"/>
    <x v="2"/>
    <x v="2"/>
    <n v="15"/>
    <s v="5 x 3 meter"/>
    <s v="Tidak termasuk listrik"/>
    <s v=""/>
    <s v="N/A"/>
    <s v="5 x 3 meter; Tidak termasuk listrik; AC; Kasur; Meja; Lemari Baju; Kursi; Bantal; Cermin; Jendela; K. Mandi Dalam; Kloset Duduk; Shower; WiFi; Kulkas; R. Jemur; Dispenser; Parkir Mobil; Parkir Motor; Parkir Sepeda; Parkir Motor &amp; Sepeda"/>
    <n v="1050000"/>
    <s v="Rp1.050.000"/>
    <n v="0.17291666666666669"/>
    <d v="1899-12-30T04:09:00"/>
    <s v="Kos Putri"/>
    <m/>
    <m/>
  </r>
  <r>
    <s v="Kost Singgahsini Dbugs Tipe A Ciputat Timur Tangerang Selatan"/>
    <x v="2"/>
    <x v="52"/>
    <n v="9"/>
    <s v="3 x 3 meter"/>
    <s v="Tidak termasuk listrik"/>
    <s v=""/>
    <s v="N/A"/>
    <s v="3 x 3 meter; Tidak termasuk listrik; AC; Kasur; Meja; Lemari Baju; Kursi; Jendela; Bantal; Cermin; K. Mandi Dalam; Kloset Duduk; Wastafel; Shower; WiFi; Kulkas; R. Tamu; Penjaga Kos; CCTV; Parkir Mobil; Parkir Motor &amp; Sepeda"/>
    <n v="2000000"/>
    <s v="Rp2.000.000"/>
    <n v="0.17291666666666669"/>
    <d v="1899-12-30T04:09:00"/>
    <s v="Kos Campur"/>
    <m/>
    <m/>
  </r>
  <r>
    <s v="Kost Singgahsini De 80s Tipe A Matraman Jakarta Timur"/>
    <x v="8"/>
    <x v="72"/>
    <n v="12"/>
    <s v="3 x 4 meter"/>
    <s v="Tidak termasuk listrik"/>
    <n v="2425000"/>
    <s v="Rp2.425.000"/>
    <s v="3 x 4 meter; Tidak termasuk listrik; AC; Kasur; Meja; TV; Lemari Baju; Kursi; Bantal; Jendela; K. Mandi Dalam; Kloset Duduk; Shower; Air panas; WiFi; Penjaga Kos; CCTV; Parkir Mobil; Parkir Motor &amp; Sepeda"/>
    <n v="2305000"/>
    <s v="Rp2.305.000"/>
    <n v="0.16874999999999998"/>
    <d v="1899-12-30T04:03:00"/>
    <s v="Kos Putri"/>
    <m/>
    <s v="Diskon 120rb"/>
  </r>
  <r>
    <s v="Kost Singgahsini De 80s Tipe B Matraman Jakarta Timur"/>
    <x v="8"/>
    <x v="72"/>
    <n v="8.1000000000000014"/>
    <s v="3 x 2.7 meter"/>
    <s v="Tidak termasuk listrik"/>
    <s v=""/>
    <s v="N/A"/>
    <s v="3 x 2.7 meter; Tidak termasuk listrik; AC; Kasur; Meja; TV; Lemari Baju; Kursi; Bantal; Cermin; Jendela; K. Mandi Dalam; Kloset Duduk; Shower; Air panas; WiFi; Penjaga Kos; CCTV; Parkir Mobil; Parkir Motor &amp; Sepeda"/>
    <n v="2275000"/>
    <s v="Rp2.275.000"/>
    <n v="0.16944444444444443"/>
    <d v="1899-12-30T04:04:00"/>
    <s v="Kos Putri"/>
    <m/>
    <s v="Diskon 120rb"/>
  </r>
  <r>
    <s v="Kost Singgahsini De 80s Tipe C Matraman Jakarta Timur"/>
    <x v="8"/>
    <x v="72"/>
    <n v="8.1000000000000014"/>
    <s v="3 x 2.7 meter"/>
    <s v="Tidak termasuk listrik"/>
    <s v=""/>
    <s v="N/A"/>
    <s v="3 x 2.7 meter; Tidak termasuk listrik; AC; Kasur; Meja; TV; Lemari Baju; Kursi; Bantal; Cermin; Jendela; K. Mandi Dalam; Kloset Duduk; Shower; Air panas; WiFi; Penjaga Kos; CCTV; Parkir Mobil; Parkir Motor &amp; Sepeda"/>
    <n v="2025000"/>
    <s v="Rp2.025.000"/>
    <n v="0.17013888888888887"/>
    <d v="1899-12-30T04:05:00"/>
    <s v="Kos Putri"/>
    <m/>
    <s v="Diskon 120rb"/>
  </r>
  <r>
    <s v="Kost Singgahsini De 9 House Tipe A Menteng Jakarta Pusat"/>
    <x v="9"/>
    <x v="125"/>
    <n v="10.5"/>
    <s v="3.5 x 3 meter"/>
    <s v="Tidak termasuk listrik"/>
    <n v="2545000"/>
    <s v="Rp2.545.000"/>
    <s v="3.5 x 3 meter; Tidak termasuk listrik; AC; Kasur; Meja; TV; Lemari Baju; Ventilasi; Kursi; Bantal; Guling; Jendela; K. Mandi Dalam; Kloset Duduk; Shower; Air panas; WiFi; Kulkas; Penjaga Kos; R. Makan; R. Jemur; Dapur; CCTV; Parkir Mobil; Parkir Motor &amp; Sepeda"/>
    <n v="2293000"/>
    <s v="Rp2.293.000"/>
    <n v="0.17083333333333331"/>
    <d v="1899-12-30T04:06:00"/>
    <s v="Kos Campur"/>
    <m/>
    <s v="Diskon 252rb"/>
  </r>
  <r>
    <s v="Kost Singgahsini De Rooms 1 Batu Tipe B Pasar Minggu Jakarta Selatan"/>
    <x v="5"/>
    <x v="43"/>
    <n v="12"/>
    <s v="4 x 3 meter"/>
    <s v="Tidak termasuk listrik"/>
    <n v="1825000"/>
    <s v="Rp1.825.000"/>
    <s v="4 x 3 meter; Tidak termasuk listrik; AC; Kasur; Meja; Lemari Baju; Kursi; Jendela; Bantal; Cermin; K. Mandi Dalam; Kloset Duduk; Ember mandi; Shower; WiFi; Kulkas; Penjaga Kos; R. Tamu; Dapur; Dispenser; CCTV; Parkir Mobil; Parkir Motor &amp; Sepeda"/>
    <n v="1681000"/>
    <s v="Rp1.681.000"/>
    <n v="0.16874999999999998"/>
    <d v="1899-12-30T04:03:00"/>
    <s v="Kos Campur"/>
    <m/>
    <s v="Diskon 144rb"/>
  </r>
  <r>
    <s v="Kost Singgahsini Dehook Tipe A Ciputat Tangerang Selatan"/>
    <x v="2"/>
    <x v="52"/>
    <n v="12.48"/>
    <s v="3.9 x 3.2 meter"/>
    <s v="Tidak termasuk listrik"/>
    <n v="1525000"/>
    <s v="Rp1.525.000"/>
    <s v="3.9 x 3.2 meter; Tidak termasuk listrik; AC; Kasur; Lemari Baju; Ventilasi; Jendela; Bantal; Cermin; Guling; K. Mandi Dalam; Kloset Duduk; Ember mandi; WiFi; Kulkas; Penjaga Kos; R. Jemur; Dapur; CCTV; Parkir Mobil; Parkir Motor &amp; Sepeda"/>
    <n v="1450000"/>
    <s v="Rp1.450.000"/>
    <n v="0.17291666666666669"/>
    <d v="1899-12-30T04:09:00"/>
    <s v="Kos Putri"/>
    <m/>
    <s v="Diskon 75rb"/>
  </r>
  <r>
    <s v="Kost Singgahsini Dehook Tipe B Ciputat Tangerang Selatan"/>
    <x v="2"/>
    <x v="52"/>
    <n v="12.48"/>
    <s v="3.9 x 3.2 meter"/>
    <s v="Tidak termasuk listrik"/>
    <n v="1125000"/>
    <s v="Rp1.125.000"/>
    <s v="3.9 x 3.2 meter; Tidak termasuk listrik; Kasur; Lemari Baju; Ventilasi; Jendela; Kipas Angin; Bantal; Cermin; Guling; K. Mandi Dalam; Kloset Duduk; Ember mandi; WiFi; Kulkas; Penjaga Kos; R. Jemur; Dapur; CCTV; Parkir Mobil; Parkir Motor &amp; Sepeda"/>
    <n v="1070000"/>
    <s v="Rp1.070.000"/>
    <n v="0.1673611111111111"/>
    <d v="1899-12-30T04:01:00"/>
    <s v="Kos Putri"/>
    <m/>
    <s v="Diskon 55rb"/>
  </r>
  <r>
    <s v="Kost Singgahsini Dempo 9 Tipe A Menteng Jakarta Pusat"/>
    <x v="9"/>
    <x v="125"/>
    <n v="25"/>
    <s v="5 x 5 meter"/>
    <s v="Termasuk listrik (implied)"/>
    <n v="3325000"/>
    <s v="Rp3.325.000"/>
    <s v="5 x 5 meter; Termasuk listrik; AC; Kasur; Meja; Dispenser; Lemari Baju; Kulkas; Ventilasi; Kursi; Bantal; Cermin; K. Mandi Dalam; Kloset Duduk; Shower; WiFi; R. Tamu; R. Jemur; R. Santai; Dapur; CCTV; Parkir Mobil; Parkir Motor; Parkir Sepeda"/>
    <n v="3160000"/>
    <s v="Rp3.160.000"/>
    <n v="0.16874999999999998"/>
    <d v="1899-12-30T04:03:00"/>
    <s v="Kos Campur"/>
    <m/>
    <s v="Diskon 165rb"/>
  </r>
  <r>
    <s v="Kost Singgahsini Dempo 9 Tipe B Menteng Jakarta Pusat"/>
    <x v="9"/>
    <x v="125"/>
    <n v="16"/>
    <s v="4 x 4 meter"/>
    <s v="Termasuk listrik (implied)"/>
    <n v="2325000"/>
    <s v="Rp2.325.000"/>
    <s v="4 x 4 meter; Termasuk listrik; AC; Kasur; Meja; Lemari Baju; Ventilasi; Kursi; Bantal; Cermin; Guling; Jendela; K. Mandi Dalam; Kloset Duduk; Shower; WiFi; Kulkas; R. Tamu; R. Jemur; R. Santai; Dapur; Dispenser; CCTV; Parkir Mobil; Parkir Motor; Parkir Sepeda"/>
    <n v="2210000"/>
    <s v="Rp2.210.000"/>
    <n v="0.17083333333333331"/>
    <d v="1899-12-30T04:06:00"/>
    <s v="Kos Campur"/>
    <m/>
    <s v="Diskon 115rb"/>
  </r>
  <r>
    <s v="Kost Singgahsini Dempo 9 Tipe C Menteng Jakarta Pusat"/>
    <x v="9"/>
    <x v="125"/>
    <n v="11.520000000000001"/>
    <s v="3.6 x 3.2 meter"/>
    <s v="Termasuk listrik (implied)"/>
    <n v="2075000"/>
    <s v="Rp2.075.000"/>
    <s v="3.6 x 3.2 meter; Termasuk listrik; AC; Kasur; Meja; Lemari Baju; Ventilasi; Kursi; Bantal; Cermin; Guling; Jendela; Kloset Duduk; K. Mandi Luar; Shower; WiFi; Kulkas; R. Tamu; R. Jemur; R. Santai; Dapur; Dispenser; CCTV; Parkir Mobil; Parkir Motor; Parkir Sepeda"/>
    <n v="1911000"/>
    <s v="Rp1.911.000"/>
    <n v="0.16666666666666666"/>
    <d v="1899-12-30T04:00:00"/>
    <s v="Kos Campur"/>
    <m/>
    <s v="Diskon 164rb"/>
  </r>
  <r>
    <s v="Kost Singgahsini Dempo 9 Tipe D Menteng Jakarta Pusat"/>
    <x v="9"/>
    <x v="125"/>
    <n v="10.08"/>
    <s v="3.6 x 2.8 meter"/>
    <s v="Termasuk listrik (implied)"/>
    <n v="1875000"/>
    <s v="Rp1.875.000"/>
    <s v="3.6 x 2.8 meter; Termasuk listrik; Kasur; Meja; Lemari Baju; Ventilasi; Kursi; Kipas Angin; Bantal; Jendela; K. Mandi Dalam; Kloset Duduk; WiFi; Kulkas; R. Tamu; R. Jemur; R. Santai; Dapur; Dispenser; CCTV; Parkir Mobil; Parkir Motor; Parkir Sepeda"/>
    <n v="1782500"/>
    <s v="Rp1.782.500"/>
    <n v="0.17083333333333331"/>
    <d v="1899-12-30T04:06:00"/>
    <s v="Kos Campur"/>
    <m/>
    <s v="Diskon 93rb"/>
  </r>
  <r>
    <s v="Kost Singgahsini DFlory Tipe A Cinere Depok"/>
    <x v="1"/>
    <x v="1"/>
    <n v="15.040000000000001"/>
    <s v="4.7 x 3.2 meter"/>
    <s v="Tidak termasuk listrik"/>
    <n v="2275000"/>
    <s v="Rp2.275.000"/>
    <s v="4.7 x 3.2 meter; Tidak termasuk listrik; AC; Kasur; Meja; Lemari Baju; Kursi; Bantal; Cermin; Jendela; Guling; K. Mandi Dalam; Kloset Duduk; Shower; Air panas; WiFi; R. Cuci; Kulkas; R. Tamu; Mesin Cuci; Penjaga Kos; R. Jemur; Dapur; Dispenser; Taman; Parkir Mobil; Parkir Motor &amp; Sepeda"/>
    <n v="2162500"/>
    <s v="Rp2.162.500"/>
    <n v="0.17083333333333331"/>
    <d v="1899-12-30T04:06:00"/>
    <s v="Kos Putri"/>
    <m/>
    <s v="Diskon 113rb"/>
  </r>
  <r>
    <s v="Kost Singgahsini DFlory Tipe B Cinere Depok"/>
    <x v="1"/>
    <x v="1"/>
    <n v="9.990000000000002"/>
    <s v="3.7 x 2.7 meter"/>
    <s v="Tidak termasuk listrik"/>
    <n v="2025000"/>
    <s v="Rp2.025.000"/>
    <s v="3.7 x 2.7 meter; Tidak termasuk listrik; AC; Kasur; Meja; Lemari Baju; Kursi; Bantal; Jendela; Cermin; Guling; K. Mandi Dalam; Kloset Duduk; Shower; WiFi; R. Cuci; Kulkas; R. Tamu; Mesin Cuci; Penjaga Kos; R. Jemur; Dapur; Dispenser; Taman; Parkir Mobil; Parkir Motor &amp; Sepeda"/>
    <n v="1825000"/>
    <s v="Rp1.825.000"/>
    <n v="0.20833333333333334"/>
    <d v="1899-12-30T05:00:00"/>
    <s v="Kos Putri"/>
    <m/>
    <s v="Diskon 200rb"/>
  </r>
  <r>
    <s v="Kost Singgahsini Discovery Home Tipe A Kebon Jeruk Jakarta Barat"/>
    <x v="3"/>
    <x v="14"/>
    <n v="7.2900000000000009"/>
    <s v="2.7 x 2.7 meter"/>
    <s v="Tidak termasuk listrik"/>
    <n v="1625000"/>
    <s v="Rp1.625.000"/>
    <s v="2.7 x 2.7 meter; Tidak termasuk listrik; AC; Kasur; Meja; Lemari Baju; Kursi; Bantal; Jendela; K. Mandi Dalam; Kloset Duduk; Shower; Air panas; WiFi; R. Cuci; Kulkas; R. Tamu; Mesin Cuci; Penjaga Kos; R. Makan; R. Jemur; Dapur; CCTV; Parkir Motor &amp; Sepeda"/>
    <n v="1465000"/>
    <s v="Rp1.465.000"/>
    <n v="0.1673611111111111"/>
    <d v="1899-12-30T04:01:00"/>
    <s v="Kos Campur"/>
    <m/>
    <s v="Diskon 160rb"/>
  </r>
  <r>
    <s v="Kost Singgahsini Dito Jati Padang Tipe A Pasar Minggu Jakarta Selatan"/>
    <x v="5"/>
    <x v="43"/>
    <n v="19.11"/>
    <s v="4.9 x 3.9 meter"/>
    <s v="Tidak termasuk listrik"/>
    <s v=""/>
    <s v="N/A"/>
    <s v="4.9 x 3.9 meter; Tidak termasuk listrik; AC; Kasur; Meja; TV; Lemari Baju; Ventilasi; Kursi; Bantal; Cermin; Guling; K. Mandi Dalam; Kloset Duduk; Shower; Air panas; WiFi; R. Cuci; Kulkas; R. Tamu; Mesin Cuci; Penjaga Kos; R. Makan; Dapur; K. Mandi Luar; CCTV; Parkir Mobil; Parkir Motor; Parkir Sepeda"/>
    <n v="3025000"/>
    <s v="Rp3.025.000"/>
    <n v="0.17222222222222225"/>
    <d v="1899-12-30T04:08:00"/>
    <s v="Kos Campur"/>
    <m/>
    <m/>
  </r>
  <r>
    <s v="Kost Singgahsini Dito Jati Padang Tipe B Pasar Minggu Jakarta Selatan"/>
    <x v="5"/>
    <x v="43"/>
    <n v="10.5"/>
    <s v="3.5 x 3 meter"/>
    <s v="Tidak termasuk listrik"/>
    <s v=""/>
    <s v="N/A"/>
    <s v="3.5 x 3 meter; Tidak termasuk listrik; AC; Kasur; Meja; TV; Lemari Baju; Ventilasi; Kursi; Bantal; Guling; Jendela; K. Mandi Dalam; Kloset Duduk; Shower; Air panas; WiFi; R. Cuci; Kulkas; R. Tamu; Mesin Cuci; Penjaga Kos; R. Makan; Dapur; K. Mandi Luar; CCTV; Parkir Mobil; Parkir Motor; Parkir Sepeda"/>
    <n v="2525000"/>
    <s v="Rp2.525.000"/>
    <n v="0.17222222222222225"/>
    <d v="1899-12-30T04:08:00"/>
    <s v="Kos Campur"/>
    <m/>
    <m/>
  </r>
  <r>
    <s v="Kost Singgahsini Dito Jati Padang Tipe C Pasar Minggu Jakarta Selatan"/>
    <x v="5"/>
    <x v="43"/>
    <n v="6.96"/>
    <s v="2.9 x 2.4 meter"/>
    <s v="Tidak termasuk listrik"/>
    <s v=""/>
    <s v="N/A"/>
    <s v="2.9 x 2.4 meter; Tidak termasuk listrik; AC; Kasur; Meja; TV; Lemari Baju; Ventilasi; Kursi; Bantal; Cermin; Guling; K. Mandi Dalam; Kloset Duduk; Shower; Air panas; WiFi; R. Cuci; Kulkas; R. Tamu; Mesin Cuci; Penjaga Kos; R. Makan; Dapur; K. Mandi Luar; CCTV; Parkir Mobil; Parkir Motor; Parkir Sepeda"/>
    <n v="2225000"/>
    <s v="Rp2.225.000"/>
    <n v="0.20833333333333334"/>
    <d v="1899-12-30T05:00:00"/>
    <s v="Kos Campur"/>
    <m/>
    <m/>
  </r>
  <r>
    <s v="Kost Singgahsini Dstudio MRT Haji Nawi Tipe A Cilandak Jakarta Selatan"/>
    <x v="5"/>
    <x v="7"/>
    <n v="9"/>
    <s v="3 x 3 meter"/>
    <s v="Tidak termasuk listrik"/>
    <s v=""/>
    <s v="N/A"/>
    <s v="3 x 3 meter; Tidak termasuk listrik; AC; Kasur; Meja; Lemari Baju; Kursi; Jendela; K. Mandi Dalam; Kloset Duduk; Shower; Air panas; WiFi; Kulkas; Penjaga Kos; Dapur; Dispenser; Taman; Kartu Akses; CCTV; Parkir Mobil; Parkir Motor &amp; Sepeda"/>
    <n v="3325000"/>
    <s v="Rp3.325.000"/>
    <n v="0.17222222222222225"/>
    <d v="1899-12-30T04:08:00"/>
    <s v="Kos Campur"/>
    <m/>
    <s v="Diskon 168rb"/>
  </r>
  <r>
    <s v="Kost Singgahsini Dwi Cempaka IX Tipe A Duren Sawit Jakarta Timur"/>
    <x v="8"/>
    <x v="39"/>
    <n v="10.240000000000002"/>
    <s v="3.2 x 3.2 meter"/>
    <s v="Tidak termasuk listrik"/>
    <n v="1300000"/>
    <s v="Rp1.300.000"/>
    <s v="3.2 x 3.2 meter; Tidak termasuk listrik; AC; Kasur; Meja; Lemari Baju; Ventilasi; Kursi; Jendela; Bantal; Guling; Kloset Duduk; Kloset Jongkok; K. Mandi Luar; Ember mandi; Shower; Bak mandi; WiFi; R. Cuci; R. Tamu; R. Jemur; Mushola; Balcon; Parkir Mobil; Parkir Motor &amp; Sepeda"/>
    <n v="1235000"/>
    <s v="Rp1.235.000"/>
    <n v="0.20833333333333334"/>
    <d v="1899-12-30T05:00:00"/>
    <s v="Kos Campur"/>
    <m/>
    <s v="Diskon 65rb"/>
  </r>
  <r>
    <s v="Kost Singgahsini Dwi Warna 18A Tipe A Sawah Besar Jakarta Pusat"/>
    <x v="9"/>
    <x v="59"/>
    <n v="12.04"/>
    <s v="4.3 x 2.8 meter"/>
    <s v="Tidak termasuk listrik"/>
    <n v="1975000"/>
    <s v="Rp1.975.000"/>
    <s v="4.3 x 2.8 meter; Tidak termasuk listrik; AC; Kasur; Meja; Lemari Baju; Kursi; Bantal; Cermin; Guling; Jendela; K. Mandi Dalam; Kloset Duduk; Shower; WiFi; R. Cuci; Kulkas; Penjaga Kos; R. Makan; R. Jemur; Dapur; TV; K. Mandi Luar; CCTV; Parkir Motor &amp; Sepeda"/>
    <n v="1877500"/>
    <s v="Rp1.877.500"/>
    <n v="0.17291666666666669"/>
    <d v="1899-12-30T04:09:00"/>
    <s v="Kos Campur"/>
    <m/>
    <s v="Diskon 98rb"/>
  </r>
  <r>
    <s v="Kost Singgahsini Dwi Warna 18A Tipe B Sawah Besar Jakarta Pusat"/>
    <x v="9"/>
    <x v="59"/>
    <n v="6.09"/>
    <s v="2.9 x 2.1 meter"/>
    <s v="Tidak termasuk listrik"/>
    <n v="1675000"/>
    <s v="Rp1.675.000"/>
    <s v="2.9 x 2.1 meter; Tidak termasuk listrik; AC; Kasur; Meja; Lemari Baju; Kursi; Bantal; Cermin; Jendela; Kloset Jongkok; K. Mandi Luar; Ember mandi; WiFi; R. Cuci; Kulkas; Penjaga Kos; R. Makan; R. Jemur; Dapur; TV; CCTV; Parkir Motor &amp; Sepeda"/>
    <n v="1592500"/>
    <s v="Rp1.592.500"/>
    <n v="0.17222222222222225"/>
    <d v="1899-12-30T04:08:00"/>
    <s v="Kos Campur"/>
    <m/>
    <s v="Diskon 83rb"/>
  </r>
  <r>
    <s v="Kost Singgahsini East 37 Tipe A Tebet Timur Jakarta Selatan"/>
    <x v="5"/>
    <x v="189"/>
    <n v="6.21"/>
    <s v="2.7 x 2.3 meter"/>
    <s v="Tidak termasuk listrik"/>
    <s v=""/>
    <s v="N/A"/>
    <s v="2.7 x 2.3 meter; Tidak termasuk listrik; AC; Kasur; Meja; Lemari Baju; Kursi; Bantal; K. Mandi Dalam; Kloset Duduk; K. Mandi Luar; Air panas; WiFi; Kulkas; R. Tamu; Laundry; R. Makan; R. Jemur; R. Santai; Dapur; Dispenser; R. Keluarga; Parkir Mobil; Parkir Motor; Parkir Sepeda"/>
    <n v="1895000"/>
    <s v="Rp1.895.000"/>
    <n v="0.17083333333333331"/>
    <d v="1899-12-30T04:06:00"/>
    <s v="Kos Putra"/>
    <m/>
    <s v="Diskon 125rb"/>
  </r>
  <r>
    <s v="Kost Singgahsini East 37 Tipe E Tebet Timur Jakarta Selatan"/>
    <x v="5"/>
    <x v="189"/>
    <n v="6"/>
    <s v="3 x 2 meter"/>
    <s v="Tidak termasuk listrik"/>
    <s v=""/>
    <s v="N/A"/>
    <s v="3 x 2 meter; Tidak termasuk listrik; AC; Kasur; Meja; Lemari Baju; Kursi; Bantal; K. Mandi Dalam; Kloset Duduk; K. Mandi Luar; Air panas; WiFi; Kulkas; R. Tamu; Laundry; R. Makan; R. Jemur; R. Santai; Dapur; Dispenser; R. Keluarga; Parkir Mobil; Parkir Motor; Parkir Sepeda"/>
    <n v="1725000"/>
    <s v="Rp1.725.000"/>
    <n v="0.17222222222222225"/>
    <d v="1899-12-30T04:08:00"/>
    <s v="Kos Campur"/>
    <m/>
    <s v="Diskon 125rb"/>
  </r>
  <r>
    <s v="Kost Singgahsini Elani Residence Tipe A Senen Jakarta Pusat"/>
    <x v="9"/>
    <x v="68"/>
    <n v="7"/>
    <s v="3.5 x 2 meter"/>
    <s v="Termasuk listrik (implied)"/>
    <n v="1675000"/>
    <s v="Rp1.675.000"/>
    <s v="3.5 x 2 meter; Termasuk listrik; AC; Meja; TV; Kursi; Bantal; Cermin; Jendela; Kloset Duduk; K. Mandi Luar; Wastafel; Shower; Air panas; WiFi; Kulkas; R. Tamu; R. Santai; Dapur; Dispenser; Locker; Parkir Mobil; Parkir Motor; Parkir Sepeda; Parkir Motor &amp; Sepeda"/>
    <n v="1591250"/>
    <s v="Rp1.591.250"/>
    <n v="0.17222222222222225"/>
    <d v="1899-12-30T04:08:00"/>
    <s v="Kos Campur"/>
    <m/>
    <s v="Diskon 84rb"/>
  </r>
  <r>
    <s v="Kost Singgahsini Elani Residence Tipe B Senen Jakarta Pusat"/>
    <x v="9"/>
    <x v="68"/>
    <n v="10.5"/>
    <s v="3.5 x 3 meter"/>
    <s v="Termasuk listrik (implied)"/>
    <n v="2225000"/>
    <s v="Rp2.225.000"/>
    <s v="3.5 x 3 meter; Termasuk listrik; AC; Kasur; Meja; TV; Lemari Baju; Kursi; Bantal; Cermin; Jendela; K. Mandi Dalam; Kloset Duduk; Wastafel; Shower; Air panas; WiFi; Kulkas; R. Tamu; R. Santai; Dapur; Dispenser; Locker; K. Mandi Luar; Parkir Mobil; Parkir Motor; Parkir Sepeda; Parkir Motor &amp; Sepeda"/>
    <n v="2113750"/>
    <s v="Rp2.113.750"/>
    <n v="0.17222222222222225"/>
    <d v="1899-12-30T04:08:00"/>
    <s v="Kos Campur"/>
    <m/>
    <s v="Diskon 111rb"/>
  </r>
  <r>
    <s v="Kost Singgahsini Elani Residence Tipe C Senen Jakarta Pusat"/>
    <x v="9"/>
    <x v="68"/>
    <n v="10.5"/>
    <s v="3.5 x 3 meter"/>
    <s v="Termasuk listrik (implied)"/>
    <n v="3075000"/>
    <s v="Rp3.075.000"/>
    <s v="3.5 x 3 meter; Termasuk listrik; AC; Kasur; Meja; TV; Kursi; Bantal; Cermin; Guling; Jendela; K. Mandi Dalam; Kloset Duduk; Wastafel; Shower; Air panas; WiFi; Kulkas; R. Tamu; R. Santai; Dapur; Dispenser; Locker; K. Mandi Luar; Parkir Mobil; Parkir Motor; Parkir Sepeda; Parkir Motor &amp; Sepeda"/>
    <n v="2921250"/>
    <s v="Rp2.921.250"/>
    <n v="0.20833333333333334"/>
    <d v="1899-12-30T05:00:00"/>
    <s v="Kos Campur"/>
    <m/>
    <s v="Diskon 154rb"/>
  </r>
  <r>
    <s v="Kost Singgahsini Elani Residence Tipe D Senen Jakarta Pusat"/>
    <x v="9"/>
    <x v="68"/>
    <n v="10.5"/>
    <s v="3.5 x 3 meter"/>
    <s v="Termasuk listrik (implied)"/>
    <n v="2575000"/>
    <s v="Rp2.575.000"/>
    <s v="3.5 x 3 meter; Termasuk listrik; AC; Kasur; Meja; TV; Lemari Baju; Kursi; Bantal; Cermin; Jendela; K. Mandi Dalam; Kloset Duduk; Wastafel; Shower; Air panas; WiFi; Kulkas; R. Tamu; R. Santai; Dapur; Dispenser; Locker; K. Mandi Luar; Parkir Mobil; Parkir Motor; Parkir Sepeda; Parkir Motor &amp; Sepeda"/>
    <n v="2369000"/>
    <s v="Rp2.369.000"/>
    <n v="0.17291666666666669"/>
    <d v="1899-12-30T04:09:00"/>
    <s v="Kos Campur"/>
    <m/>
    <s v="Diskon 206rb"/>
  </r>
  <r>
    <s v="Kost Singgahsini Elani Residence Tipe E Senen Jakarta Pusat"/>
    <x v="9"/>
    <x v="68"/>
    <n v="10.5"/>
    <s v="3.5 x 3 meter"/>
    <s v="Termasuk listrik (implied)"/>
    <n v="3550000"/>
    <s v="Rp3.550.000"/>
    <s v="3.5 x 3 meter; Termasuk listrik; AC; Kasur; Meja; TV; Lemari Baju; Kursi; Bantal; Cermin; Jendela; K. Mandi Dalam; Kloset Duduk; Wastafel; Shower; Air panas; WiFi; Kulkas; R. Tamu; R. Santai; Dapur; Dispenser; Locker; K. Mandi Luar; Parkir Mobil; Parkir Motor; Parkir Sepeda; Parkir Motor &amp; Sepeda"/>
    <n v="3266000"/>
    <s v="Rp3.266.000"/>
    <n v="0.17291666666666669"/>
    <d v="1899-12-30T04:09:00"/>
    <s v="Kos Campur"/>
    <m/>
    <s v="Diskon 284rb"/>
  </r>
  <r>
    <s v="Kost Singgahsini Eshan Kayu Manis Tipe A Matraman Jakarta Timur"/>
    <x v="8"/>
    <x v="72"/>
    <n v="9.52"/>
    <s v="2.8 x 3.4 meter"/>
    <s v="Tidak termasuk listrik"/>
    <s v=""/>
    <s v="N/A"/>
    <s v="2.8 x 3.4 meter; Tidak termasuk listrik; AC; Kasur; Meja; TV; Lemari Baju; Ventilasi; Kursi; Bantal; Cermin; Guling; K. Mandi Dalam; Kloset Duduk; Shower; WiFi; Kulkas; R. Tamu; Penjaga Kos; R. Jemur; Mushola; Dapur; Gazebo; CCTV; Parkir Mobil; Parkir Motor &amp; Sepeda"/>
    <n v="1875000"/>
    <s v="Rp1.875.000"/>
    <n v="0.17222222222222225"/>
    <d v="1899-12-30T04:08:00"/>
    <s v="Kos Campur"/>
    <m/>
    <m/>
  </r>
  <r>
    <s v="Kost Singgahsini Fatimah Tipe B Tebet Jakarta Selatan"/>
    <x v="5"/>
    <x v="189"/>
    <n v="10.240000000000002"/>
    <s v="3.2 x 3.2 meter"/>
    <s v="Tidak termasuk listrik"/>
    <n v="2000000"/>
    <s v="Rp2.000.000"/>
    <s v="3.2 x 3.2 meter; Tidak termasuk listrik; AC; Kasur; Meja; Lemari Baju; Kursi; Bantal; Guling; Jendela; K. Mandi Dalam; Kloset Duduk; Shower; WiFi; Kulkas; R. Tamu; Penjaga Kos; R. Jemur; Dapur; K. Mandi Luar; CCTV; Rice Cooker; Jemuran; Parkir Motor &amp; Sepeda"/>
    <n v="1900000"/>
    <s v="Rp1.900.000"/>
    <n v="0.17222222222222225"/>
    <d v="1899-12-30T04:08:00"/>
    <s v="Kos Putri"/>
    <m/>
    <s v="Diskon 100rb"/>
  </r>
  <r>
    <s v="Kost Singgahsini First AA 4 Tipe A Kedaung Wetan Tangerang"/>
    <x v="6"/>
    <x v="144"/>
    <n v="13.75"/>
    <s v="5.5 x 2.5 meter"/>
    <s v="Tidak termasuk listrik"/>
    <n v="1425000"/>
    <s v="Rp1.425.000"/>
    <s v="5.5 x 2.5 meter; Tidak termasuk listrik; AC; Kasur; Lemari Baju; Ventilasi; Bantal; Cermin; Jendela; K. Mandi Dalam; Kloset Jongkok; Ember mandi; WiFi; Penjaga Kos; R. Jemur; Jemuran; Parkir Mobil; Parkir Motor; Parkir Sepeda"/>
    <n v="1355000"/>
    <s v="Rp1.355.000"/>
    <n v="0.17083333333333331"/>
    <d v="1899-12-30T04:06:00"/>
    <s v="Kos Campur"/>
    <m/>
    <s v="Diskon 70rb"/>
  </r>
  <r>
    <s v="Kost Singgahsini First AA 4 Tipe B Kedaung Wetan Tangerang"/>
    <x v="6"/>
    <x v="144"/>
    <n v="13.75"/>
    <s v="5.5 x 2.5 meter"/>
    <s v="Tidak termasuk listrik"/>
    <n v="1025000"/>
    <s v="Rp1.025.000"/>
    <s v="5.5 x 2.5 meter; Tidak termasuk listrik; Kasur; Lemari Baju; Ventilasi; Bantal; Cermin; Jendela; K. Mandi Dalam; Kloset Jongkok; Ember mandi; WiFi; Penjaga Kos; R. Jemur; Jemuran; Parkir Mobil; Parkir Sepeda; Parkir Motor &amp; Sepeda"/>
    <n v="975000"/>
    <s v="Rp975.000"/>
    <n v="0.16874999999999998"/>
    <d v="1899-12-30T04:03:00"/>
    <s v="Kos Campur"/>
    <m/>
    <s v="Diskon 50rb"/>
  </r>
  <r>
    <s v="Kost Singgahsini Fortune House Tipe A Cipayung Jakarta Timur"/>
    <x v="8"/>
    <x v="25"/>
    <n v="15"/>
    <s v="5 x 3 meter"/>
    <s v="Tidak termasuk listrik"/>
    <n v="1725000"/>
    <s v="Rp1.725.000"/>
    <s v="5 x 3 meter; Tidak termasuk listrik; AC; Kasur; Meja; Lemari Baju; Dapur Pribadi; Jendela; Bantal; Cermin; K. Mandi Dalam; Kloset Duduk; Shower; WiFi; Penjaga Kos; R. Jemur; Parkir Motor &amp; Sepeda"/>
    <n v="1589000"/>
    <s v="Rp1.589.000"/>
    <n v="0.20833333333333334"/>
    <d v="1899-12-30T05:00:00"/>
    <s v="Kos Campur"/>
    <m/>
    <s v="Diskon 136rb"/>
  </r>
  <r>
    <s v="Kost Singgahsini Fortune House Tipe B Cipayung Jakarta Timur"/>
    <x v="8"/>
    <x v="25"/>
    <n v="11.7"/>
    <s v="3 x 3.9 meter"/>
    <s v="Tidak termasuk listrik"/>
    <n v="1525000"/>
    <s v="Rp1.525.000"/>
    <s v="3 x 3.9 meter; Tidak termasuk listrik; AC; Kasur; Meja; Lemari Baju; Jendela; Bantal; Cermin; K. Mandi Dalam; Kloset Duduk; Shower; WiFi; Penjaga Kos; R. Jemur; Parkir Motor &amp; Sepeda"/>
    <n v="1405000"/>
    <s v="Rp1.405.000"/>
    <n v="0.17291666666666669"/>
    <d v="1899-12-30T04:09:00"/>
    <s v="Kos Campur"/>
    <m/>
    <s v="Diskon 120rb"/>
  </r>
  <r>
    <s v="Kost Singgahsini Fortune House Tipe C Cipayung Jakarta Timur"/>
    <x v="8"/>
    <x v="25"/>
    <n v="15"/>
    <s v="5 x 3 meter"/>
    <s v="Tidak termasuk listrik"/>
    <n v="1325000"/>
    <s v="Rp1.325.000"/>
    <s v="5 x 3 meter; Tidak termasuk listrik; Kasur; Meja; Lemari Baju; Dapur Pribadi; Jendela; Bantal; Cermin; K. Mandi Dalam; Kloset Duduk; Shower; WiFi; Penjaga Kos; R. Jemur; Parkir Motor &amp; Sepeda"/>
    <n v="1260000"/>
    <s v="Rp1.260.000"/>
    <n v="0.20833333333333334"/>
    <d v="1899-12-30T05:00:00"/>
    <s v="Kos Campur"/>
    <m/>
    <s v="Diskon 65rb"/>
  </r>
  <r>
    <s v="Kost Singgahsini Fortune House Tipe D Cipayung Jakarta Timur"/>
    <x v="8"/>
    <x v="25"/>
    <n v="11.7"/>
    <s v="3 x 3.9 meter"/>
    <s v="Tidak termasuk listrik"/>
    <n v="1125000"/>
    <s v="Rp1.125.000"/>
    <s v="3 x 3.9 meter; Tidak termasuk listrik; Kasur; Meja; Lemari Baju; Jendela; Bantal; Cermin; K. Mandi Dalam; Kloset Duduk; Shower; WiFi; Penjaga Kos; R. Jemur; Parkir Motor &amp; Sepeda"/>
    <n v="1070000"/>
    <s v="Rp1.070.000"/>
    <n v="0.20833333333333334"/>
    <d v="1899-12-30T05:00:00"/>
    <s v="Kos Campur"/>
    <m/>
    <s v="Diskon 55rb"/>
  </r>
  <r>
    <s v="Kost Singgahsini Fulvian Banjarwijaya Tipe A Cipondoh Tangerang"/>
    <x v="6"/>
    <x v="97"/>
    <n v="9"/>
    <s v="3 x 3 meter"/>
    <s v="Tidak termasuk listrik"/>
    <n v="2175000"/>
    <s v="Rp2.175.000"/>
    <s v="3 x 3 meter; Tidak termasuk listrik; AC; Kasur; Meja; TV; Lemari Baju; Kursi; Jendela; Bantal; K. Mandi Dalam; Kloset Duduk; Shower; Air panas; WiFi; Kulkas; Penjaga Kos; R. Tamu; R. Jemur; Dapur; Dispenser; Balcon; CCTV; Parkir Mobil; Parkir Motor &amp; Sepeda"/>
    <n v="2067500"/>
    <s v="Rp2.067.500"/>
    <n v="0.17083333333333331"/>
    <d v="1899-12-30T04:06:00"/>
    <s v="Kos Campur"/>
    <m/>
    <s v="Diskon 108rb"/>
  </r>
  <r>
    <s v="Kost Singgahsini Fulvian Banjarwijaya Tipe B Cipondoh Tangerang"/>
    <x v="6"/>
    <x v="97"/>
    <n v="16.5"/>
    <s v="5 x 3.3 meter"/>
    <s v="Tidak termasuk listrik"/>
    <n v="1925000"/>
    <s v="Rp1.925.000"/>
    <s v="5 x 3.3 meter; Tidak termasuk listrik; AC; Kasur; Meja; TV; Lemari Baju; Kursi; Jendela; Bantal; Cermin; K. Mandi Dalam; Kloset Duduk; Shower; WiFi; Kulkas; Penjaga Kos; R. Tamu; R. Jemur; Dapur; Dispenser; Balcon; CCTV; Parkir Mobil; Parkir Motor &amp; Sepeda"/>
    <n v="1830000"/>
    <s v="Rp1.830.000"/>
    <n v="0.17222222222222225"/>
    <d v="1899-12-30T04:08:00"/>
    <s v="Kos Campur"/>
    <m/>
    <s v="Diskon 95rb"/>
  </r>
  <r>
    <s v="Kost Singgahsini Fulvian Banjarwijaya Tipe C Cipondoh Tangerang"/>
    <x v="6"/>
    <x v="97"/>
    <n v="9"/>
    <s v="3 x 3 meter"/>
    <s v="Tidak termasuk listrik"/>
    <n v="1775000"/>
    <s v="Rp1.775.000"/>
    <s v="3 x 3 meter; Tidak termasuk listrik; AC; Kasur; Meja; TV; Lemari Baju; Kursi; Jendela; Bantal; K. Mandi Dalam; Kloset Duduk; Shower; WiFi; Kulkas; Penjaga Kos; R. Tamu; R. Jemur; Dapur; Dispenser; Balcon; CCTV; Parkir Mobil; Parkir Motor &amp; Sepeda"/>
    <n v="1687500"/>
    <s v="Rp1.687.500"/>
    <n v="0.16944444444444443"/>
    <d v="1899-12-30T04:04:00"/>
    <s v="Kos Campur"/>
    <m/>
    <s v="Diskon 88rb"/>
  </r>
  <r>
    <s v="Kost Singgahsini Fulvian Banjarwijaya Tipe D Cipondoh Tangerang"/>
    <x v="6"/>
    <x v="97"/>
    <n v="8.1000000000000014"/>
    <s v="3 x 2.7 meter"/>
    <s v="Tidak termasuk listrik"/>
    <n v="1725000"/>
    <s v="Rp1.725.000"/>
    <s v="3 x 2.7 meter; Tidak termasuk listrik; AC; Kasur; Meja; TV; Lemari Baju; Ventilasi; Kursi; Bantal; K. Mandi Dalam; Kloset Duduk; Shower; WiFi; Kulkas; Penjaga Kos; R. Tamu; R. Jemur; Dapur; Dispenser; Balcon; CCTV; Parkir Mobil; Parkir Motor &amp; Sepeda"/>
    <n v="1640000"/>
    <s v="Rp1.640.000"/>
    <n v="0.17222222222222225"/>
    <d v="1899-12-30T04:08:00"/>
    <s v="Kos Campur"/>
    <m/>
    <s v="Diskon 85rb"/>
  </r>
  <r>
    <s v="Kost Singgahsini Fulvian Banjarwijaya Tipe E Cipondoh Tangerang"/>
    <x v="6"/>
    <x v="97"/>
    <n v="8.1199999999999992"/>
    <s v="2.8 x 2.9 meter"/>
    <s v="Tidak termasuk listrik"/>
    <n v="1575000"/>
    <s v="Rp1.575.000"/>
    <s v="2.8 x 2.9 meter; Tidak termasuk listrik; AC; Kasur; TV; Lemari Baju; Jendela; Bantal; Cermin; K. Mandi Dalam; Kloset Duduk; Shower; WiFi; Kulkas; Penjaga Kos; R. Tamu; R. Jemur; Dapur; Dispenser; Balcon; CCTV; Parkir Mobil; Parkir Motor &amp; Sepeda"/>
    <n v="1497500"/>
    <s v="Rp1.497.500"/>
    <n v="0.20833333333333334"/>
    <d v="1899-12-30T05:00:00"/>
    <s v="Kos Campur"/>
    <m/>
    <s v="Diskon 78rb"/>
  </r>
  <r>
    <s v="Kost Singgahsini G Kavling Tipe A Tebet Jakarta Selatan"/>
    <x v="5"/>
    <x v="189"/>
    <n v="12"/>
    <s v="4 x 3 meter"/>
    <s v="Tidak termasuk listrik"/>
    <n v="2300000"/>
    <s v="Rp2.300.000"/>
    <s v="4 x 3 meter; Tidak termasuk listrik; AC; Kasur; Meja; Lemari Baju; Ventilasi; Kursi; Bantal; Cermin; Guling; Jendela; K. Mandi Dalam; Kloset Duduk; Ember mandi; WiFi; Kulkas; Penjaga Kos; R. Jemur; Dapur; Dispenser; CCTV; Parkir Mobil; Parkir Motor &amp; Sepeda"/>
    <n v="2072500"/>
    <s v="Rp2.072.500"/>
    <n v="0.17291666666666669"/>
    <d v="1899-12-30T04:09:00"/>
    <s v="Kos Putra"/>
    <m/>
    <s v="Diskon 228rb"/>
  </r>
  <r>
    <s v="Kost Singgahsini Gajah Dua Delapan Andara Tipe A Cinere Depok"/>
    <x v="1"/>
    <x v="1"/>
    <n v="5"/>
    <s v="2.5 x 2 meter"/>
    <s v="Tidak termasuk listrik"/>
    <n v="2300000"/>
    <s v="Rp2.300.000"/>
    <s v="2.5 x 2 meter; Tidak termasuk listrik; AC; Kasur; Meja; Lemari Baju; Kursi; Bantal; Jendela; K. Mandi Dalam; Kloset Duduk; Wastafel; Ember mandi; Shower; Air panas; WiFi; Kulkas; Penjaga Kos; R. Makan; R. Jemur; R. Santai; Dapur; Dispenser; CCTV; Jemuran; Parkir Mobil; Parkir Motor &amp; Sepeda"/>
    <n v="2070000"/>
    <s v="Rp2.070.000"/>
    <n v="0.17291666666666669"/>
    <d v="1899-12-30T04:09:00"/>
    <s v="Kos Campur"/>
    <m/>
    <s v="Diskon 230rb"/>
  </r>
  <r>
    <s v="Kost Singgahsini Gang Kelinci 13 Tipe A Kramat Jati Jakarta Timur"/>
    <x v="8"/>
    <x v="47"/>
    <n v="8.75"/>
    <s v="2.5 x 3.5 meter"/>
    <s v="Tidak termasuk listrik"/>
    <n v="1575000"/>
    <s v="Rp1.575.000"/>
    <s v="2.5 x 3.5 meter; Tidak termasuk listrik; AC; Kasur; Meja; TV; Lemari Baju; Ventilasi; Kursi; Bantal; Guling; Jendela; K. Mandi Dalam; Kloset Duduk; Shower; WiFi; R. Cuci; Penjaga Kos; R. Jemur; Dispenser; Jemuran; Rooftop; Parkir Motor &amp; Sepeda"/>
    <n v="1497500"/>
    <s v="Rp1.497.500"/>
    <n v="0.17291666666666669"/>
    <d v="1899-12-30T04:09:00"/>
    <s v="Kos Putri"/>
    <m/>
    <s v="Diskon 78rb"/>
  </r>
  <r>
    <s v="Kost Singgahsini Garasi Hobby Tipe A Ciledug Tangerang"/>
    <x v="6"/>
    <x v="147"/>
    <n v="15"/>
    <s v="3 x 5 meter"/>
    <s v="Tidak termasuk listrik"/>
    <n v="1525000"/>
    <s v="Rp1.525.000"/>
    <s v="3 x 5 meter; Tidak termasuk listrik; AC; Kasur; Meja; Lemari Baju; Kursi; K. Mandi Dalam; Kloset Duduk; Shower; WiFi; R. Cuci; Kulkas; Mesin Cuci; Penjaga Kos; R. Jemur; Dapur; Dispenser; Parkir Mobil; Parkir Motor &amp; Sepeda"/>
    <n v="1450000"/>
    <s v="Rp1.450.000"/>
    <n v="0.16944444444444443"/>
    <d v="1899-12-30T04:04:00"/>
    <s v="Kos Putri"/>
    <m/>
    <s v="Diskon 75rb"/>
  </r>
  <r>
    <s v="Kost Singgahsini Gardena Utama 5 Tipe A Kalideres Jakarta Barat"/>
    <x v="3"/>
    <x v="184"/>
    <n v="14"/>
    <s v="4 x 3.5 meter"/>
    <s v="Tidak termasuk listrik"/>
    <s v=""/>
    <s v="N/A"/>
    <s v="4 x 3.5 meter; Tidak termasuk listrik; AC; Kasur; Meja; Lemari Baju; Ventilasi; Kursi; Jendela; Bantal; Cermin; K. Mandi Dalam; Kloset Duduk; Shower; WiFi; R. Cuci; Kulkas; R. Tamu; Penjaga Kos; R. Jemur; Dapur; Dispenser; CCTV; K. Mandi Luar; Parkir Mobil; Parkir Motor &amp; Sepeda"/>
    <n v="1900000"/>
    <s v="Rp1.900.000"/>
    <n v="0.20833333333333334"/>
    <d v="1899-12-30T05:00:00"/>
    <s v="Kos Campur"/>
    <m/>
    <s v="Diskon 95rb"/>
  </r>
  <r>
    <s v="Kost Singgahsini Gardena Utama 5 Tipe B Kalideres Jakarta Barat"/>
    <x v="3"/>
    <x v="184"/>
    <n v="9.620000000000001"/>
    <s v="3.7 x 2.6 meter"/>
    <s v="Tidak termasuk listrik"/>
    <s v=""/>
    <s v="N/A"/>
    <s v="3.7 x 2.6 meter; Tidak termasuk listrik; AC; Kasur; Meja; Lemari Baju; Kursi; Jendela; Bantal; K. Mandi Dalam; Kloset Duduk; Shower; WiFi; R. Cuci; Kulkas; R. Tamu; Penjaga Kos; R. Jemur; Dapur; Dispenser; CCTV; K. Mandi Luar; Parkir Mobil; Parkir Motor &amp; Sepeda"/>
    <n v="1725000"/>
    <s v="Rp1.725.000"/>
    <n v="0.17083333333333331"/>
    <d v="1899-12-30T04:06:00"/>
    <s v="Kos Campur"/>
    <m/>
    <m/>
  </r>
  <r>
    <s v="Kost Singgahsini Gardena Utama 5 Tipe C Kalideres Jakarta Barat"/>
    <x v="3"/>
    <x v="184"/>
    <n v="9.1"/>
    <s v="3.5 x 2.6 meter"/>
    <s v="Tidak termasuk listrik"/>
    <s v=""/>
    <s v="N/A"/>
    <s v="3.5 x 2.6 meter; Tidak termasuk listrik; AC; Kasur; Meja; Lemari Baju; Kursi; Jendela; Bantal; Cermin; K. Mandi Dalam; Kloset Duduk; Shower; WiFi; R. Cuci; Kulkas; R. Tamu; Penjaga Kos; R. Jemur; Dapur; Dispenser; CCTV; K. Mandi Luar; Parkir Mobil; Parkir Motor &amp; Sepeda"/>
    <n v="1675000"/>
    <s v="Rp1.675.000"/>
    <n v="0.17083333333333331"/>
    <d v="1899-12-30T04:06:00"/>
    <s v="Kos Campur"/>
    <m/>
    <m/>
  </r>
  <r>
    <s v="Kost Singgahsini Gasyafa Tanjung Barat 45 Tipe A Jagakarsa Jakarta Selatan"/>
    <x v="5"/>
    <x v="40"/>
    <n v="12"/>
    <s v="3 x 4 meter"/>
    <s v="Tidak termasuk listrik"/>
    <n v="1775000"/>
    <s v="Rp1.775.000"/>
    <s v="3 x 4 meter; Tidak termasuk listrik; AC; Kasur; Meja; Lemari Baju; Kursi; Bantal; Guling; Jendela; K. Mandi Dalam; Kloset Duduk; Bak mandi; WiFi; R. Jemur; Dapur; Dispenser; CCTV; Parkir Mobil; Parkir Motor; Parkir Sepeda"/>
    <n v="1687500"/>
    <s v="Rp1.687.500"/>
    <n v="0.17291666666666669"/>
    <d v="1899-12-30T04:09:00"/>
    <s v="Kos Putri"/>
    <m/>
    <s v="Diskon 88rb"/>
  </r>
  <r>
    <s v="Kost Singgahsini Gasyafa Tanjung Barat 45 Tipe C Jagakarsa Jakarta Selatan"/>
    <x v="5"/>
    <x v="40"/>
    <n v="7"/>
    <s v="2 x 3.5 meter"/>
    <s v="Tidak termasuk listrik"/>
    <n v="1375000"/>
    <s v="Rp1.375.000"/>
    <s v="2 x 3.5 meter; Tidak termasuk listrik; AC; Kasur; Meja; Dispenser; Lemari Baju; Kursi; Bantal; Cermin; Guling; Jendela; K. Mandi Dalam; Kloset Duduk; Kloset Jongkok; Shower; WiFi; R. Jemur; Dapur; CCTV; Parkir Mobil; Parkir Motor; Parkir Sepeda"/>
    <n v="1307500"/>
    <s v="Rp1.307.500"/>
    <n v="0.20833333333333334"/>
    <d v="1899-12-30T05:00:00"/>
    <s v="Kos Putri"/>
    <m/>
    <s v="Diskon 68rb"/>
  </r>
  <r>
    <s v="Kost Singgahsini Gelong Baru Soejartosandi Tipe B Tomang Jakarta Barat"/>
    <x v="3"/>
    <x v="82"/>
    <n v="9"/>
    <s v="3 x 3 meter"/>
    <s v="Termasuk listrik (implied)"/>
    <s v=""/>
    <s v="N/A"/>
    <s v="3 x 3 meter; Termasuk listrik; AC; Kasur; Meja; TV; Lemari Baju; Kursi; Bantal; Cermin; Guling; Jendela; K. Mandi Dalam; Kloset Duduk; Wastafel; Shower; Air panas; WiFi; R. Cuci; Kulkas; R. Tamu; R. Jemur; Dapur; Dispenser; Jemuran; Parkir Mobil; Parkir Motor; Parkir Sepeda; Parkir Motor &amp; Sepeda"/>
    <n v="2405000"/>
    <s v="Rp2.405.000"/>
    <n v="0.17222222222222225"/>
    <d v="1899-12-30T04:08:00"/>
    <s v="Kos Putri"/>
    <m/>
    <m/>
  </r>
  <r>
    <s v="Kost Singgahsini Gelong Mansion 8 Tipe B Tomang Jakarta Barat"/>
    <x v="3"/>
    <x v="13"/>
    <n v="8.51"/>
    <s v="3.7 x 2.3 meter"/>
    <s v="Tidak termasuk listrik"/>
    <s v=""/>
    <s v="N/A"/>
    <s v="3.7 x 2.3 meter; Tidak termasuk listrik; AC; Kasur; Meja; Lemari Baju; Kursi; Jendela; Bantal; K. Mandi Dalam; Kloset Duduk; Shower; Air panas; WiFi; Kulkas; Penjaga Kos; R. Tamu; R. Jemur; Dapur; Rooftop; Parkir Motor &amp; Sepeda"/>
    <n v="2025000"/>
    <s v="Rp2.025.000"/>
    <n v="0.17222222222222225"/>
    <d v="1899-12-30T04:08:00"/>
    <s v="Kos Campur"/>
    <m/>
    <s v="Diskon 98rb"/>
  </r>
  <r>
    <s v="Kost Singgahsini Gelong Mansion 8 Tipe C Tomang Jakarta Barat"/>
    <x v="3"/>
    <x v="13"/>
    <n v="8.51"/>
    <s v="3.7 x 2.3 meter"/>
    <s v="Tidak termasuk listrik"/>
    <s v=""/>
    <s v="N/A"/>
    <s v="3.7 x 2.3 meter; Tidak termasuk listrik; AC; Kasur; Meja; Lemari Baju; Kursi; Jendela; Bantal; K. Mandi Dalam; Kloset Duduk; Shower; Air panas; WiFi; Kulkas; Penjaga Kos; R. Tamu; R. Jemur; Dapur; Rooftop; Parkir Motor &amp; Sepeda"/>
    <n v="1825000"/>
    <s v="Rp1.825.000"/>
    <n v="0.17291666666666669"/>
    <d v="1899-12-30T04:09:00"/>
    <s v="Kos Campur"/>
    <m/>
    <s v="Diskon 98rb"/>
  </r>
  <r>
    <s v="Kost Singgahsini Gelong Residence 25 Tipe A Grogol Petamburan Jakarta Barat"/>
    <x v="3"/>
    <x v="13"/>
    <n v="13.5"/>
    <s v="4.5 x 3 meter"/>
    <s v="Tidak termasuk listrik"/>
    <s v=""/>
    <s v="N/A"/>
    <s v="4.5 x 3 meter; Tidak termasuk listrik; AC; Kasur; Meja; TV; Lemari Baju; Kursi; K. Mandi Dalam; Kloset Duduk; Wastafel; Shower; Air panas; WiFi; R. Cuci; Kulkas; R. Tamu; R. Jemur; R. Santai; R. Keluarga; Parkir Mobil; Parkir Motor"/>
    <n v="2450000"/>
    <s v="Rp2.450.000"/>
    <n v="0.17083333333333331"/>
    <d v="1899-12-30T04:06:00"/>
    <s v="Kos Campur"/>
    <m/>
    <m/>
  </r>
  <r>
    <s v="Kost Singgahsini Gelong Residence 25 Tipe B Grogol Petamburan Jakarta Barat"/>
    <x v="3"/>
    <x v="13"/>
    <n v="13.5"/>
    <s v="4.5 x 3 meter"/>
    <s v="Tidak termasuk listrik"/>
    <s v=""/>
    <s v="N/A"/>
    <s v="4.5 x 3 meter; Tidak termasuk listrik; AC; Kasur; Meja; TV; Lemari Baju; Kursi; Kloset Duduk; K. Mandi Luar; Wastafel; Shower; Air panas; WiFi; R. Cuci; Kulkas; R. Tamu; R. Jemur; R. Santai; R. Keluarga; Parkir Mobil; Parkir Motor"/>
    <n v="1750000"/>
    <s v="Rp1.750.000"/>
    <n v="0.17222222222222225"/>
    <d v="1899-12-30T04:08:00"/>
    <s v="Kos Campur"/>
    <m/>
    <m/>
  </r>
  <r>
    <s v="Kost Singgahsini Gelong Residence 27 Tipe A Grogol Petamburan Jakarta Barat"/>
    <x v="3"/>
    <x v="13"/>
    <n v="12.15"/>
    <s v="2.7 x 4.5 meter"/>
    <s v="Tidak termasuk listrik"/>
    <s v=""/>
    <s v="N/A"/>
    <s v="2.7 x 4.5 meter; Tidak termasuk listrik; AC; Kasur; Meja; TV; Meja Rias; Lemari Baju; Kursi; Cleaning service; K. Mandi Dalam; Kloset Duduk; Shower; Air panas; WiFi; R. Cuci; Kulkas; R. Tamu; Penjaga Kos; Laundry; R. Jemur; R. Santai; Dapur; R. Keluarga; Parkir Mobil; Parkir Motor; Parkir Sepeda"/>
    <n v="2630000"/>
    <s v="Rp2.630.000"/>
    <n v="0.17083333333333331"/>
    <d v="1899-12-30T04:06:00"/>
    <s v="Kos Campur"/>
    <m/>
    <m/>
  </r>
  <r>
    <s v="Kost Singgahsini Gelong Residence 27 Tipe B Grogol Petamburan Jakarta Barat"/>
    <x v="3"/>
    <x v="13"/>
    <n v="13.5"/>
    <s v="4.5 x 3 meter"/>
    <s v="Tidak termasuk listrik"/>
    <s v=""/>
    <s v="N/A"/>
    <s v="4.5 x 3 meter; Tidak termasuk listrik; AC; Kasur; Meja; TV; Lemari Baju; Kursi; Cleaning service; K. Mandi Dalam; Kloset Duduk; Shower; Air panas; WiFi; R. Cuci; Kulkas; R. Tamu; Penjaga Kos; Laundry; R. Jemur; R. Santai; Dapur; R. Keluarga; Parkir Mobil; Parkir Motor; Parkir Sepeda"/>
    <n v="2730000"/>
    <s v="Rp2.730.000"/>
    <n v="0.17083333333333331"/>
    <d v="1899-12-30T04:06:00"/>
    <s v="Kos Campur"/>
    <m/>
    <m/>
  </r>
  <r>
    <s v="Kost Singgahsini Gents Home Tipe A Pesanggrahan Jakarta Selatan"/>
    <x v="5"/>
    <x v="187"/>
    <n v="5.52"/>
    <s v="2.3 x 2.4 meter"/>
    <s v="Tidak termasuk listrik"/>
    <n v="1825000"/>
    <s v="Rp1.825.000"/>
    <s v="2.3 x 2.4 meter; Tidak termasuk listrik; AC; Kasur; Meja; Lemari Baju; Kursi; Wastafel; Bantal; Cermin; Jendela; K. Mandi Dalam; Kloset Duduk; Shower; WiFi; Kulkas; R. Makan; Dapur; Dispenser; K. Mandi Luar; CCTV; Parkir Motor; Parkir Sepeda"/>
    <n v="1681000"/>
    <s v="Rp1.681.000"/>
    <n v="0.17222222222222225"/>
    <d v="1899-12-30T04:08:00"/>
    <s v="Kos Putra"/>
    <m/>
    <s v="Diskon 144rb"/>
  </r>
  <r>
    <s v="Kost Singgahsini Gracia Tipe A Kelapa Gading Jakarta Utara"/>
    <x v="4"/>
    <x v="111"/>
    <n v="22.5"/>
    <s v="5 x 4.5 meter"/>
    <s v="Tidak termasuk listrik"/>
    <n v="4000000"/>
    <s v="Rp4.000.000"/>
    <s v="5 x 4.5 meter; Tidak termasuk listrik; AC; Kasur; Meja; Lemari Baju; Kursi; Jendela; Bantal; Cermin; K. Mandi Dalam; Kloset Duduk; Wastafel; Shower; Air panas; WiFi; Kulkas; R. Tamu; Penjaga Kos; R. Makan; R. Jemur; R. Santai; Dapur; Dispenser; TV; Parkir Mobil; Parkir Motor &amp; Sepeda"/>
    <n v="3680000"/>
    <s v="Rp3.680.000"/>
    <n v="0"/>
    <m/>
    <s v="Kos Putri"/>
    <m/>
    <s v="Diskon 320rb"/>
  </r>
  <r>
    <s v="Kost Singgahsini Gracia Tipe A Tebet Jakarta Selatan"/>
    <x v="5"/>
    <x v="189"/>
    <n v="8.16"/>
    <s v="3.4 x 2.4 meter"/>
    <s v="Tidak termasuk listrik"/>
    <s v=""/>
    <s v="N/A"/>
    <s v="3.4 x 2.4 meter; Tidak termasuk listrik; AC; Kasur; Meja; Lemari Baju; Kursi; Bantal; Cermin; Jendela; K. Mandi Dalam; Kloset Duduk; Shower; WiFi; Kulkas; Penjaga Kos; Dapur; Parkir Motor &amp; Sepeda"/>
    <n v="1855000"/>
    <s v="Rp1.855.000"/>
    <n v="0.17222222222222225"/>
    <d v="1899-12-30T04:08:00"/>
    <s v="Kos Campur"/>
    <m/>
    <s v="Diskon 90rb"/>
  </r>
  <r>
    <s v="Kost Singgahsini Gracia Tipe B Kelapa Gading Jakarta Utara"/>
    <x v="4"/>
    <x v="111"/>
    <n v="15.040000000000001"/>
    <s v="4.7 x 3.2 meter"/>
    <s v="Tidak termasuk listrik"/>
    <n v="3200000"/>
    <s v="Rp3.200.000"/>
    <s v="4.7 x 3.2 meter; Tidak termasuk listrik; AC; Kasur; Meja; Lemari Baju; Kursi; Jendela; Bantal; Cermin; K. Mandi Dalam; Kloset Duduk; Wastafel; Shower; Air panas; WiFi; Kulkas; R. Tamu; Penjaga Kos; R. Makan; R. Jemur; R. Santai; Dapur; Dispenser; TV; Parkir Mobil; Parkir Motor &amp; Sepeda"/>
    <n v="2944000"/>
    <s v="Rp2.944.000"/>
    <n v="0.17291666666666669"/>
    <d v="1899-12-30T04:09:00"/>
    <s v="Kos Putri"/>
    <m/>
    <s v="Diskon 256rb"/>
  </r>
  <r>
    <s v="Kost Singgahsini Gracia Tipe B Tebet Jakarta Selatan"/>
    <x v="5"/>
    <x v="189"/>
    <e v="#VALUE!"/>
    <s v="N/A"/>
    <s v="N/A"/>
    <s v=""/>
    <s v="N/A"/>
    <s v=""/>
    <n v="1495000"/>
    <s v="Rp1.495.000"/>
    <n v="0.17083333333333331"/>
    <d v="1899-12-30T04:06:00"/>
    <s v="Kos Campur"/>
    <m/>
    <m/>
  </r>
  <r>
    <s v="Kost Singgahsini Gracia Tipe C Kelapa Gading Jakarta Utara"/>
    <x v="4"/>
    <x v="111"/>
    <n v="12.600000000000001"/>
    <s v="4.2 x 3 meter"/>
    <s v="Tidak termasuk listrik"/>
    <n v="3000000"/>
    <s v="Rp3.000.000"/>
    <s v="4.2 x 3 meter; Tidak termasuk listrik; AC; Kasur; Meja; Lemari Baju; Kursi; Jendela; Bantal; Cermin; K. Mandi Dalam; Kloset Duduk; Wastafel; Shower; Air panas; WiFi; Kulkas; R. Tamu; Penjaga Kos; R. Makan; R. Jemur; R. Santai; Dapur; Dispenser; TV; Parkir Mobil; Parkir Motor &amp; Sepeda"/>
    <n v="2760000"/>
    <s v="Rp2.760.000"/>
    <n v="0.17291666666666669"/>
    <d v="1899-12-30T04:09:00"/>
    <s v="Kos Putri"/>
    <m/>
    <s v="Diskon 240rb"/>
  </r>
  <r>
    <s v="Kost Singgahsini Gracia Tipe C Tebet Jakarta Selatan"/>
    <x v="5"/>
    <x v="189"/>
    <n v="5.9799999999999995"/>
    <s v="2.6 x 2.3 meter"/>
    <s v="Tidak termasuk listrik"/>
    <s v=""/>
    <s v="N/A"/>
    <s v="2.6 x 2.3 meter; Tidak termasuk listrik; AC; Kasur; Meja; Lemari Baju; Jendela; Bantal; K. Mandi Dalam; Kloset Duduk; Shower; WiFi; Kulkas; Penjaga Kos; R. Tamu; Dapur; Parkir Motor &amp; Sepeda"/>
    <n v="1255000"/>
    <s v="Rp1.255.000"/>
    <n v="0.17222222222222225"/>
    <d v="1899-12-30T04:08:00"/>
    <s v="Kos Campur"/>
    <m/>
    <s v="Diskon 108rb"/>
  </r>
  <r>
    <s v="Kost Singgahsini Graha 12 Tipe A Sawah Besar Jakarta Pusat"/>
    <x v="9"/>
    <x v="59"/>
    <n v="8"/>
    <s v="2.5 x 3.2 meter"/>
    <s v="Tidak termasuk listrik"/>
    <n v="2025000"/>
    <s v="Rp2.025.000"/>
    <s v="2.5 x 3.2 meter; Tidak termasuk listrik; AC; Kasur; TV; Meja Rias; Lemari Baju; Kursi; Bantal; Cermin; Jendela; K. Mandi Dalam; Kloset Duduk; Wastafel; Shower; Air panas; WiFi; Penjaga Kos; R. Jemur; Dapur; Balcon; CCTV; Jemuran; Rooftop; Parkir Mobil; Parkir Motor; Parkir Sepeda; Parkir Motor &amp; Sepeda"/>
    <n v="1925000"/>
    <s v="Rp1.925.000"/>
    <n v="0.17222222222222225"/>
    <d v="1899-12-30T04:08:00"/>
    <s v="Kos Campur"/>
    <m/>
    <s v="Diskon 100rb"/>
  </r>
  <r>
    <s v="Kost Singgahsini Graha Kusumo Menteng Dalam Tipe A Tebet Jakarta Selatan"/>
    <x v="5"/>
    <x v="189"/>
    <n v="9"/>
    <s v="3 x 3 meter"/>
    <s v="Tidak termasuk listrik"/>
    <s v=""/>
    <s v="N/A"/>
    <s v="3 x 3 meter; Tidak termasuk listrik; AC; Kasur; Lemari Baju; Ventilasi; Bantal; Jendela; K. Mandi Dalam; Kloset Duduk; Ember mandi; Shower; WiFi; Dapur; Parkir Motor &amp; Sepeda"/>
    <n v="1800000"/>
    <s v="Rp1.800.000"/>
    <n v="0.1673611111111111"/>
    <d v="1899-12-30T04:01:00"/>
    <s v="Kos Campur"/>
    <m/>
    <s v="Diskon 168rb"/>
  </r>
  <r>
    <s v="Kost Singgahsini Green House Tipe A Pulo Gadung Jakarta Timur"/>
    <x v="8"/>
    <x v="32"/>
    <n v="7.9200000000000008"/>
    <s v="1.8 x 4.4 meter"/>
    <s v="Termasuk listrik (implied)"/>
    <n v="1825000"/>
    <s v="Rp1.825.000"/>
    <s v="1.8 x 4.4 meter; Termasuk listrik; AC; Kasur; Meja; Lemari Baju; Ventilasi; Bantal; Cermin; Guling; Jendela; Kloset Duduk; K. Mandi Luar; Ember mandi; Shower; WiFi; R. Cuci; Kulkas; R. Tamu; Penjaga Kos; R. Jemur; Dapur; TV; CCTV; Parkir Motor &amp; Sepeda"/>
    <n v="1735000"/>
    <s v="Rp1.735.000"/>
    <n v="0.17291666666666669"/>
    <d v="1899-12-30T04:09:00"/>
    <s v="Kos Putri"/>
    <m/>
    <s v="Diskon 90rb"/>
  </r>
  <r>
    <s v="Kost Singgahsini Green House Tipe C Pulo Gadung Jakarta Timur"/>
    <x v="8"/>
    <x v="32"/>
    <n v="8.1000000000000014"/>
    <s v="3 x 2.7 meter"/>
    <s v="Termasuk listrik (implied)"/>
    <n v="1225000"/>
    <s v="Rp1.225.000"/>
    <s v="3 x 2.7 meter; Termasuk listrik; Kasur; Meja; Lemari Baju; Ventilasi; Kipas Angin; Bantal; Cermin; Guling; Jendela; Kloset Duduk; K. Mandi Luar; Ember mandi; Shower; WiFi; R. Cuci; Kulkas; R. Tamu; Penjaga Kos; R. Jemur; Dapur; TV; CCTV; Parkir Motor &amp; Sepeda"/>
    <n v="1165000"/>
    <s v="Rp1.165.000"/>
    <n v="0.17222222222222225"/>
    <d v="1899-12-30T04:08:00"/>
    <s v="Kos Putri"/>
    <m/>
    <s v="Diskon 60rb"/>
  </r>
  <r>
    <s v="Kost Singgahsini Greenhome Tipe A Bendungan Hilir Jakarta Pusat"/>
    <x v="9"/>
    <x v="186"/>
    <n v="15.75"/>
    <s v="4.5 x 3.5 meter"/>
    <s v="Tidak termasuk listrik"/>
    <s v=""/>
    <s v="N/A"/>
    <s v="4.5 x 3.5 meter; Tidak termasuk listrik; AC; Kasur; Meja; TV; Lemari Baju; Kursi; K. Mandi Dalam; Kloset Duduk; Shower; Air panas; WiFi; Kulkas; R. Tamu; Penjaga Kos; Dapur; Dispenser; K. Mandi Luar; Parkir Mobil"/>
    <n v="3375000"/>
    <s v="Rp3.375.000"/>
    <n v="0.17222222222222225"/>
    <d v="1899-12-30T04:08:00"/>
    <s v="Kos Campur"/>
    <m/>
    <s v="Diskon 175rb"/>
  </r>
  <r>
    <s v="Kost Singgahsini Greenhome Tipe B Bendungan Hilir Jakarta Pusat"/>
    <x v="9"/>
    <x v="186"/>
    <n v="12"/>
    <s v="4 x 3 meter"/>
    <s v="Tidak termasuk listrik"/>
    <s v=""/>
    <s v="N/A"/>
    <s v="4 x 3 meter; Tidak termasuk listrik; AC; Kasur; Meja; TV; Lemari Baju; Kursi; K. Mandi Dalam; Kloset Duduk; Shower; Air panas; WiFi; Kulkas; R. Tamu; Penjaga Kos; Dapur; Dispenser; K. Mandi Luar; Parkir Mobil"/>
    <n v="3175000"/>
    <s v="Rp3.175.000"/>
    <n v="0.17083333333333331"/>
    <d v="1899-12-30T04:06:00"/>
    <s v="Kos Campur"/>
    <m/>
    <m/>
  </r>
  <r>
    <s v="Kost Singgahsini Greenhome Tipe C Bendungan Hilir Jakarta Pusat"/>
    <x v="9"/>
    <x v="186"/>
    <n v="9"/>
    <s v="3 x 3 meter"/>
    <s v="Tidak termasuk listrik"/>
    <s v=""/>
    <s v="N/A"/>
    <s v="3 x 3 meter; Tidak termasuk listrik; AC; Kasur; Meja; TV; Lemari Baju; Kursi; K. Mandi Dalam; Kloset Duduk; Shower; Air panas; WiFi; Kulkas; R. Tamu; Penjaga Kos; Dapur; Dispenser; K. Mandi Luar; Parkir Mobil"/>
    <n v="2825000"/>
    <s v="Rp2.825.000"/>
    <n v="0.17083333333333331"/>
    <d v="1899-12-30T04:06:00"/>
    <s v="Kos Campur"/>
    <m/>
    <m/>
  </r>
  <r>
    <s v="Kost Singgahsini Griya Batang Agam Tipe A Pancoran Jakarta Selatan"/>
    <x v="5"/>
    <x v="55"/>
    <n v="21"/>
    <s v="7 x 3 meter"/>
    <s v="Tidak termasuk listrik"/>
    <s v=""/>
    <s v="N/A"/>
    <s v="7 x 3 meter; Tidak termasuk listrik; AC; Kasur; Meja; TV; Lemari Baju; Kursi; Cermin; Bantal; Guling; Jendela; K. Mandi Dalam; Kloset Duduk; Shower; Air panas; WiFi; Kulkas; R. Tamu; Mesin Cuci; Penjaga Kos; R. Jemur; R. Makan; Dapur; Parkir Mobil"/>
    <n v="3025000"/>
    <s v="Rp3.025.000"/>
    <n v="0.17083333333333331"/>
    <d v="1899-12-30T04:06:00"/>
    <s v="Kos Campur"/>
    <m/>
    <s v="Diskon 145rb"/>
  </r>
  <r>
    <s v="Kost Singgahsini Griya Berkah Bersama Tipe A Beji Depok"/>
    <x v="1"/>
    <x v="15"/>
    <n v="8.64"/>
    <s v="2.4 x 3.6 meter"/>
    <s v="Tidak termasuk listrik"/>
    <n v="1555000"/>
    <s v="Rp1.555.000"/>
    <s v="2.4 x 3.6 meter; Tidak termasuk listrik; AC; Kasur; Meja; Lemari Baju; Kursi; K. Mandi Dalam; Kloset Duduk; Ember mandi; Shower; WiFi; Kulkas; R. Tamu; Penjaga Kos; R. Makan; R. Jemur; Dapur; Dispenser; Kartu Akses; CCTV; Parkir Motor &amp; Sepeda"/>
    <n v="1402000"/>
    <s v="Rp1.402.000"/>
    <n v="0.17083333333333331"/>
    <d v="1899-12-30T04:06:00"/>
    <s v="Kos Putri"/>
    <m/>
    <s v="Diskon 153rb"/>
  </r>
  <r>
    <s v="Kost Singgahsini Griya Dami Tipe A Cilandak Jakarta Selatan"/>
    <x v="5"/>
    <x v="7"/>
    <n v="12"/>
    <s v="4 x 3 meter"/>
    <s v="Tidak termasuk listrik"/>
    <s v=""/>
    <s v="N/A"/>
    <s v="4 x 3 meter; Tidak termasuk listrik; AC; Kasur; Meja; TV; Lemari Baju; Kursi; Bantal; Jendela; K. Mandi Dalam; Kloset Duduk; Shower; WiFi; R. Tamu; R. Makan; R. Jemur; Dapur; K. Mandi Luar; CCTV; Parkir Mobil; Parkir Motor; Parkir Sepeda"/>
    <n v="2545000"/>
    <s v="Rp2.545.000"/>
    <n v="0.17222222222222225"/>
    <d v="1899-12-30T04:08:00"/>
    <s v="Kos Campur"/>
    <m/>
    <s v="Diskon 192rb"/>
  </r>
  <r>
    <s v="Kost Singgahsini Griya Gading Bricelle Tipe A Pulo Gadung Jakarta Timur"/>
    <x v="8"/>
    <x v="32"/>
    <n v="10.5"/>
    <s v="3 x 3.5 meter"/>
    <s v="Termasuk listrik (implied)"/>
    <n v="2025000"/>
    <s v="Rp2.025.000"/>
    <s v="3 x 3.5 meter; Termasuk listrik; AC; Kasur; Meja; Lemari Baju; Kursi; Bantal; Cermin; Guling; Jendela; K. Mandi Dalam; Kloset Duduk; Ember mandi; Shower; WiFi; Kulkas; R. Tamu; Penjaga Kos; R. Jemur; R. Santai; Dapur; K. Mandi Luar; CCTV; Rice Cooker; Parkir Motor; Parkir Sepeda"/>
    <n v="1925000"/>
    <s v="Rp1.925.000"/>
    <n v="0.20833333333333334"/>
    <d v="1899-12-30T05:00:00"/>
    <s v="Kos Campur"/>
    <m/>
    <s v="Diskon 100rb"/>
  </r>
  <r>
    <s v="Kost Singgahsini Griya Gading Bricelle Tipe B Pulo Gadung Jakarta Timur"/>
    <x v="8"/>
    <x v="32"/>
    <n v="10.5"/>
    <s v="3 x 3.5 meter"/>
    <s v="Termasuk listrik (implied)"/>
    <n v="1625000"/>
    <s v="Rp1.625.000"/>
    <s v="3 x 3.5 meter; Termasuk listrik; AC; Kasur; Meja; Lemari Baju; Kursi; Bantal; Cermin; Guling; Jendela; Kloset Duduk; K. Mandi Luar; Ember mandi; Shower; WiFi; Kulkas; R. Tamu; Penjaga Kos; R. Jemur; R. Santai; Dapur; CCTV; Rice Cooker; Parkir Motor; Parkir Sepeda"/>
    <n v="1545000"/>
    <s v="Rp1.545.000"/>
    <n v="0.20833333333333334"/>
    <d v="1899-12-30T05:00:00"/>
    <s v="Kos Campur"/>
    <m/>
    <s v="Diskon 80rb"/>
  </r>
  <r>
    <s v="Kost Singgahsini Griya Gading Bricelle Tipe C Pulo Gadung Jakarta Timur"/>
    <x v="8"/>
    <x v="32"/>
    <n v="10.5"/>
    <s v="3 x 3.5 meter"/>
    <s v="Termasuk listrik (implied)"/>
    <n v="1525000"/>
    <s v="Rp1.525.000"/>
    <s v="3 x 3.5 meter; Termasuk listrik; Kasur; Meja; Lemari Baju; Kursi; Bantal; Cermin; Guling; Jendela; K. Mandi Dalam; Kloset Duduk; Ember mandi; Shower; WiFi; Kulkas; R. Tamu; Penjaga Kos; R. Jemur; R. Santai; Dapur; K. Mandi Luar; CCTV; Rice Cooker; Parkir Motor; Parkir Sepeda"/>
    <n v="1450000"/>
    <s v="Rp1.450.000"/>
    <n v="0.17222222222222225"/>
    <d v="1899-12-30T04:08:00"/>
    <s v="Kos Campur"/>
    <m/>
    <s v="Diskon 75rb"/>
  </r>
  <r>
    <s v="Kost Singgahsini Griya Gading Bricelle Tipe D Pulo Gadung Jakarta Timur"/>
    <x v="8"/>
    <x v="32"/>
    <n v="10.5"/>
    <s v="3 x 3.5 meter"/>
    <s v="Termasuk listrik (implied)"/>
    <n v="1275000"/>
    <s v="Rp1.275.000"/>
    <s v="3 x 3.5 meter; Termasuk listrik; Kasur; Meja; Lemari Baju; Kursi; Bantal; Jendela; Kloset Duduk; K. Mandi Luar; Shower; WiFi; Kulkas; R. Tamu; Penjaga Kos; R. Jemur; R. Santai; Dapur; CCTV; Rice Cooker; Parkir Motor; Parkir Sepeda"/>
    <n v="1212500"/>
    <s v="Rp1.212.500"/>
    <n v="0.20833333333333334"/>
    <d v="1899-12-30T05:00:00"/>
    <s v="Kos Campur"/>
    <m/>
    <s v="Diskon 63rb"/>
  </r>
  <r>
    <s v="Kost Singgahsini Griya Malabar Tipe A Duren Sawit Jakarta Timur"/>
    <x v="8"/>
    <x v="39"/>
    <n v="25"/>
    <s v="5 x 5 meter"/>
    <s v="Tidak termasuk listrik"/>
    <n v="2525000"/>
    <s v="Rp2.525.000"/>
    <s v="5 x 5 meter; Tidak termasuk listrik; AC; Kasur; Lemari Baju; Ventilasi; Bantal; Guling; Jendela; K. Mandi Dalam; Kloset Duduk; Wastafel; Shower; Bathtub; WiFi; Kulkas; Penjaga Kos; R. Makan; R. Jemur; Dapur; Dispenser; K. Mandi Luar; CCTV; Rice Cooker; Parkir Mobil; Parkir Motor &amp; Sepeda"/>
    <n v="2275000"/>
    <s v="Rp2.275.000"/>
    <n v="0"/>
    <m/>
    <s v="Kos Putri"/>
    <m/>
    <s v="Diskon 250rb"/>
  </r>
  <r>
    <s v="Kost Singgahsini Griya Malabar Tipe C Duren Sawit Jakarta Timur"/>
    <x v="8"/>
    <x v="39"/>
    <n v="14"/>
    <s v="4 x 3.5 meter"/>
    <s v="Tidak termasuk listrik"/>
    <n v="1825000"/>
    <s v="Rp1.825.000"/>
    <s v="4 x 3.5 meter; Tidak termasuk listrik; AC; Kasur; Lemari Baju; Ventilasi; Bantal; Cermin; Guling; Jendela; Kloset Duduk; K. Mandi Luar; Shower; WiFi; Kulkas; Penjaga Kos; R. Makan; R. Jemur; Dapur; Dispenser; CCTV; Rice Cooker; Parkir Mobil; Parkir Motor &amp; Sepeda"/>
    <n v="1645000"/>
    <s v="Rp1.645.000"/>
    <n v="0.17083333333333331"/>
    <d v="1899-12-30T04:06:00"/>
    <s v="Kos Putri"/>
    <m/>
    <s v="Diskon 180rb"/>
  </r>
  <r>
    <s v="Kost Singgahsini Griya Malabar Tipe D Duren Sawit Jakarta Timur"/>
    <x v="8"/>
    <x v="39"/>
    <n v="8.1000000000000014"/>
    <s v="3 x 2.7 meter"/>
    <s v="Termasuk listrik (implied)"/>
    <n v="1075000"/>
    <s v="Rp1.075.000"/>
    <s v="3 x 2.7 meter; Termasuk listrik; Kasur; Lemari Baju; Ventilasi; Bantal; Cermin; Guling; Jendela; Kloset Duduk; K. Mandi Luar; Shower; WiFi; Kulkas; Penjaga Kos; R. Makan; R. Jemur; Dapur; Dispenser; CCTV; Rice Cooker; Parkir Mobil; Parkir Motor &amp; Sepeda"/>
    <n v="970000"/>
    <s v="Rp970.000"/>
    <n v="0"/>
    <m/>
    <s v="Kos Putri"/>
    <m/>
    <s v="Diskon 105rb"/>
  </r>
  <r>
    <s v="Kost Singgahsini Griya Miravelle Tipe A Tangerang Selatan"/>
    <x v="2"/>
    <x v="54"/>
    <n v="9"/>
    <s v="3 x 3 meter"/>
    <s v="Tidak termasuk listrik"/>
    <n v="1525000"/>
    <s v="Rp1.525.000"/>
    <s v="3 x 3 meter; Tidak termasuk listrik; AC; Kasur; Meja; Lemari Baju; Kursi; Bantal; Cermin; Jendela; K. Mandi Dalam; Kloset Duduk; Wastafel; Shower; WiFi; R. Cuci; Kulkas; R. Tamu; Penjaga Kos; R. Makan; R. Jemur; TV; Jemuran; Parkir Motor &amp; Sepeda"/>
    <n v="1450000"/>
    <s v="Rp1.450.000"/>
    <n v="0.17291666666666669"/>
    <d v="1899-12-30T04:09:00"/>
    <s v="Kos Putri"/>
    <m/>
    <s v="Diskon 75rb"/>
  </r>
  <r>
    <s v="Kost Singgahsini Griya Mitra Tipe A Tamansari Jakarta Barat"/>
    <x v="3"/>
    <x v="149"/>
    <n v="16.799999999999997"/>
    <s v="6 x 2.8 meter"/>
    <s v="Tidak termasuk listrik"/>
    <n v="2025000"/>
    <s v="Rp2.025.000"/>
    <s v="6 x 2.8 meter; Tidak termasuk listrik; AC; Kasur; Meja; TV; Lemari Baju; K. Mandi Dalam; Kloset Duduk; Shower; Air panas; WiFi; R. Tamu; Penjaga Kos; Dapur; CCTV; Parkir Mobil; Parkir Motor &amp; Sepeda"/>
    <n v="1865000"/>
    <s v="Rp1.865.000"/>
    <n v="0.16944444444444443"/>
    <d v="1899-12-30T04:04:00"/>
    <s v="Kos Campur"/>
    <m/>
    <s v="Diskon 160rb"/>
  </r>
  <r>
    <s v="Kost Singgahsini Griya Mitra Tipe B Tamansari Jakarta Barat"/>
    <x v="3"/>
    <x v="149"/>
    <n v="16.799999999999997"/>
    <s v="6 x 2.8 meter"/>
    <s v="Tidak termasuk listrik"/>
    <n v="2375000"/>
    <s v="Rp2.375.000"/>
    <s v="6 x 2.8 meter; Tidak termasuk listrik; AC; Kasur; Meja; TV; Lemari Baju; K. Mandi Dalam; Kloset Duduk; Shower; Air panas; WiFi; R. Tamu; Penjaga Kos; Dapur; CCTV; Parkir Mobil; Parkir Motor &amp; Sepeda"/>
    <n v="2257500"/>
    <s v="Rp2.257.500"/>
    <n v="0.20833333333333334"/>
    <d v="1899-12-30T05:00:00"/>
    <s v="Kos Campur"/>
    <m/>
    <s v="Diskon 118rb"/>
  </r>
  <r>
    <s v="Kost Singgahsini Griya Mitra Tipe C Tamansari Jakarta Barat"/>
    <x v="3"/>
    <x v="149"/>
    <n v="16.799999999999997"/>
    <s v="6 x 2.8 meter"/>
    <s v="Tidak termasuk listrik"/>
    <n v="2875000"/>
    <s v="Rp2.875.000"/>
    <s v="6 x 2.8 meter; Tidak termasuk listrik; AC; Kasur; Meja; TV; Lemari Baju; K. Mandi Dalam; Kloset Duduk; Shower; Air panas; WiFi; R. Tamu; Penjaga Kos; Dapur; CCTV; Parkir Mobil; Parkir Motor &amp; Sepeda"/>
    <n v="2647000"/>
    <s v="Rp2.647.000"/>
    <n v="0.17083333333333331"/>
    <d v="1899-12-30T04:06:00"/>
    <s v="Kos Campur"/>
    <m/>
    <s v="Diskon 228rb"/>
  </r>
  <r>
    <s v="Kost Singgahsini Griya Osfa Tipe A Beji Depok"/>
    <x v="1"/>
    <x v="15"/>
    <n v="12"/>
    <s v="4 x 3 meter"/>
    <s v="Tidak termasuk listrik"/>
    <n v="1325000"/>
    <s v="Rp1.325.000"/>
    <s v="4 x 3 meter; Tidak termasuk listrik; AC; Kasur; Meja; Lemari Baju; Ventilasi; Kursi; Jendela; Bantal; K. Mandi Dalam; Kloset Duduk; Shower; WiFi; Kulkas; Penjaga Kos; Dapur; Rooftop; Parkir Motor &amp; Sepeda"/>
    <n v="1195000"/>
    <s v="Rp1.195.000"/>
    <n v="0.17013888888888887"/>
    <d v="1899-12-30T04:05:00"/>
    <s v="Kos Putri"/>
    <m/>
    <s v="Diskon 130rb"/>
  </r>
  <r>
    <s v="Kost Singgahsini Griya Osfa Tipe B Beji Depok"/>
    <x v="1"/>
    <x v="15"/>
    <n v="12"/>
    <s v="4 x 3 meter"/>
    <s v="Tidak termasuk listrik"/>
    <n v="1015000"/>
    <s v="Rp1.015.000"/>
    <s v="4 x 3 meter; Tidak termasuk listrik; Kasur; Meja; Lemari Baju; Kursi; Jendela; Bantal; Cermin; K. Mandi Dalam; Kloset Duduk; Shower; WiFi; Kulkas; Penjaga Kos; Dapur; Rooftop; Parkir Motor &amp; Sepeda"/>
    <n v="916000"/>
    <s v="Rp916.000"/>
    <n v="0.17291666666666669"/>
    <d v="1899-12-30T04:09:00"/>
    <s v="Kos Putri"/>
    <m/>
    <s v="Diskon 99rb"/>
  </r>
  <r>
    <s v="Kost Singgahsini Griya Sehati Tipe B Tanjung Duren Jakarta Barat"/>
    <x v="3"/>
    <x v="82"/>
    <n v="10.5"/>
    <s v="3.5 x 3 meter"/>
    <s v="Tidak termasuk listrik"/>
    <n v="3215000"/>
    <s v="Rp3.215.000"/>
    <s v="3.5 x 3 meter; Tidak termasuk listrik; AC; Kasur; Meja; Lemari Baju; Ventilasi; Kursi; Bantal; K. Mandi Dalam; Kloset Duduk; K. Mandi Luar; Wastafel; Shower; Air panas; WiFi; R. Cuci; Kulkas; R. Tamu; R. Makan; R. Jemur; R. Santai; Dapur; TV; Parkir Mobil; Parkir Motor; Parkir Sepeda; Parkir Motor &amp; Sepeda"/>
    <n v="2959800"/>
    <s v="Rp2.959.800"/>
    <n v="0.17222222222222225"/>
    <d v="1899-12-30T04:08:00"/>
    <s v="Kos Campur"/>
    <m/>
    <s v="Diskon 255rb"/>
  </r>
  <r>
    <s v="Kost Singgahsini Griya Sehati Tipe C Tanjung Duren Jakarta Barat"/>
    <x v="3"/>
    <x v="82"/>
    <n v="9"/>
    <s v="3 x 3 meter"/>
    <s v="Tidak termasuk listrik"/>
    <s v=""/>
    <s v="N/A"/>
    <s v="3 x 3 meter; Tidak termasuk listrik; AC; Kasur; Meja; Lemari Baju; Ventilasi; Kursi; Bantal; Cermin; K. Mandi Dalam; Kloset Duduk; K. Mandi Luar; Wastafel; Shower; Air panas; WiFi; R. Cuci; Kulkas; R. Tamu; R. Makan; R. Jemur; R. Santai; Dapur; TV; Parkir Mobil; Parkir Motor; Parkir Sepeda; Parkir Motor &amp; Sepeda"/>
    <n v="2705000"/>
    <s v="Rp2.705.000"/>
    <n v="0.17222222222222225"/>
    <d v="1899-12-30T04:08:00"/>
    <s v="Kos Campur"/>
    <m/>
    <s v="Diskon 255rb"/>
  </r>
  <r>
    <s v="Kost Singgahsini Griya Sehati Tipe D Tanjung Duren Jakarta Barat"/>
    <x v="3"/>
    <x v="82"/>
    <n v="9"/>
    <s v="3 x 3 meter"/>
    <s v="Tidak termasuk listrik"/>
    <s v=""/>
    <s v="N/A"/>
    <s v="3 x 3 meter; Tidak termasuk listrik; AC; Kasur; Meja; Lemari Baju; Ventilasi; Kursi; Bantal; Cermin; Kloset Duduk; K. Mandi Luar; Wastafel; Shower; Air panas; WiFi; R. Cuci; Kulkas; R. Tamu; R. Makan; R. Jemur; R. Santai; Dapur; TV; Parkir Mobil; Parkir Motor; Parkir Sepeda; Parkir Motor &amp; Sepeda"/>
    <n v="1875000"/>
    <s v="Rp1.875.000"/>
    <n v="0.17291666666666669"/>
    <d v="1899-12-30T04:09:00"/>
    <s v="Kos Campur"/>
    <m/>
    <s v="Diskon 255rb"/>
  </r>
  <r>
    <s v="Kost Singgahsini Griya Sentosa Tugu Indah Tipe B Cimanggis Depok"/>
    <x v="1"/>
    <x v="114"/>
    <n v="12"/>
    <s v="3 x 4 meter"/>
    <s v="Tidak termasuk listrik"/>
    <n v="825000"/>
    <s v="Rp825.000"/>
    <s v="3 x 4 meter; Tidak termasuk listrik; Kasur; Meja; Lemari Baju; Ventilasi; Kursi; Bantal; Cermin; Jendela; K. Mandi Dalam; Kloset Duduk; Wastafel; Shower; WiFi; R. Cuci; R. Tamu; R. Jemur; Dapur; Dispenser; Rice Cooker; Parkir Mobil; Parkir Motor; Parkir Sepeda"/>
    <n v="745000"/>
    <s v="Rp745.000"/>
    <n v="0.17291666666666669"/>
    <d v="1899-12-30T04:09:00"/>
    <s v="Kos Putri"/>
    <m/>
    <s v="Diskon 80rb"/>
  </r>
  <r>
    <s v="Kost Singgahsini Griyo Ditelu Tipe A Jagakarsa Jakarta Selatan"/>
    <x v="5"/>
    <x v="69"/>
    <e v="#VALUE!"/>
    <s v="N/A"/>
    <s v="N/A"/>
    <n v="2525000"/>
    <s v="Rp2.525.000"/>
    <s v=""/>
    <n v="2400000"/>
    <s v="Rp2.400.000"/>
    <n v="0.17291666666666669"/>
    <d v="1899-12-30T04:09:00"/>
    <s v="Kos Putri"/>
    <m/>
    <s v="Diskon 125rb"/>
  </r>
  <r>
    <s v="Kost Singgahsini Griyo Ditelu Tipe A Jagakarsa Jakarta Selatan"/>
    <x v="5"/>
    <x v="69"/>
    <n v="12.25"/>
    <s v="3.5 x 3.5 meter"/>
    <s v="Tidak termasuk listrik"/>
    <n v="2525000"/>
    <s v="Rp2.525.000"/>
    <s v="3.5 x 3.5 meter; Tidak termasuk listrik; AC; Kasur; Meja; Lemari Baju; Kursi; Bantal; Cermin; Guling; Jendela; K. Mandi Dalam; Kloset Duduk; Wastafel; Shower; Air panas; WiFi; Kulkas; R. Tamu; Penjaga Kos; R. Jemur; Dapur; Dispenser; TV; K. Mandi Luar; CCTV; Parkir Mobil; Parkir Motor &amp; Sepeda"/>
    <n v="2400000"/>
    <s v="Rp2.400.000"/>
    <n v="0.17291666666666669"/>
    <d v="1899-12-30T04:09:00"/>
    <s v="Kos Putri"/>
    <m/>
    <s v="Diskon 125rb"/>
  </r>
  <r>
    <s v="Kost Singgahsini Guntur 40 Tipe B Setiabudi Jakarta Selatan"/>
    <x v="5"/>
    <x v="44"/>
    <n v="8.1000000000000014"/>
    <s v="3 x 2.7 meter"/>
    <s v="Tidak termasuk listrik"/>
    <n v="2975000"/>
    <s v="Rp2.975.000"/>
    <s v="3 x 2.7 meter; Tidak termasuk listrik; AC; Kasur; TV; Lemari Baju; Bantal; Cermin; Jendela; K. Mandi Dalam; Kloset Duduk; Wastafel; Shower; Air panas; WiFi; CCTV; Jemuran; Parkir Mobil; Parkir Motor; Parkir Sepeda"/>
    <n v="2827500"/>
    <s v="Rp2.827.500"/>
    <n v="0.17222222222222225"/>
    <d v="1899-12-30T04:08:00"/>
    <s v="Kos Campur"/>
    <m/>
    <s v="Diskon 148rb"/>
  </r>
  <r>
    <s v="Kost Singgahsini Guntur 42 Tipe A Setiabudi Jakarta Selatan"/>
    <x v="5"/>
    <x v="44"/>
    <n v="18"/>
    <s v="6 x 3 meter"/>
    <s v="Termasuk listrik (implied)"/>
    <n v="3525000"/>
    <s v="Rp3.525.000"/>
    <s v="6 x 3 meter; Termasuk listrik; AC; Kasur; Meja; TV; Lemari Baju; Kursi; Cermin; K. Mandi Dalam; Kloset Duduk; Wastafel; Shower; Air panas; WiFi; Kulkas; R. Tamu; Penjaga Kos; R. Jemur; Dapur; Dispenser; Parkir Mobil; Parkir Motor; Parkir Motor &amp; Sepeda"/>
    <n v="3350000"/>
    <s v="Rp3.350.000"/>
    <n v="0.17083333333333331"/>
    <d v="1899-12-30T04:06:00"/>
    <s v="Kos Campur"/>
    <m/>
    <s v="Diskon 175rb"/>
  </r>
  <r>
    <s v="Kost Singgahsini Hade Pondok Cabe Tipe A Tangerang Selatan"/>
    <x v="2"/>
    <x v="54"/>
    <n v="10.240000000000002"/>
    <s v="3.2 x 3.2 meter"/>
    <s v="Tidak termasuk listrik"/>
    <n v="1625000"/>
    <s v="Rp1.625.000"/>
    <s v="3.2 x 3.2 meter; Tidak termasuk listrik; AC; Kasur; Meja; Lemari Baju; Kursi; Jendela; Bantal; Cermin; K. Mandi Dalam; Kloset Duduk; Shower; WiFi; Kulkas; Penjaga Kos; Dapur; CCTV; Parkir Mobil; Parkir Motor &amp; Sepeda"/>
    <n v="1545000"/>
    <s v="Rp1.545.000"/>
    <n v="0.17222222222222225"/>
    <d v="1899-12-30T04:08:00"/>
    <s v="Kos Campur"/>
    <m/>
    <s v="Diskon 80rb"/>
  </r>
  <r>
    <s v="Kost Singgahsini Haji Erwin Duren Tiga Tipe A Pancoran Jakarta Selatan"/>
    <x v="5"/>
    <x v="55"/>
    <n v="10.639999999999999"/>
    <s v="3.8 x 2.8 meter"/>
    <s v="Tidak termasuk listrik"/>
    <s v=""/>
    <s v="N/A"/>
    <s v="3.8 x 2.8 meter; Tidak termasuk listrik; AC; Kasur; Meja; Lemari Baju; Kursi; Bantal; Cermin; Guling; Jendela; K. Mandi Dalam; Kloset Jongkok; Ember mandi; Shower; WiFi; Kulkas; R. Makan; Dapur; Parkir Motor; Parkir Sepeda"/>
    <n v="1855000"/>
    <s v="Rp1.855.000"/>
    <n v="0.17222222222222225"/>
    <d v="1899-12-30T04:08:00"/>
    <s v="Kos Putra"/>
    <m/>
    <m/>
  </r>
  <r>
    <s v="Kost Singgahsini Haji Nawi 74 Tipe A Cilandak Jakarta Selatan"/>
    <x v="5"/>
    <x v="172"/>
    <n v="10.5"/>
    <s v="3.5 x 3 meter"/>
    <s v="Tidak termasuk listrik"/>
    <s v=""/>
    <s v="N/A"/>
    <s v="3.5 x 3 meter; Tidak termasuk listrik; AC; Kasur; Meja; TV; Lemari Baju; Kursi; Bantal; K. Mandi Dalam; Kloset Duduk; Wastafel; Shower; Air panas; WiFi; Kulkas; R. Tamu; Mesin Cuci; Penjaga Kos; Dapur; Dispenser; Taman; Parkir Mobil; Parkir Motor; Parkir Sepeda; Parkir Motor &amp; Sepeda"/>
    <n v="3425000"/>
    <s v="Rp3.425.000"/>
    <n v="0.17083333333333331"/>
    <d v="1899-12-30T04:06:00"/>
    <s v="Kos Campur"/>
    <m/>
    <s v="Diskon 168rb"/>
  </r>
  <r>
    <s v="Kost Singgahsini Haji Nawi 74 Tipe B Cilandak Jakarta Selatan"/>
    <x v="5"/>
    <x v="172"/>
    <n v="19.25"/>
    <s v="5.5 x 3.5 meter"/>
    <s v="Tidak termasuk listrik"/>
    <s v=""/>
    <s v="N/A"/>
    <s v="5.5 x 3.5 meter; Tidak termasuk listrik; AC; Kasur; Meja; TV; Lemari Baju; Kursi; Bantal; Cermin; Jendela; K. Mandi Dalam; Kloset Duduk; Wastafel; Shower; Air panas; WiFi; Kulkas; R. Tamu; Mesin Cuci; Penjaga Kos; R. Makan; R. Jemur; Dapur; Dispenser; Parkir Mobil; Parkir Motor; Parkir Sepeda; Parkir Motor &amp; Sepeda"/>
    <n v="3625000"/>
    <s v="Rp3.625.000"/>
    <n v="0.17083333333333331"/>
    <d v="1899-12-30T04:06:00"/>
    <s v="Kos Campur"/>
    <m/>
    <m/>
  </r>
  <r>
    <s v="Kost Singgahsini Haji Sholeh 21 Tipe A Kebon Jeruk Jakarta Barat"/>
    <x v="3"/>
    <x v="14"/>
    <n v="40"/>
    <s v="5 x 8 meter"/>
    <s v="Tidak termasuk listrik"/>
    <s v=""/>
    <s v="N/A"/>
    <s v="5 x 8 meter; Tidak termasuk listrik; AC; Kasur; Meja; Lemari Baju; Kursi; Bantal; Jendela; K. Mandi Dalam; Kloset Duduk; Wastafel; Shower; WiFi; R. Jemur; CCTV; Parkir Mobil; Parkir Motor; Parkir Sepeda; Parkir Motor &amp; Sepeda"/>
    <n v="2175000"/>
    <s v="Rp2.175.000"/>
    <n v="0.17222222222222225"/>
    <d v="1899-12-30T04:08:00"/>
    <s v="Kos Putri"/>
    <m/>
    <s v="Diskon 100rb"/>
  </r>
  <r>
    <s v="Kost Singgahsini Haji Sholeh 21 Tipe B Kebon Jeruk Jakarta Barat"/>
    <x v="3"/>
    <x v="14"/>
    <n v="36"/>
    <s v="6 x 6 meter"/>
    <s v="Tidak termasuk listrik"/>
    <s v=""/>
    <s v="N/A"/>
    <s v="6 x 6 meter; Tidak termasuk listrik; AC; Kasur; Meja; Lemari Baju; Kursi; Bantal; Jendela; K. Mandi Dalam; Kloset Duduk; Wastafel; Shower; WiFi; R. Jemur; CCTV; Parkir Mobil; Parkir Motor; Parkir Sepeda; Parkir Motor &amp; Sepeda"/>
    <n v="2075000"/>
    <s v="Rp2.075.000"/>
    <n v="0.17083333333333331"/>
    <d v="1899-12-30T04:06:00"/>
    <s v="Kos Putri"/>
    <m/>
    <s v="Diskon 100rb"/>
  </r>
  <r>
    <s v="Kost Singgahsini Haji Toto Tipe A Jagakarsa Jakarta Selatan"/>
    <x v="5"/>
    <x v="40"/>
    <n v="10.240000000000002"/>
    <s v="3.2 x 3.2 meter"/>
    <s v="Tidak termasuk listrik"/>
    <n v="1300000"/>
    <s v="Rp1.300.000"/>
    <s v="3.2 x 3.2 meter; Tidak termasuk listrik; AC; Kasur; Lemari Baju; Bantal; Cermin; Guling; Jendela; K. Mandi Dalam; Kloset Duduk; Shower; WiFi; Penjaga Kos; Dapur; Parkir Motor &amp; Sepeda"/>
    <n v="1235000"/>
    <s v="Rp1.235.000"/>
    <n v="0.16944444444444443"/>
    <d v="1899-12-30T04:04:00"/>
    <s v="Kos Campur"/>
    <m/>
    <s v="Diskon 65rb"/>
  </r>
  <r>
    <s v="Kost Singgahsini Hajiten 2 Tipe A Pulo Gadung Jakarta Timur"/>
    <x v="8"/>
    <x v="32"/>
    <n v="12"/>
    <s v="3 x 4 meter"/>
    <s v="Tidak termasuk listrik"/>
    <n v="2225000"/>
    <s v="Rp2.225.000"/>
    <s v="3 x 4 meter; Tidak termasuk listrik; AC; Kasur; Meja; TV; Lemari Baju; Kursi; Bantal; Cermin; Guling; Jendela; K. Mandi Dalam; Kloset Duduk; Shower; Air panas; WiFi; Kulkas; Penjaga Kos; R. Jemur; Dapur; Dispenser; CCTV; Jemuran; Rooftop; Parkir Motor &amp; Sepeda"/>
    <n v="2115000"/>
    <s v="Rp2.115.000"/>
    <n v="0.17083333333333331"/>
    <d v="1899-12-30T04:06:00"/>
    <s v="Kos Putri"/>
    <m/>
    <s v="Diskon 110rb"/>
  </r>
  <r>
    <s v="Kost Singgahsini Hajiten Rawamangun Tipe A Pulo Gadung Jakarta Timur"/>
    <x v="8"/>
    <x v="32"/>
    <n v="9"/>
    <s v="3 x 3 meter"/>
    <s v="Tidak termasuk listrik"/>
    <n v="1665000"/>
    <s v="Rp1.665.000"/>
    <s v="3 x 3 meter; Tidak termasuk listrik; AC; Kasur; Meja; TV; Lemari Baju; Kursi; Bantal; Guling; K. Mandi Dalam; Kloset Duduk; Shower; WiFi; R. Cuci; R. Tamu; Penjaga Kos; Dapur; Dispenser; Parkir Mobil; Parkir Motor"/>
    <n v="1583000"/>
    <s v="Rp1.583.000"/>
    <n v="0.17083333333333331"/>
    <d v="1899-12-30T04:06:00"/>
    <s v="Kos Putri"/>
    <m/>
    <s v="Diskon 82rb"/>
  </r>
  <r>
    <s v="Kost Singgahsini Hajiten Rawamangun Tipe B Pulo Gadung Jakarta Timur"/>
    <x v="8"/>
    <x v="32"/>
    <n v="12"/>
    <s v="4 x 3 meter"/>
    <s v="Tidak termasuk listrik"/>
    <n v="1765000"/>
    <s v="Rp1.765.000"/>
    <s v="4 x 3 meter; Tidak termasuk listrik; AC; Kasur; Meja; TV; Lemari Baju; Kursi; Bantal; Guling; K. Mandi Dalam; Kloset Duduk; Shower; WiFi; R. Cuci; R. Tamu; Penjaga Kos; Dapur; Dispenser; Parkir Mobil; Parkir Motor"/>
    <n v="1678000"/>
    <s v="Rp1.678.000"/>
    <n v="0.17083333333333331"/>
    <d v="1899-12-30T04:06:00"/>
    <s v="Kos Putri"/>
    <m/>
    <s v="Diskon 87rb"/>
  </r>
  <r>
    <s v="Kost Singgahsini Hana UI Tipe A Beji Depok"/>
    <x v="1"/>
    <x v="15"/>
    <n v="9"/>
    <s v="3 x 3 meter"/>
    <s v="Tidak termasuk listrik"/>
    <n v="1175000"/>
    <s v="Rp1.175.000"/>
    <s v="3 x 3 meter; Tidak termasuk listrik; AC; Kasur; Meja; Lemari Baju; Bantal; Guling; K. Mandi Dalam; Kloset Duduk; K. Mandi Luar; Shower; Air panas; WiFi; Kulkas; R. Tamu; R. Jemur; Dapur; TV; CCTV; Parkir Motor; Parkir Sepeda"/>
    <n v="1060000"/>
    <s v="Rp1.060.000"/>
    <n v="0.17291666666666669"/>
    <d v="1899-12-30T04:09:00"/>
    <s v="Kos Putri"/>
    <m/>
    <s v="Diskon 115rb"/>
  </r>
  <r>
    <s v="Kost Singgahsini Hana UI Tipe B Beji Depok"/>
    <x v="1"/>
    <x v="15"/>
    <n v="9"/>
    <s v="3 x 3 meter"/>
    <s v="Tidak termasuk listrik"/>
    <n v="1275000"/>
    <s v="Rp1.275.000"/>
    <s v="3 x 3 meter; Tidak termasuk listrik; AC; Kasur; Meja; Lemari Baju; Bantal; Guling; K. Mandi Dalam; Kloset Duduk; K. Mandi Luar; Shower; Air panas; WiFi; Kulkas; R. Tamu; R. Jemur; Dapur; TV; CCTV; Parkir Motor; Parkir Sepeda"/>
    <n v="1150000"/>
    <s v="Rp1.150.000"/>
    <n v="0.17291666666666669"/>
    <d v="1899-12-30T04:09:00"/>
    <s v="Kos Putri"/>
    <m/>
    <s v="Diskon 125rb"/>
  </r>
  <r>
    <s v="Kost Singgahsini Hana UI Tipe C Beji Depok"/>
    <x v="1"/>
    <x v="15"/>
    <n v="12"/>
    <s v="3 x 4 meter"/>
    <s v="Tidak termasuk listrik"/>
    <n v="1375000"/>
    <s v="Rp1.375.000"/>
    <s v="3 x 4 meter; Tidak termasuk listrik; AC; Kasur; Meja; Lemari Baju; Bantal; Guling; K. Mandi Dalam; Kloset Duduk; K. Mandi Luar; Shower; Air panas; WiFi; Kulkas; R. Tamu; R. Jemur; Dapur; TV; CCTV; Parkir Motor; Parkir Sepeda"/>
    <n v="1240000"/>
    <s v="Rp1.240.000"/>
    <n v="0.17222222222222225"/>
    <d v="1899-12-30T04:08:00"/>
    <s v="Kos Putri"/>
    <m/>
    <s v="Diskon 135rb"/>
  </r>
  <r>
    <s v="Kost Singgahsini Hana UI Tipe D Beji Depok"/>
    <x v="1"/>
    <x v="15"/>
    <n v="20"/>
    <s v="4 x 5 meter"/>
    <s v="Tidak termasuk listrik"/>
    <s v=""/>
    <s v="N/A"/>
    <s v="4 x 5 meter; Tidak termasuk listrik; AC; Kasur; Meja; Lemari Baju; Bantal; Guling; Jendela; K. Mandi Dalam; Kloset Duduk; K. Mandi Luar; Shower; Air panas; WiFi; Kulkas; R. Tamu; R. Jemur; Dapur; TV; CCTV; Parkir Motor; Parkir Sepeda"/>
    <n v="1425000"/>
    <s v="Rp1.425.000"/>
    <n v="0.17291666666666669"/>
    <d v="1899-12-30T04:09:00"/>
    <s v="Kos Putri"/>
    <m/>
    <s v="Diskon 115rb"/>
  </r>
  <r>
    <s v="Kost Singgahsini Hana UI Tipe E Beji Depok"/>
    <x v="1"/>
    <x v="15"/>
    <n v="25"/>
    <s v="5 x 5 meter"/>
    <s v="Tidak termasuk listrik"/>
    <s v=""/>
    <s v="N/A"/>
    <s v="5 x 5 meter; Tidak termasuk listrik; AC; Kasur; Meja; Lemari Baju; Kursi; Bantal; Guling; Jendela; K. Mandi Dalam; Kloset Duduk; K. Mandi Luar; Shower; Air panas; Bathtub; WiFi; Kulkas; R. Tamu; R. Jemur; Dapur; TV; CCTV; Parkir Motor; Parkir Sepeda"/>
    <n v="1525000"/>
    <s v="Rp1.525.000"/>
    <n v="0.17083333333333331"/>
    <d v="1899-12-30T04:06:00"/>
    <s v="Kos Putri"/>
    <m/>
    <s v="Diskon 115rb"/>
  </r>
  <r>
    <s v="Kost Singgahsini Hannie BSD Tipe A Rawa Buntu Tangerang Selatan"/>
    <x v="2"/>
    <x v="18"/>
    <n v="12.600000000000001"/>
    <s v="4.2 x 3 meter"/>
    <s v="Termasuk listrik (implied)"/>
    <s v=""/>
    <s v="N/A"/>
    <s v="4.2 x 3 meter; Termasuk listrik; AC; Kasur; Meja; TV; Lemari Baju; Ventilasi; Kursi; Bantal; Cermin; Jendela; K. Mandi Dalam; Kloset Duduk; Shower; WiFi; R. Cuci; Kulkas; R. Tamu; Mesin Cuci; Penjaga Kos; R. Makan; R. Jemur; Dapur; Dispenser; Parkir Mobil; Parkir Motor &amp; Sepeda"/>
    <n v="2125000"/>
    <s v="Rp2.125.000"/>
    <n v="0.17013888888888887"/>
    <d v="1899-12-30T04:05:00"/>
    <s v="Kos Campur"/>
    <m/>
    <m/>
  </r>
  <r>
    <s v="Kost Singgahsini Hannie BSD Tipe B Rawa Buntu Tangerang Selatan"/>
    <x v="2"/>
    <x v="18"/>
    <n v="10.56"/>
    <s v="3.2 x 3.3 meter"/>
    <s v="Termasuk listrik (implied)"/>
    <s v=""/>
    <s v="N/A"/>
    <s v="3.2 x 3.3 meter; Termasuk listrik; AC; Kasur; Meja; Lemari Baju; Kursi; Jendela; Bantal; K. Mandi Dalam; Kloset Duduk; Shower; WiFi; R. Cuci; Kulkas; R. Tamu; Mesin Cuci; Penjaga Kos; R. Makan; R. Jemur; Dapur; Dispenser; Parkir Mobil; Parkir Motor &amp; Sepeda"/>
    <n v="1825000"/>
    <s v="Rp1.825.000"/>
    <n v="0.16666666666666666"/>
    <d v="1899-12-30T04:00:00"/>
    <s v="Kos Campur"/>
    <m/>
    <s v="Diskon 90rb"/>
  </r>
  <r>
    <s v="Kost Singgahsini Hannie BSD Tipe C Rawa Buntu Tangerang Selatan"/>
    <x v="2"/>
    <x v="18"/>
    <n v="10.56"/>
    <s v="3.2 x 3.3 meter"/>
    <s v="Termasuk listrik (implied)"/>
    <s v=""/>
    <s v="N/A"/>
    <s v="3.2 x 3.3 meter; Termasuk listrik; AC; Kasur; Meja; Lemari Baju; Kursi; Bantal; Jendela; K. Mandi Dalam; Kloset Duduk; K. Mandi Luar; Shower; WiFi; R. Cuci; Kulkas; R. Tamu; Mesin Cuci; Penjaga Kos; R. Makan; R. Jemur; Dapur; Dispenser; Parkir Mobil; Parkir Motor &amp; Sepeda"/>
    <n v="1725000"/>
    <s v="Rp1.725.000"/>
    <n v="0.20833333333333334"/>
    <d v="1899-12-30T05:00:00"/>
    <s v="Kos Campur"/>
    <m/>
    <s v="Diskon 90rb"/>
  </r>
  <r>
    <s v="Kost Singgahsini Hannie BSD Tipe D Rawa Buntu Tangerang Selatan"/>
    <x v="2"/>
    <x v="18"/>
    <n v="10.56"/>
    <s v="3.2 x 3.3 meter"/>
    <s v="Termasuk listrik (implied)"/>
    <s v=""/>
    <s v="N/A"/>
    <s v="3.2 x 3.3 meter; Termasuk listrik; AC; Kasur; Meja; TV; Lemari Baju; Ventilasi; Kursi; Bantal; Cermin; Jendela; Kloset Duduk; K. Mandi Luar; Shower; WiFi; R. Cuci; Kulkas; R. Tamu; Mesin Cuci; Penjaga Kos; R. Makan; R. Jemur; Dapur; Dispenser; Parkir Mobil; Parkir Motor &amp; Sepeda"/>
    <n v="1625000"/>
    <s v="Rp1.625.000"/>
    <n v="0.16874999999999998"/>
    <d v="1899-12-30T04:03:00"/>
    <s v="Kos Campur"/>
    <m/>
    <m/>
  </r>
  <r>
    <s v="Kost Singgahsini Harmasi Tipe A Kembangan Jakarta Barat"/>
    <x v="3"/>
    <x v="71"/>
    <n v="6"/>
    <s v="3 x 2 meter"/>
    <s v="Tidak termasuk listrik"/>
    <n v="1625000"/>
    <s v="Rp1.625.000"/>
    <s v="3 x 2 meter; Tidak termasuk listrik; AC; Kasur; Lemari Baju; Jendela; K. Mandi Dalam; Kloset Duduk; Shower; Bak mandi; WiFi; R. Jemur; Dapur; Parkir Motor &amp; Sepeda"/>
    <n v="1545000"/>
    <s v="Rp1.545.000"/>
    <n v="0.16874999999999998"/>
    <d v="1899-12-30T04:03:00"/>
    <s v="Kos Campur"/>
    <m/>
    <s v="Diskon 80rb"/>
  </r>
  <r>
    <s v="Kost Singgahsini Harmasi Tipe B Kembangan Jakarta Barat"/>
    <x v="3"/>
    <x v="71"/>
    <n v="6"/>
    <s v="3 x 2 meter"/>
    <s v="Tidak termasuk listrik"/>
    <s v=""/>
    <s v="N/A"/>
    <s v="3 x 2 meter; Tidak termasuk listrik; AC; Kasur; Lemari Baju; Jendela; K. Mandi Dalam; Kloset Jongkok; Shower; Bak mandi; WiFi; R. Jemur; Dapur; Parkir Motor &amp; Sepeda"/>
    <n v="1375000"/>
    <s v="Rp1.375.000"/>
    <n v="0.17013888888888887"/>
    <d v="1899-12-30T04:05:00"/>
    <s v="Kos Campur"/>
    <m/>
    <s v="Diskon 80rb"/>
  </r>
  <r>
    <s v="Kost Singgahsini Harun Tipe A Kebon Jeruk Jakarta Barat"/>
    <x v="3"/>
    <x v="61"/>
    <n v="12"/>
    <s v="3 x 4 meter"/>
    <s v="Tidak termasuk listrik"/>
    <n v="1575000"/>
    <s v="Rp1.575.000"/>
    <s v="3 x 4 meter; Tidak termasuk listrik; AC; Kasur; Meja; Lemari Baju; Ventilasi; Kursi; Bantal; Dapur Pribadi; Guling; Jendela; Kloset Duduk; K. Mandi Luar; Ember mandi; Shower; WiFi; Kulkas; R. Jemur; Dapur; CCTV; Parkir Motor; Parkir Sepeda"/>
    <n v="1451000"/>
    <s v="Rp1.451.000"/>
    <n v="0.17083333333333331"/>
    <d v="1899-12-30T04:06:00"/>
    <s v="Kos Campur"/>
    <m/>
    <s v="Diskon 124rb"/>
  </r>
  <r>
    <s v="Kost Singgahsini Harun Tipe C Kebon Jeruk Jakarta Barat"/>
    <x v="3"/>
    <x v="61"/>
    <n v="8.75"/>
    <s v="3.5 x 2.5 meter"/>
    <s v="Tidak termasuk listrik"/>
    <n v="1285000"/>
    <s v="Rp1.285.000"/>
    <s v="3.5 x 2.5 meter; Tidak termasuk listrik; AC; Kasur; Meja; Lemari Baju; Ventilasi; Kursi; Bantal; Cermin; Guling; Jendela; Kloset Duduk; K. Mandi Luar; Ember mandi; Shower; WiFi; Kulkas; R. Jemur; Dapur; CCTV; Parkir Motor; Parkir Sepeda"/>
    <n v="1184200"/>
    <s v="Rp1.184.200"/>
    <n v="0.17222222222222225"/>
    <d v="1899-12-30T04:08:00"/>
    <s v="Kos Campur"/>
    <m/>
    <s v="Diskon 101rb"/>
  </r>
  <r>
    <s v="Kost Singgahsini Hasyim Ashari Tipe A Cideng Jakarta Pusat"/>
    <x v="9"/>
    <x v="135"/>
    <n v="9"/>
    <s v="3 x 3 meter"/>
    <s v="Tidak termasuk listrik"/>
    <s v=""/>
    <s v="N/A"/>
    <s v="3 x 3 meter; Tidak termasuk listrik; AC; Kasur; Meja; TV; Lemari Baju; Kursi; Bantal; Cermin; Guling; Jendela; K. Mandi Dalam; Kloset Duduk; Shower; WiFi; R. Cuci; Kulkas; R. Tamu; Dapur; K. Mandi Luar; Parkir Mobil; Parkir Motor"/>
    <n v="2025000"/>
    <s v="Rp2.025.000"/>
    <n v="0.17291666666666669"/>
    <d v="1899-12-30T04:09:00"/>
    <s v="Kos Putri"/>
    <m/>
    <s v="Diskon 93rb"/>
  </r>
  <r>
    <s v="Kost Singgahsini Homey Beji Tipe A UI Depok"/>
    <x v="1"/>
    <x v="16"/>
    <n v="9"/>
    <s v="3 x 3 meter"/>
    <s v="Tidak termasuk listrik"/>
    <n v="1350000"/>
    <s v="Rp1.350.000"/>
    <s v="3 x 3 meter; Tidak termasuk listrik; AC; Kasur; Meja; Lemari Baju; Ventilasi; Kursi; Bantal; Cermin; Jendela; K. Mandi Dalam; Kloset Duduk; Kloset Jongkok; Ember mandi; Shower; Bak mandi; WiFi; R. Cuci; Kulkas; R. Tamu; Penjaga Kos; R. Makan; Dapur; Dispenser; TV; K. Mandi Luar; Parkir Mobil; Parkir Motor; Parkir Sepeda; Parkir Motor &amp; Sepeda"/>
    <n v="1215000"/>
    <s v="Rp1.215.000"/>
    <n v="0.17291666666666669"/>
    <d v="1899-12-30T04:09:00"/>
    <s v="Kos Putri"/>
    <m/>
    <s v="Diskon 135rb"/>
  </r>
  <r>
    <s v="Kost Singgahsini Homey Beji Tipe B UI Depok"/>
    <x v="1"/>
    <x v="16"/>
    <n v="9"/>
    <s v="3 x 3 meter"/>
    <s v="Tidak termasuk listrik"/>
    <n v="1150000"/>
    <s v="Rp1.150.000"/>
    <s v="3 x 3 meter; Tidak termasuk listrik; AC; Kasur; Meja; Lemari Baju; Ventilasi; Kursi; Bantal; Cermin; Jendela; Kloset Duduk; Kloset Jongkok; K. Mandi Luar; Ember mandi; Shower; Bak mandi; WiFi; R. Cuci; Kulkas; R. Tamu; Penjaga Kos; R. Makan; Dapur; Dispenser; TV; Parkir Mobil; Parkir Motor; Parkir Sepeda; Parkir Motor &amp; Sepeda"/>
    <n v="1035000"/>
    <s v="Rp1.035.000"/>
    <n v="0.17291666666666669"/>
    <d v="1899-12-30T04:09:00"/>
    <s v="Kos Putri"/>
    <m/>
    <s v="Diskon 115rb"/>
  </r>
  <r>
    <s v="Kost Singgahsini Homey Beji Tipe C UI Depok"/>
    <x v="1"/>
    <x v="16"/>
    <n v="6"/>
    <s v="3 x 2 meter"/>
    <s v="Tidak termasuk listrik"/>
    <n v="1200000"/>
    <s v="Rp1.200.000"/>
    <s v="3 x 2 meter; Tidak termasuk listrik; AC; Kasur; Meja; Lemari Baju; Ventilasi; Kursi; Kipas Angin; Bantal; Jendela; Kloset Duduk; Kloset Jongkok; K. Mandi Luar; Ember mandi; Shower; Bak mandi; WiFi; R. Cuci; Kulkas; R. Tamu; Penjaga Kos; R. Makan; Dapur; Dispenser; TV; Parkir Mobil; Parkir Motor; Parkir Sepeda; Parkir Motor &amp; Sepeda"/>
    <n v="1080000"/>
    <s v="Rp1.080.000"/>
    <n v="0.20833333333333334"/>
    <d v="1899-12-30T05:00:00"/>
    <s v="Kos Putri"/>
    <m/>
    <s v="Diskon 120rb"/>
  </r>
  <r>
    <s v="Kost Singgahsini Homy Home Tipe A Tangerang"/>
    <x v="6"/>
    <x v="105"/>
    <n v="12.15"/>
    <s v="4.5 x 2.7 meter"/>
    <s v="Tidak termasuk listrik"/>
    <n v="2275000"/>
    <s v="Rp2.275.000"/>
    <s v="4.5 x 2.7 meter; Tidak termasuk listrik; AC; Kasur; Meja; Lemari Baju; Ventilasi; Kursi; Wastafel; Bantal; Cermin; Jendela; K. Mandi Dalam; Kloset Duduk; Shower; Air panas; WiFi; Kulkas; R. Tamu; Penjaga Kos; R. Jemur; Dapur; K. Mandi Luar; Jemuran; Parkir Motor &amp; Sepeda"/>
    <n v="2162500"/>
    <s v="Rp2.162.500"/>
    <n v="0.17013888888888887"/>
    <d v="1899-12-30T04:05:00"/>
    <s v="Kos Campur"/>
    <m/>
    <s v="Diskon 113rb"/>
  </r>
  <r>
    <s v="Kost Singgahsini Homy Home Tipe B Tangerang"/>
    <x v="6"/>
    <x v="105"/>
    <n v="9.990000000000002"/>
    <s v="3.7 x 2.7 meter"/>
    <s v="Tidak termasuk listrik"/>
    <n v="2050000"/>
    <s v="Rp2.050.000"/>
    <s v="3.7 x 2.7 meter; Tidak termasuk listrik; AC; Kasur; Meja; Lemari Baju; Ventilasi; Kursi; Wastafel; Bantal; Cermin; Jendela; K. Mandi Dalam; Kloset Duduk; Shower; Air panas; WiFi; Kulkas; R. Tamu; Penjaga Kos; R. Jemur; Dapur; K. Mandi Luar; Jemuran; Parkir Motor &amp; Sepeda"/>
    <n v="1948750"/>
    <s v="Rp1.948.750"/>
    <n v="0.16944444444444443"/>
    <d v="1899-12-30T04:04:00"/>
    <s v="Kos Campur"/>
    <m/>
    <s v="Diskon 101rb"/>
  </r>
  <r>
    <s v="Kost Singgahsini Homy Home Tipe C Tangerang"/>
    <x v="6"/>
    <x v="105"/>
    <n v="9.990000000000002"/>
    <s v="3.7 x 2.7 meter"/>
    <s v="Tidak termasuk listrik"/>
    <n v="1825000"/>
    <s v="Rp1.825.000"/>
    <s v="3.7 x 2.7 meter; Tidak termasuk listrik; AC; Kasur; Lemari Baju; Wastafel; Bantal; Cermin; K. Mandi Dalam; Kloset Duduk; Shower; Air panas; WiFi; Kulkas; R. Tamu; Penjaga Kos; R. Jemur; Dapur; K. Mandi Luar; Jemuran; Parkir Motor &amp; Sepeda"/>
    <n v="1735000"/>
    <s v="Rp1.735.000"/>
    <n v="0.17083333333333331"/>
    <d v="1899-12-30T04:06:00"/>
    <s v="Kos Campur"/>
    <m/>
    <s v="Diskon 90rb"/>
  </r>
  <r>
    <s v="Kost Singgahsini House of Marsya Tipe A Cilandak Jakarta Selatan"/>
    <x v="5"/>
    <x v="7"/>
    <n v="12"/>
    <s v="4 x 3 meter"/>
    <s v="Termasuk listrik (implied)"/>
    <s v=""/>
    <s v="N/A"/>
    <s v="4 x 3 meter; Termasuk listrik; AC; Kasur; Meja; TV; Meja Rias; Lemari Baju; Kulkas; Kursi; Cleaning service; Meja makan; K. Mandi Dalam; Kloset Duduk; Shower; Air panas; WiFi; R. Tamu; Penjaga Kos; Laundry; R. Makan; R. Santai; Dapur; Dispenser; Parkir Mobil; Parkir Motor; Parkir Sepeda; Parkir Motor &amp; Sepeda"/>
    <n v="3775000"/>
    <s v="Rp3.775.000"/>
    <n v="0.17222222222222225"/>
    <d v="1899-12-30T04:08:00"/>
    <s v="Kos Campur"/>
    <m/>
    <s v="Diskon 193rb"/>
  </r>
  <r>
    <s v="Kost Singgahsini Hygge Hus Kampung Bali Tipe B Tanah Abang Jakarta Pusat"/>
    <x v="9"/>
    <x v="42"/>
    <n v="8"/>
    <s v="4 x 2 meter"/>
    <s v="Tidak termasuk listrik"/>
    <n v="2325000"/>
    <s v="Rp2.325.000"/>
    <s v="4 x 2 meter; Tidak termasuk listrik; AC; Kasur; Meja; TV; Lemari Baju; Kursi; Bantal; Cermin; Guling; Jendela; K. Mandi Dalam; Kloset Duduk; Shower; WiFi; R. Cuci; Kulkas; R. Tamu; Penjaga Kos; R. Jemur; Dapur; Dispenser; Rice Cooker; Parkir Mobil; Parkir Motor &amp; Sepeda"/>
    <n v="2210000"/>
    <s v="Rp2.210.000"/>
    <n v="0.17222222222222225"/>
    <d v="1899-12-30T04:08:00"/>
    <s v="Kos Campur"/>
    <m/>
    <s v="Diskon 115rb"/>
  </r>
  <r>
    <s v="Kost Singgahsini Idola Tipe D Kebon Jeruk Jakarta Barat"/>
    <x v="3"/>
    <x v="14"/>
    <n v="8.4600000000000009"/>
    <s v="1.8 x 4.7 meter"/>
    <s v="Tidak termasuk listrik"/>
    <n v="1555000"/>
    <s v="Rp1.555.000"/>
    <s v="1.8 x 4.7 meter; Tidak termasuk listrik; AC; Kasur; Meja; TV; Lemari Baju; Kursi; Bantal; Jendela; Kloset Duduk; K. Mandi Luar; Shower; Air panas; WiFi; Kulkas; R. Tamu; Mesin Cuci; Penjaga Kos; R. Jemur; Dapur; Dispenser; CCTV; Parkir Mobil; Parkir Motor; Parkir Sepeda"/>
    <n v="1432600"/>
    <s v="Rp1.432.600"/>
    <n v="0.20833333333333334"/>
    <d v="1899-12-30T05:00:00"/>
    <s v="Kos Campur"/>
    <m/>
    <s v="Diskon 122rb"/>
  </r>
  <r>
    <s v="Kost Singgahsini Ikhaya Kukusan Tipe A Beji Depok"/>
    <x v="1"/>
    <x v="16"/>
    <n v="12"/>
    <s v="3 x 4 meter"/>
    <s v="Tidak termasuk listrik"/>
    <n v="1965000"/>
    <s v="Rp1.965.000"/>
    <s v="3 x 4 meter; Tidak termasuk listrik; AC; Kasur; Meja; TV; Lemari Baju; Ventilasi; Kursi; Bantal; Guling; Jendela; K. Mandi Dalam; Kloset Duduk; Wastafel; Shower; Air panas; WiFi; Kulkas; R. Tamu; Penjaga Kos; R. Makan; R. Jemur; Dapur; Dispenser; Taman; Parkir Mobil; Parkir Motor"/>
    <n v="1771000"/>
    <s v="Rp1.771.000"/>
    <n v="0.17291666666666669"/>
    <d v="1899-12-30T04:09:00"/>
    <s v="Kos Putri"/>
    <m/>
    <s v="Diskon 194rb"/>
  </r>
  <r>
    <s v="Kost Singgahsini Ikhaya Kukusan Tipe B Beji Depok"/>
    <x v="1"/>
    <x v="15"/>
    <n v="24.8"/>
    <s v="6.2 x 4 meter"/>
    <s v="Tidak termasuk listrik"/>
    <n v="3075000"/>
    <s v="Rp3.075.000"/>
    <s v="6.2 x 4 meter; Tidak termasuk listrik; AC; Kasur; Meja; TV; Lemari Baju; Kulkas; Ventilasi; Kursi; Wastafel; Sofa; K. Mandi Dalam; Kloset Duduk; Shower; Air panas; WiFi; R. Tamu; Penjaga Kos; R. Makan; R. Jemur; Dapur; Dispenser; Taman; Parkir Mobil; Parkir Motor"/>
    <n v="2770000"/>
    <s v="Rp2.770.000"/>
    <n v="0.17083333333333331"/>
    <d v="1899-12-30T04:06:00"/>
    <s v="Kos Putri"/>
    <m/>
    <s v="Diskon 305rb"/>
  </r>
  <r>
    <s v="Kost Singgahsini Ikhlas Tipe C Pesanggrahan Jakarta Selatan"/>
    <x v="5"/>
    <x v="187"/>
    <n v="9"/>
    <s v="3 x 3 meter"/>
    <s v="Tidak termasuk listrik"/>
    <n v="925000"/>
    <s v="Rp925.000"/>
    <s v="3 x 3 meter; Tidak termasuk listrik; Kasur; Meja; Lemari Baju; Ventilasi; Kursi; Kipas Angin; Bantal; Jendela; K. Mandi Dalam; Kloset Jongkok; Ember mandi; Shower; WiFi; Penjaga Kos; R. Jemur; Dapur; Parkir Motor &amp; Sepeda"/>
    <n v="880000"/>
    <s v="Rp880.000"/>
    <n v="0.17222222222222225"/>
    <d v="1899-12-30T04:08:00"/>
    <s v="Kos Campur"/>
    <m/>
    <s v="Diskon 45rb"/>
  </r>
  <r>
    <s v="Kost Singgahsini Indira Tipe A Cipondoh Tangerang"/>
    <x v="6"/>
    <x v="97"/>
    <n v="7.25"/>
    <s v="2.5 x 2.9 meter"/>
    <s v="Tidak termasuk listrik"/>
    <n v="1250000"/>
    <s v="Rp1.250.000"/>
    <s v="2.5 x 2.9 meter; Tidak termasuk listrik; AC; Kasur; Lemari Baju; Ventilasi; Bantal; Jendela; Cermin; Guling; K. Mandi Dalam; Kloset Jongkok; Ember mandi; WiFi; R. Cuci; Kulkas; R. Tamu; Mesin Cuci; R. Jemur; Dapur; Jemuran; Parkir Motor &amp; Sepeda"/>
    <n v="1125000"/>
    <s v="Rp1.125.000"/>
    <n v="0.20833333333333334"/>
    <d v="1899-12-30T05:00:00"/>
    <s v="Kos Putri"/>
    <m/>
    <s v="Diskon 125rb"/>
  </r>
  <r>
    <s v="Kost Singgahsini Indri Taska 35 Tipe A Kelapa Gading Jakarta Utara"/>
    <x v="4"/>
    <x v="111"/>
    <n v="10.5"/>
    <s v="3 x 3.5 meter"/>
    <s v="Tidak termasuk listrik"/>
    <s v=""/>
    <s v="N/A"/>
    <s v="3 x 3.5 meter; Tidak termasuk listrik; AC; Kasur; Meja; Lemari Baju; Kursi; Bantal; Cermin; Jendela; Kloset Duduk; K. Mandi Luar; Shower; Air panas; WiFi; Kulkas; Penjaga Kos; R. Jemur; Dapur; Dispenser; CCTV; Jemuran; Parkir Motor &amp; Sepeda"/>
    <n v="1775000"/>
    <s v="Rp1.775.000"/>
    <n v="0.17083333333333331"/>
    <d v="1899-12-30T04:06:00"/>
    <s v="Kos Putri"/>
    <m/>
    <s v="Diskon 148rb"/>
  </r>
  <r>
    <s v="Kost Singgahsini Indri Taska 35 Tipe B Kelapa Gading Jakarta Utara"/>
    <x v="4"/>
    <x v="111"/>
    <n v="8.75"/>
    <s v="3.5 x 2.5 meter"/>
    <s v="Tidak termasuk listrik"/>
    <s v=""/>
    <s v="N/A"/>
    <s v="3.5 x 2.5 meter; Tidak termasuk listrik; AC; Kasur; Meja; Lemari Baju; Ventilasi; Kursi; Bantal; Cermin; Jendela; Kloset Duduk; K. Mandi Luar; Shower; Air panas; WiFi; Kulkas; Penjaga Kos; R. Jemur; Dapur; Dispenser; CCTV; Jemuran; Parkir Motor &amp; Sepeda"/>
    <n v="1675000"/>
    <s v="Rp1.675.000"/>
    <n v="0.20833333333333334"/>
    <d v="1899-12-30T05:00:00"/>
    <s v="Kos Putri"/>
    <m/>
    <s v="Diskon 128rb"/>
  </r>
  <r>
    <s v="Kost Singgahsini Indri Taska 35 Tipe C Kelapa Gading Jakarta Utara"/>
    <x v="4"/>
    <x v="111"/>
    <n v="7.5"/>
    <s v="3 x 2.5 meter"/>
    <s v="Tidak termasuk listrik"/>
    <s v=""/>
    <s v="N/A"/>
    <s v="3 x 2.5 meter; Tidak termasuk listrik; AC; Kasur; Meja; Lemari Baju; Ventilasi; Kursi; Bantal; Cermin; Jendela; Kloset Duduk; K. Mandi Luar; Shower; Air panas; WiFi; Kulkas; Penjaga Kos; R. Jemur; Dapur; Dispenser; CCTV; Jemuran; Parkir Motor &amp; Sepeda"/>
    <n v="1675000"/>
    <s v="Rp1.675.000"/>
    <n v="0.20833333333333334"/>
    <d v="1899-12-30T05:00:00"/>
    <s v="Kos Putri"/>
    <m/>
    <s v="Diskon 128rb"/>
  </r>
  <r>
    <s v="Kost Singgahsini Indri Taska 35 Tipe D Kelapa Gading Jakarta Utara"/>
    <x v="4"/>
    <x v="111"/>
    <n v="6.25"/>
    <s v="2.5 x 2.5 meter"/>
    <s v="Tidak termasuk listrik"/>
    <s v=""/>
    <s v="N/A"/>
    <s v="2.5 x 2.5 meter; Tidak termasuk listrik; AC; Kasur; Meja; Lemari Baju; Kursi; Bantal; Cermin; Jendela; Kloset Duduk; K. Mandi Luar; Shower; Air panas; WiFi; Kulkas; Penjaga Kos; R. Jemur; Dapur; Dispenser; CCTV; Jemuran; Parkir Motor &amp; Sepeda"/>
    <n v="1525000"/>
    <s v="Rp1.525.000"/>
    <n v="0.17291666666666669"/>
    <d v="1899-12-30T04:09:00"/>
    <s v="Kos Putri"/>
    <m/>
    <s v="Diskon 128rb"/>
  </r>
  <r>
    <s v="Kost Singgahsini Inn Taman Mahkota Tipe A Tangerang"/>
    <x v="6"/>
    <x v="24"/>
    <n v="8.9599999999999991"/>
    <s v="3.2 x 2.8 meter"/>
    <s v="Tidak termasuk listrik"/>
    <n v="1825000"/>
    <s v="Rp1.825.000"/>
    <s v="3.2 x 2.8 meter; Tidak termasuk listrik; AC; Kasur; Lemari Baju; Bantal; Cermin; Guling; Jendela; K. Mandi Dalam; Kloset Duduk; Shower; WiFi; Kulkas; Penjaga Kos; R. Makan; R. Jemur; Dapur; CCTV; Jemuran; Parkir Motor &amp; Sepeda"/>
    <n v="1645000"/>
    <s v="Rp1.645.000"/>
    <n v="0.17083333333333331"/>
    <d v="1899-12-30T04:06:00"/>
    <s v="Kos Campur"/>
    <m/>
    <s v="Diskon 180rb"/>
  </r>
  <r>
    <s v="Kost Singgahsini Inn Taman Mahkota Tipe B Tangerang"/>
    <x v="6"/>
    <x v="24"/>
    <n v="7.4"/>
    <s v="3.7 x 2 meter"/>
    <s v="Tidak termasuk listrik"/>
    <n v="1625000"/>
    <s v="Rp1.625.000"/>
    <s v="3.7 x 2 meter; Tidak termasuk listrik; AC; Kasur; Lemari Baju; Bantal; Cermin; Guling; Jendela; K. Mandi Dalam; Kloset Duduk; Shower; WiFi; Kulkas; Penjaga Kos; R. Makan; R. Jemur; Dapur; CCTV; Jemuran; Parkir Motor &amp; Sepeda"/>
    <n v="1465000"/>
    <s v="Rp1.465.000"/>
    <n v="0.17083333333333331"/>
    <d v="1899-12-30T04:06:00"/>
    <s v="Kos Campur"/>
    <m/>
    <s v="Diskon 160rb"/>
  </r>
  <r>
    <s v="Kost Singgahsini Inn Taman Mahkota Tipe C Tangerang"/>
    <x v="6"/>
    <x v="24"/>
    <n v="4.5"/>
    <s v="2.5 x 1.8 meter"/>
    <s v="Tidak termasuk listrik"/>
    <n v="1375000"/>
    <s v="Rp1.375.000"/>
    <s v="2.5 x 1.8 meter; Tidak termasuk listrik; AC; Kasur; Lemari Baju; Bantal; Cermin; Guling; Jendela; Kloset Duduk; K. Mandi Luar; Shower; WiFi; Kulkas; Penjaga Kos; R. Makan; R. Jemur; Dapur; CCTV; Jemuran; Parkir Motor &amp; Sepeda"/>
    <n v="1240000"/>
    <s v="Rp1.240.000"/>
    <n v="0.17083333333333331"/>
    <d v="1899-12-30T04:06:00"/>
    <s v="Kos Campur"/>
    <m/>
    <s v="Diskon 135rb"/>
  </r>
  <r>
    <s v="Kost Singgahsini Ino Kebagusan Tipe C Pasar Minggu Jakarta Selatan"/>
    <x v="5"/>
    <x v="43"/>
    <n v="14"/>
    <s v="3.5 x 4 meter"/>
    <s v="Tidak termasuk listrik"/>
    <s v=""/>
    <s v="N/A"/>
    <s v="3.5 x 4 meter; Tidak termasuk listrik; AC; Kasur; Meja; Lemari Baju; Ventilasi; Kursi; Bantal; Guling; Jendela; K. Mandi Dalam; Kloset Duduk; Wastafel; Shower; WiFi; Kulkas; R. Tamu; R. Jemur; Dapur; TV; K. Mandi Luar; CCTV; Parkir Mobil; Parkir Motor; Parkir Sepeda"/>
    <n v="1975000"/>
    <s v="Rp1.975.000"/>
    <n v="0.17222222222222225"/>
    <d v="1899-12-30T04:08:00"/>
    <s v="Kos Putri"/>
    <m/>
    <s v="Diskon 210rb"/>
  </r>
  <r>
    <s v="Kost Singgahsini Ivory Tipe A Tangerang"/>
    <x v="6"/>
    <x v="22"/>
    <n v="12"/>
    <s v="5 x 2.4 meter"/>
    <s v="Tidak termasuk listrik"/>
    <s v=""/>
    <s v="N/A"/>
    <s v="5 x 2.4 meter; Tidak termasuk listrik; AC; Kasur; Meja; TV; Lemari Baju; Ventilasi; Kursi; Bantal; Jendela; Cermin; K. Mandi Dalam; Kloset Duduk; Shower; Air panas; WiFi; Kulkas; R. Tamu; Penjaga Kos; R. Jemur; Dapur; Dispenser; Parkir Mobil; Parkir Motor &amp; Sepeda"/>
    <n v="2225000"/>
    <s v="Rp2.225.000"/>
    <n v="0.16944444444444443"/>
    <d v="1899-12-30T04:04:00"/>
    <s v="Kos Campur"/>
    <m/>
    <s v="Diskon 105rb"/>
  </r>
  <r>
    <s v="Kost Singgahsini Ivory Tipe B Tangerang"/>
    <x v="6"/>
    <x v="22"/>
    <n v="10.4"/>
    <s v="2.6 x 4 meter"/>
    <s v="Tidak termasuk listrik"/>
    <s v=""/>
    <s v="N/A"/>
    <s v="2.6 x 4 meter; Tidak termasuk listrik; AC; Kasur; Meja; TV; Lemari Baju; Ventilasi; Kursi; Bantal; Jendela; Cermin; K. Mandi Dalam; Kloset Duduk; Shower; Air panas; WiFi; Kulkas; R. Tamu; Penjaga Kos; R. Jemur; Dapur; Dispenser; Parkir Mobil; Parkir Motor &amp; Sepeda"/>
    <n v="2125000"/>
    <s v="Rp2.125.000"/>
    <n v="0.17083333333333331"/>
    <d v="1899-12-30T04:06:00"/>
    <s v="Kos Campur"/>
    <m/>
    <s v="Diskon 105rb"/>
  </r>
  <r>
    <s v="Kost Singgahsini Ivory Tipe C Tangerang"/>
    <x v="6"/>
    <x v="22"/>
    <n v="6"/>
    <s v="3 x 2 meter"/>
    <s v="Tidak termasuk listrik"/>
    <s v=""/>
    <s v="N/A"/>
    <s v="3 x 2 meter; Tidak termasuk listrik; AC; Kasur; Meja; TV; Lemari Baju; Ventilasi; Kursi; Bantal; Jendela; Cermin; K. Mandi Dalam; Kloset Duduk; Shower; Air panas; WiFi; Kulkas; R. Tamu; Penjaga Kos; R. Jemur; Dapur; Dispenser; Parkir Mobil; Parkir Motor &amp; Sepeda"/>
    <n v="1925000"/>
    <s v="Rp1.925.000"/>
    <n v="0.16874999999999998"/>
    <d v="1899-12-30T04:03:00"/>
    <s v="Kos Campur"/>
    <m/>
    <s v="Diskon 90rb"/>
  </r>
  <r>
    <s v="Kost Singgahsini J House Tipe B Tebet Jakarta Selatan"/>
    <x v="5"/>
    <x v="64"/>
    <n v="12"/>
    <s v="3 x 4 meter"/>
    <s v="Tidak termasuk listrik"/>
    <s v=""/>
    <s v="N/A"/>
    <s v="3 x 4 meter; Tidak termasuk listrik; AC; Kasur; Meja; Lemari Baju; Kulkas; Ventilasi; Kursi; Bantal; Jendela; K. Mandi Dalam; Kloset Duduk; Shower; Air panas; WiFi; Penjaga Kos; Laundry; R. Makan; Dapur; Rice Cooker; Parkir Mobil; Parkir Motor"/>
    <n v="2325000"/>
    <s v="Rp2.325.000"/>
    <n v="0.17083333333333331"/>
    <d v="1899-12-30T04:06:00"/>
    <s v="Kos Putri"/>
    <m/>
    <s v="Diskon 125rb"/>
  </r>
  <r>
    <s v="Kost Singgahsini J House Tipe C Tebet Jakarta Selatan"/>
    <x v="5"/>
    <x v="189"/>
    <n v="9.6000000000000014"/>
    <s v="3 x 3.2 meter"/>
    <s v="Tidak termasuk listrik"/>
    <n v="2525000"/>
    <s v="Rp2.525.000"/>
    <s v="3 x 3.2 meter; Tidak termasuk listrik; AC; Kasur; Meja; Lemari Baju; Ventilasi; Kursi; Bantal; K. Mandi Dalam; Kloset Duduk; Shower; Air panas; WiFi; Kulkas; Penjaga Kos; Laundry; R. Makan; Dapur; Rice Cooker; Parkir Mobil; Parkir Motor"/>
    <n v="2400000"/>
    <s v="Rp2.400.000"/>
    <n v="0.17083333333333331"/>
    <d v="1899-12-30T04:06:00"/>
    <s v="Kos Putri"/>
    <m/>
    <s v="Diskon 125rb"/>
  </r>
  <r>
    <s v="Kost Singgahsini J Residence Tipe A Pulo Gadung Jakarta Timur"/>
    <x v="8"/>
    <x v="32"/>
    <n v="9"/>
    <s v="3 x 3 meter"/>
    <s v="Tidak termasuk listrik"/>
    <n v="2225000"/>
    <s v="Rp2.225.000"/>
    <s v="3 x 3 meter; Tidak termasuk listrik; AC; Kasur; Meja; Lemari Baju; Kursi; Bantal; Jendela; K. Mandi Dalam; Kloset Duduk; Shower; Air panas; WiFi; R. Cuci; Mesin Cuci; Penjaga Kos; Laundry; R. Makan; R. Jemur; Dapur; CCTV; Jemuran; Parkir Mobil; Parkir Motor &amp; Sepeda"/>
    <n v="2115000"/>
    <s v="Rp2.115.000"/>
    <n v="0.17222222222222225"/>
    <d v="1899-12-30T04:08:00"/>
    <s v="Kos Campur"/>
    <m/>
    <s v="Diskon 110rb"/>
  </r>
  <r>
    <s v="Kost Singgahsini J Residence Tipe B Pulo Gadung Jakarta Timur"/>
    <x v="8"/>
    <x v="32"/>
    <n v="9"/>
    <s v="3 x 3 meter"/>
    <s v="Tidak termasuk listrik"/>
    <n v="2125000"/>
    <s v="Rp2.125.000"/>
    <s v="3 x 3 meter; Tidak termasuk listrik; AC; Kasur; Meja; Lemari Baju; Kursi; Bantal; K. Mandi Dalam; Kloset Duduk; Shower; Air panas; WiFi; R. Cuci; Mesin Cuci; Penjaga Kos; Laundry; R. Makan; R. Jemur; Dapur; CCTV; Jemuran; Parkir Mobil; Parkir Motor &amp; Sepeda"/>
    <n v="2020000"/>
    <s v="Rp2.020.000"/>
    <n v="0.17013888888888887"/>
    <d v="1899-12-30T04:05:00"/>
    <s v="Kos Campur"/>
    <m/>
    <s v="Diskon 105rb"/>
  </r>
  <r>
    <s v="Kost Singgahsini Jasmine Bango 1 Tipe A Cibodas Tangerang"/>
    <x v="6"/>
    <x v="92"/>
    <n v="8.6999999999999993"/>
    <s v="2.9 x 3 meter"/>
    <s v="Tidak termasuk listrik"/>
    <n v="1325000"/>
    <s v="Rp1.325.000"/>
    <s v="2.9 x 3 meter; Tidak termasuk listrik; AC; Kasur; Lemari Baju; Ventilasi; Kursi; Bantal; Jendela; Kloset Duduk; K. Mandi Luar; Ember mandi; Shower; WiFi; R. Tamu; Dapur; CCTV; Parkir Motor; Parkir Sepeda; Parkir Motor &amp; Sepeda"/>
    <n v="1221000"/>
    <s v="Rp1.221.000"/>
    <n v="0.20833333333333334"/>
    <d v="1899-12-30T05:00:00"/>
    <s v="Kos Putra"/>
    <m/>
    <s v="Diskon 104rb"/>
  </r>
  <r>
    <s v="Kost Singgahsini Jasmine Bango 1 Tipe B Cibodas Tangerang"/>
    <x v="6"/>
    <x v="92"/>
    <n v="12"/>
    <s v="3 x 4 meter"/>
    <s v="Tidak termasuk listrik"/>
    <n v="1525000"/>
    <s v="Rp1.525.000"/>
    <s v="3 x 4 meter; Tidak termasuk listrik; AC; Kasur; Lemari Baju; Ventilasi; Kursi; Bantal; Jendela; K. Mandi Dalam; Kloset Duduk; Shower; WiFi; R. Tamu; Dapur; K. Mandi Luar; CCTV; Parkir Motor; Parkir Sepeda; Parkir Motor &amp; Sepeda"/>
    <n v="1405000"/>
    <s v="Rp1.405.000"/>
    <n v="0.17083333333333331"/>
    <d v="1899-12-30T04:06:00"/>
    <s v="Kos Putra"/>
    <m/>
    <s v="Diskon 120rb"/>
  </r>
  <r>
    <s v="Kost Singgahsini Java Tentrem Tipe A Ciputat Timur Tangerang Selatan"/>
    <x v="2"/>
    <x v="52"/>
    <n v="17.5"/>
    <s v="3.5 x 5 meter"/>
    <s v="Tidak termasuk listrik"/>
    <s v=""/>
    <s v="N/A"/>
    <s v="3.5 x 5 meter; Tidak termasuk listrik; AC; Kasur; Meja; Lemari Baju; Kursi; Wastafel; Bantal; Cermin; Guling; Jendela; K. Mandi Dalam; Kloset Duduk; Shower; Air panas; WiFi; R. Tamu; Penjaga Kos; R. Jemur; Dapur; Gazebo; CCTV; Jemuran; Parkir Mobil; Parkir Motor; Parkir Sepeda"/>
    <n v="2275000"/>
    <s v="Rp2.275.000"/>
    <n v="0.17222222222222225"/>
    <d v="1899-12-30T04:08:00"/>
    <s v="Kos Campur"/>
    <m/>
    <m/>
  </r>
  <r>
    <s v="Kost Singgahsini Java Tentrem Tipe B Ciputat Timur Tangerang Selatan"/>
    <x v="2"/>
    <x v="52"/>
    <n v="12.879999999999999"/>
    <s v="4.6 x 2.8 meter"/>
    <s v="Tidak termasuk listrik"/>
    <s v=""/>
    <s v="N/A"/>
    <s v="4.6 x 2.8 meter; Tidak termasuk listrik; AC; Kasur; Meja; Lemari Baju; Kursi; Bantal; Cermin; Guling; Jendela; K. Mandi Dalam; Kloset Duduk; Wastafel; Shower; Air panas; WiFi; R. Tamu; Penjaga Kos; R. Jemur; Dapur; Gazebo; CCTV; Jemuran; Parkir Mobil; Parkir Motor; Parkir Sepeda"/>
    <n v="2135000"/>
    <s v="Rp2.135.000"/>
    <n v="0.17291666666666669"/>
    <d v="1899-12-30T04:09:00"/>
    <s v="Kos Campur"/>
    <m/>
    <m/>
  </r>
  <r>
    <s v="Kost Singgahsini Java Tentrem Tipe C Ciputat Timur Tangerang Selatan"/>
    <x v="2"/>
    <x v="52"/>
    <n v="22.5"/>
    <s v="4.5 x 5 meter"/>
    <s v="Tidak termasuk listrik"/>
    <s v=""/>
    <s v="N/A"/>
    <s v="4.5 x 5 meter; Tidak termasuk listrik; AC; Kasur; Meja; Lemari Baju; Kursi; K. Mandi Dalam; Kloset Duduk; Shower; Air panas; WiFi; Parkir Mobil; Parkir Motor &amp; Sepeda"/>
    <n v="2325000"/>
    <s v="Rp2.325.000"/>
    <n v="0.16944444444444443"/>
    <d v="1899-12-30T04:04:00"/>
    <s v="Kos Campur"/>
    <m/>
    <s v="Diskon 230rb"/>
  </r>
  <r>
    <s v="Kost Singgahsini Jelamm Tipe A Grogol Petamburan Jakarta Barat"/>
    <x v="3"/>
    <x v="13"/>
    <n v="13.44"/>
    <s v="4.8 x 2.8 meter"/>
    <s v="Tidak termasuk listrik"/>
    <n v="2075000"/>
    <s v="Rp2.075.000"/>
    <s v="4.8 x 2.8 meter; Tidak termasuk listrik; AC; Kasur; Lemari Baju; Bantal; Cermin; Guling; K. Mandi Dalam; Kloset Duduk; Wastafel; Shower; Air panas; WiFi; Dispenser; CCTV; Parkir Motor &amp; Sepeda"/>
    <n v="1972500"/>
    <s v="Rp1.972.500"/>
    <n v="0.17083333333333331"/>
    <d v="1899-12-30T04:06:00"/>
    <s v="Kos Campur"/>
    <m/>
    <s v="Diskon 103rb"/>
  </r>
  <r>
    <s v="Kost Singgahsini Jhon Marcel Tipe B Mampang Prapatan Jakarta Selatan"/>
    <x v="5"/>
    <x v="178"/>
    <n v="17.5"/>
    <s v="5 x 3.5 meter"/>
    <s v="Tidak termasuk listrik"/>
    <s v=""/>
    <s v="N/A"/>
    <s v="5 x 3.5 meter; Tidak termasuk listrik; AC; Kasur; Meja; Lemari Baju; Kursi; Cermin; Bantal; Jendela; K. Mandi Dalam; Kloset Duduk; Ember mandi; Shower; Air panas; WiFi; R. Tamu; Dapur; Dispenser; TV; Balcon; Parkir Motor &amp; Sepeda"/>
    <n v="2800000"/>
    <s v="Rp2.800.000"/>
    <n v="0.17222222222222225"/>
    <d v="1899-12-30T04:08:00"/>
    <s v="Kos Campur"/>
    <m/>
    <s v="Diskon 145rb"/>
  </r>
  <r>
    <s v="Kost Singgahsini Jhon Marcel Tipe C Mampang Prapatan Jakarta Selatan"/>
    <x v="5"/>
    <x v="178"/>
    <n v="22.5"/>
    <s v="5 x 4.5 meter"/>
    <s v="Tidak termasuk listrik"/>
    <s v=""/>
    <s v="N/A"/>
    <s v="5 x 4.5 meter; Tidak termasuk listrik; AC; Kasur; Meja; Lemari Baju; Kursi; Cermin; Bantal; Jendela; K. Mandi Dalam; Kloset Duduk; Ember mandi; Shower; Air panas; WiFi; R. Tamu; Dapur; Dispenser; TV; Balcon; Parkir Motor &amp; Sepeda"/>
    <n v="3065000"/>
    <s v="Rp3.065.000"/>
    <n v="0.17222222222222225"/>
    <d v="1899-12-30T04:08:00"/>
    <s v="Kos Campur"/>
    <m/>
    <s v="Diskon 145rb"/>
  </r>
  <r>
    <s v="Kost Singgahsini Joy Kramat Sentiong 85 Tipe A Senen Jakarta Pusat"/>
    <x v="9"/>
    <x v="68"/>
    <n v="13.5"/>
    <s v="4.5 x 3 meter"/>
    <s v="Tidak termasuk listrik"/>
    <s v=""/>
    <s v="N/A"/>
    <s v="4.5 x 3 meter; Tidak termasuk listrik; AC; Kasur; Meja; Lemari Baju; Kursi; Bantal; Cermin; Guling; Jendela; K. Mandi Dalam; Kloset Duduk; Wastafel; Shower; WiFi; Kulkas; R. Tamu; R. Makan; R. Jemur; Dapur; K. Mandi Luar; CCTV; Parkir Mobil; Parkir Motor; Parkir Sepeda; Parkir Motor &amp; Sepeda"/>
    <n v="2025000"/>
    <s v="Rp2.025.000"/>
    <n v="0.17222222222222225"/>
    <d v="1899-12-30T04:08:00"/>
    <s v="Kos Putri"/>
    <m/>
    <m/>
  </r>
  <r>
    <s v="Kost Singgahsini Juanda Omaika Tipe A Gambir Jakarta Pusat"/>
    <x v="9"/>
    <x v="62"/>
    <n v="8.75"/>
    <s v="2.5 x 3.5 meter"/>
    <s v="Tidak termasuk listrik"/>
    <s v=""/>
    <s v="N/A"/>
    <s v="2.5 x 3.5 meter; Tidak termasuk listrik; AC; Kasur; Meja; Lemari Baju; Kursi; Bantal; Cermin; Jendela; K. Mandi Dalam; Kloset Duduk; Wastafel; Shower"/>
    <n v="1875000"/>
    <s v="Rp1.875.000"/>
    <n v="0.17083333333333331"/>
    <d v="1899-12-30T04:06:00"/>
    <s v="Kos Campur"/>
    <m/>
    <m/>
  </r>
  <r>
    <s v="Kost Singgahsini Juanda Omaika Tipe B Gambir Jakarta Pusat"/>
    <x v="9"/>
    <x v="62"/>
    <n v="8.75"/>
    <s v="3.5 x 2.5 meter"/>
    <s v="Tidak termasuk listrik"/>
    <n v="1825000"/>
    <s v="Rp1.825.000"/>
    <s v="3.5 x 2.5 meter; Tidak termasuk listrik; AC; Kasur; Meja; Lemari Baju; Kursi; Cermin; Guling; Jendela; Kloset Duduk; K. Mandi Luar; Shower; WiFi; R. Tamu; CCTV; Parkir Sepeda; Parkir Motor &amp; Sepeda"/>
    <n v="1735000"/>
    <s v="Rp1.735.000"/>
    <n v="0.17083333333333331"/>
    <d v="1899-12-30T04:06:00"/>
    <s v="Kos Campur"/>
    <m/>
    <s v="Diskon 90rb"/>
  </r>
  <r>
    <s v="Kost Singgahsini Juanda One Tipe A Sawah Besar Jakarta Pusat"/>
    <x v="9"/>
    <x v="59"/>
    <n v="20"/>
    <s v="5 x 4 meter"/>
    <s v="Tidak termasuk listrik"/>
    <n v="3825000"/>
    <s v="Rp3.825.000"/>
    <s v="5 x 4 meter; Tidak termasuk listrik; AC; Kasur; Meja; Lemari Baju; Kursi; Bantal; Cermin; Jendela; K. Mandi Dalam; Kloset Duduk; Wastafel; Shower; Air panas; WiFi; R. Tamu; Penjaga Kos; Kartu Akses; CCTV; Parkir Mobil; Parkir Motor &amp; Sepeda"/>
    <n v="3445000"/>
    <s v="Rp3.445.000"/>
    <n v="0.17222222222222225"/>
    <d v="1899-12-30T04:08:00"/>
    <s v="Kos Campur"/>
    <m/>
    <s v="Diskon 380rb"/>
  </r>
  <r>
    <s v="Kost Singgahsini Juju Daan Mogot Estate Tipe A Cengkareng Jakarta Barat"/>
    <x v="3"/>
    <x v="53"/>
    <n v="12.16"/>
    <s v="3.8 x 3.2 meter"/>
    <s v="Tidak termasuk listrik"/>
    <n v="2325000"/>
    <s v="Rp2.325.000"/>
    <s v="3.8 x 3.2 meter; Tidak termasuk listrik; AC; Kasur; Meja; TV; Lemari Baju; Kursi; Bantal; Cermin; Guling; Jendela; K. Mandi Dalam; Kloset Duduk; Shower; Air panas; WiFi; Penjaga Kos; R. Jemur; Parkir Mobil; Parkir Motor &amp; Sepeda"/>
    <n v="2141000"/>
    <s v="Rp2.141.000"/>
    <n v="0.20833333333333334"/>
    <d v="1899-12-30T05:00:00"/>
    <s v="Kos Campur"/>
    <m/>
    <s v="Diskon 184rb"/>
  </r>
  <r>
    <s v="Kost Singgahsini Juju Daan Mogot Estate Tipe B Cengkareng Jakarta Barat"/>
    <x v="3"/>
    <x v="53"/>
    <n v="7.839999999999999"/>
    <s v="2.8 x 2.8 meter"/>
    <s v="Tidak termasuk listrik"/>
    <n v="2025000"/>
    <s v="Rp2.025.000"/>
    <s v="2.8 x 2.8 meter; Tidak termasuk listrik; AC; Kasur; Meja; TV; Lemari Baju; Kursi; Bantal; Cermin; Guling; Jendela; K. Mandi Dalam; Kloset Duduk; Shower; Air panas; WiFi; Penjaga Kos; R. Jemur; Parkir Mobil; Parkir Motor &amp; Sepeda"/>
    <n v="1865000"/>
    <s v="Rp1.865.000"/>
    <n v="0.17291666666666669"/>
    <d v="1899-12-30T04:09:00"/>
    <s v="Kos Campur"/>
    <m/>
    <s v="Diskon 160rb"/>
  </r>
  <r>
    <s v="Kost Singgahsini Junaedi 3 Cipete Tipe A Cilandak Jakarta Selatan"/>
    <x v="5"/>
    <x v="7"/>
    <n v="17.34"/>
    <s v="5.1 x 3.4 meter"/>
    <s v="Tidak termasuk listrik"/>
    <s v=""/>
    <s v="N/A"/>
    <s v="5.1 x 3.4 meter; Tidak termasuk listrik; AC; Kasur; Meja; Lemari Baju; Kursi; K. Mandi Dalam; Kloset Duduk; Shower; WiFi; Penjaga Kos; R. Makan; R. Jemur; Dapur; Dispenser; CCTV; Parkir Motor &amp; Sepeda"/>
    <n v="2325000"/>
    <s v="Rp2.325.000"/>
    <n v="0.17083333333333331"/>
    <d v="1899-12-30T04:06:00"/>
    <s v="Kos Putra"/>
    <m/>
    <m/>
  </r>
  <r>
    <s v="Kost Singgahsini Kana Duren Tiga Tipe B Pancoran Jakarta Selatan"/>
    <x v="5"/>
    <x v="55"/>
    <n v="12.25"/>
    <s v="3.5 x 3.5 meter"/>
    <s v="Tidak termasuk listrik"/>
    <n v="2275000"/>
    <s v="Rp2.275.000"/>
    <s v="3.5 x 3.5 meter; Tidak termasuk listrik; AC; Kasur; Meja; Lemari Baju; Ventilasi; Kursi; Jendela; Bantal; Guling; Kloset Duduk; K. Mandi Luar; Shower; WiFi; Kulkas; R. Tamu; Penjaga Kos; R. Makan; Dapur; Rice Cooker; Parkir Mobil; Parkir Motor &amp; Sepeda"/>
    <n v="2095000"/>
    <s v="Rp2.095.000"/>
    <n v="0.20833333333333334"/>
    <d v="1899-12-30T05:00:00"/>
    <s v="Kos Putra"/>
    <m/>
    <s v="Diskon 180rb"/>
  </r>
  <r>
    <s v="Kost Singgahsini Kanaya Tipe B Cempaka Putih Jakarta Pusat"/>
    <x v="9"/>
    <x v="51"/>
    <n v="11.840000000000002"/>
    <s v="3.7 x 3.2 meter"/>
    <s v="Tidak termasuk listrik"/>
    <n v="3125000"/>
    <s v="Rp3.125.000"/>
    <s v="3.7 x 3.2 meter; Tidak termasuk listrik; AC; Kasur; Meja; Lemari Baju; Kursi; Bantal; Guling; Jendela; K. Mandi Dalam; Kloset Duduk; Shower; WiFi; Kulkas; R. Tamu; R. Makan; Dapur; Dispenser; TV; CCTV; Parkir Mobil; Parkir Motor; Parkir Sepeda"/>
    <n v="2877000"/>
    <s v="Rp2.877.000"/>
    <n v="0.17083333333333331"/>
    <d v="1899-12-30T04:06:00"/>
    <s v="Kos Campur"/>
    <m/>
    <s v="Diskon 248rb"/>
  </r>
  <r>
    <s v="Kost Singgahsini Kanaya Tipe C Cempaka Putih Jakarta Pusat"/>
    <x v="9"/>
    <x v="51"/>
    <n v="16"/>
    <s v="4 x 4 meter"/>
    <s v="Tidak termasuk listrik"/>
    <n v="2875000"/>
    <s v="Rp2.875.000"/>
    <s v="4 x 4 meter; Tidak termasuk listrik; AC; Kasur; Meja; Lemari Baju; Ventilasi; Kursi; Bantal; Cermin; Guling; Jendela; K. Mandi Dalam; Kloset Duduk; Shower; WiFi; Kulkas; R. Tamu; R. Makan; Dapur; Dispenser; TV; CCTV; Parkir Mobil; Parkir Motor; Parkir Sepeda"/>
    <n v="2732500"/>
    <s v="Rp2.732.500"/>
    <n v="0.17291666666666669"/>
    <d v="1899-12-30T04:09:00"/>
    <s v="Kos Campur"/>
    <m/>
    <s v="Diskon 143rb"/>
  </r>
  <r>
    <s v="Kost Singgahsini Kanaya Tipe D Cempaka Putih Jakarta Pusat"/>
    <x v="9"/>
    <x v="51"/>
    <n v="10.36"/>
    <s v="3.7 x 2.8 meter"/>
    <s v="Tidak termasuk listrik"/>
    <n v="2625000"/>
    <s v="Rp2.625.000"/>
    <s v="3.7 x 2.8 meter; Tidak termasuk listrik; AC; Kasur; Meja; Lemari Baju; Ventilasi; Kursi; Bantal; Cermin; Guling; Jendela; K. Mandi Dalam; Kloset Duduk; Shower; WiFi; Kulkas; R. Tamu; R. Makan; Dapur; Dispenser; TV; CCTV; Parkir Mobil; Parkir Motor; Parkir Sepeda"/>
    <n v="2495000"/>
    <s v="Rp2.495.000"/>
    <n v="0.17083333333333331"/>
    <d v="1899-12-30T04:06:00"/>
    <s v="Kos Campur"/>
    <m/>
    <s v="Diskon 130rb"/>
  </r>
  <r>
    <s v="Kost Singgahsini Kartika Eka Paksi Tipe A Makasar Jakarta Timur"/>
    <x v="8"/>
    <x v="45"/>
    <n v="13.5"/>
    <s v="4.5 x 3 meter"/>
    <s v="Tidak termasuk listrik"/>
    <n v="1875000"/>
    <s v="Rp1.875.000"/>
    <s v="4.5 x 3 meter; Tidak termasuk listrik; AC; Kasur; Meja; Lemari Baju; Ventilasi; Kursi; Bantal; Cermin; Guling; Jendela; K. Mandi Dalam; Kloset Duduk; Wastafel; Shower; WiFi; R. Cuci; Kulkas; Penjaga Kos; R. Jemur; Dapur; K. Mandi Luar; CCTV; Jemuran; Parkir Motor &amp; Sepeda"/>
    <n v="1782500"/>
    <s v="Rp1.782.500"/>
    <n v="0.20833333333333334"/>
    <d v="1899-12-30T05:00:00"/>
    <s v="Kos Putra"/>
    <m/>
    <s v="Diskon 93rb"/>
  </r>
  <r>
    <s v="Kost Singgahsini Kartika Eka Paksi Tipe B Makasar Jakarta Timur"/>
    <x v="8"/>
    <x v="45"/>
    <n v="7.5"/>
    <s v="3 x 2.5 meter"/>
    <s v="Tidak termasuk listrik"/>
    <s v=""/>
    <s v="N/A"/>
    <s v="3 x 2.5 meter; Tidak termasuk listrik; Kasur; Lemari Baju; Ventilasi; Kipas Angin; Bantal; Cermin; Guling; Jendela; Kloset Duduk; K. Mandi Luar; WiFi; R. Cuci; Kulkas; Penjaga Kos; R. Jemur; Dapur; CCTV; Jemuran; Parkir Motor &amp; Sepeda"/>
    <n v="525000"/>
    <s v="Rp525.000"/>
    <n v="0.20833333333333334"/>
    <d v="1899-12-30T05:00:00"/>
    <s v="Kos Putra"/>
    <m/>
    <s v="Diskon 93rb"/>
  </r>
  <r>
    <s v="Kost Singgahsini Keagungan 20A Tipe A Taman Sari Jakarta Barat"/>
    <x v="3"/>
    <x v="149"/>
    <n v="7.56"/>
    <s v="2.8 x 2.7 meter"/>
    <s v="Tidak termasuk listrik"/>
    <n v="2025000"/>
    <s v="Rp2.025.000"/>
    <s v="2.8 x 2.7 meter; Tidak termasuk listrik; AC; Kasur; Meja; Meja Rias; Lemari Baju; Kursi; Bantal; Cermin; K. Mandi Dalam; Kloset Duduk; Shower; WiFi; Kulkas; Penjaga Kos; Laundry; R. Jemur; Dapur; K. Mandi Luar; CCTV; Jemuran; Parkir Motor; Parkir Sepeda; Parkir Motor &amp; Sepeda"/>
    <n v="1865000"/>
    <s v="Rp1.865.000"/>
    <n v="0.17291666666666669"/>
    <d v="1899-12-30T04:09:00"/>
    <s v="Kos Campur"/>
    <m/>
    <s v="Diskon 160rb"/>
  </r>
  <r>
    <s v="Kost Singgahsini Keagungan 20A Tipe B Taman Sari Jakarta Barat"/>
    <x v="3"/>
    <x v="149"/>
    <n v="6.72"/>
    <s v="2.8 x 2.4 meter"/>
    <s v="Tidak termasuk listrik"/>
    <n v="1925000"/>
    <s v="Rp1.925.000"/>
    <s v="2.8 x 2.4 meter; Tidak termasuk listrik; AC; Kasur; Meja; Lemari Baju; Kursi; Bantal; Cermin; K. Mandi Dalam; Kloset Jongkok; Shower; WiFi; Kulkas; Penjaga Kos; Laundry; R. Jemur; Dapur; K. Mandi Luar; CCTV; Jemuran; Parkir Motor; Parkir Sepeda; Parkir Motor &amp; Sepeda"/>
    <n v="1773000"/>
    <s v="Rp1.773.000"/>
    <n v="0.17222222222222225"/>
    <d v="1899-12-30T04:08:00"/>
    <s v="Kos Campur"/>
    <m/>
    <s v="Diskon 152rb"/>
  </r>
  <r>
    <s v="Kost Singgahsini Keagungan 20A Tipe C Taman Sari Jakarta Barat"/>
    <x v="3"/>
    <x v="149"/>
    <e v="#VALUE!"/>
    <s v="N/A"/>
    <s v="N/A"/>
    <n v="1475000"/>
    <s v="Rp1.475.000"/>
    <s v=""/>
    <n v="1359000"/>
    <s v="Rp1.359.000"/>
    <n v="0.17222222222222225"/>
    <d v="1899-12-30T04:08:00"/>
    <s v="Kos Campur"/>
    <m/>
    <s v="Diskon 116rb"/>
  </r>
  <r>
    <s v="Kost Singgahsini Kebagusan 56 Tipe A Pasar Minggu Jakarta Selatan"/>
    <x v="5"/>
    <x v="43"/>
    <n v="12"/>
    <s v="3 x 4 meter"/>
    <s v="Tidak termasuk listrik"/>
    <s v=""/>
    <s v="N/A"/>
    <s v="3 x 4 meter; Tidak termasuk listrik; AC; Kasur; Meja; Lemari Baju; Kursi; Bantal; Guling; Jendela; K. Mandi Dalam; Kloset Duduk; Shower; WiFi; Kulkas; Penjaga Kos; R. Jemur; Dapur; CCTV; Parkir Mobil; Parkir Sepeda; Parkir Motor &amp; Sepeda"/>
    <n v="2075000"/>
    <s v="Rp2.075.000"/>
    <n v="0.17222222222222225"/>
    <d v="1899-12-30T04:08:00"/>
    <s v="Kos Putri"/>
    <m/>
    <s v="Diskon 210rb"/>
  </r>
  <r>
    <s v="Kost Singgahsini Kebayoran Lama 17 F Tipe A Kebon Jeruk Jakarta Barat"/>
    <x v="3"/>
    <x v="14"/>
    <n v="6"/>
    <s v="2 x 3 meter"/>
    <s v="Tidak termasuk listrik"/>
    <n v="1275000"/>
    <s v="Rp1.275.000"/>
    <s v="2 x 3 meter; Tidak termasuk listrik; AC; Kasur; Meja; TV; Lemari Baju; Bantal; Cermin; Kloset Duduk; K. Mandi Luar; Shower; WiFi; Kulkas; Dapur; CCTV; Parkir Motor; Parkir Sepeda"/>
    <n v="1212500"/>
    <s v="Rp1.212.500"/>
    <n v="0.17083333333333331"/>
    <d v="1899-12-30T04:06:00"/>
    <s v="Kos Campur"/>
    <m/>
    <s v="Diskon 63rb"/>
  </r>
  <r>
    <s v="Kost Singgahsini Kebon Mangga 26A Tipe A Kebayoran Lama Jakarta Selatan"/>
    <x v="5"/>
    <x v="57"/>
    <n v="7.5600000000000005"/>
    <s v="3.6 x 2.1 meter"/>
    <s v="Tidak termasuk listrik"/>
    <n v="2125000"/>
    <s v="Rp2.125.000"/>
    <s v="3.6 x 2.1 meter; Tidak termasuk listrik; AC; Kasur; Meja; Lemari Baju; Ventilasi; Bantal; Jendela; K. Mandi Dalam; Kloset Duduk; Shower; WiFi; Kulkas; R. Tamu; Penjaga Kos; CCTV; Rooftop; Parkir Mobil; Parkir Motor &amp; Sepeda"/>
    <n v="2020000"/>
    <s v="Rp2.020.000"/>
    <n v="0.17222222222222225"/>
    <d v="1899-12-30T04:08:00"/>
    <s v="Kos Campur"/>
    <m/>
    <s v="Diskon 105rb"/>
  </r>
  <r>
    <s v="Kost Singgahsini Kelapa Sawit Raya 7 Tipe A Kelapa Gading Jakarta Utara"/>
    <x v="4"/>
    <x v="111"/>
    <n v="9"/>
    <s v="3.6 x 2.5 meter"/>
    <s v="Tidak termasuk listrik"/>
    <n v="1750000"/>
    <s v="Rp1.750.000"/>
    <s v="3.6 x 2.5 meter; Tidak termasuk listrik; AC; Kasur; Meja; Lemari Baju; Kursi; K. Mandi Dalam; Kloset Duduk; Shower; WiFi; Kulkas; Laundry; Dapur; K. Mandi Luar; Parkir Motor; Parkir Sepeda"/>
    <n v="1610000"/>
    <s v="Rp1.610.000"/>
    <n v="0.16874999999999998"/>
    <d v="1899-12-30T04:03:00"/>
    <s v="Kos Campur"/>
    <m/>
    <s v="Diskon 140rb"/>
  </r>
  <r>
    <s v="Kost Singgahsini Kelapa Sawit Raya 7 Tipe B Kelapa Gading Jakarta Utara"/>
    <x v="4"/>
    <x v="111"/>
    <n v="7.5"/>
    <s v="3 x 2.5 meter"/>
    <s v="Tidak termasuk listrik"/>
    <n v="1550000"/>
    <s v="Rp1.550.000"/>
    <s v="3 x 2.5 meter; Tidak termasuk listrik; AC; Kasur; Meja; Lemari Baju; Kursi; Bantal; Guling; Jendela; K. Mandi Dalam; Kloset Duduk; Shower; WiFi; Kulkas; Laundry; Dapur; K. Mandi Luar; Parkir Motor; Parkir Sepeda"/>
    <n v="1426000"/>
    <s v="Rp1.426.000"/>
    <n v="0.17083333333333331"/>
    <d v="1899-12-30T04:06:00"/>
    <s v="Kos Campur"/>
    <m/>
    <s v="Diskon 124rb"/>
  </r>
  <r>
    <s v="Kost Singgahsini Kelapa Sawit Raya 7 Tipe C Kelapa Gading Jakarta Utara"/>
    <x v="4"/>
    <x v="111"/>
    <n v="5"/>
    <s v="2 x 2.5 meter"/>
    <s v="Tidak termasuk listrik"/>
    <n v="1250000"/>
    <s v="Rp1.250.000"/>
    <s v="2 x 2.5 meter; Tidak termasuk listrik; AC; Kasur; Lemari Baju; Bantal; Cermin; Guling; Kloset Duduk; K. Mandi Luar; Shower; WiFi; Kulkas; Laundry; Dapur; Parkir Motor; Parkir Sepeda"/>
    <n v="1150000"/>
    <s v="Rp1.150.000"/>
    <n v="0.17083333333333331"/>
    <d v="1899-12-30T04:06:00"/>
    <s v="Kos Campur"/>
    <m/>
    <s v="Diskon 100rb"/>
  </r>
  <r>
    <s v="Kost Singgahsini Kelapa Sawit Raya 7 Tipe D Kelapa Gading Jakarta Utara"/>
    <x v="4"/>
    <x v="111"/>
    <n v="5"/>
    <s v="2 x 2.5 meter"/>
    <s v="Tidak termasuk listrik"/>
    <n v="1050000"/>
    <s v="Rp1.050.000"/>
    <s v="2 x 2.5 meter; Tidak termasuk listrik; AC; Kasur; Lemari Baju; Kloset Duduk; K. Mandi Luar; Shower; WiFi; Kulkas; Laundry; Dapur; Parkir Motor; Parkir Sepeda"/>
    <n v="966000"/>
    <s v="Rp966.000"/>
    <n v="0.17083333333333331"/>
    <d v="1899-12-30T04:06:00"/>
    <s v="Kos Campur"/>
    <m/>
    <s v="Diskon 84rb"/>
  </r>
  <r>
    <s v="Kost Singgahsini Kemandoran VIII Tipe A Kebayoran Lama Jakarta Selatan"/>
    <x v="5"/>
    <x v="57"/>
    <n v="9.6000000000000014"/>
    <s v="3 x 3.2 meter"/>
    <s v="Tidak termasuk listrik"/>
    <n v="3775000"/>
    <s v="Rp3.775.000"/>
    <s v="3 x 3.2 meter; Tidak termasuk listrik; AC; Kasur; Meja; Lemari Baju; Kursi; Bantal; Cermin; K. Mandi Dalam; Kloset Duduk; Shower; Air panas; WiFi; Kulkas; R. Tamu; R. Makan; R. Jemur; Dapur; Dispenser; Parkir Mobil; Parkir Motor; Parkir Sepeda"/>
    <n v="3587500"/>
    <s v="Rp3.587.500"/>
    <n v="0.16944444444444443"/>
    <d v="1899-12-30T04:04:00"/>
    <s v="Kos Campur"/>
    <m/>
    <s v="Diskon 188rb"/>
  </r>
  <r>
    <s v="Kost Singgahsini Kemang 6 Tipe A Mampang Prapatan Jakarta Selatan"/>
    <x v="5"/>
    <x v="178"/>
    <n v="12"/>
    <s v="3 x 4 meter"/>
    <s v="Tidak termasuk listrik"/>
    <n v="2925000"/>
    <s v="Rp2.925.000"/>
    <s v="3 x 4 meter; Tidak termasuk listrik; AC; Kasur; Meja; TV; Lemari Baju; Kursi; Cermin; Wastafel; Bantal; Guling; K. Mandi Dalam; Kloset Duduk; Shower; Air panas; WiFi; R. Cuci; Kulkas; R. Tamu; R. Jemur; Dapur; Dispenser; K. Mandi Luar; Parkir Mobil"/>
    <n v="2780000"/>
    <s v="Rp2.780.000"/>
    <n v="0.17013888888888887"/>
    <d v="1899-12-30T04:05:00"/>
    <s v="Kos Campur"/>
    <m/>
    <s v="Diskon 145rb"/>
  </r>
  <r>
    <s v="Kost Singgahsini Kemang Timur Syariah Tipe A Mampang Prapatan Jakarta Selatan"/>
    <x v="5"/>
    <x v="67"/>
    <n v="14"/>
    <s v="3.5 x 4 meter"/>
    <s v="Tidak termasuk listrik"/>
    <n v="2325000"/>
    <s v="Rp2.325.000"/>
    <s v="3.5 x 4 meter; Tidak termasuk listrik; AC; Kasur; Meja; Lemari Baju; Ventilasi; Kursi; Bantal; Cermin; Guling; Jendela; K. Mandi Dalam; Kloset Duduk; Shower; WiFi; Kulkas; R. Tamu; R. Jemur; Dispenser; TV; Parkir Mobil; Parkir Motor; Parkir Sepeda"/>
    <n v="2210000"/>
    <s v="Rp2.210.000"/>
    <n v="0.17013888888888887"/>
    <d v="1899-12-30T04:05:00"/>
    <s v="Kos Campur"/>
    <m/>
    <s v="Diskon 115rb"/>
  </r>
  <r>
    <s v="Kost Singgahsini Kemang Timur Syariah Tipe B Mampang Prapatan Jakarta Selatan"/>
    <x v="5"/>
    <x v="178"/>
    <n v="12"/>
    <s v="3 x 4 meter"/>
    <s v="Tidak termasuk listrik"/>
    <n v="1925000"/>
    <s v="Rp1.925.000"/>
    <s v="3 x 4 meter; Tidak termasuk listrik; AC; Kasur; Meja; Lemari Baju; Ventilasi; Kursi; Bantal; Cermin; Guling; Jendela; K. Mandi Dalam; Kloset Duduk; Shower; WiFi; Kulkas; R. Tamu; R. Jemur; Dispenser; TV; Parkir Mobil; Parkir Motor; Parkir Sepeda"/>
    <n v="1830000"/>
    <s v="Rp1.830.000"/>
    <n v="0.17083333333333331"/>
    <d v="1899-12-30T04:06:00"/>
    <s v="Kos Campur"/>
    <m/>
    <s v="Diskon 95rb"/>
  </r>
  <r>
    <s v="Kost Singgahsini Kemanggisan Utama 8 Tipe A Palmerah Jakarta Barat"/>
    <x v="3"/>
    <x v="4"/>
    <n v="32.64"/>
    <s v="6.4 x 5.1 meter"/>
    <s v="Tidak termasuk listrik"/>
    <s v=""/>
    <s v="N/A"/>
    <s v="6.4 x 5.1 meter; Tidak termasuk listrik; K. Mandi Dalam; Kloset Duduk; Shower; Air panas; WiFi; Mesin Cuci; Penjaga Kos; Laundry; CCTV"/>
    <n v="3875000"/>
    <s v="Rp3.875.000"/>
    <n v="0.17013888888888887"/>
    <d v="1899-12-30T04:05:00"/>
    <s v="Kos Campur"/>
    <m/>
    <s v="Diskon 276rb"/>
  </r>
  <r>
    <s v="Kost Singgahsini Kemanggisan Utama 8 Tipe B Palmerah Jakarta Barat"/>
    <x v="3"/>
    <x v="4"/>
    <n v="21"/>
    <s v="3 x 7 meter"/>
    <s v="Tidak termasuk listrik"/>
    <s v=""/>
    <s v="N/A"/>
    <s v="3 x 7 meter; Tidak termasuk listrik; AC; Kasur; Meja; TV; Lemari Baju; Kulkas; Kursi; Dapur Pribadi; Jendela; K. Mandi Dalam; Kloset Duduk; Shower; Air panas; WiFi; Mesin Cuci; Penjaga Kos; Laundry; CCTV; Parkir Motor &amp; Sepeda"/>
    <n v="3675000"/>
    <s v="Rp3.675.000"/>
    <n v="0.17291666666666669"/>
    <d v="1899-12-30T04:09:00"/>
    <s v="Kos Campur"/>
    <m/>
    <s v="Diskon 276rb"/>
  </r>
  <r>
    <s v="Kost Singgahsini Kemuning Tipe A Pondok Aren Tangerang Selatan"/>
    <x v="2"/>
    <x v="29"/>
    <n v="7.2900000000000009"/>
    <s v="2.7 x 2.7 meter"/>
    <s v="Tidak termasuk listrik"/>
    <n v="1275000"/>
    <s v="Rp1.275.000"/>
    <s v="2.7 x 2.7 meter; Tidak termasuk listrik; AC; Kasur; Lemari Baju; Ventilasi; Bantal; Guling; Jendela; Kloset Duduk; K. Mandi Luar; Ember mandi; WiFi; R. Cuci; Penjaga Kos; CCTV; Parkir Mobil; Parkir Motor &amp; Sepeda"/>
    <n v="1150000"/>
    <s v="Rp1.150.000"/>
    <n v="0.20833333333333334"/>
    <d v="1899-12-30T05:00:00"/>
    <s v="Kos Putra"/>
    <m/>
    <s v="Diskon 125rb"/>
  </r>
  <r>
    <s v="Kost Singgahsini Kenanga II Tipe A Bintaro Jakarta Selatan"/>
    <x v="5"/>
    <x v="187"/>
    <n v="30"/>
    <s v="6 x 5 meter"/>
    <s v="Tidak termasuk listrik"/>
    <s v=""/>
    <s v="N/A"/>
    <s v="6 x 5 meter; Tidak termasuk listrik; AC; Kasur; Meja; Lemari Baju; Kursi; Bantal; Jendela; K. Mandi Dalam; Kloset Duduk; Shower; Air panas; WiFi; Kulkas; R. Tamu; Dapur; K. Mandi Luar; CCTV; Parkir Mobil; Parkir Motor; Parkir Sepeda"/>
    <n v="2775000"/>
    <s v="Rp2.775.000"/>
    <n v="0.17013888888888887"/>
    <d v="1899-12-30T04:05:00"/>
    <s v="Kos Campur"/>
    <m/>
    <m/>
  </r>
  <r>
    <s v="Kost Singgahsini Kenanga II Tipe B Bintaro Jakarta Selatan"/>
    <x v="5"/>
    <x v="187"/>
    <n v="9.6000000000000014"/>
    <s v="3.2 x 3 meter"/>
    <s v="Tidak termasuk listrik"/>
    <s v=""/>
    <s v="N/A"/>
    <s v="3.2 x 3 meter; Tidak termasuk listrik; AC; Kasur; Meja; Lemari Baju; Kursi; Bantal; Jendela; K. Mandi Dalam; Kloset Duduk; Shower; Air panas; WiFi; Kulkas; R. Tamu; Dapur; K. Mandi Luar; CCTV; Parkir Mobil; Parkir Motor; Parkir Sepeda"/>
    <n v="2075000"/>
    <s v="Rp2.075.000"/>
    <n v="0.17222222222222225"/>
    <d v="1899-12-30T04:08:00"/>
    <s v="Kos Campur"/>
    <m/>
    <m/>
  </r>
  <r>
    <s v="Kost Singgahsini Kepu 66 Tipe A Kemayoran Jakarta Pusat"/>
    <x v="9"/>
    <x v="38"/>
    <n v="9.25"/>
    <s v="3.7 x 2.5 meter"/>
    <s v="Tidak termasuk listrik"/>
    <n v="1825000"/>
    <s v="Rp1.825.000"/>
    <s v="3.7 x 2.5 meter; Tidak termasuk listrik; AC; Kasur; Lemari Baju; Ventilasi; Bantal; Cermin; Jendela; K. Mandi Dalam; Kloset Duduk; Shower; WiFi; Penjaga Kos; R. Jemur; K. Mandi Luar; Jemuran; Parkir Motor &amp; Sepeda"/>
    <n v="1735000"/>
    <s v="Rp1.735.000"/>
    <n v="0.17291666666666669"/>
    <d v="1899-12-30T04:09:00"/>
    <s v="Kos Putri"/>
    <m/>
    <s v="Diskon 90rb"/>
  </r>
  <r>
    <s v="Kost Singgahsini Kepu 66 Tipe B Kemayoran Jakarta Pusat"/>
    <x v="9"/>
    <x v="38"/>
    <n v="6.75"/>
    <s v="2.7 x 2.5 meter"/>
    <s v="Termasuk listrik (implied)"/>
    <n v="1675000"/>
    <s v="Rp1.675.000"/>
    <s v="2.7 x 2.5 meter; Termasuk listrik; AC; Kasur; Lemari Baju; Ventilasi; Bantal; Cermin; Kloset Duduk; K. Mandi Luar; Wastafel; Ember mandi; Shower; Air panas; Bak mandi; WiFi; Penjaga Kos; R. Jemur; Jemuran; Parkir Motor &amp; Sepeda"/>
    <n v="1592500"/>
    <s v="Rp1.592.500"/>
    <n v="0.20833333333333334"/>
    <d v="1899-12-30T05:00:00"/>
    <s v="Kos Putri"/>
    <m/>
    <s v="Diskon 83rb"/>
  </r>
  <r>
    <s v="Kost Singgahsini Kepu 66 Tipe C Kemayoran Jakarta Pusat"/>
    <x v="9"/>
    <x v="38"/>
    <n v="9.25"/>
    <s v="3.7 x 2.5 meter"/>
    <s v="Tidak termasuk listrik"/>
    <n v="1625000"/>
    <s v="Rp1.625.000"/>
    <s v="3.7 x 2.5 meter; Tidak termasuk listrik; AC; Kasur; Lemari Baju; Ventilasi; Bantal; Cermin; K. Mandi Dalam; Kloset Duduk; Shower; WiFi; Penjaga Kos; R. Jemur; K. Mandi Luar; Jemuran; Parkir Motor &amp; Sepeda"/>
    <n v="1545000"/>
    <s v="Rp1.545.000"/>
    <n v="0.17222222222222225"/>
    <d v="1899-12-30T04:08:00"/>
    <s v="Kos Putri"/>
    <m/>
    <s v="Diskon 80rb"/>
  </r>
  <r>
    <s v="Kost Singgahsini Kepu 66 Tipe D Kemayoran Jakarta Pusat"/>
    <x v="9"/>
    <x v="38"/>
    <n v="7.5"/>
    <s v="3 x 2.5 meter"/>
    <s v="Tidak termasuk listrik"/>
    <n v="1325000"/>
    <s v="Rp1.325.000"/>
    <s v="3 x 2.5 meter; Tidak termasuk listrik; AC; Kasur; Lemari Baju; Ventilasi; Bantal; Cermin; Kloset Duduk; K. Mandi Luar; Shower; WiFi; Penjaga Kos; R. Jemur; Jemuran; Parkir Motor &amp; Sepeda"/>
    <n v="1260000"/>
    <s v="Rp1.260.000"/>
    <n v="0.17291666666666669"/>
    <d v="1899-12-30T04:09:00"/>
    <s v="Kos Putri"/>
    <m/>
    <s v="Diskon 65rb"/>
  </r>
  <r>
    <s v="Kost Singgahsini Kerinci VIII Tipe A Kebayoran Baru Jakarta Selatan"/>
    <x v="5"/>
    <x v="6"/>
    <n v="16.559999999999999"/>
    <s v="3.6 x 4.6 meter"/>
    <s v="Termasuk listrik (implied)"/>
    <n v="3425000"/>
    <s v="Rp3.425.000"/>
    <s v="3.6 x 4.6 meter; Termasuk listrik; AC; Kasur; Meja; Lemari Baju; Ventilasi; Kursi; Bantal; Cermin; Guling; Jendela; K. Mandi Dalam; Kloset Duduk; Shower; Bak mandi; Air panas; WiFi; Kulkas; R. Tamu; Penjaga Kos; R. Makan; Dapur; Dispenser; TV; K. Mandi Luar; CCTV; Parkir Mobil; Parkir Motor; Parkir Sepeda"/>
    <n v="3255000"/>
    <s v="Rp3.255.000"/>
    <n v="0.17291666666666669"/>
    <d v="1899-12-30T04:09:00"/>
    <s v="Kos Putri"/>
    <m/>
    <s v="Diskon 170rb"/>
  </r>
  <r>
    <s v="Kost Singgahsini Kerinci VIII Tipe B Kebayoran Baru Jakarta Selatan"/>
    <x v="5"/>
    <x v="6"/>
    <n v="14.100000000000001"/>
    <s v="3 x 4.7 meter"/>
    <s v="Termasuk listrik (implied)"/>
    <n v="2875000"/>
    <s v="Rp2.875.000"/>
    <s v="3 x 4.7 meter; Termasuk listrik; AC; Kasur; Meja; Lemari Baju; Kursi; Bantal; Cermin; Guling; Jendela; K. Mandi Dalam; Kloset Duduk; Shower; Air panas; WiFi; Kulkas; R. Tamu; Penjaga Kos; R. Makan; Dapur; Dispenser; TV; K. Mandi Luar; CCTV; Parkir Mobil; Parkir Motor; Parkir Sepeda"/>
    <n v="2732500"/>
    <s v="Rp2.732.500"/>
    <n v="0.17222222222222225"/>
    <d v="1899-12-30T04:08:00"/>
    <s v="Kos Putri"/>
    <m/>
    <s v="Diskon 143rb"/>
  </r>
  <r>
    <s v="Kost Singgahsini Kerinci VIII Tipe C Kebayoran Baru Jakarta Selatan"/>
    <x v="5"/>
    <x v="6"/>
    <n v="13.5"/>
    <s v="3 x 4.5 meter"/>
    <s v="Termasuk listrik (implied)"/>
    <n v="2625000"/>
    <s v="Rp2.625.000"/>
    <s v="3 x 4.5 meter; Termasuk listrik; AC; Kasur; Meja; Lemari Baju; Kursi; Bantal; Cermin; Guling; Jendela; Kloset Duduk; K. Mandi Luar; Shower; Air panas; WiFi; Kulkas; R. Tamu; Penjaga Kos; R. Makan; Dapur; Dispenser; TV; CCTV; Parkir Mobil; Parkir Motor; Parkir Sepeda"/>
    <n v="2417000"/>
    <s v="Rp2.417.000"/>
    <n v="0.17083333333333331"/>
    <d v="1899-12-30T04:06:00"/>
    <s v="Kos Putri"/>
    <m/>
    <s v="Diskon 208rb"/>
  </r>
  <r>
    <s v="Kost Singgahsini Kerinci VIII Tipe D Kebayoran Baru Jakarta Selatan"/>
    <x v="5"/>
    <x v="6"/>
    <e v="#VALUE!"/>
    <s v="N/A"/>
    <s v="Termasuk listrik (implied)"/>
    <n v="1925000"/>
    <s v="Rp1.925.000"/>
    <s v="AC; Kasur; Lemari Baju; Kursi; Bantal; Cermin; Guling; Jendela; Kloset Duduk; K. Mandi Luar; Shower; Air panas; WiFi; Kulkas; R. Tamu; Penjaga Kos; R. Makan; Dapur; Dispenser; TV; CCTV; Parkir Mobil; Parkir Motor; Parkir Sepeda"/>
    <n v="1830000"/>
    <s v="Rp1.830.000"/>
    <n v="0.17083333333333331"/>
    <d v="1899-12-30T04:06:00"/>
    <s v="Kos Putri"/>
    <m/>
    <s v="Diskon 95rb"/>
  </r>
  <r>
    <s v="Kost Singgahsini Khazanah Tipe A Tebet Jakarta Selatan"/>
    <x v="5"/>
    <x v="189"/>
    <n v="7.5"/>
    <s v="3 x 2.5 meter"/>
    <s v="Tidak termasuk listrik"/>
    <s v=""/>
    <s v="N/A"/>
    <s v="3 x 2.5 meter; Tidak termasuk listrik; AC; Kasur; TV; Lemari Baju; Kulkas; Ventilasi; Bantal; Cermin; Guling; Jendela; K. Mandi Dalam; Kloset Duduk; Shower; Air panas; WiFi; R. Tamu; Penjaga Kos; Parkir Motor &amp; Sepeda"/>
    <n v="2025000"/>
    <s v="Rp2.025.000"/>
    <n v="0.17083333333333331"/>
    <d v="1899-12-30T04:06:00"/>
    <s v="Kos Putri"/>
    <m/>
    <s v="Diskon 95rb"/>
  </r>
  <r>
    <s v="Kost Singgahsini Kiara 51 Tipe B Duren Sawit Jakarta Timur"/>
    <x v="8"/>
    <x v="39"/>
    <n v="9"/>
    <s v="3 x 3 meter"/>
    <s v="Termasuk listrik (implied)"/>
    <n v="1325000"/>
    <s v="Rp1.325.000"/>
    <s v="3 x 3 meter; Termasuk listrik; AC; Kasur; Meja; Lemari Baju; Kursi; Bantal; Cermin; Guling; Jendela; Kloset Duduk; K. Mandi Luar; Wastafel; Ember mandi; Shower; Air panas; WiFi; Kulkas; R. Tamu; R. Jemur; Dapur; Dispenser; TV; Jemuran; Parkir Mobil; Parkir Motor; Parkir Sepeda"/>
    <n v="1260000"/>
    <s v="Rp1.260.000"/>
    <n v="0.17083333333333331"/>
    <d v="1899-12-30T04:06:00"/>
    <s v="Kos Putri"/>
    <m/>
    <s v="Diskon 65rb"/>
  </r>
  <r>
    <s v="Kost Singgahsini Kivana Tipe A Matraman Jakarta Timur"/>
    <x v="8"/>
    <x v="72"/>
    <n v="13.5"/>
    <s v="4.5 x 3 meter"/>
    <s v="Tidak termasuk listrik"/>
    <n v="2425000"/>
    <s v="Rp2.425.000"/>
    <s v="4.5 x 3 meter; Tidak termasuk listrik; AC; Kasur; Meja; Lemari Baju; Ventilasi; Kursi; Bantal; Cermin; Guling; Jendela; K. Mandi Dalam; Kloset Duduk; Shower; Air panas; WiFi; R. Cuci; Kulkas; R. Tamu; Mesin Cuci; Penjaga Kos; R. Makan; R. Jemur; Dapur; Dispenser; Parkir Sepeda; Parkir Motor &amp; Sepeda"/>
    <n v="2305000"/>
    <s v="Rp2.305.000"/>
    <n v="0.20833333333333334"/>
    <d v="1899-12-30T05:00:00"/>
    <s v="Kos Campur"/>
    <m/>
    <s v="Diskon 120rb"/>
  </r>
  <r>
    <s v="Kost Singgahsini Kivana Tipe C Matraman Jakarta Timur"/>
    <x v="8"/>
    <x v="72"/>
    <n v="9"/>
    <s v="3 x 3 meter"/>
    <s v="Tidak termasuk listrik"/>
    <s v=""/>
    <s v="N/A"/>
    <s v="3 x 3 meter; Tidak termasuk listrik; AC; Kasur; Meja; Lemari Baju; Ventilasi; Kursi; Bantal; Cermin; Guling; Jendela; K. Mandi Dalam; Kloset Duduk; Shower; Air panas; WiFi; R. Cuci; Kulkas; R. Tamu; Mesin Cuci; Penjaga Kos; R. Makan; R. Jemur; Dapur; Dispenser; Parkir Sepeda; Parkir Motor &amp; Sepeda"/>
    <n v="2125000"/>
    <s v="Rp2.125.000"/>
    <n v="0.17291666666666669"/>
    <d v="1899-12-30T04:09:00"/>
    <s v="Kos Campur"/>
    <m/>
    <s v="Diskon 115rb"/>
  </r>
  <r>
    <s v="Kost Singgahsini Kivana Tipe D Matraman Jakarta Timur"/>
    <x v="8"/>
    <x v="72"/>
    <n v="13.020000000000001"/>
    <s v="3.1 x 4.2 meter"/>
    <s v="Tidak termasuk listrik"/>
    <n v="2750000"/>
    <s v="Rp2.750.000"/>
    <s v="3.1 x 4.2 meter; Tidak termasuk listrik; AC; Kasur; Meja; Lemari Baju; Kursi; Jendela; K. Mandi Dalam; Kloset Duduk; Shower; Air panas; WiFi; R. Cuci; Kulkas; R. Tamu; Mesin Cuci; Penjaga Kos; R. Makan; R. Jemur; Dapur; Dispenser; Parkir Sepeda; Parkir Motor &amp; Sepeda"/>
    <n v="2613750"/>
    <s v="Rp2.613.750"/>
    <n v="0.17291666666666669"/>
    <d v="1899-12-30T04:09:00"/>
    <s v="Kos Campur"/>
    <m/>
    <s v="Diskon 136rb"/>
  </r>
  <r>
    <s v="Kost Singgahsini KK9 Tipe A Tebet Jakarta Selatan"/>
    <x v="5"/>
    <x v="189"/>
    <n v="10.5"/>
    <s v="3 x 3.5 meter"/>
    <s v="Tidak termasuk listrik"/>
    <s v=""/>
    <s v="N/A"/>
    <s v="3 x 3.5 meter; Tidak termasuk listrik; AC; Kasur; Meja; Lemari Baju; Kursi; Bantal; Cermin; Jendela; K. Mandi Dalam; Kloset Duduk; Shower; WiFi; R. Cuci; Kulkas; R. Tamu; Penjaga Kos; R. Makan; R. Jemur; Dapur; Parkir Motor &amp; Sepeda"/>
    <n v="2325000"/>
    <s v="Rp2.325.000"/>
    <n v="0.17083333333333331"/>
    <d v="1899-12-30T04:06:00"/>
    <s v="Kos Putra"/>
    <m/>
    <m/>
  </r>
  <r>
    <s v="Kost Singgahsini Klabat Tipe A Tanjung Priok Jakarta Utara"/>
    <x v="4"/>
    <x v="5"/>
    <n v="12.6"/>
    <s v="4.5 x 2.8 meter"/>
    <s v="Tidak termasuk listrik"/>
    <n v="1675000"/>
    <s v="Rp1.675.000"/>
    <s v="4.5 x 2.8 meter; Tidak termasuk listrik; AC; Kasur; Meja; Lemari Baju; Kursi; Bantal; Cermin; K. Mandi Dalam; Kloset Jongkok; Wastafel; Ember mandi; Shower; WiFi; R. Tamu; Penjaga Kos; R. Jemur; Dapur; K. Mandi Luar; CCTV; Parkir Mobil; Parkir Motor; Parkir Sepeda"/>
    <n v="1592500"/>
    <s v="Rp1.592.500"/>
    <n v="0.17222222222222225"/>
    <d v="1899-12-30T04:08:00"/>
    <s v="Kos Campur"/>
    <m/>
    <s v="Diskon 83rb"/>
  </r>
  <r>
    <s v="Kost Singgahsini Klabat Tipe B Tanjung Priok Jakarta Utara"/>
    <x v="4"/>
    <x v="5"/>
    <n v="11.25"/>
    <s v="4.5 x 2.5 meter"/>
    <s v="Tidak termasuk listrik"/>
    <n v="1575000"/>
    <s v="Rp1.575.000"/>
    <s v="4.5 x 2.5 meter; Tidak termasuk listrik; AC; Kasur; Meja; Lemari Baju; Kursi; Bantal; Cermin; K. Mandi Dalam; Wastafel; Shower; WiFi; R. Tamu; Penjaga Kos; R. Jemur; Dapur; K. Mandi Luar; CCTV; Parkir Mobil; Parkir Motor; Parkir Sepeda"/>
    <n v="1497500"/>
    <s v="Rp1.497.500"/>
    <n v="0.17222222222222225"/>
    <d v="1899-12-30T04:08:00"/>
    <s v="Kos Campur"/>
    <m/>
    <s v="Diskon 78rb"/>
  </r>
  <r>
    <s v="Kost Singgahsini Klabat Tipe C Tanjung Priok Jakarta Utara"/>
    <x v="4"/>
    <x v="5"/>
    <n v="12.24"/>
    <s v="3.6 x 3.4 meter"/>
    <s v="Tidak termasuk listrik"/>
    <n v="1175000"/>
    <s v="Rp1.175.000"/>
    <s v="3.6 x 3.4 meter; Tidak termasuk listrik; Kasur; Meja; Lemari Baju; Kursi; Bantal; Jendela; K. Mandi Dalam; Wastafel; Ember mandi; Shower; WiFi; R. Tamu; Penjaga Kos; R. Jemur; Dapur; K. Mandi Luar; CCTV; Parkir Mobil; Parkir Motor; Parkir Sepeda"/>
    <n v="1117500"/>
    <s v="Rp1.117.500"/>
    <n v="0.17291666666666669"/>
    <d v="1899-12-30T04:09:00"/>
    <s v="Kos Campur"/>
    <m/>
    <s v="Diskon 58rb"/>
  </r>
  <r>
    <s v="Kost Singgahsini Klabat Tipe D Tanjung Priok Jakarta Utara"/>
    <x v="4"/>
    <x v="5"/>
    <n v="8.64"/>
    <s v="3.6 x 2.4 meter"/>
    <s v="Tidak termasuk listrik"/>
    <n v="1075000"/>
    <s v="Rp1.075.000"/>
    <s v="3.6 x 2.4 meter; Tidak termasuk listrik; Kasur; Meja; Lemari Baju; Ventilasi; Kursi; Kipas Angin; Bantal; Cermin; Jendela; K. Mandi Dalam; Kloset Jongkok; Wastafel; Ember mandi; Shower; WiFi; R. Tamu; Penjaga Kos; R. Jemur; Dapur; K. Mandi Luar; CCTV; Parkir Mobil; Parkir Motor; Parkir Sepeda"/>
    <n v="1022500"/>
    <s v="Rp1.022.500"/>
    <n v="0.17222222222222225"/>
    <d v="1899-12-30T04:08:00"/>
    <s v="Kos Campur"/>
    <m/>
    <s v="Diskon 53rb"/>
  </r>
  <r>
    <s v="Kost Singgahsini Kramat Kwitang 30 Tipe A Senen Jakarta Pusat"/>
    <x v="9"/>
    <x v="68"/>
    <n v="11.61"/>
    <s v="2.7 x 4.3 meter"/>
    <s v="Termasuk listrik (implied)"/>
    <s v=""/>
    <s v="N/A"/>
    <s v="2.7 x 4.3 meter; Termasuk listrik; AC; Kasur; Meja; Lemari Baju; Bantal; Guling; K. Mandi Dalam; Kloset Duduk; Ember mandi; Shower; WiFi; Kulkas; R. Jemur; CCTV; Parkir Motor; Parkir Sepeda; Parkir Motor &amp; Sepeda"/>
    <n v="1805000"/>
    <s v="Rp1.805.000"/>
    <n v="0.17013888888888887"/>
    <d v="1899-12-30T04:05:00"/>
    <s v="Kos Putra"/>
    <m/>
    <m/>
  </r>
  <r>
    <s v="Kost Singgahsini Kramat Kwitang 30 Tipe B Senen Jakarta Pusat"/>
    <x v="9"/>
    <x v="68"/>
    <n v="4.620000000000001"/>
    <s v="2.2 x 2.1 meter"/>
    <s v="Termasuk listrik (implied)"/>
    <s v=""/>
    <s v="N/A"/>
    <s v="2.2 x 2.1 meter; Termasuk listrik; AC; Kasur; Meja; Lemari Baju; Bantal; Kloset Duduk; K. Mandi Luar; Ember mandi; Shower; WiFi; Kulkas; R. Jemur; CCTV; Parkir Motor; Parkir Sepeda; Parkir Motor &amp; Sepeda"/>
    <n v="1495000"/>
    <s v="Rp1.495.000"/>
    <n v="0.17222222222222225"/>
    <d v="1899-12-30T04:08:00"/>
    <s v="Kos Putra"/>
    <m/>
    <s v="Diskon 70rb"/>
  </r>
  <r>
    <s v="Kost Singgahsini Krupuk Tipe A Cipayung Jakarta Timur"/>
    <x v="8"/>
    <x v="25"/>
    <n v="13.5"/>
    <s v="4.5 x 3 meter"/>
    <s v="Tidak termasuk listrik"/>
    <n v="1600000"/>
    <s v="Rp1.600.000"/>
    <s v="4.5 x 3 meter; Tidak termasuk listrik; AC; Kasur; Meja; Lemari Baju; Ventilasi; Kursi; Bantal; Jendela; Cermin; Guling; K. Mandi Dalam; Kloset Duduk; Shower; WiFi; Penjaga Kos; R. Makan; Dapur; Dispenser; Taman; CCTV; Parkir Mobil; Parkir Motor &amp; Sepeda"/>
    <n v="1440000"/>
    <s v="Rp1.440.000"/>
    <n v="0.17222222222222225"/>
    <d v="1899-12-30T04:08:00"/>
    <s v="Kos Putri"/>
    <m/>
    <s v="Diskon 160rb"/>
  </r>
  <r>
    <s v="Kost Singgahsini L Tipe A Tebet Jakarta Selatan"/>
    <x v="5"/>
    <x v="189"/>
    <n v="9"/>
    <s v="3 x 3 meter"/>
    <s v="Tidak termasuk listrik"/>
    <s v=""/>
    <s v="N/A"/>
    <s v="3 x 3 meter; Tidak termasuk listrik; AC; Kasur; Meja; TV; Lemari Baju; Kursi; Bantal; K. Mandi Dalam; Kloset Duduk; Wastafel; Shower; WiFi; Kulkas; R. Tamu; Penjaga Kos; R. Makan; R. Jemur; Dapur; Dispenser; CCTV; Parkir Motor &amp; Sepeda"/>
    <n v="2200000"/>
    <s v="Rp2.200.000"/>
    <n v="0.17083333333333331"/>
    <d v="1899-12-30T04:06:00"/>
    <s v="Kos Campur"/>
    <m/>
    <m/>
  </r>
  <r>
    <s v="Kost Singgahsini Latifa Jatinegara Indah Tipe A Cakung Jakarta Timur"/>
    <x v="8"/>
    <x v="48"/>
    <n v="10.5"/>
    <s v="3 x 3.5 meter"/>
    <s v="Termasuk listrik (implied)"/>
    <n v="1875000"/>
    <s v="Rp1.875.000"/>
    <s v="3 x 3.5 meter; Termasuk listrik; AC; Kasur; Meja; Lemari Baju; Ventilasi; Kursi; Bantal; Cermin; Guling; Jendela; Kloset Duduk; K. Mandi Luar; Shower; WiFi; Kulkas; R. Cuci; R. Tamu; Mesin Cuci; Penjaga Kos; R. Makan; R. Jemur; Dapur; Dispenser; Parkir Mobil; Parkir Motor &amp; Sepeda"/>
    <n v="1727000"/>
    <s v="Rp1.727.000"/>
    <n v="0.17291666666666669"/>
    <d v="1899-12-30T04:09:00"/>
    <s v="Kos Putri"/>
    <m/>
    <s v="Diskon 148rb"/>
  </r>
  <r>
    <s v="Kost Singgahsini Laura Tipe B Kemayoran Jakarta Pusat"/>
    <x v="9"/>
    <x v="38"/>
    <n v="6.25"/>
    <s v="2.5 x 2.5 meter"/>
    <s v="Tidak termasuk listrik"/>
    <n v="1625000"/>
    <s v="Rp1.625.000"/>
    <s v="2.5 x 2.5 meter; Tidak termasuk listrik; AC; Kasur; Meja; Lemari Baju; Ventilasi; Kursi; Bantal; Guling; Jendela; Kloset Duduk; K. Mandi Luar; Shower; WiFi; R. Tamu; Penjaga Kos; R. Jemur; CCTV; Parkir Motor &amp; Sepeda"/>
    <n v="1545000"/>
    <s v="Rp1.545.000"/>
    <n v="0.20833333333333334"/>
    <d v="1899-12-30T05:00:00"/>
    <s v="Kos Putri"/>
    <m/>
    <s v="Diskon 80rb"/>
  </r>
  <r>
    <s v="Kost Singgahsini Laura Tipe C Kemayoran Jakarta Pusat"/>
    <x v="9"/>
    <x v="38"/>
    <n v="6.25"/>
    <s v="2.5 x 2.5 meter"/>
    <s v="Tidak termasuk listrik"/>
    <n v="1375000"/>
    <s v="Rp1.375.000"/>
    <s v="2.5 x 2.5 meter; Tidak termasuk listrik; AC; Kasur; Meja; Lemari Baju; Ventilasi; Kursi; Bantal; Guling; Kloset Duduk; K. Mandi Luar; Shower; WiFi; R. Tamu; Penjaga Kos; R. Jemur; CCTV; Parkir Motor &amp; Sepeda"/>
    <n v="1307500"/>
    <s v="Rp1.307.500"/>
    <n v="0.17083333333333331"/>
    <d v="1899-12-30T04:06:00"/>
    <s v="Kos Putri"/>
    <m/>
    <s v="Diskon 68rb"/>
  </r>
  <r>
    <s v="Kost Singgahsini Laura Tipe D Kemayoran Jakarta Pusat"/>
    <x v="9"/>
    <x v="38"/>
    <n v="6"/>
    <s v="3 x 2 meter"/>
    <s v="Tidak termasuk listrik"/>
    <s v=""/>
    <s v="N/A"/>
    <s v="3 x 2 meter; Tidak termasuk listrik; AC; Kasur; Meja; Lemari Baju; Kursi; Bantal; Guling; Kloset Duduk; K. Mandi Luar; Shower; WiFi; R. Tamu; Penjaga Kos; R. Jemur; CCTV; Parkir Motor &amp; Sepeda"/>
    <n v="1225000"/>
    <s v="Rp1.225.000"/>
    <n v="0.20833333333333334"/>
    <d v="1899-12-30T05:00:00"/>
    <s v="Kos Putri"/>
    <m/>
    <s v="Diskon 68rb"/>
  </r>
  <r>
    <s v="Kost Singgahsini Lauser 62B Tipe A Kebayoran Baru Jakarta Selatan"/>
    <x v="5"/>
    <x v="182"/>
    <n v="14.639999999999999"/>
    <s v="6.1 x 2.4 meter"/>
    <s v="Termasuk listrik (implied)"/>
    <n v="3025000"/>
    <s v="Rp3.025.000"/>
    <s v="6.1 x 2.4 meter; Termasuk listrik; AC; Kasur; Meja; Lemari Baju; Jendela; K. Mandi Dalam; Kloset Duduk; Shower; Air panas; WiFi; Kulkas; R. Tamu; Penjaga Kos; R. Makan; R. Jemur; Dapur; TV; Parkir Mobil; Parkir Motor &amp; Sepeda"/>
    <n v="2785000"/>
    <s v="Rp2.785.000"/>
    <n v="0.17222222222222225"/>
    <d v="1899-12-30T04:08:00"/>
    <s v="Kos Campur"/>
    <m/>
    <s v="Diskon 240rb"/>
  </r>
  <r>
    <s v="Kost Singgahsini Lauser 62B Tipe B Kebayoran Baru Jakarta Selatan"/>
    <x v="5"/>
    <x v="6"/>
    <n v="11.9"/>
    <s v="3.4 x 3.5 meter"/>
    <s v="Termasuk listrik (implied)"/>
    <n v="2825000"/>
    <s v="Rp2.825.000"/>
    <s v="3.4 x 3.5 meter; Termasuk listrik; AC; Kasur; Meja; Lemari Baju; Kursi; Jendela; K. Mandi Dalam; Kloset Duduk; Shower; Air panas; WiFi; Kulkas; R. Tamu; Penjaga Kos; R. Makan; R. Jemur; Dapur; TV; Parkir Mobil; Parkir Motor &amp; Sepeda"/>
    <n v="2685000"/>
    <s v="Rp2.685.000"/>
    <n v="0.17222222222222225"/>
    <d v="1899-12-30T04:08:00"/>
    <s v="Kos Campur"/>
    <m/>
    <s v="Diskon 140rb"/>
  </r>
  <r>
    <s v="Kost Singgahsini Lebak Bulus 04 Tipe A Cilandak Jakarta Selatan"/>
    <x v="5"/>
    <x v="7"/>
    <n v="15.959999999999999"/>
    <s v="3.8 x 4.2 meter"/>
    <s v="Tidak termasuk listrik"/>
    <s v=""/>
    <s v="N/A"/>
    <s v="3.8 x 4.2 meter; Tidak termasuk listrik; AC; Kasur; Meja; TV; Lemari Baju; Bantal; Cermin; Jendela; K. Mandi Dalam; Kloset Duduk; Shower; Air panas; WiFi; Kulkas; R. Tamu; Penjaga Kos; R. Jemur; Dapur; Dispenser; CCTV; Rooftop; Parkir Mobil; Parkir Motor &amp; Sepeda"/>
    <n v="2725000"/>
    <s v="Rp2.725.000"/>
    <n v="0.17083333333333331"/>
    <d v="1899-12-30T04:06:00"/>
    <s v="Kos Campur"/>
    <m/>
    <s v="Diskon 216rb"/>
  </r>
  <r>
    <s v="Kost Singgahsini Lili Johar Tipe A Jagakarsa Jakarta Selatan"/>
    <x v="5"/>
    <x v="40"/>
    <n v="11.2"/>
    <s v="2.8 x 4 meter"/>
    <s v="Tidak termasuk listrik"/>
    <s v=""/>
    <s v="N/A"/>
    <s v="2.8 x 4 meter; Tidak termasuk listrik; Kasur; Meja; Lemari Baju; Ventilasi; Bantal; Jendela; K. Mandi Dalam; Kloset Duduk; Shower; WiFi; Penjaga Kos; R. Jemur; Dapur; CCTV; Parkir Motor; Parkir Sepeda"/>
    <n v="1275000"/>
    <s v="Rp1.275.000"/>
    <n v="0.17291666666666669"/>
    <d v="1899-12-30T04:09:00"/>
    <s v="Kos Putri"/>
    <m/>
    <s v="Diskon 105rb"/>
  </r>
  <r>
    <s v="Kost Singgahsini Lili Johar Tipe B Jagakarsa Jakarta Selatan"/>
    <x v="5"/>
    <x v="40"/>
    <n v="11.2"/>
    <s v="2.8 x 4 meter"/>
    <s v="Tidak termasuk listrik"/>
    <s v=""/>
    <s v="N/A"/>
    <s v="2.8 x 4 meter; Tidak termasuk listrik; AC; Kasur; Meja; Lemari Baju; Ventilasi; Kursi; Bantal; Jendela; K. Mandi Dalam; Kloset Duduk; Shower; WiFi; Penjaga Kos; R. Jemur; Dapur; CCTV; Parkir Motor; Parkir Sepeda"/>
    <n v="1525000"/>
    <s v="Rp1.525.000"/>
    <n v="0.17291666666666669"/>
    <d v="1899-12-30T04:09:00"/>
    <s v="Kos Putri"/>
    <m/>
    <s v="Diskon 120rb"/>
  </r>
  <r>
    <s v="Kost Singgahsini Little Nest Tipe A Johar Baru Jakarta Pusat"/>
    <x v="9"/>
    <x v="50"/>
    <n v="7.4399999999999995"/>
    <s v="2.4 x 3.1 meter"/>
    <s v="Tidak termasuk listrik"/>
    <s v=""/>
    <s v="N/A"/>
    <s v="2.4 x 3.1 meter; Tidak termasuk listrik; AC; Kasur; Meja; Lemari Baju; Kursi; Bantal; Cermin; Guling; Jendela; K. Mandi Dalam; Kloset Duduk; Shower; Air panas; WiFi; Kulkas; Penjaga Kos; R. Jemur; R. Santai; CCTV; Parkir Mobil; Parkir Motor; Parkir Sepeda; Parkir Motor &amp; Sepeda"/>
    <n v="2125000"/>
    <s v="Rp2.125.000"/>
    <n v="0.17222222222222225"/>
    <d v="1899-12-30T04:08:00"/>
    <s v="Kos Putri"/>
    <m/>
    <s v="Diskon 160rb"/>
  </r>
  <r>
    <s v="Kost Singgahsini Lowijen Residence Tipe B Duren Sawit Jakarta Timur"/>
    <x v="8"/>
    <x v="39"/>
    <n v="9.4500000000000011"/>
    <s v="3.5 x 2.7 meter"/>
    <s v="Tidak termasuk listrik"/>
    <s v=""/>
    <s v="N/A"/>
    <s v="3.5 x 2.7 meter; Tidak termasuk listrik; AC; Kasur; Meja; TV; Lemari Baju; Kursi; Bantal; Cermin; Guling; Jendela; K. Mandi Dalam; Kloset Duduk; Wastafel; Shower; Air panas; WiFi; Kulkas; R. Tamu; Penjaga Kos; R. Makan; Dapur; Dispenser; CCTV; Parkir Mobil; Parkir Motor &amp; Sepeda"/>
    <n v="2425000"/>
    <s v="Rp2.425.000"/>
    <n v="0.17083333333333331"/>
    <d v="1899-12-30T04:06:00"/>
    <s v="Kos Campur"/>
    <m/>
    <m/>
  </r>
  <r>
    <s v="Kost Singgahsini Magnolia BSD Tipe A Serpong Tangerang Selatan"/>
    <x v="2"/>
    <x v="18"/>
    <n v="12"/>
    <s v="3 x 4 meter"/>
    <s v="Tidak termasuk listrik"/>
    <s v=""/>
    <s v="N/A"/>
    <s v="3 x 4 meter; Tidak termasuk listrik; AC; Kasur; Meja; Lemari Baju; Kursi; Bantal; Cermin; Guling; Jendela; K. Mandi Dalam; Kloset Duduk; Shower; WiFi; Kulkas; R. Tamu; Penjaga Kos; R. Jemur; Dapur; Gazebo; CCTV; Jemuran; Parkir Motor &amp; Sepeda"/>
    <n v="1775000"/>
    <s v="Rp1.775.000"/>
    <n v="0.20833333333333334"/>
    <d v="1899-12-30T05:00:00"/>
    <s v="Kos Putri"/>
    <m/>
    <m/>
  </r>
  <r>
    <s v="Kost Singgahsini Magnolia BSD Tipe B Serpong Tangerang Selatan"/>
    <x v="2"/>
    <x v="18"/>
    <n v="9"/>
    <s v="3 x 3 meter"/>
    <s v="Tidak termasuk listrik"/>
    <s v=""/>
    <s v="N/A"/>
    <s v="3 x 3 meter; Tidak termasuk listrik; AC; Kasur; Meja; Lemari Baju; Kursi; Bantal; Cermin; Guling; Jendela; K. Mandi Dalam; Kloset Duduk; Shower; WiFi; Kulkas; Penjaga Kos; R. Tamu; R. Jemur; Dapur; Gazebo; CCTV; Jemuran; Parkir Motor &amp; Sepeda"/>
    <n v="1475000"/>
    <s v="Rp1.475.000"/>
    <n v="0.17291666666666669"/>
    <d v="1899-12-30T04:09:00"/>
    <s v="Kos Putri"/>
    <m/>
    <m/>
  </r>
  <r>
    <s v="Kost Singgahsini Mahony Tipe A Tangerang"/>
    <x v="6"/>
    <x v="22"/>
    <n v="25"/>
    <s v="5 x 5 meter"/>
    <s v="Tidak termasuk listrik"/>
    <n v="2425000"/>
    <s v="Rp2.425.000"/>
    <s v="5 x 5 meter; Tidak termasuk listrik; AC; Kasur; Meja; TV; Lemari Baju; Ventilasi; Kursi; Bantal; Jendela; Cermin; K. Mandi Dalam; Kloset Duduk; Shower; Air panas; WiFi; Kulkas; Penjaga Kos; R. Jemur; Dapur; Dispenser; Jemuran; Parkir Mobil; Parkir Motor &amp; Sepeda"/>
    <n v="2233000"/>
    <s v="Rp2.233.000"/>
    <n v="0.17083333333333331"/>
    <d v="1899-12-30T04:06:00"/>
    <s v="Kos Putri"/>
    <m/>
    <s v="Diskon 192rb"/>
  </r>
  <r>
    <s v="Kost Singgahsini Mahony Tipe B Tangerang"/>
    <x v="6"/>
    <x v="22"/>
    <n v="13.440000000000001"/>
    <s v="4.2 x 3.2 meter"/>
    <s v="Tidak termasuk listrik"/>
    <s v=""/>
    <s v="N/A"/>
    <s v="4.2 x 3.2 meter; Tidak termasuk listrik; AC; Kasur; Meja; TV; Lemari Baju; Ventilasi; Kursi; Bantal; Jendela; Cermin; K. Mandi Dalam; Kloset Duduk; Shower; Air panas; WiFi; Kulkas; Penjaga Kos; R. Jemur; Dapur; Dispenser; Jemuran; Parkir Mobil; Parkir Motor &amp; Sepeda"/>
    <n v="2225000"/>
    <s v="Rp2.225.000"/>
    <n v="0.16666666666666666"/>
    <d v="1899-12-30T04:00:00"/>
    <s v="Kos Putri"/>
    <m/>
    <s v="Diskon 192rb"/>
  </r>
  <r>
    <s v="Kost Singgahsini Mahony Tipe C Tangerang"/>
    <x v="6"/>
    <x v="22"/>
    <n v="9"/>
    <s v="3 x 3 meter"/>
    <s v="Tidak termasuk listrik"/>
    <s v=""/>
    <s v="N/A"/>
    <s v="3 x 3 meter; Tidak termasuk listrik; AC; Kasur; Meja; TV; Lemari Baju; Ventilasi; Kursi; Bantal; Jendela; Cermin; K. Mandi Dalam; Kloset Duduk; Shower; Air panas; WiFi; Kulkas; Penjaga Kos; R. Jemur; Dapur; Dispenser; Jemuran; Parkir Mobil; Parkir Motor &amp; Sepeda"/>
    <n v="1925000"/>
    <s v="Rp1.925.000"/>
    <n v="0"/>
    <m/>
    <s v="Kos Putri"/>
    <m/>
    <s v="Diskon 192rb"/>
  </r>
  <r>
    <s v="Kost Singgahsini Maknyak Maria Tipe A Gambir Jakarta Pusat"/>
    <x v="9"/>
    <x v="62"/>
    <n v="5.44"/>
    <s v="3.4 x 1.6 meter"/>
    <s v="Tidak termasuk listrik"/>
    <n v="1445000"/>
    <s v="Rp1.445.000"/>
    <s v="3.4 x 1.6 meter; Tidak termasuk listrik; AC; Kasur; Meja; Lemari Baju; Jendela; Bantal; Cermin; Kloset Duduk; K. Mandi Luar; Ember mandi; Shower; WiFi; R. Cuci; Kulkas; Penjaga Kos; R. Jemur; Dapur; CCTV; Parkir Motor &amp; Sepeda"/>
    <n v="1331400"/>
    <s v="Rp1.331.400"/>
    <n v="0.16944444444444443"/>
    <d v="1899-12-30T04:04:00"/>
    <s v="Kos Putri"/>
    <m/>
    <s v="Diskon 114rb"/>
  </r>
  <r>
    <s v="Kost Singgahsini Malahayati 10 Tipe A Jatinegara Jakarta Timur"/>
    <x v="8"/>
    <x v="58"/>
    <n v="10.5"/>
    <s v="3 x 3.5 meter"/>
    <s v="Tidak termasuk listrik"/>
    <n v="1855000"/>
    <s v="Rp1.855.000"/>
    <s v="3 x 3.5 meter; Tidak termasuk listrik; AC; Kasur; Lemari Baju; Kursi; Bantal; K. Mandi Dalam; Kloset Duduk; Shower; WiFi; R. Cuci; Penjaga Kos; R. Makan; R. Jemur; Dapur; CCTV; Jemuran; Parkir Mobil; Parkir Motor; Parkir Sepeda"/>
    <n v="1763500"/>
    <s v="Rp1.763.500"/>
    <n v="0.17222222222222225"/>
    <d v="1899-12-30T04:08:00"/>
    <s v="Kos Campur"/>
    <m/>
    <s v="Diskon 92rb"/>
  </r>
  <r>
    <s v="Kost Singgahsini Malahayati 10 Tipe B Jatinegara Jakarta Timur"/>
    <x v="8"/>
    <x v="58"/>
    <n v="10.5"/>
    <s v="3 x 3.5 meter"/>
    <s v="Tidak termasuk listrik"/>
    <n v="1575000"/>
    <s v="Rp1.575.000"/>
    <s v="3 x 3.5 meter; Tidak termasuk listrik; AC; Kasur; Lemari Baju; Ventilasi; Kursi; Bantal; Jendela; K. Mandi Dalam; Kloset Duduk; Kloset Jongkok; Ember mandi; WiFi; R. Cuci; Penjaga Kos; R. Makan; R. Jemur; Dapur; CCTV; Jemuran; Parkir Mobil; Parkir Motor; Parkir Sepeda"/>
    <n v="1497500"/>
    <s v="Rp1.497.500"/>
    <n v="0.17222222222222225"/>
    <d v="1899-12-30T04:08:00"/>
    <s v="Kos Campur"/>
    <m/>
    <s v="Diskon 78rb"/>
  </r>
  <r>
    <s v="Kost Singgahsini Malale Residence 1 Tipe A Kelapa Gading Jakarta Utara"/>
    <x v="4"/>
    <x v="79"/>
    <n v="14.100000000000001"/>
    <s v="4.7 x 3 meter"/>
    <s v="Tidak termasuk listrik"/>
    <s v=""/>
    <s v="N/A"/>
    <s v="4.7 x 3 meter; Tidak termasuk listrik; AC; Kasur; Meja; TV; Lemari Baju; Kursi; Jendela; K. Mandi Dalam; Kloset Duduk; Shower; WiFi; Kulkas; R. Tamu; Penjaga Kos; Laundry; Dapur; Dispenser; CCTV; Rooftop; Parkir Mobil; Parkir Motor &amp; Sepeda"/>
    <n v="2775000"/>
    <s v="Rp2.775.000"/>
    <n v="0.17222222222222225"/>
    <d v="1899-12-30T04:08:00"/>
    <s v="Kos Campur"/>
    <m/>
    <m/>
  </r>
  <r>
    <s v="Kost Singgahsini Mampang Ecostay Tipe B Jakarta Selatan"/>
    <x v="5"/>
    <x v="67"/>
    <n v="8.1000000000000014"/>
    <s v="3 x 2.7 meter"/>
    <s v="Tidak termasuk listrik"/>
    <s v=""/>
    <s v="N/A"/>
    <s v="3 x 2.7 meter; Tidak termasuk listrik; AC; Kasur; Meja; TV; Lemari Baju; Ventilasi; Kursi; Bantal; Cermin; Guling; K. Mandi Dalam; Kloset Duduk; Shower; Air panas; WiFi; R. Tamu; Penjaga Kos; Taman; CCTV; Parkir Motor &amp; Sepeda"/>
    <n v="2225000"/>
    <s v="Rp2.225.000"/>
    <n v="0.17222222222222225"/>
    <d v="1899-12-30T04:08:00"/>
    <s v="Kos Campur"/>
    <m/>
    <m/>
  </r>
  <r>
    <s v="Kost Singgahsini Mandar IV Bintaro Tipe A Pondok Aren Tangerang Selatan"/>
    <x v="2"/>
    <x v="29"/>
    <n v="9"/>
    <s v="3 x 3 meter"/>
    <s v="Tidak termasuk listrik"/>
    <s v=""/>
    <s v="N/A"/>
    <s v="3 x 3 meter; Tidak termasuk listrik; AC; Kasur; TV; Lemari Baju; Bantal; Jendela; K. Mandi Dalam; Kloset Duduk; Shower; Air panas; WiFi; Kulkas; Dapur; Parkir Mobil; Parkir Motor; Parkir Sepeda; Parkir Motor &amp; Sepeda"/>
    <n v="2025000"/>
    <s v="Rp2.025.000"/>
    <n v="0.17222222222222225"/>
    <d v="1899-12-30T04:08:00"/>
    <s v="Kos Putri"/>
    <m/>
    <m/>
  </r>
  <r>
    <s v="Kost Singgahsini Mandira Tipe B Kembangan Jakarta Barat"/>
    <x v="3"/>
    <x v="71"/>
    <n v="7.839999999999999"/>
    <s v="2.8 x 2.8 meter"/>
    <s v="Tidak termasuk listrik"/>
    <n v="1965000"/>
    <s v="Rp1.965.000"/>
    <s v="2.8 x 2.8 meter; Tidak termasuk listrik; AC; Kasur; Meja; TV; Lemari Baju; Kursi; Bantal; Cermin; Guling; Jendela; Kloset Duduk; K. Mandi Luar; Shower; Air panas; WiFi; R. Tamu; Penjaga Kos; CCTV; Parkir Mobil; Parkir Sepeda; Parkir Motor &amp; Sepeda"/>
    <n v="1809800"/>
    <s v="Rp1.809.800"/>
    <n v="0.17291666666666669"/>
    <d v="1899-12-30T04:09:00"/>
    <s v="Kos Putri"/>
    <m/>
    <s v="Diskon 155rb"/>
  </r>
  <r>
    <s v="Kost Singgahsini Mandiri Tipe A Tanjung Duren Jakarta Barat"/>
    <x v="3"/>
    <x v="82"/>
    <n v="7.5"/>
    <s v="3 x 2.5 meter"/>
    <s v="Tidak termasuk listrik"/>
    <n v="2005000"/>
    <s v="Rp2.005.000"/>
    <s v="3 x 2.5 meter; Tidak termasuk listrik; AC; Kasur; Meja; TV; Lemari Baju; Kursi; Bantal; Cermin; Jendela; K. Mandi Dalam; Kloset Duduk; Shower; Air panas; WiFi; R. Cuci; Kulkas; R. Tamu; Mesin Cuci; Penjaga Kos; Dapur; Dispenser; K. Mandi Luar; Rice Cooker; Parkir Mobil; Parkir Motor; Parkir Sepeda; Parkir Motor &amp; Sepeda"/>
    <n v="1906000"/>
    <s v="Rp1.906.000"/>
    <n v="0.17222222222222225"/>
    <d v="1899-12-30T04:08:00"/>
    <s v="Kos Putri"/>
    <m/>
    <s v="Diskon 99rb"/>
  </r>
  <r>
    <s v="Kost Singgahsini Mandiri Tipe B Tanjung Duren Jakarta Barat"/>
    <x v="3"/>
    <x v="82"/>
    <n v="6"/>
    <s v="3 x 2 meter"/>
    <s v="Tidak termasuk listrik"/>
    <n v="1885000"/>
    <s v="Rp1.885.000"/>
    <s v="3 x 2 meter; Tidak termasuk listrik; AC; Kasur; Meja; TV; Lemari Baju; Kursi; Bantal; Cermin; Jendela; K. Mandi Dalam; Kloset Duduk; Shower; Air panas; WiFi; R. Cuci; Kulkas; R. Tamu; Mesin Cuci; Penjaga Kos; Dapur; Dispenser; K. Mandi Luar; Rice Cooker; Parkir Mobil; Parkir Motor; Parkir Sepeda; Parkir Motor &amp; Sepeda"/>
    <n v="1792000"/>
    <s v="Rp1.792.000"/>
    <n v="0.17291666666666669"/>
    <d v="1899-12-30T04:09:00"/>
    <s v="Kos Putri"/>
    <m/>
    <s v="Diskon 93rb"/>
  </r>
  <r>
    <s v="Kost Singgahsini Mangala 22 Tipe A Pademangan Jakarta Utara"/>
    <x v="4"/>
    <x v="88"/>
    <n v="5.28"/>
    <s v="2.4 x 2.2 meter"/>
    <s v="Tidak termasuk listrik"/>
    <n v="2175000"/>
    <s v="Rp2.175.000"/>
    <s v="2.4 x 2.2 meter; Tidak termasuk listrik; AC; Kasur; Meja; Lemari Baju; Ventilasi; Kursi; Bantal; Guling; Jendela; K. Mandi Dalam; Kloset Duduk; Wastafel; Shower; Air panas; WiFi; R. Tamu; Mesin Cuci; R. Jemur; Dapur; Dispenser; CCTV; Parkir Motor; Parkir Sepeda"/>
    <n v="2070000"/>
    <s v="Rp2.070.000"/>
    <n v="0.17083333333333331"/>
    <d v="1899-12-30T04:06:00"/>
    <s v="Kos Campur"/>
    <m/>
    <s v="Diskon 105rb"/>
  </r>
  <r>
    <s v="Kost Singgahsini Mangga 99 Tipe A Beji Depok"/>
    <x v="1"/>
    <x v="16"/>
    <n v="8.5"/>
    <s v="2.5 x 3.4 meter"/>
    <s v="Termasuk listrik (implied)"/>
    <n v="1615000"/>
    <s v="Rp1.615.000"/>
    <s v="2.5 x 3.4 meter; Termasuk listrik; AC; Kasur; Meja; Lemari Baju; Kursi; Bantal; Cermin; Guling; K. Mandi Dalam; Kloset Duduk; Shower; WiFi; R. Tamu; Penjaga Kos; K. Mandi Luar; CCTV; Parkir Mobil; Parkir Motor; Parkir Sepeda"/>
    <n v="1456000"/>
    <s v="Rp1.456.000"/>
    <n v="0.17291666666666669"/>
    <d v="1899-12-30T04:09:00"/>
    <s v="Kos Campur"/>
    <m/>
    <s v="Diskon 159rb"/>
  </r>
  <r>
    <s v="Kost Singgahsini Mangga 99 Tipe B Beji Depok"/>
    <x v="1"/>
    <x v="16"/>
    <n v="8.5"/>
    <s v="2.5 x 3.4 meter"/>
    <s v="Termasuk listrik (implied)"/>
    <n v="1530000"/>
    <s v="Rp1.530.000"/>
    <s v="2.5 x 3.4 meter; Termasuk listrik; AC; Kasur; Meja; Lemari Baju; Kursi; Bantal; Cermin; Guling; Jendela; Kloset Duduk; K. Mandi Luar; Shower; WiFi; R. Tamu; Penjaga Kos; CCTV; Parkir Mobil; Parkir Motor; Parkir Sepeda"/>
    <n v="1379500"/>
    <s v="Rp1.379.500"/>
    <n v="0.17291666666666669"/>
    <d v="1899-12-30T04:09:00"/>
    <s v="Kos Campur"/>
    <m/>
    <s v="Diskon 151rb"/>
  </r>
  <r>
    <s v="Kost Singgahsini Mangga Besar 8 Strawberry Tipe B Tamansari Jakarta Barat"/>
    <x v="3"/>
    <x v="149"/>
    <n v="8"/>
    <s v="4 x 2 meter"/>
    <s v="Tidak termasuk listrik"/>
    <n v="2025000"/>
    <s v="Rp2.025.000"/>
    <s v="4 x 2 meter; Tidak termasuk listrik; AC; Kasur; Meja; Lemari Baju; Ventilasi; Kursi; Bantal; Cermin; Jendela; K. Mandi Dalam; Kloset Duduk; Shower; Air panas; WiFi; Penjaga Kos; R. Jemur; CCTV; Parkir Motor &amp; Sepeda"/>
    <n v="1925000"/>
    <s v="Rp1.925.000"/>
    <n v="0.17222222222222225"/>
    <d v="1899-12-30T04:08:00"/>
    <s v="Kos Campur"/>
    <m/>
    <s v="Diskon 100rb"/>
  </r>
  <r>
    <s v="Kost Singgahsini Mangga Besar 8 Strawberry Tipe D Tamansari Jakarta Barat"/>
    <x v="3"/>
    <x v="149"/>
    <e v="#VALUE!"/>
    <s v="N/A"/>
    <s v="N/A"/>
    <s v=""/>
    <s v="N/A"/>
    <s v=""/>
    <n v="1625000"/>
    <s v="Rp1.625.000"/>
    <n v="0.17083333333333331"/>
    <d v="1899-12-30T04:06:00"/>
    <s v="Kos Campur"/>
    <m/>
    <m/>
  </r>
  <r>
    <s v="Kost Singgahsini Mangga Besar 8 Strawberry Tipe E Tamansari Jakarta Barat"/>
    <x v="3"/>
    <x v="149"/>
    <n v="9.6000000000000014"/>
    <s v="6 x 1.6 meter"/>
    <s v="Tidak termasuk listrik"/>
    <n v="1425000"/>
    <s v="Rp1.425.000"/>
    <s v="6 x 1.6 meter; Tidak termasuk listrik; AC; Kasur; Meja; Lemari Baju; Ventilasi; Kursi; Jendela; Bantal; Cermin; K. Mandi Dalam; Kloset Duduk; Shower; Air panas; WiFi; Penjaga Kos; R. Jemur; CCTV; Parkir Motor &amp; Sepeda"/>
    <n v="1313000"/>
    <s v="Rp1.313.000"/>
    <n v="0.16944444444444443"/>
    <d v="1899-12-30T04:04:00"/>
    <s v="Kos Campur"/>
    <m/>
    <s v="Diskon 112rb"/>
  </r>
  <r>
    <s v="Kost Singgahsini Manggis Raya 35 Tipe C Cengkareng Jakarta Barat"/>
    <x v="3"/>
    <x v="53"/>
    <n v="11.309999999999999"/>
    <s v="3.9 x 2.9 meter"/>
    <s v="Tidak termasuk listrik"/>
    <n v="1475000"/>
    <s v="Rp1.475.000"/>
    <s v="3.9 x 2.9 meter; Tidak termasuk listrik; AC; Kasur; Lemari Baju; Bantal; K. Mandi Dalam; Kloset Duduk; Shower; WiFi; R. Tamu; Penjaga Kos; R. Makan; R. Jemur; Dapur; Jemuran; Parkir Motor &amp; Sepeda"/>
    <n v="1402500"/>
    <s v="Rp1.402.500"/>
    <n v="0.17083333333333331"/>
    <d v="1899-12-30T04:06:00"/>
    <s v="Kos Campur"/>
    <m/>
    <s v="Diskon 73rb"/>
  </r>
  <r>
    <s v="Kost Singgahsini Manosa Tipe A Larangan Tangerang"/>
    <x v="6"/>
    <x v="74"/>
    <n v="8.1000000000000014"/>
    <s v="3 x 2.7 meter"/>
    <s v="Tidak termasuk listrik"/>
    <n v="1825000"/>
    <s v="Rp1.825.000"/>
    <s v="3 x 2.7 meter; Tidak termasuk listrik; AC; Kasur; Lemari Baju; Bantal; Cermin; Guling; Jendela; K. Mandi Dalam; Kloset Duduk; Shower; Air panas; WiFi; Kulkas; Mesin Cuci; Penjaga Kos; R. Jemur; Mushola; Dapur; Dispenser; Kartu Akses; CCTV; Parkir Motor &amp; Sepeda"/>
    <n v="1645000"/>
    <s v="Rp1.645.000"/>
    <n v="0.17083333333333331"/>
    <d v="1899-12-30T04:06:00"/>
    <s v="Kos Putri"/>
    <m/>
    <s v="Diskon 180rb"/>
  </r>
  <r>
    <s v="Kost Singgahsini Mantai Tipe A Kebon Jeruk Jakarta Barat"/>
    <x v="3"/>
    <x v="14"/>
    <n v="12.899999999999999"/>
    <s v="4.3 x 3 meter"/>
    <s v="Tidak termasuk listrik"/>
    <n v="2225000"/>
    <s v="Rp2.225.000"/>
    <s v="4.3 x 3 meter; Tidak termasuk listrik; AC; Kasur; Meja; Lemari Baju; Kursi; Dapur Pribadi; Jendela; Bantal; Guling; K. Mandi Dalam; Kloset Duduk; Shower; Air panas; WiFi; Penjaga Kos; R. Jemur; Rooftop; Parkir Mobil; Parkir Motor &amp; Sepeda"/>
    <n v="2049000"/>
    <s v="Rp2.049.000"/>
    <n v="0.17013888888888887"/>
    <d v="1899-12-30T04:05:00"/>
    <s v="Kos Campur"/>
    <m/>
    <s v="Diskon 176rb"/>
  </r>
  <r>
    <s v="Kost Singgahsini Maranzi House Tipe A Kebon Jeruk Jakarta Barat"/>
    <x v="3"/>
    <x v="14"/>
    <n v="12"/>
    <s v="4 x 3 meter"/>
    <s v="Tidak termasuk listrik"/>
    <s v=""/>
    <s v="N/A"/>
    <s v="4 x 3 meter; Tidak termasuk listrik; AC; Kasur; Meja; Lemari Baju; Kursi; Cleaning service; K. Mandi Dalam; Kloset Duduk; Wastafel; Shower; WiFi; Kulkas; R. Tamu; Penjaga Kos; Dapur; Dispenser; Parkir Mobil; Parkir Motor; Parkir Sepeda; Parkir Motor &amp; Sepeda"/>
    <n v="2475000"/>
    <s v="Rp2.475.000"/>
    <n v="0.17222222222222225"/>
    <d v="1899-12-30T04:08:00"/>
    <s v="Kos Campur"/>
    <m/>
    <m/>
  </r>
  <r>
    <s v="Kost Singgahsini Maranzi House Tipe B Kebon Jeruk Jakarta Barat"/>
    <x v="3"/>
    <x v="14"/>
    <n v="12"/>
    <s v="4 x 3 meter"/>
    <s v="Tidak termasuk listrik"/>
    <s v=""/>
    <s v="N/A"/>
    <s v="4 x 3 meter; Tidak termasuk listrik; AC; Kasur; Meja; Lemari Baju; Kursi; Cleaning service; K. Mandi Dalam; Kloset Duduk; Wastafel; Shower; WiFi; Kulkas; R. Tamu; Penjaga Kos; Dapur; Dispenser; Parkir Mobil; Parkir Motor; Parkir Sepeda; Parkir Motor &amp; Sepeda"/>
    <n v="2525000"/>
    <s v="Rp2.525.000"/>
    <n v="0.17083333333333331"/>
    <d v="1899-12-30T04:06:00"/>
    <s v="Kos Campur"/>
    <m/>
    <m/>
  </r>
  <r>
    <s v="Kost Singgahsini Maranzi House Tipe C Kebon Jeruk Jakarta Barat"/>
    <x v="3"/>
    <x v="14"/>
    <n v="20"/>
    <s v="5 x 4 meter"/>
    <s v="Tidak termasuk listrik"/>
    <s v=""/>
    <s v="N/A"/>
    <s v="5 x 4 meter; Tidak termasuk listrik; AC; Kasur; Meja; TV; Lemari Baju; Kursi; Cleaning service; K. Mandi Dalam; Kloset Duduk; Wastafel; Shower; WiFi; Kulkas; R. Tamu; Penjaga Kos; Dapur; Dispenser; Parkir Mobil; Parkir Motor; Parkir Sepeda; Parkir Motor &amp; Sepeda"/>
    <n v="3085000"/>
    <s v="Rp3.085.000"/>
    <n v="0.17291666666666669"/>
    <d v="1899-12-30T04:09:00"/>
    <s v="Kos Campur"/>
    <m/>
    <m/>
  </r>
  <r>
    <s v="Kost Singgahsini Maroon Tipe A Tebet Jakarta Selatan"/>
    <x v="5"/>
    <x v="189"/>
    <n v="15"/>
    <s v="5 x 3 meter"/>
    <s v="Tidak termasuk listrik"/>
    <n v="2300000"/>
    <s v="Rp2.300.000"/>
    <s v="5 x 3 meter; Tidak termasuk listrik; AC; Kasur; Meja; Lemari Baju; Kursi; Jendela; Bantal; Guling; Cermin; K. Mandi Dalam; Kloset Duduk; Ember mandi; Shower; WiFi; Kulkas; R. Tamu; Penjaga Kos; R. Jemur; Dapur; Rooftop; Parkir Motor &amp; Sepeda"/>
    <n v="2185000"/>
    <s v="Rp2.185.000"/>
    <n v="0.20833333333333334"/>
    <d v="1899-12-30T05:00:00"/>
    <s v="Kos Putri"/>
    <m/>
    <s v="Diskon 115rb"/>
  </r>
  <r>
    <s v="Kost Singgahsini Massma Tipe A Kramat Jati Jakarta Timur"/>
    <x v="8"/>
    <x v="47"/>
    <n v="8.32"/>
    <s v="2.6 x 3.2 meter"/>
    <s v="Tidak termasuk listrik"/>
    <n v="1475000"/>
    <s v="Rp1.475.000"/>
    <s v="2.6 x 3.2 meter; Tidak termasuk listrik; AC; Kasur; Lemari Baju; Bantal; Jendela; K. Mandi Dalam; Kloset Duduk; Ember mandi; Shower; WiFi; Penjaga Kos; Balcon; Parkir Motor; Parkir Sepeda"/>
    <n v="1402500"/>
    <s v="Rp1.402.500"/>
    <n v="0.17222222222222225"/>
    <d v="1899-12-30T04:08:00"/>
    <s v="Kos Campur"/>
    <m/>
    <s v="Diskon 73rb"/>
  </r>
  <r>
    <s v="Kost Singgahsini Massma Tipe B Kramat Jati Jakarta Timur"/>
    <x v="8"/>
    <x v="47"/>
    <n v="7.5"/>
    <s v="2.5 x 3 meter"/>
    <s v="Tidak termasuk listrik"/>
    <n v="1425000"/>
    <s v="Rp1.425.000"/>
    <s v="2.5 x 3 meter; Tidak termasuk listrik; AC; Kasur; Lemari Baju; Bantal; Jendela; K. Mandi Dalam; Kloset Duduk; Ember mandi; Shower; WiFi; Penjaga Kos; Balcon; Parkir Motor; Parkir Sepeda"/>
    <n v="1355000"/>
    <s v="Rp1.355.000"/>
    <n v="0.17291666666666669"/>
    <d v="1899-12-30T04:09:00"/>
    <s v="Kos Campur"/>
    <m/>
    <s v="Diskon 70rb"/>
  </r>
  <r>
    <s v="Kost Singgahsini Maxtim Tipe B Kelapa Gading Jakarta Utara"/>
    <x v="4"/>
    <x v="79"/>
    <n v="10.5"/>
    <s v="3 x 3.5 meter"/>
    <s v="Termasuk listrik (implied)"/>
    <s v=""/>
    <s v="N/A"/>
    <s v="3 x 3.5 meter; Termasuk listrik; AC; Kasur; Meja; Lemari Baju; Kursi; Bantal; Cermin; Guling; Jendela; K. Mandi Dalam; Kloset Duduk; K. Mandi Luar; Shower; Air panas; WiFi; Kulkas; Penjaga Kos; R. Jemur; Dapur; Dispenser; Parkir Mobil; Parkir Motor; Parkir Sepeda; Parkir Motor &amp; Sepeda"/>
    <n v="1575000"/>
    <s v="Rp1.575.000"/>
    <n v="0.17291666666666669"/>
    <d v="1899-12-30T04:09:00"/>
    <s v="Kos Putri"/>
    <m/>
    <s v="Diskon 100rb"/>
  </r>
  <r>
    <s v="Kost Singgahsini Maxtim Tipe C Kelapa Gading Jakarta Utara"/>
    <x v="4"/>
    <x v="79"/>
    <n v="16.5"/>
    <s v="3 x 5.5 meter"/>
    <s v="Termasuk listrik (implied)"/>
    <s v=""/>
    <s v="N/A"/>
    <s v="3 x 5.5 meter; Termasuk listrik; AC; Kasur; Meja; Lemari Baju; Ventilasi; Kursi; Bantal; Cermin; Guling; Jendela; K. Mandi Dalam; Kloset Duduk; Shower; Air panas; WiFi; Kulkas; Penjaga Kos; R. Jemur; Dapur; Dispenser; K. Mandi Luar; Parkir Mobil; Parkir Motor; Parkir Sepeda; Parkir Motor &amp; Sepeda"/>
    <n v="1775000"/>
    <s v="Rp1.775.000"/>
    <n v="0.17291666666666669"/>
    <d v="1899-12-30T04:09:00"/>
    <s v="Kos Putri"/>
    <m/>
    <s v="Diskon 100rb"/>
  </r>
  <r>
    <s v="Kost Singgahsini Maxtim Tipe D Kelapa Gading Jakarta Utara"/>
    <x v="4"/>
    <x v="79"/>
    <n v="20"/>
    <s v="4 x 5 meter"/>
    <s v="Termasuk listrik (implied)"/>
    <n v="2025000"/>
    <s v="Rp2.025.000"/>
    <s v="4 x 5 meter; Termasuk listrik; AC; Kasur; Meja; Lemari Baju; Kursi; Bantal; Guling; K. Mandi Dalam; Kloset Duduk; Shower; Air panas; WiFi; Kulkas; Penjaga Kos; R. Jemur; Dapur; Dispenser; K. Mandi Luar; Parkir Mobil; Parkir Motor; Parkir Sepeda; Parkir Motor &amp; Sepeda"/>
    <n v="1925000"/>
    <s v="Rp1.925.000"/>
    <n v="0.17291666666666669"/>
    <d v="1899-12-30T04:09:00"/>
    <s v="Kos Putri"/>
    <m/>
    <s v="Diskon 100rb"/>
  </r>
  <r>
    <s v="Kost Singgahsini Maysa Gunung Raya Tipe A Ciputat Timur Tangerang Selatan"/>
    <x v="2"/>
    <x v="65"/>
    <n v="9"/>
    <s v="3 x 3 meter"/>
    <s v="Tidak termasuk listrik"/>
    <s v=""/>
    <s v="N/A"/>
    <s v="3 x 3 meter; Tidak termasuk listrik; AC; Kasur; Meja; TV; Lemari Baju; Kulkas; Jendela; K. Mandi Dalam; Kloset Duduk; Shower; WiFi; R. Cuci; Mesin Cuci; Penjaga Kos; R. Jemur; Dapur; CCTV; Jemuran; Parkir Mobil; Parkir Motor &amp; Sepeda"/>
    <n v="1875000"/>
    <s v="Rp1.875.000"/>
    <n v="0.17083333333333331"/>
    <d v="1899-12-30T04:06:00"/>
    <s v="Kos Campur"/>
    <m/>
    <m/>
  </r>
  <r>
    <s v="Kost Singgahsini Me Tipe A Beji Depok"/>
    <x v="1"/>
    <x v="15"/>
    <n v="8.75"/>
    <s v="3.5 x 2.5 meter"/>
    <s v="Tidak termasuk listrik"/>
    <n v="1325000"/>
    <s v="Rp1.325.000"/>
    <s v="3.5 x 2.5 meter; Tidak termasuk listrik; AC; Kasur; Meja; Lemari Baju; Bantal; Cermin; Jendela; K. Mandi Dalam; Kloset Duduk; Shower; WiFi; R. Cuci; Penjaga Kos; R. Jemur; Dapur; CCTV; Rooftop; Parkir Motor &amp; Sepeda"/>
    <n v="1195000"/>
    <s v="Rp1.195.000"/>
    <n v="0.17291666666666669"/>
    <d v="1899-12-30T04:09:00"/>
    <s v="Kos Putri"/>
    <m/>
    <s v="Diskon 130rb"/>
  </r>
  <r>
    <s v="Kost Singgahsini Mediterania Marina Ancol Tipe A Pademangan Jakarta Utara"/>
    <x v="4"/>
    <x v="88"/>
    <n v="9"/>
    <s v="3 x 3 meter"/>
    <s v="Termasuk listrik (implied)"/>
    <n v="2350000"/>
    <s v="Rp2.350.000"/>
    <s v="3 x 3 meter; Termasuk listrik; AC; Kasur; Meja; TV; Lemari Baju; Kursi; Bantal; Cermin; K. Mandi Dalam; Kloset Duduk; Wastafel; Shower; Air panas; WiFi; Kulkas; R. Tamu; Penjaga Kos; Dapur; Dispenser; Kartu Akses; CCTV; Parkir Mobil; Parkir Motor &amp; Sepeda"/>
    <n v="2232500"/>
    <s v="Rp2.232.500"/>
    <n v="0.17291666666666669"/>
    <d v="1899-12-30T04:09:00"/>
    <s v="Kos Campur"/>
    <m/>
    <s v="Diskon 118rb"/>
  </r>
  <r>
    <s v="Kost Singgahsini Mediterania Marina Ancol Tipe B Pademangan Jakarta Utara"/>
    <x v="4"/>
    <x v="88"/>
    <n v="9"/>
    <s v="3 x 3 meter"/>
    <s v="Termasuk listrik (implied)"/>
    <n v="2200000"/>
    <s v="Rp2.200.000"/>
    <s v="3 x 3 meter; Termasuk listrik; AC; Kasur; Meja; TV; Lemari Baju; Kursi; Bantal; Cermin; K. Mandi Dalam; Kloset Duduk; Wastafel; Shower; Air panas; WiFi; Kulkas; R. Tamu; Penjaga Kos; Dapur; Dispenser; Kartu Akses; CCTV; Parkir Mobil; Parkir Motor &amp; Sepeda"/>
    <n v="2090000"/>
    <s v="Rp2.090.000"/>
    <n v="0.1673611111111111"/>
    <d v="1899-12-30T04:01:00"/>
    <s v="Kos Campur"/>
    <m/>
    <s v="Diskon 110rb"/>
  </r>
  <r>
    <s v="Kost Singgahsini Meruya Selatan Tipe A Kembangan Jakarta Barat"/>
    <x v="3"/>
    <x v="133"/>
    <n v="7.9200000000000008"/>
    <s v="3.6 x 2.2 meter"/>
    <s v="Termasuk listrik (implied)"/>
    <s v=""/>
    <s v="N/A"/>
    <s v="3.6 x 2.2 meter; Termasuk listrik; AC; Kasur; Lemari Baju; Bantal; Cermin; Jendela; K. Mandi Dalam; Kloset Jongkok; WiFi; R. Tamu; R. Jemur; Dapur; CCTV; Parkir Motor; Parkir Sepeda"/>
    <n v="1425000"/>
    <s v="Rp1.425.000"/>
    <n v="0.17291666666666669"/>
    <d v="1899-12-30T04:09:00"/>
    <s v="Kos Putri"/>
    <m/>
    <s v="Diskon 125rb"/>
  </r>
  <r>
    <s v="Kost Singgahsini Meruya Selatan Tipe B Kembangan Jakarta Barat"/>
    <x v="3"/>
    <x v="133"/>
    <n v="20.8"/>
    <s v="5.2 x 4 meter"/>
    <s v="Tidak termasuk listrik"/>
    <s v=""/>
    <s v="N/A"/>
    <s v="5.2 x 4 meter; Tidak termasuk listrik; AC; Kasur; Meja; Lemari Baju; Bantal; K. Mandi Dalam; Kloset Duduk; WiFi; R. Tamu; R. Jemur; Dapur; CCTV; Parkir Motor; Parkir Sepeda"/>
    <n v="1525000"/>
    <s v="Rp1.525.000"/>
    <n v="0.17083333333333331"/>
    <d v="1899-12-30T04:06:00"/>
    <s v="Kos Putri"/>
    <m/>
    <m/>
  </r>
  <r>
    <s v="Kost Singgahsini Meruya Selatan Tipe C Kembangan Jakarta Barat"/>
    <x v="3"/>
    <x v="133"/>
    <n v="7.9200000000000008"/>
    <s v="3.6 x 2.2 meter"/>
    <s v="Termasuk listrik (implied)"/>
    <s v=""/>
    <s v="N/A"/>
    <s v="3.6 x 2.2 meter; Termasuk listrik; AC; Kasur; Lemari Baju; Kursi; Bantal; Guling; Jendela; K. Mandi Dalam; Kloset Duduk; K. Mandi Luar; Shower; WiFi; R. Tamu; R. Jemur; Dapur; CCTV; Parkir Motor; Parkir Sepeda"/>
    <n v="1325000"/>
    <s v="Rp1.325.000"/>
    <n v="0.17222222222222225"/>
    <d v="1899-12-30T04:08:00"/>
    <s v="Kos Putri"/>
    <m/>
    <m/>
  </r>
  <r>
    <s v="Kost Singgahsini MHR Tipe A Cikokol Tangerang"/>
    <x v="6"/>
    <x v="22"/>
    <n v="24"/>
    <s v="8 x 3 meter"/>
    <s v="Tidak termasuk listrik"/>
    <n v="2125000"/>
    <s v="Rp2.125.000"/>
    <s v="8 x 3 meter; Tidak termasuk listrik; AC; Kasur; Meja; TV; Lemari Baju; Kursi; Bantal; Cermin; Guling; Jendela; K. Mandi Dalam; Kloset Duduk; Wastafel; Ember mandi; Shower; Air panas; WiFi; R. Cuci; R. Tamu; Penjaga Kos; R. Jemur; Mushola; Dapur; Taman; Gazebo; Parkir Mobil; Parkir Motor &amp; Sepeda"/>
    <n v="2020000"/>
    <s v="Rp2.020.000"/>
    <n v="0.16874999999999998"/>
    <d v="1899-12-30T04:03:00"/>
    <s v="Kos Campur"/>
    <m/>
    <s v="Diskon 105rb"/>
  </r>
  <r>
    <s v="Kost Singgahsini MHR Tipe B Cikokol Tangerang"/>
    <x v="6"/>
    <x v="22"/>
    <n v="24"/>
    <s v="8 x 3 meter"/>
    <s v="Tidak termasuk listrik"/>
    <n v="1825000"/>
    <s v="Rp1.825.000"/>
    <s v="8 x 3 meter; Tidak termasuk listrik; AC; Kasur; Meja; TV; Lemari Baju; Kursi; Bantal; Cermin; Guling; Jendela; K. Mandi Dalam; Kloset Duduk; Ember mandi; Shower; WiFi; R. Cuci; R. Tamu; Penjaga Kos; R. Jemur; Mushola; Dapur; Taman; Gazebo; Parkir Mobil; Parkir Motor &amp; Sepeda"/>
    <n v="1735000"/>
    <s v="Rp1.735.000"/>
    <n v="0.16944444444444443"/>
    <d v="1899-12-30T04:04:00"/>
    <s v="Kos Campur"/>
    <m/>
    <s v="Diskon 90rb"/>
  </r>
  <r>
    <s v="Kost Singgahsini Milo Residence Tipe B Kramat Jati Jakarta Timur"/>
    <x v="8"/>
    <x v="47"/>
    <n v="12"/>
    <s v="4 x 3 meter"/>
    <s v="Tidak termasuk listrik"/>
    <n v="2300000"/>
    <s v="Rp2.300.000"/>
    <s v="4 x 3 meter; Tidak termasuk listrik; AC; Kasur; Meja; TV; Lemari Baju; Kulkas; Ventilasi; Kursi; Bantal; Cermin; K. Mandi Dalam; Kloset Duduk; Shower; Air panas; WiFi; R. Jemur; Dapur; CCTV; Parkir Motor &amp; Sepeda"/>
    <n v="2185000"/>
    <s v="Rp2.185.000"/>
    <n v="0.16874999999999998"/>
    <d v="1899-12-30T04:03:00"/>
    <s v="Kos Campur"/>
    <m/>
    <s v="Diskon 115rb"/>
  </r>
  <r>
    <s v="Kost Singgahsini Miracle Petamburan II Tipe A Tanah Abang Jakarta Pusat"/>
    <x v="9"/>
    <x v="42"/>
    <n v="6"/>
    <s v="3 x 2 meter"/>
    <s v="Tidak termasuk listrik"/>
    <n v="1725000"/>
    <s v="Rp1.725.000"/>
    <s v="3 x 2 meter; Tidak termasuk listrik; AC; Kasur; Lemari Baju; Bantal; Cermin; Jendela; K. Mandi Dalam; Kloset Duduk; Kloset Jongkok; Ember mandi; Shower; WiFi; Kulkas; R. Jemur; Dapur; Dispenser; Parkir Mobil; Parkir Motor; Parkir Sepeda; Parkir Motor &amp; Sepeda"/>
    <n v="1640000"/>
    <s v="Rp1.640.000"/>
    <n v="0.17222222222222225"/>
    <d v="1899-12-30T04:08:00"/>
    <s v="Kos Putri"/>
    <m/>
    <s v="Diskon 85rb"/>
  </r>
  <r>
    <s v="Kost Singgahsini Miracle Petamburan II Tipe B Tanah Abang Jakarta Pusat"/>
    <x v="9"/>
    <x v="42"/>
    <n v="6"/>
    <s v="3 x 2 meter"/>
    <s v="Tidak termasuk listrik"/>
    <n v="1825000"/>
    <s v="Rp1.825.000"/>
    <s v="3 x 2 meter; Tidak termasuk listrik; AC; Kasur; Lemari Baju; Bantal; Cermin; Jendela; K. Mandi Dalam; Kloset Duduk; Kloset Jongkok; Ember mandi; Shower; WiFi; Kulkas; R. Jemur; Dapur; Dispenser; Parkir Mobil; Parkir Motor; Parkir Sepeda; Parkir Motor &amp; Sepeda"/>
    <n v="1735000"/>
    <s v="Rp1.735.000"/>
    <n v="0.17083333333333331"/>
    <d v="1899-12-30T04:06:00"/>
    <s v="Kos Putri"/>
    <m/>
    <s v="Diskon 90rb"/>
  </r>
  <r>
    <s v="Kost Singgahsini Miracle Petamburan II Tipe C Tanah Abang Jakarta Pusat"/>
    <x v="9"/>
    <x v="42"/>
    <n v="12"/>
    <s v="4 x 3 meter"/>
    <s v="Tidak termasuk listrik"/>
    <n v="1875000"/>
    <s v="Rp1.875.000"/>
    <s v="4 x 3 meter; Tidak termasuk listrik; AC; Kasur; Lemari Baju; Bantal; Cermin; Jendela; K. Mandi Dalam; Kloset Jongkok; Ember mandi; Shower; WiFi; Kulkas; R. Jemur; Dapur; Dispenser; Parkir Mobil; Parkir Motor; Parkir Sepeda; Parkir Motor &amp; Sepeda"/>
    <n v="1782500"/>
    <s v="Rp1.782.500"/>
    <n v="0.17291666666666669"/>
    <d v="1899-12-30T04:09:00"/>
    <s v="Kos Putri"/>
    <m/>
    <s v="Diskon 93rb"/>
  </r>
  <r>
    <s v="Kost Singgahsini Mona Tipe A Duren Sawit Jakarta Timur"/>
    <x v="8"/>
    <x v="39"/>
    <n v="8.75"/>
    <s v="3.5 x 2.5 meter"/>
    <s v="Tidak termasuk listrik"/>
    <n v="1675000"/>
    <s v="Rp1.675.000"/>
    <s v="3.5 x 2.5 meter; Tidak termasuk listrik; AC; Kasur; Meja; Lemari Baju; Ventilasi; Kursi; Kipas Angin; Bantal; Cermin; Guling; K. Mandi Dalam; Kloset Duduk; Shower; WiFi; Kulkas; R. Tamu; R. Makan; Dapur; Parkir Motor &amp; Sepeda"/>
    <n v="1543000"/>
    <s v="Rp1.543.000"/>
    <n v="0.17222222222222225"/>
    <d v="1899-12-30T04:08:00"/>
    <s v="Kos Putri"/>
    <m/>
    <s v="Diskon 132rb"/>
  </r>
  <r>
    <s v="Kost Singgahsini Mona Tipe E Duren Sawit Jakarta Timur"/>
    <x v="8"/>
    <x v="39"/>
    <n v="6"/>
    <s v="3 x 2 meter"/>
    <s v="Tidak termasuk listrik"/>
    <s v=""/>
    <s v="N/A"/>
    <s v="3 x 2 meter; Tidak termasuk listrik; AC; Kasur; Meja; Lemari Baju; Ventilasi; Kursi; Bantal; Cermin; Guling; Jendela; Kloset Duduk; K. Mandi Luar; Shower; WiFi; Kulkas; R. Tamu; R. Makan; Dapur; Parkir Motor &amp; Sepeda"/>
    <n v="1225000"/>
    <s v="Rp1.225.000"/>
    <n v="0.17013888888888887"/>
    <d v="1899-12-30T04:05:00"/>
    <s v="Kos Putri"/>
    <m/>
    <s v="Diskon 132rb"/>
  </r>
  <r>
    <s v="Kost Singgahsini MPR05 Menteng Pulo Tipe A Setiabudi Jakarta Selatan"/>
    <x v="5"/>
    <x v="44"/>
    <n v="7"/>
    <s v="2 x 3.5 meter"/>
    <s v="Tidak termasuk listrik"/>
    <s v=""/>
    <s v="N/A"/>
    <s v="2 x 3.5 meter; Tidak termasuk listrik; AC; Kasur; Lemari Baju; Bantal; Cermin; Jendela; K. Mandi Dalam; Kloset Duduk; Shower; WiFi; Kulkas; R. Tamu; Penjaga Kos; R. Jemur; Dapur; Dispenser; Parkir Motor &amp; Sepeda"/>
    <n v="2285000"/>
    <s v="Rp2.285.000"/>
    <n v="0.17083333333333331"/>
    <d v="1899-12-30T04:06:00"/>
    <s v="Kos Putri"/>
    <m/>
    <s v="Diskon 120rb"/>
  </r>
  <r>
    <s v="Kost Singgahsini MR PKN STAN Tipe A Pondok Aren Tangerang Selatan"/>
    <x v="2"/>
    <x v="29"/>
    <n v="13.32"/>
    <s v="3.7 x 3.6 meter"/>
    <s v="Tidak termasuk listrik"/>
    <n v="1625000"/>
    <s v="Rp1.625.000"/>
    <s v="3.7 x 3.6 meter; Tidak termasuk listrik; AC; Kasur; Meja; Lemari Baju; Ventilasi; Kursi; Bantal; Cermin; Guling; Jendela; K. Mandi Dalam; Kloset Jongkok; Ember mandi; Bak mandi; WiFi; Kulkas; R. Tamu; Penjaga Kos; R. Jemur; Dapur; Jemuran; Parkir Mobil; Parkir Motor; Parkir Sepeda"/>
    <n v="1497000"/>
    <s v="Rp1.497.000"/>
    <n v="0.17013888888888887"/>
    <d v="1899-12-30T04:05:00"/>
    <s v="Kos Campur"/>
    <m/>
    <s v="Diskon 128rb"/>
  </r>
  <r>
    <s v="Kost Singgahsini MR PKN STAN Tipe B Pondok Aren Tangerang Selatan"/>
    <x v="2"/>
    <x v="29"/>
    <n v="7.5"/>
    <s v="2.5 x 3 meter"/>
    <s v="Tidak termasuk listrik"/>
    <n v="1325000"/>
    <s v="Rp1.325.000"/>
    <s v="2.5 x 3 meter; Tidak termasuk listrik; AC; Kasur; Meja; Lemari Baju; Ventilasi; Kursi; Bantal; Cermin; Guling; Jendela; K. Mandi Dalam; Kloset Duduk; K. Mandi Luar; Ember mandi; WiFi; Kulkas; R. Tamu; Penjaga Kos; R. Jemur; Dapur; Jemuran; Parkir Mobil; Parkir Motor; Parkir Sepeda"/>
    <n v="1221000"/>
    <s v="Rp1.221.000"/>
    <n v="0.17013888888888887"/>
    <d v="1899-12-30T04:05:00"/>
    <s v="Kos Campur"/>
    <m/>
    <s v="Diskon 104rb"/>
  </r>
  <r>
    <s v="Kost Singgahsini MR PKN STAN Tipe C Pondok Aren Tangerang Selatan"/>
    <x v="2"/>
    <x v="29"/>
    <n v="5.75"/>
    <s v="2.3 x 2.5 meter"/>
    <s v="Tidak termasuk listrik"/>
    <n v="925000"/>
    <s v="Rp925.000"/>
    <s v="2.3 x 2.5 meter; Tidak termasuk listrik; Kasur; Meja; Lemari Baju; Kursi; Bantal; Cermin; Guling; Jendela; Kloset Jongkok; K. Mandi Luar; Ember mandi; WiFi; Kulkas; R. Tamu; Penjaga Kos; R. Jemur; Dapur; Jemuran; Parkir Mobil; Parkir Motor; Parkir Sepeda"/>
    <n v="853000"/>
    <s v="Rp853.000"/>
    <n v="0.17083333333333331"/>
    <d v="1899-12-30T04:06:00"/>
    <s v="Kos Campur"/>
    <m/>
    <s v="Diskon 72rb"/>
  </r>
  <r>
    <s v="Kost Singgahsini MRT Haji Nawi 28 Tipe B Fatmawati Jakarta Selatan"/>
    <x v="5"/>
    <x v="172"/>
    <e v="#VALUE!"/>
    <s v="N/A"/>
    <s v="N/A"/>
    <n v="2625000"/>
    <s v="Rp2.625.000"/>
    <s v=""/>
    <n v="2365000"/>
    <s v="Rp2.365.000"/>
    <n v="0.17013888888888887"/>
    <d v="1899-12-30T04:05:00"/>
    <s v="Kos Campur"/>
    <m/>
    <s v="Diskon 260rb"/>
  </r>
  <r>
    <s v="Kost Singgahsini MRT Haji Nawi 28 Tipe C Fatmawati Jakarta Selatan"/>
    <x v="5"/>
    <x v="7"/>
    <n v="24"/>
    <s v="4 x 6 meter"/>
    <s v="Tidak termasuk listrik"/>
    <n v="3225000"/>
    <s v="Rp3.225.000"/>
    <s v="4 x 6 meter; Tidak termasuk listrik; AC; Kasur; Meja; TV; Lemari Baju; Ventilasi; Kursi; Bantal; Cermin; Guling; K. Mandi Dalam; Kloset Duduk; Wastafel; Shower; Air panas; WiFi; R. Tamu; Dapur; K. Mandi Luar; Parkir Mobil; Parkir Motor; Parkir Sepeda"/>
    <n v="2905000"/>
    <s v="Rp2.905.000"/>
    <n v="0.17291666666666669"/>
    <d v="1899-12-30T04:09:00"/>
    <s v="Kos Campur"/>
    <m/>
    <s v="Diskon 320rb"/>
  </r>
  <r>
    <s v="Kost Singgahsini Muhajar 50 Tipe A Kebon Jeruk Jakarta Barat"/>
    <x v="3"/>
    <x v="14"/>
    <n v="18"/>
    <s v="4 x 4.5 meter"/>
    <s v="Tidak termasuk listrik"/>
    <n v="2225000"/>
    <s v="Rp2.225.000"/>
    <s v="4 x 4.5 meter; Tidak termasuk listrik; AC; Kasur; Meja; Lemari Baju; Ventilasi; Kursi; Bantal; Guling; Jendela; K. Mandi Dalam; Kloset Duduk; Shower; Air panas; WiFi; Kulkas; R. Cuci; Penjaga Kos; R. Jemur; Dapur; Gazebo; CCTV; Jemuran; Parkir Motor &amp; Sepeda"/>
    <n v="2115000"/>
    <s v="Rp2.115.000"/>
    <n v="0.17083333333333331"/>
    <d v="1899-12-30T04:06:00"/>
    <s v="Kos Putri"/>
    <m/>
    <s v="Diskon 110rb"/>
  </r>
  <r>
    <s v="Kost Singgahsini Muhajar 50 Tipe B Kebon Jeruk Jakarta Barat"/>
    <x v="3"/>
    <x v="14"/>
    <n v="14"/>
    <s v="3.5 x 4 meter"/>
    <s v="Tidak termasuk listrik"/>
    <n v="2125000"/>
    <s v="Rp2.125.000"/>
    <s v="3.5 x 4 meter; Tidak termasuk listrik; AC; Kasur; Meja; Lemari Baju; Kursi; Bantal; Guling; Jendela; K. Mandi Dalam; Kloset Duduk; Wastafel; Shower; Air panas; WiFi; Kulkas; R. Cuci; Penjaga Kos; R. Jemur; Dapur; Gazebo; CCTV; Jemuran; Parkir Motor &amp; Sepeda"/>
    <n v="2020000"/>
    <s v="Rp2.020.000"/>
    <n v="0.17083333333333331"/>
    <d v="1899-12-30T04:06:00"/>
    <s v="Kos Putri"/>
    <m/>
    <s v="Diskon 105rb"/>
  </r>
  <r>
    <s v="Kost Singgahsini Muhajar Tipe A Kebon Jeruk Jakarta Barat"/>
    <x v="3"/>
    <x v="14"/>
    <n v="12"/>
    <s v="4 x 3 meter"/>
    <s v="Termasuk listrik (implied)"/>
    <n v="2125000"/>
    <s v="Rp2.125.000"/>
    <s v="4 x 3 meter; Termasuk listrik; AC; Kasur; Meja; Lemari Baju; Kursi; Cleaning service; Bantal; Jendela; K. Mandi Dalam; Kloset Duduk; Wastafel; Shower; Air panas; WiFi; Kulkas; Penjaga Kos; Dapur; Dispenser; Balcon; Parkir Mobil; Parkir Motor; Parkir Sepeda; Parkir Motor &amp; Sepeda"/>
    <n v="2020000"/>
    <s v="Rp2.020.000"/>
    <n v="0.17291666666666669"/>
    <d v="1899-12-30T04:09:00"/>
    <s v="Kos Putri"/>
    <m/>
    <s v="Diskon 105rb"/>
  </r>
  <r>
    <s v="Kost Singgahsini Muhajar Tipe B Kebon Jeruk Jakarta Barat"/>
    <x v="3"/>
    <x v="14"/>
    <n v="8.75"/>
    <s v="3.5 x 2.5 meter"/>
    <s v="Tidak termasuk listrik"/>
    <n v="2025000"/>
    <s v="Rp2.025.000"/>
    <s v="3.5 x 2.5 meter; Tidak termasuk listrik; AC; Kasur; Meja; Lemari Baju; Kursi; Cleaning service; Bantal; K. Mandi Dalam; Kloset Duduk; Wastafel; Shower; Air panas; WiFi; Kulkas; Penjaga Kos; Dapur; Dispenser; Balcon; Parkir Mobil; Parkir Motor; Parkir Sepeda; Parkir Motor &amp; Sepeda"/>
    <n v="1925000"/>
    <s v="Rp1.925.000"/>
    <n v="0.17222222222222225"/>
    <d v="1899-12-30T04:08:00"/>
    <s v="Kos Putri"/>
    <m/>
    <s v="Diskon 100rb"/>
  </r>
  <r>
    <s v="Kost Singgahsini Mutiara 16B Tipe A Sumur Batu Jakarta Pusat"/>
    <x v="9"/>
    <x v="56"/>
    <n v="9"/>
    <s v="3 x 3 meter"/>
    <s v="Tidak termasuk listrik"/>
    <n v="1225000"/>
    <s v="Rp1.225.000"/>
    <s v="3 x 3 meter; Tidak termasuk listrik; AC; Kasur; Meja; Lemari Baju; Ventilasi; Kursi; Bantal; Cermin; Jendela; Kloset Duduk; Kloset Jongkok; K. Mandi Luar; Ember mandi; Shower; WiFi; Dapur; Jemuran; Parkir Mobil; Parkir Sepeda; Parkir Motor &amp; Sepeda"/>
    <n v="1129000"/>
    <s v="Rp1.129.000"/>
    <n v="0.17222222222222225"/>
    <d v="1899-12-30T04:08:00"/>
    <s v="Kos Campur"/>
    <m/>
    <s v="Diskon 96rb"/>
  </r>
  <r>
    <s v="Kost Singgahsini Mutiara 16B Tipe B Sumur Batu Jakarta Pusat"/>
    <x v="9"/>
    <x v="56"/>
    <n v="5"/>
    <s v="2.5 x 2.0 meter"/>
    <s v="Tidak termasuk listrik"/>
    <s v=""/>
    <s v="N/A"/>
    <s v="2.5 x 2.0 meter; Tidak termasuk listrik; AC; Kasur; Meja; Lemari Baju; Ventilasi; Kursi; Bantal; Cermin; Jendela; Kloset Duduk; Kloset Jongkok; K. Mandi Luar; Ember mandi; Shower; WiFi; Dapur; Jemuran; Parkir Mobil; Parkir Sepeda; Parkir Motor &amp; Sepeda"/>
    <n v="1125000"/>
    <s v="Rp1.125.000"/>
    <n v="0.17291666666666669"/>
    <d v="1899-12-30T04:09:00"/>
    <s v="Kos Campur"/>
    <m/>
    <s v="Diskon 96rb"/>
  </r>
  <r>
    <s v="Kost Singgahsini My Home Tipe A Setiabudi Jakarta Selatan"/>
    <x v="5"/>
    <x v="44"/>
    <n v="12"/>
    <s v="4 x 3 meter"/>
    <s v="Tidak termasuk listrik"/>
    <n v="2525000"/>
    <s v="Rp2.525.000"/>
    <s v="4 x 3 meter; Tidak termasuk listrik; AC; Kasur; Meja; Lemari Baju; Kursi; Bantal; Guling; Jendela; K. Mandi Dalam; Kloset Duduk; Wastafel; Shower; Air panas; WiFi; R. Cuci; R. Tamu; Penjaga Kos; Dapur; K. Mandi Luar; Parkir Mobil; Parkir Motor; Parkir Sepeda; Parkir Motor &amp; Sepeda"/>
    <n v="2400000"/>
    <s v="Rp2.400.000"/>
    <n v="0.17013888888888887"/>
    <d v="1899-12-30T04:05:00"/>
    <s v="Kos Campur"/>
    <m/>
    <s v="Diskon 125rb"/>
  </r>
  <r>
    <s v="Kost Singgahsini My Home Tipe B Setiabudi Jakarta Selatan"/>
    <x v="5"/>
    <x v="44"/>
    <n v="10.799999999999999"/>
    <s v="4.5 x 2.4 meter"/>
    <s v="Tidak termasuk listrik"/>
    <s v=""/>
    <s v="N/A"/>
    <s v="4.5 x 2.4 meter; Tidak termasuk listrik; AC; Kasur; Meja; TV; Lemari Baju; Kursi; Bantal; Guling; Jendela; K. Mandi Dalam; Kloset Duduk; K. Mandi Luar; Wastafel; Shower; Air panas; WiFi; R. Cuci; R. Tamu; Penjaga Kos; Dapur; Rooftop; Parkir Mobil; Parkir Motor; Parkir Sepeda; Parkir Motor &amp; Sepeda"/>
    <n v="2825000"/>
    <s v="Rp2.825.000"/>
    <n v="0.17013888888888887"/>
    <d v="1899-12-30T04:05:00"/>
    <s v="Kos Campur"/>
    <m/>
    <s v="Diskon 125rb"/>
  </r>
  <r>
    <s v="Kost Singgahsini My Pelopor Tipe B Kalideres Jakarta Barat"/>
    <x v="3"/>
    <x v="184"/>
    <n v="9.8899999999999988"/>
    <s v="4.3 x 2.3 meter"/>
    <s v="Tidak termasuk listrik"/>
    <n v="1725000"/>
    <s v="Rp1.725.000"/>
    <s v="4.3 x 2.3 meter; Tidak termasuk listrik; AC; Kasur; Lemari Baju; Bantal; Guling; Jendela; K. Mandi Dalam; Kloset Duduk; Shower; WiFi; R. Tamu; Penjaga Kos; R. Jemur; Dapur; Dispenser; Balcon; CCTV; Rooftop; Parkir Motor &amp; Sepeda"/>
    <n v="1589000"/>
    <s v="Rp1.589.000"/>
    <n v="0.16874999999999998"/>
    <d v="1899-12-30T04:03:00"/>
    <s v="Kos Campur"/>
    <m/>
    <s v="Diskon 136rb"/>
  </r>
  <r>
    <s v="Kost Singgahsini Nathan Kemang Utara Tipe B Mampang Prapatan Jakarta Selatan"/>
    <x v="5"/>
    <x v="67"/>
    <n v="10.8"/>
    <s v="3 x 3.6 meter"/>
    <s v="Tidak termasuk listrik"/>
    <n v="2925000"/>
    <s v="Rp2.925.000"/>
    <s v="3 x 3.6 meter; Tidak termasuk listrik; AC; Kasur; Meja; Lemari Baju; Kursi; Bantal; Cermin; Guling; Jendela; K. Mandi Dalam; Kloset Duduk; Wastafel; Shower; Air panas; WiFi; Kulkas; R. Tamu; Penjaga Kos; Mushola; R. Santai; Dapur; Dispenser; Taman; CCTV; Parkir Mobil; Parkir Sepeda; Parkir Motor &amp; Sepeda"/>
    <n v="2780000"/>
    <s v="Rp2.780.000"/>
    <n v="0.17013888888888887"/>
    <d v="1899-12-30T04:05:00"/>
    <s v="Kos Campur"/>
    <m/>
    <s v="Diskon 145rb"/>
  </r>
  <r>
    <s v="Kost Singgahsini Ndalem Lakshmi Tipe A Pasar Minggu Jakarta Selatan"/>
    <x v="5"/>
    <x v="43"/>
    <n v="10.5"/>
    <s v="3.5 x 3 meter"/>
    <s v="Tidak termasuk listrik"/>
    <n v="2775000"/>
    <s v="Rp2.775.000"/>
    <s v="3.5 x 3 meter; Tidak termasuk listrik; AC; Kasur; Meja; Lemari Baju; Kursi; Bantal; Guling; Jendela; K. Mandi Dalam; Kloset Duduk; Wastafel; Shower; Air panas; WiFi; Kulkas; Penjaga Kos; R. Makan; R. Jemur; Dapur; Dispenser; TV; CCTV; Jemuran; Parkir Mobil; Parkir Motor &amp; Sepeda"/>
    <n v="2637500"/>
    <s v="Rp2.637.500"/>
    <n v="0.17222222222222225"/>
    <d v="1899-12-30T04:08:00"/>
    <s v="Kos Putri"/>
    <m/>
    <s v="Diskon 138rb"/>
  </r>
  <r>
    <s v="Kost Singgahsini Ndalem Lakshmi Tipe B Pasar Minggu Jakarta Selatan"/>
    <x v="5"/>
    <x v="43"/>
    <n v="8.75"/>
    <s v="3.5 x 2.5 meter"/>
    <s v="Tidak termasuk listrik"/>
    <n v="2525000"/>
    <s v="Rp2.525.000"/>
    <s v="3.5 x 2.5 meter; Tidak termasuk listrik; AC; Kasur; Meja; Lemari Baju; Kursi; Bantal; Guling; Jendela; K. Mandi Dalam; Kloset Duduk; Wastafel; Shower; Air panas; WiFi; Kulkas; Penjaga Kos; R. Makan; R. Jemur; Dapur; Dispenser; TV; CCTV; Jemuran; Parkir Mobil; Parkir Motor &amp; Sepeda"/>
    <n v="2400000"/>
    <s v="Rp2.400.000"/>
    <n v="0.17222222222222225"/>
    <d v="1899-12-30T04:08:00"/>
    <s v="Kos Putri"/>
    <m/>
    <s v="Diskon 125rb"/>
  </r>
  <r>
    <s v="Kost Singgahsini Nest Cikini Tipe A Menteng Jakarta Pusat"/>
    <x v="9"/>
    <x v="125"/>
    <n v="8.64"/>
    <s v="3.2 x 2.7 meter"/>
    <s v="Tidak termasuk listrik"/>
    <n v="2525000"/>
    <s v="Rp2.525.000"/>
    <s v="3.2 x 2.7 meter; Tidak termasuk listrik; AC; Kasur; Meja; TV; Lemari Baju; Ventilasi; Bantal; Cermin; Kloset Duduk; K. Mandi Luar; Ember mandi; Shower; WiFi; Kulkas; Penjaga Kos; R. Jemur; Dapur; CCTV; Parkir Motor &amp; Sepeda"/>
    <n v="2275000"/>
    <s v="Rp2.275.000"/>
    <n v="0.12847222222222224"/>
    <d v="1899-12-30T03:05:00"/>
    <s v="Kos Campur"/>
    <m/>
    <s v="Diskon 250rb"/>
  </r>
  <r>
    <s v="Kost Singgahsini Nest Cikini Tipe B Menteng Jakarta Pusat"/>
    <x v="9"/>
    <x v="125"/>
    <n v="7.5"/>
    <s v="3 x 2.5 meter"/>
    <s v="Tidak termasuk listrik"/>
    <n v="2025000"/>
    <s v="Rp2.025.000"/>
    <s v="3 x 2.5 meter; Tidak termasuk listrik; AC; Kasur; Meja; TV; Lemari Baju; Ventilasi; Bantal; Cermin; Guling; Kloset Duduk; K. Mandi Luar; Ember mandi; Shower; WiFi; Kulkas; Penjaga Kos; R. Jemur; Dapur; CCTV; Parkir Motor &amp; Sepeda"/>
    <n v="1825000"/>
    <s v="Rp1.825.000"/>
    <n v="0.17291666666666669"/>
    <d v="1899-12-30T04:09:00"/>
    <s v="Kos Campur"/>
    <m/>
    <s v="Diskon 200rb"/>
  </r>
  <r>
    <s v="Kost Singgahsini Nina Kebagusan Raya Tipe C Pasar Minggu Jakarta Selatan"/>
    <x v="5"/>
    <x v="43"/>
    <n v="6.3000000000000007"/>
    <s v="3 x 2.1 meter"/>
    <s v="Termasuk listrik (implied)"/>
    <s v=""/>
    <s v="N/A"/>
    <s v="3 x 2.1 meter; Termasuk listrik; Kasur; Meja; Lemari Baju; Ventilasi; Kursi; Bantal; Guling; Jendela; Kloset Duduk; K. Mandi Luar; WiFi; Penjaga Kos; R. Jemur; Dapur; Dispenser; Jemuran; Parkir Mobil; Parkir Motor; Parkir Sepeda"/>
    <n v="1125000"/>
    <s v="Rp1.125.000"/>
    <n v="0.17013888888888887"/>
    <d v="1899-12-30T04:05:00"/>
    <s v="Kos Putra"/>
    <m/>
    <s v="Diskon 88rb"/>
  </r>
  <r>
    <s v="Kost Singgahsini Ninetree Mangga Besar Tipe B Tamansari Jakarta Barat"/>
    <x v="3"/>
    <x v="149"/>
    <n v="9"/>
    <s v="3 x 3 meter"/>
    <s v="Tidak termasuk listrik"/>
    <n v="2325000"/>
    <s v="Rp2.325.000"/>
    <s v="3 x 3 meter; Tidak termasuk listrik; AC; Kasur; Meja Rias; Lemari Baju; Kursi; Bantal; Cermin; Jendela; K. Mandi Dalam; Kloset Duduk; Wastafel; Ember mandi; Shower; Air panas; WiFi; K. Mandi Luar; Parkir Mobil; Parkir Sepeda; Parkir Motor &amp; Sepeda"/>
    <n v="2210000"/>
    <s v="Rp2.210.000"/>
    <n v="0.17222222222222225"/>
    <d v="1899-12-30T04:08:00"/>
    <s v="Kos Putri"/>
    <m/>
    <s v="Diskon 115rb"/>
  </r>
  <r>
    <s v="Kost Singgahsini Nona Lebak Bulus Tipe A Cilandak Jakarta Selatan"/>
    <x v="5"/>
    <x v="7"/>
    <n v="9.6000000000000014"/>
    <s v="3.2 x 3 meter"/>
    <s v="Tidak termasuk listrik"/>
    <s v=""/>
    <s v="N/A"/>
    <s v="3.2 x 3 meter; Tidak termasuk listrik; AC; Kasur; Meja; Lemari Baju; Ventilasi; Kursi; Bantal; Jendela; K. Mandi Dalam; Kloset Duduk; Shower; WiFi; Kulkas; R. Jemur; Dapur; CCTV; Parkir Mobil; Parkir Motor; Parkir Sepeda; Parkir Motor &amp; Sepeda"/>
    <n v="1875000"/>
    <s v="Rp1.875.000"/>
    <n v="0.17291666666666669"/>
    <d v="1899-12-30T04:09:00"/>
    <s v="Kos Putri"/>
    <m/>
    <m/>
  </r>
  <r>
    <s v="Kost Singgahsini Nona Lebak Bulus Tipe B Cilandak Jakarta Selatan"/>
    <x v="5"/>
    <x v="7"/>
    <n v="7"/>
    <s v="2.8 x 2.5 meter"/>
    <s v="Tidak termasuk listrik"/>
    <s v=""/>
    <s v="N/A"/>
    <s v="2.8 x 2.5 meter; Tidak termasuk listrik; AC; Kasur; Meja; Lemari Baju; Ventilasi; Kursi; Bantal; Cermin; Jendela; K. Mandi Dalam; Kloset Duduk; Shower; WiFi; Kulkas; R. Jemur; Dapur; CCTV; Parkir Mobil; Parkir Motor; Parkir Sepeda; Parkir Motor &amp; Sepeda"/>
    <n v="1775000"/>
    <s v="Rp1.775.000"/>
    <n v="0.17291666666666669"/>
    <d v="1899-12-30T04:09:00"/>
    <s v="Kos Putri"/>
    <m/>
    <m/>
  </r>
  <r>
    <s v="Kost Singgahsini Nony Tipe A Tanjung Priok Jakarta Utara"/>
    <x v="4"/>
    <x v="5"/>
    <n v="12"/>
    <s v="4 x 3 meter"/>
    <s v="Tidak termasuk listrik"/>
    <n v="1625000"/>
    <s v="Rp1.625.000"/>
    <s v="4 x 3 meter; Tidak termasuk listrik; AC; Kasur; Lemari Baju; Ventilasi; Bantal; Jendela; Guling; K. Mandi Dalam; Kloset Duduk; Ember mandi; Shower; WiFi; Penjaga Kos; R. Jemur; CCTV; Balcon; Parkir Motor &amp; Sepeda"/>
    <n v="1465000"/>
    <s v="Rp1.465.000"/>
    <n v="0.12847222222222224"/>
    <d v="1899-12-30T03:05:00"/>
    <s v="Kos Putri"/>
    <m/>
    <s v="Diskon 160rb"/>
  </r>
  <r>
    <s v="Kost Singgahsini Nony Tipe B Tanjung Priok Jakarta Utara"/>
    <x v="4"/>
    <x v="5"/>
    <n v="9"/>
    <s v="3 x 3 meter"/>
    <s v="Tidak termasuk listrik"/>
    <n v="1575000"/>
    <s v="Rp1.575.000"/>
    <s v="3 x 3 meter; Tidak termasuk listrik; AC; Kasur; Lemari Baju; Ventilasi; Bantal; Jendela; Guling; K. Mandi Dalam; Kloset Duduk; Ember mandi; Shower; WiFi; Penjaga Kos; R. Jemur; CCTV; Balcon; Parkir Motor &amp; Sepeda"/>
    <n v="1420000"/>
    <s v="Rp1.420.000"/>
    <n v="0.20833333333333334"/>
    <d v="1899-12-30T05:00:00"/>
    <s v="Kos Putri"/>
    <m/>
    <s v="Diskon 155rb"/>
  </r>
  <r>
    <s v="Kost Singgahsini Nusa Indah 15 Tipe A Tomang Jakarta Barat"/>
    <x v="3"/>
    <x v="4"/>
    <n v="12"/>
    <s v="4 x 3 meter"/>
    <s v="Tidak termasuk listrik"/>
    <n v="3025000"/>
    <s v="Rp3.025.000"/>
    <s v="4 x 3 meter; Tidak termasuk listrik; AC; Kasur; Meja; Lemari Baju; Ventilasi; Kursi; Bantal; Cermin; Jendela; K. Mandi Dalam; Kloset Duduk; Wastafel; Shower; Air panas; WiFi; R. Cuci; Kulkas; R. Tamu; Mesin Cuci; Penjaga Kos; R. Makan; R. Jemur; Dapur; Dispenser; Parkir Mobil; Parkir Motor &amp; Sepeda"/>
    <n v="2875000"/>
    <s v="Rp2.875.000"/>
    <n v="0.17083333333333331"/>
    <d v="1899-12-30T04:06:00"/>
    <s v="Kos Putri"/>
    <m/>
    <s v="Diskon 150rb"/>
  </r>
  <r>
    <s v="Kost Singgahsini Oasis Kedoya Tipe B Kebon Jeruk Jakarta Barat"/>
    <x v="3"/>
    <x v="14"/>
    <n v="9"/>
    <s v="3 x 3 meter"/>
    <s v="Tidak termasuk listrik"/>
    <s v=""/>
    <s v="N/A"/>
    <s v="3 x 3 meter; Tidak termasuk listrik; AC; Kasur; Meja; Lemari Baju; Kursi; Jendela; Bantal; Cermin; Kloset Duduk; K. Mandi Luar; Ember mandi; Shower; WiFi; Penjaga Kos; Dapur; Parkir Mobil; Parkir Motor &amp; Sepeda"/>
    <n v="1625000"/>
    <s v="Rp1.625.000"/>
    <n v="0.17083333333333331"/>
    <d v="1899-12-30T04:06:00"/>
    <s v="Kos Campur"/>
    <m/>
    <s v="Diskon 83rb"/>
  </r>
  <r>
    <s v="Kost Singgahsini Oasis Kedoya Tipe C Kebon Jeruk Jakarta Barat"/>
    <x v="3"/>
    <x v="14"/>
    <n v="9"/>
    <s v="3 x 3 meter"/>
    <s v="Tidak termasuk listrik"/>
    <s v=""/>
    <s v="N/A"/>
    <s v="3 x 3 meter; Tidak termasuk listrik; AC; Kasur; Meja; Lemari Baju; Kursi; Jendela; Bantal; Cermin; Guling; Kloset Duduk; K. Mandi Luar; Ember mandi; Shower; WiFi; Penjaga Kos; Dapur; Parkir Mobil; Parkir Motor &amp; Sepeda"/>
    <n v="1325000"/>
    <s v="Rp1.325.000"/>
    <n v="0.16944444444444443"/>
    <d v="1899-12-30T04:04:00"/>
    <s v="Kos Campur"/>
    <m/>
    <m/>
  </r>
  <r>
    <s v="Kost Singgahsini Oemah Waringin Tipe A Makasar Jakarta Timur"/>
    <x v="8"/>
    <x v="45"/>
    <n v="10.240000000000002"/>
    <s v="3.2 x 3.2 meter"/>
    <s v="Tidak termasuk listrik"/>
    <n v="1375000"/>
    <s v="Rp1.375.000"/>
    <s v="3.2 x 3.2 meter; Tidak termasuk listrik; AC; Kasur; Lemari Baju; Bantal; Cermin; Guling; Jendela; Kloset Duduk; K. Mandi Luar; Ember mandi; WiFi; R. Cuci; Kulkas; R. Tamu; R. Makan; R. Jemur; Dapur; CCTV; Parkir Mobil; Parkir Motor &amp; Sepeda"/>
    <n v="1267000"/>
    <s v="Rp1.267.000"/>
    <n v="0.20833333333333334"/>
    <d v="1899-12-30T05:00:00"/>
    <s v="Kos Campur"/>
    <m/>
    <s v="Diskon 108rb"/>
  </r>
  <r>
    <s v="Kost Singgahsini Ohana Tipe B Cilandak Jakarta Selatan"/>
    <x v="5"/>
    <x v="7"/>
    <n v="20.669999999999998"/>
    <s v="5.3 x 3.9 meter"/>
    <s v="Tidak termasuk listrik"/>
    <n v="2275000"/>
    <s v="Rp2.275.000"/>
    <s v="5.3 x 3.9 meter; Tidak termasuk listrik; AC; Kasur; Meja; Lemari Baju; Kursi; Bantal; Jendela; K. Mandi Dalam; Kloset Duduk; Wastafel; Shower; Air panas; WiFi; R. Tamu; R. Makan; Dapur; CCTV; Parkir Mobil; Parkir Motor &amp; Sepeda"/>
    <n v="2162500"/>
    <s v="Rp2.162.500"/>
    <n v="0.17083333333333331"/>
    <d v="1899-12-30T04:06:00"/>
    <s v="Kos Campur"/>
    <m/>
    <s v="Diskon 113rb"/>
  </r>
  <r>
    <s v="Kost Singgahsini Omah Nena Tipe A Beji Depok"/>
    <x v="1"/>
    <x v="15"/>
    <n v="10.36"/>
    <s v="3.7 x 2.8 meter"/>
    <s v="Tidak termasuk listrik"/>
    <n v="1925000"/>
    <s v="Rp1.925.000"/>
    <s v="3.7 x 2.8 meter; Tidak termasuk listrik; AC; Kasur; Meja; Lemari Baju; Kursi; Bantal; Cermin; Guling; Jendela; K. Mandi Dalam; Kloset Duduk; Shower; Air panas; WiFi; Kulkas; Penjaga Kos; R. Jemur; Dapur; Dispenser; Rooftop; Balcon; CCTV; Parkir Mobil; Parkir Motor &amp; Sepeda"/>
    <n v="1735000"/>
    <s v="Rp1.735.000"/>
    <n v="0.17013888888888887"/>
    <d v="1899-12-30T04:05:00"/>
    <s v="Kos Putri"/>
    <m/>
    <s v="Diskon 190rb"/>
  </r>
  <r>
    <s v="Kost Singgahsini Omah Nena Tipe B Beji Depok"/>
    <x v="1"/>
    <x v="15"/>
    <n v="10.36"/>
    <s v="3.7 x 2.8 meter"/>
    <s v="Tidak termasuk listrik"/>
    <n v="1725000"/>
    <s v="Rp1.725.000"/>
    <s v="3.7 x 2.8 meter; Tidak termasuk listrik; AC; Kasur; Meja; Lemari Baju; Kursi; Bantal; Cermin; Guling; Jendela; K. Mandi Dalam; Kloset Duduk; Shower; WiFi; Kulkas; Penjaga Kos; R. Jemur; Dapur; Dispenser; Rooftop; CCTV; Parkir Mobil; Parkir Motor &amp; Sepeda"/>
    <n v="1555000"/>
    <s v="Rp1.555.000"/>
    <n v="0.16666666666666666"/>
    <d v="1899-12-30T04:00:00"/>
    <s v="Kos Putri"/>
    <m/>
    <s v="Diskon 170rb"/>
  </r>
  <r>
    <s v="Kost Singgahsini Omah Opung Tipe A Kebayoran Lama Jakarta Selatan"/>
    <x v="5"/>
    <x v="57"/>
    <n v="11.78"/>
    <s v="3.8 x 3.1 meter"/>
    <s v="Termasuk listrik (implied)"/>
    <n v="3635000"/>
    <s v="Rp3.635.000"/>
    <s v="3.8 x 3.1 meter; Termasuk listrik; AC; Kasur; Meja; TV; Lemari Baju; Kulkas; Kursi; Bantal; Cermin; Guling; K. Mandi Dalam; Kloset Duduk; Wastafel; Shower; Air panas; WiFi; R. Tamu; R. Makan; Dapur; Dispenser; CCTV; Parkir Mobil; Parkir Motor; Parkir Sepeda"/>
    <n v="3274000"/>
    <s v="Rp3.274.000"/>
    <n v="0.17083333333333331"/>
    <d v="1899-12-30T04:06:00"/>
    <s v="Kos Putri"/>
    <m/>
    <s v="Diskon 361rb"/>
  </r>
  <r>
    <s v="Kost Singgahsini One Residence Tipe A Kemayoran Jakarta Pusat"/>
    <x v="9"/>
    <x v="38"/>
    <n v="10.8"/>
    <s v="3 x 3.6 meter"/>
    <s v="Tidak termasuk listrik"/>
    <n v="2525000"/>
    <s v="Rp2.525.000"/>
    <s v="3 x 3.6 meter; Tidak termasuk listrik; AC; Kasur; TV; Lemari Baju; Bantal; Cermin; K. Mandi Dalam; Kloset Duduk; Wastafel; Shower; Air panas; WiFi; Penjaga Kos; CCTV; Parkir Mobil; Parkir Motor &amp; Sepeda"/>
    <n v="2325000"/>
    <s v="Rp2.325.000"/>
    <n v="0.20833333333333334"/>
    <d v="1899-12-30T05:00:00"/>
    <s v="Kos Campur"/>
    <m/>
    <s v="Diskon 200rb"/>
  </r>
  <r>
    <s v="Kost Singgahsini Ono Tipe A Cempaka Putih Jakarta Pusat"/>
    <x v="9"/>
    <x v="51"/>
    <n v="10.08"/>
    <s v="3.6 x 2.8 meter"/>
    <s v="Tidak termasuk listrik"/>
    <s v=""/>
    <s v="N/A"/>
    <s v="3.6 x 2.8 meter; Tidak termasuk listrik; Kasur; Meja; Lemari Baju; Ventilasi; Kursi; Kipas Angin; Bantal; Cermin; Guling; Jendela; K. Mandi Dalam; Kloset Duduk; Shower; WiFi; R. Tamu; R. Jemur; Dapur; Parkir Motor &amp; Sepeda"/>
    <n v="1225000"/>
    <s v="Rp1.225.000"/>
    <n v="0.17013888888888887"/>
    <d v="1899-12-30T04:05:00"/>
    <s v="Kos Campur"/>
    <m/>
    <s v="Diskon 63rb"/>
  </r>
  <r>
    <s v="Kost Singgahsini Ono Tipe B Cempaka Putih Jakarta Pusat"/>
    <x v="9"/>
    <x v="51"/>
    <n v="7.839999999999999"/>
    <s v="2.8 x 2.8 meter"/>
    <s v="Tidak termasuk listrik"/>
    <s v=""/>
    <s v="N/A"/>
    <s v="2.8 x 2.8 meter; Tidak termasuk listrik; Kasur; Lemari Baju; Ventilasi; Kursi; Bantal; Cermin; Guling; Jendela; K. Mandi Dalam; Kloset Jongkok; Ember mandi; WiFi; R. Tamu; R. Jemur; Dapur; Parkir Motor &amp; Sepeda"/>
    <n v="1175000"/>
    <s v="Rp1.175.000"/>
    <n v="0.16944444444444443"/>
    <d v="1899-12-30T04:04:00"/>
    <s v="Kos Campur"/>
    <m/>
    <s v="Diskon 63rb"/>
  </r>
  <r>
    <s v="Kost Singgahsini Ono Tipe C Cempaka Putih Jakarta Pusat"/>
    <x v="9"/>
    <x v="51"/>
    <n v="9.3600000000000012"/>
    <s v="3.6 x 2.6 meter"/>
    <s v="Tidak termasuk listrik"/>
    <s v=""/>
    <s v="N/A"/>
    <s v="3.6 x 2.6 meter; Tidak termasuk listrik; Kasur; Lemari Baju; Ventilasi; Kipas Angin; Bantal; Cermin; Guling; Jendela; Kloset Jongkok; K. Mandi Luar; Ember mandi; WiFi; R. Tamu; R. Jemur; Dapur; Parkir Motor &amp; Sepeda"/>
    <n v="875000"/>
    <s v="Rp875.000"/>
    <n v="0.17013888888888887"/>
    <d v="1899-12-30T04:05:00"/>
    <s v="Kos Campur"/>
    <m/>
    <m/>
  </r>
  <r>
    <s v="Kost Singgahsini Ono Tipe D Cempaka Putih Jakarta Pusat"/>
    <x v="9"/>
    <x v="51"/>
    <n v="11.76"/>
    <s v="4.2 x 2.8 meter"/>
    <s v="Tidak termasuk listrik"/>
    <s v=""/>
    <s v="N/A"/>
    <s v="4.2 x 2.8 meter; Tidak termasuk listrik; AC; Kasur; Meja; Lemari Baju; Ventilasi; Kursi; K. Mandi Dalam; Kloset Duduk; Shower; WiFi; R. Tamu; R. Jemur; Dapur; Parkir Motor &amp; Sepeda"/>
    <n v="1375000"/>
    <s v="Rp1.375.000"/>
    <n v="0.17083333333333331"/>
    <d v="1899-12-30T04:06:00"/>
    <s v="Kos Campur"/>
    <m/>
    <s v="Diskon 63rb"/>
  </r>
  <r>
    <s v="Kost Singgahsini Palang Merah 7 Tipe A Cideng Jakarta Pusat"/>
    <x v="9"/>
    <x v="62"/>
    <n v="19.840000000000003"/>
    <s v="6.2 x 3.2 meter"/>
    <s v="Tidak termasuk listrik"/>
    <n v="2825000"/>
    <s v="Rp2.825.000"/>
    <s v="6.2 x 3.2 meter; Tidak termasuk listrik; AC; Kasur; Meja; Lemari Baju; Bantal; Jendela; K. Mandi Dalam; Kloset Duduk; Wastafel; Shower; Air panas; WiFi; R. Tamu; Penjaga Kos; R. Makan; R. Jemur; Dapur; Balcon; Parkir Mobil; Parkir Motor &amp; Sepeda"/>
    <n v="2685000"/>
    <s v="Rp2.685.000"/>
    <n v="0.17291666666666669"/>
    <d v="1899-12-30T04:09:00"/>
    <s v="Kos Campur"/>
    <m/>
    <s v="Diskon 140rb"/>
  </r>
  <r>
    <s v="Kost Singgahsini Palang Merah 7 Tipe B Cideng Jakarta Pusat"/>
    <x v="9"/>
    <x v="62"/>
    <n v="15"/>
    <s v="3 x 5 meter"/>
    <s v="Tidak termasuk listrik"/>
    <s v=""/>
    <s v="N/A"/>
    <s v="3 x 5 meter; Tidak termasuk listrik; AC; Kasur; Meja; Lemari Baju; Bantal; Jendela; K. Mandi Dalam; Kloset Duduk; Wastafel; Shower; Air panas; WiFi; R. Tamu; Penjaga Kos; R. Makan; R. Jemur; Dapur; Balcon; Parkir Mobil; Parkir Motor &amp; Sepeda"/>
    <n v="2225000"/>
    <s v="Rp2.225.000"/>
    <n v="0.17083333333333331"/>
    <d v="1899-12-30T04:06:00"/>
    <s v="Kos Campur"/>
    <m/>
    <s v="Diskon 140rb"/>
  </r>
  <r>
    <s v="Kost Singgahsini Pancoran 67 Tipe A Jakarta Selatan"/>
    <x v="5"/>
    <x v="55"/>
    <n v="8.32"/>
    <s v="3.2 x 2.6 meter"/>
    <s v="Tidak termasuk listrik"/>
    <n v="1825000"/>
    <s v="Rp1.825.000"/>
    <s v="3.2 x 2.6 meter; Tidak termasuk listrik; AC; Kasur; Meja; Lemari Baju; Ventilasi; Kursi; Bantal; Cermin; Guling; Jendela; K. Mandi Dalam; Kloset Duduk; Shower; WiFi; Kulkas; Penjaga Kos; Dapur; Dispenser; Parkir Motor &amp; Sepeda"/>
    <n v="1735000"/>
    <s v="Rp1.735.000"/>
    <n v="0.17083333333333331"/>
    <d v="1899-12-30T04:06:00"/>
    <s v="Kos Campur"/>
    <m/>
    <s v="Diskon 90rb"/>
  </r>
  <r>
    <s v="Kost Singgahsini Pandji Tipe A Pulo Gadung Jakarta Timur"/>
    <x v="8"/>
    <x v="32"/>
    <n v="6.24"/>
    <s v="2.4 x 2.6 meter"/>
    <s v="Termasuk listrik (implied)"/>
    <s v=""/>
    <s v="N/A"/>
    <s v="2.4 x 2.6 meter; Termasuk listrik; AC; Kasur; Meja; Lemari Baju; Ventilasi; Kursi; Bantal; Cermin; Guling; Kloset Duduk; K. Mandi Luar; Shower; WiFi; R. Cuci; Kulkas; Penjaga Kos; R. Jemur; Dapur; Dispenser; CCTV; Jemuran; Parkir Motor &amp; Sepeda"/>
    <n v="1800000"/>
    <s v="Rp1.800.000"/>
    <n v="0.17083333333333331"/>
    <d v="1899-12-30T04:06:00"/>
    <s v="Kos Putri"/>
    <m/>
    <s v="Diskon 87rb"/>
  </r>
  <r>
    <s v="Kost Singgahsini Parkit 24 Tipe A Beji Depok"/>
    <x v="1"/>
    <x v="15"/>
    <n v="12"/>
    <s v="3 x 4 meter"/>
    <s v="Termasuk listrik (implied)"/>
    <n v="1625000"/>
    <s v="Rp1.625.000"/>
    <s v="3 x 4 meter; Termasuk listrik; AC; Kasur; Meja; TV; Lemari Baju; Ventilasi; Kursi; Jendela; Bantal; Cermin; K. Mandi Dalam; Kloset Duduk; Ember mandi; Wastafel; Shower; WiFi; R. Cuci; Kulkas; R. Tamu; Penjaga Kos; R. Makan; R. Jemur; Dapur; Taman; Parkir Mobil; Parkir Motor &amp; Sepeda"/>
    <n v="1465000"/>
    <s v="Rp1.465.000"/>
    <n v="0.17291666666666669"/>
    <d v="1899-12-30T04:09:00"/>
    <s v="Kos Putri"/>
    <m/>
    <s v="Diskon 160rb"/>
  </r>
  <r>
    <s v="Kost Singgahsini Paso 1 Tipe A Jagakarsa Jakarta Selatan"/>
    <x v="5"/>
    <x v="40"/>
    <n v="10.5"/>
    <s v="3.5 x 3 meter"/>
    <s v="Tidak termasuk listrik"/>
    <s v=""/>
    <s v="N/A"/>
    <s v="3.5 x 3 meter; Tidak termasuk listrik; AC; Kasur; Meja; TV; Lemari Baju; Kursi; Jendela; Bantal; Cermin; K. Mandi Dalam; Kloset Duduk; Wastafel; Shower; Air panas; WiFi; R. Cuci; Kulkas; R. Tamu; Penjaga Kos; Mesin Cuci; R. Jemur; Dapur; K. Mandi Luar; Parkir Mobil; Parkir Motor &amp; Sepeda"/>
    <n v="2025000"/>
    <s v="Rp2.025.000"/>
    <n v="0.16874999999999998"/>
    <d v="1899-12-30T04:03:00"/>
    <s v="Kos Campur"/>
    <m/>
    <s v="Diskon 128rb"/>
  </r>
  <r>
    <s v="Kost Singgahsini Paus Residence Tipe A Pulo Gadung Jakarta Timur"/>
    <x v="8"/>
    <x v="32"/>
    <n v="16"/>
    <s v="4 x 4 meter"/>
    <s v="Tidak termasuk listrik"/>
    <n v="2975000"/>
    <s v="Rp2.975.000"/>
    <s v="4 x 4 meter; Tidak termasuk listrik; AC; Kasur; TV; Lemari Baju; Jendela; Bantal; K. Mandi Dalam; Kloset Duduk; Wastafel; Shower; Air panas; WiFi; Penjaga Kos; Dapur; Taman; CCTV; Parkir Mobil; Parkir Motor &amp; Sepeda"/>
    <n v="2739000"/>
    <s v="Rp2.739.000"/>
    <n v="0.20833333333333334"/>
    <d v="1899-12-30T05:00:00"/>
    <s v="Kos Campur"/>
    <m/>
    <s v="Diskon 236rb"/>
  </r>
  <r>
    <s v="Kost Singgahsini Perkici IV STAN Tipe A Bintaro Tangerang Selatan"/>
    <x v="2"/>
    <x v="29"/>
    <n v="6.4399999999999995"/>
    <s v="2.3 x 2.8 meter"/>
    <s v="Tidak termasuk listrik"/>
    <n v="1200000"/>
    <s v="Rp1.200.000"/>
    <s v="2.3 x 2.8 meter; Tidak termasuk listrik; AC; Kasur; Lemari Baju; Jendela; Bantal; Guling; Kloset Duduk; K. Mandi Luar; Ember mandi; WiFi; Kulkas; Penjaga Kos; Dapur; Dispenser; Parkir Motor &amp; Sepeda"/>
    <n v="1140000"/>
    <s v="Rp1.140.000"/>
    <n v="0.17222222222222225"/>
    <d v="1899-12-30T04:08:00"/>
    <s v="Kos Putri"/>
    <m/>
    <s v="Diskon 60rb"/>
  </r>
  <r>
    <s v="Kost Singgahsini Permata 15 Tipe C Grogol Petamburan Jakarta Barat"/>
    <x v="3"/>
    <x v="13"/>
    <n v="9"/>
    <s v="3 x 3 meter"/>
    <s v="Tidak termasuk listrik"/>
    <s v=""/>
    <s v="N/A"/>
    <s v="3 x 3 meter; Tidak termasuk listrik; AC; Kasur; Meja; Lemari Baju; Ventilasi; Kursi; Jendela; Bantal; Guling; K. Mandi Dalam; Kloset Duduk; K. Mandi Luar; Ember mandi; Shower; WiFi; R. Tamu; Penjaga Kos; R. Jemur; CCTV; Parkir Motor &amp; Sepeda"/>
    <n v="1725000"/>
    <s v="Rp1.725.000"/>
    <n v="0.20833333333333334"/>
    <d v="1899-12-30T05:00:00"/>
    <s v="Kos Putri"/>
    <m/>
    <s v="Diskon 80rb"/>
  </r>
  <r>
    <s v="Kost Singgahsini Permata 15 Tipe D Grogol Petamburan Jakarta Barat"/>
    <x v="3"/>
    <x v="13"/>
    <n v="9"/>
    <s v="3 x 3 meter"/>
    <s v="Tidak termasuk listrik"/>
    <n v="1025000"/>
    <s v="Rp1.025.000"/>
    <s v="3 x 3 meter; Tidak termasuk listrik; Kasur; Meja; Lemari Baju; Ventilasi; Kursi; Jendela; Kipas Angin; Bantal; Guling; Kloset Duduk; Kloset Jongkok; K. Mandi Luar; Wastafel; Ember mandi; Shower; WiFi; R. Tamu; Penjaga Kos; R. Jemur; CCTV; Parkir Motor &amp; Sepeda"/>
    <n v="945000"/>
    <s v="Rp945.000"/>
    <n v="0.20833333333333334"/>
    <d v="1899-12-30T05:00:00"/>
    <s v="Kos Putri"/>
    <m/>
    <s v="Diskon 80rb"/>
  </r>
  <r>
    <s v="Kost Singgahsini Permata Hijau Tipe B Kebayoran Lama Jakarta Selatan"/>
    <x v="5"/>
    <x v="188"/>
    <n v="16"/>
    <s v="4 x 4 meter"/>
    <s v="Tidak termasuk listrik"/>
    <n v="2345000"/>
    <s v="Rp2.345.000"/>
    <s v="4 x 4 meter; Tidak termasuk listrik; AC; Kasur; Meja; Lemari Baju; Kursi; K. Mandi Dalam; Kloset Duduk; Shower; WiFi; R. Cuci; Laundry; R. Jemur; Parkir Mobil; Parkir Motor; Parkir Sepeda; Parkir Motor &amp; Sepeda"/>
    <n v="2159400"/>
    <s v="Rp2.159.400"/>
    <n v="0.17222222222222225"/>
    <d v="1899-12-30T04:08:00"/>
    <s v="Kos Putri"/>
    <m/>
    <s v="Diskon 186rb"/>
  </r>
  <r>
    <s v="Kost Singgahsini Petogogan 35A Tipe A Kebayoran Baru Jakarta Selatan"/>
    <x v="5"/>
    <x v="6"/>
    <n v="9"/>
    <s v="3 x 3 meter"/>
    <s v="Tidak termasuk listrik"/>
    <s v=""/>
    <s v="N/A"/>
    <s v="3 x 3 meter; Tidak termasuk listrik; AC; Kasur; Meja; Lemari Baju; Kursi; Jendela; Bantal; Cermin; Guling; Kloset Duduk; K. Mandi Luar; Shower; Air panas; WiFi; Penjaga Kos; R. Makan; R. Jemur; CCTV; Rooftop; Jemuran; Parkir Mobil; Parkir Motor &amp; Sepeda"/>
    <n v="2325000"/>
    <s v="Rp2.325.000"/>
    <n v="0.20833333333333334"/>
    <d v="1899-12-30T05:00:00"/>
    <s v="Kos Putra"/>
    <m/>
    <m/>
  </r>
  <r>
    <s v="Kost Singgahsini Petogogan 35A Tipe B Kebayoran Baru Jakarta Selatan"/>
    <x v="5"/>
    <x v="6"/>
    <n v="12"/>
    <s v="4 x 3 meter"/>
    <s v="Tidak termasuk listrik"/>
    <s v=""/>
    <s v="N/A"/>
    <s v="4 x 3 meter; Tidak termasuk listrik; AC; Kasur; Meja; Lemari Baju; Kursi; Bantal; Cermin; Guling; Kloset Duduk; K. Mandi Luar; Shower; Air panas; WiFi; Penjaga Kos; R. Makan; R. Jemur; CCTV; Rooftop; Jemuran; Parkir Mobil; Parkir Motor &amp; Sepeda"/>
    <n v="2025000"/>
    <s v="Rp2.025.000"/>
    <n v="0.17222222222222225"/>
    <d v="1899-12-30T04:08:00"/>
    <s v="Kos Putra"/>
    <m/>
    <m/>
  </r>
  <r>
    <s v="Kost Singgahsini Petojo 5 Roxy Tipe A Jakarta Pusat"/>
    <x v="9"/>
    <x v="135"/>
    <n v="7.68"/>
    <s v="3.2 x 2.4 meter"/>
    <s v="Tidak termasuk listrik"/>
    <n v="1925000"/>
    <s v="Rp1.925.000"/>
    <s v="3.2 x 2.4 meter; Tidak termasuk listrik; AC; Kasur; Meja; Lemari Baju; Kursi; Bantal; Cermin; Guling; Kloset Duduk; K. Mandi Luar; Wastafel; Shower; WiFi; Kulkas; Penjaga Kos; Laundry; Dapur; Dispenser; Parkir Mobil; Parkir Motor; Parkir Sepeda; Parkir Motor &amp; Sepeda"/>
    <n v="1830000"/>
    <s v="Rp1.830.000"/>
    <n v="0.17222222222222225"/>
    <d v="1899-12-30T04:08:00"/>
    <s v="Kos Campur"/>
    <m/>
    <s v="Diskon 95rb"/>
  </r>
  <r>
    <s v="Kost Singgahsini Petojo Selatan 12 Tipe B Gambir Jakarta Pusat"/>
    <x v="9"/>
    <x v="62"/>
    <n v="7.5"/>
    <s v="3 x 2.5 meter"/>
    <s v="Tidak termasuk listrik"/>
    <n v="1625000"/>
    <s v="Rp1.625.000"/>
    <s v="3 x 2.5 meter; Tidak termasuk listrik; AC; Kasur; Meja; Lemari Baju; Jendela; Kloset Duduk; K. Mandi Luar; Shower; Air panas; WiFi; Parkir Motor &amp; Sepeda"/>
    <n v="1545000"/>
    <s v="Rp1.545.000"/>
    <n v="0.17291666666666669"/>
    <d v="1899-12-30T04:09:00"/>
    <s v="Kos Putri"/>
    <m/>
    <s v="Diskon 80rb"/>
  </r>
  <r>
    <s v="Kost Singgahsini Petojo Selatan 3 Tipe A Cideng Jakarta Pusat"/>
    <x v="9"/>
    <x v="62"/>
    <n v="5.5"/>
    <s v="2.5 x 2.2 meter"/>
    <s v="Tidak termasuk listrik"/>
    <n v="1645000"/>
    <s v="Rp1.645.000"/>
    <s v="2.5 x 2.2 meter; Tidak termasuk listrik; AC; Kasur; Lemari Baju; Bantal; Jendela; Kloset Duduk; K. Mandi Luar; Shower; WiFi; Kulkas; R. Tamu; R. Jemur; Dapur; CCTV; Parkir Sepeda"/>
    <n v="1564000"/>
    <s v="Rp1.564.000"/>
    <n v="0.17222222222222225"/>
    <d v="1899-12-30T04:08:00"/>
    <s v="Kos Campur"/>
    <m/>
    <s v="Diskon 81rb"/>
  </r>
  <r>
    <s v="Kost Singgahsini Petojo Selatan 3 Tipe B Cideng Jakarta Pusat"/>
    <x v="9"/>
    <x v="62"/>
    <n v="2.7"/>
    <s v="1.8 x 1.5 meter"/>
    <s v="Tidak termasuk listrik"/>
    <n v="1505000"/>
    <s v="Rp1.505.000"/>
    <s v="1.8 x 1.5 meter; Tidak termasuk listrik; AC; Kasur; Lemari Baju; Bantal; Kloset Duduk; K. Mandi Luar; Shower; WiFi; Kulkas; R. Tamu; R. Jemur; Dapur; CCTV; Parkir Sepeda"/>
    <n v="1386600"/>
    <s v="Rp1.386.600"/>
    <n v="0.17013888888888887"/>
    <d v="1899-12-30T04:05:00"/>
    <s v="Kos Campur"/>
    <m/>
    <s v="Diskon 118rb"/>
  </r>
  <r>
    <s v="Kost Singgahsini Petukangan Utara 09 Tipe B Pesanggrahan Jakarta Selatan"/>
    <x v="5"/>
    <x v="187"/>
    <n v="6"/>
    <s v="2 x 3 meter"/>
    <s v="Termasuk listrik (implied)"/>
    <n v="1725000"/>
    <s v="Rp1.725.000"/>
    <s v="2 x 3 meter; Termasuk listrik; AC; Kasur; Meja Rias; Lemari Baju; Ventilasi; Kursi; Jendela; Bantal; Cermin; K. Mandi Dalam; Kloset Duduk; Shower; WiFi; R. Tamu; Penjaga Kos; R. Jemur; Dapur; Dispenser; Taman; Gazebo; CCTV; Jemuran; Parkir Motor &amp; Sepeda"/>
    <n v="1640000"/>
    <s v="Rp1.640.000"/>
    <n v="0.17083333333333331"/>
    <d v="1899-12-30T04:06:00"/>
    <s v="Kos Campur"/>
    <m/>
    <s v="Diskon 85rb"/>
  </r>
  <r>
    <s v="Kost Singgahsini PIM Margonda Raya Beji Depok"/>
    <x v="1"/>
    <x v="15"/>
    <n v="9"/>
    <s v="3 x 3 meter"/>
    <s v="Tidak termasuk listrik"/>
    <n v="1815000"/>
    <s v="Rp1.815.000"/>
    <s v="3 x 3 meter; Tidak termasuk listrik; AC; Kasur; Meja; TV; Lemari Baju; Kursi; Bantal; Cermin; Guling; Jendela; K. Mandi Dalam; Kloset Duduk; Ember mandi; Shower; Air panas; WiFi; R. Cuci; Kulkas; R. Tamu; R. Jemur; Dapur; Parkir Mobil; Parkir Motor; Parkir Sepeda"/>
    <n v="1636000"/>
    <s v="Rp1.636.000"/>
    <n v="0.17013888888888887"/>
    <d v="1899-12-30T04:05:00"/>
    <s v="Kos Putri"/>
    <m/>
    <s v="Diskon 179rb"/>
  </r>
  <r>
    <s v="Kost Singgahsini Pisangan Lama 2 Tipe A Pulo Gadung Jakarta Timur"/>
    <x v="8"/>
    <x v="32"/>
    <n v="9.990000000000002"/>
    <s v="3.7 x 2.7 meter"/>
    <s v="Tidak termasuk listrik"/>
    <s v=""/>
    <s v="N/A"/>
    <s v="3.7 x 2.7 meter; Tidak termasuk listrik; AC; Kasur; Lemari Baju; K. Mandi Dalam; Kloset Duduk; Shower; WiFi; Penjaga Kos; Laundry; Parkir Mobil; Parkir Motor &amp; Sepeda"/>
    <n v="1425000"/>
    <s v="Rp1.425.000"/>
    <n v="0.17222222222222225"/>
    <d v="1899-12-30T04:08:00"/>
    <s v="Kos Campur"/>
    <m/>
    <s v="Diskon 78rb"/>
  </r>
  <r>
    <s v="Kost Singgahsini Poltangan 28 Tipe A Jagakarsa Jakarta Selatan"/>
    <x v="5"/>
    <x v="69"/>
    <n v="15.899999999999999"/>
    <s v="5.3 x 3 meter"/>
    <s v="Tidak termasuk listrik"/>
    <n v="2925000"/>
    <s v="Rp2.925.000"/>
    <s v="5.3 x 3 meter; Tidak termasuk listrik; AC; Kasur; Meja; Lemari Baju; Kursi; Bantal; Jendela; K. Mandi Dalam; Kloset Duduk; Wastafel; Shower; Air panas; WiFi; Kulkas; R. Tamu; R. Santai; Dapur; CCTV; Parkir Mobil; Parkir Motor; Parkir Sepeda"/>
    <n v="2780000"/>
    <s v="Rp2.780.000"/>
    <n v="0.17222222222222225"/>
    <d v="1899-12-30T04:08:00"/>
    <s v="Kos Putri"/>
    <m/>
    <s v="Diskon 145rb"/>
  </r>
  <r>
    <s v="Kost Singgahsini Poltangan 28 Tipe B Jagakarsa Jakarta Selatan"/>
    <x v="5"/>
    <x v="69"/>
    <e v="#VALUE!"/>
    <s v="N/A"/>
    <s v="N/A"/>
    <n v="2275000"/>
    <s v="Rp2.275.000"/>
    <s v=""/>
    <n v="2162500"/>
    <s v="Rp2.162.500"/>
    <n v="0.17222222222222225"/>
    <d v="1899-12-30T04:08:00"/>
    <s v="Kos Putri"/>
    <m/>
    <s v="Diskon 113rb"/>
  </r>
  <r>
    <s v="Kost Singgahsini Poltangan 28 Tipe C Jagakarsa Jakarta Selatan"/>
    <x v="5"/>
    <x v="69"/>
    <n v="6.72"/>
    <s v="2.8 x 2.4 meter"/>
    <s v="Tidak termasuk listrik"/>
    <n v="2095000"/>
    <s v="Rp2.095.000"/>
    <s v="2.8 x 2.4 meter; Tidak termasuk listrik; AC; Kasur; Meja; Lemari Baju; Kursi; Bantal; Jendela; K. Mandi Dalam; Kloset Duduk; Wastafel; Shower; Air panas; WiFi; Kulkas; R. Tamu; R. Santai; Dapur; CCTV; Parkir Mobil; Parkir Motor; Parkir Sepeda"/>
    <n v="1991500"/>
    <s v="Rp1.991.500"/>
    <n v="0.17222222222222225"/>
    <d v="1899-12-30T04:08:00"/>
    <s v="Kos Putri"/>
    <m/>
    <s v="Diskon 104rb"/>
  </r>
  <r>
    <s v="Kost Singgahsini Pondok Asri Tipe A Ciputat Timur Tangerang Selatan"/>
    <x v="2"/>
    <x v="52"/>
    <n v="14"/>
    <s v="3.5 x 4 meter"/>
    <s v="Tidak termasuk listrik"/>
    <s v=""/>
    <s v="N/A"/>
    <s v="3.5 x 4 meter; Tidak termasuk listrik; AC; Kasur; Meja; Lemari Baju; Ventilasi; Bantal; Cermin; K. Mandi Dalam; Kloset Duduk; Wastafel; Shower; Air panas; WiFi; Penjaga Kos; Mesin Cuci; Parkir Motor &amp; Sepeda"/>
    <n v="1525000"/>
    <s v="Rp1.525.000"/>
    <n v="0.17083333333333331"/>
    <d v="1899-12-30T04:06:00"/>
    <s v="Kos Putri"/>
    <m/>
    <s v="Diskon 70rb"/>
  </r>
  <r>
    <s v="Kost Singgahsini Pondok Asri Tipe B Ciputat Timur Tangerang Selatan"/>
    <x v="2"/>
    <x v="52"/>
    <n v="6.72"/>
    <s v="2.8 x 2.4 meter"/>
    <s v="Tidak termasuk listrik"/>
    <s v=""/>
    <s v="N/A"/>
    <s v="2.8 x 2.4 meter; Tidak termasuk listrik; AC; Kasur; Meja; Lemari Baju; Ventilasi; Kursi; Cermin; Kloset Duduk; K. Mandi Luar; Wastafel; Shower; WiFi; R. Cuci; Parkir Motor &amp; Sepeda"/>
    <n v="1125000"/>
    <s v="Rp1.125.000"/>
    <n v="0.20833333333333334"/>
    <d v="1899-12-30T05:00:00"/>
    <s v="Kos Putri"/>
    <m/>
    <m/>
  </r>
  <r>
    <s v="Kost Singgahsini Pondok Bukit Pisang Tipe A Beji Depok"/>
    <x v="1"/>
    <x v="15"/>
    <n v="13.5"/>
    <s v="4.5 x 3 meter"/>
    <s v="Termasuk listrik (implied)"/>
    <n v="1600000"/>
    <s v="Rp1.600.000"/>
    <s v="4.5 x 3 meter; Termasuk listrik; AC; Kasur; Meja; Lemari Baju; Ventilasi; Kursi; Bantal; Jendela; K. Mandi Dalam; Kloset Duduk; Shower; WiFi; R. Tamu; Penjaga Kos; R. Makan; R. Jemur; Mushola; Dapur; Dispenser; Taman; CCTV; Parkir Motor &amp; Sepeda"/>
    <n v="1440000"/>
    <s v="Rp1.440.000"/>
    <n v="0.17222222222222225"/>
    <d v="1899-12-30T04:08:00"/>
    <s v="Kos Putra"/>
    <m/>
    <s v="Diskon 160rb"/>
  </r>
  <r>
    <s v="Kost Singgahsini Pondok Bukit Pisang Tipe B Beji Depok"/>
    <x v="1"/>
    <x v="15"/>
    <n v="13.5"/>
    <s v="4.5 x 3 meter"/>
    <s v="Termasuk listrik (implied)"/>
    <n v="1500000"/>
    <s v="Rp1.500.000"/>
    <s v="4.5 x 3 meter; Termasuk listrik; AC; Kasur; Meja; Lemari Baju; Ventilasi; Kursi; Bantal; Jendela; K. Mandi Dalam; Kloset Duduk; Shower; WiFi; R. Tamu; Penjaga Kos; R. Makan; R. Jemur; Mushola; Dapur; Taman; CCTV; Parkir Motor &amp; Sepeda"/>
    <n v="1350000"/>
    <s v="Rp1.350.000"/>
    <n v="0.17013888888888887"/>
    <d v="1899-12-30T04:05:00"/>
    <s v="Kos Putra"/>
    <m/>
    <s v="Diskon 150rb"/>
  </r>
  <r>
    <s v="Kost Singgahsini Pondok Bukit Pisang Tipe C Beji Depok"/>
    <x v="1"/>
    <x v="15"/>
    <n v="13.5"/>
    <s v="4.5 x 3 meter"/>
    <s v="Termasuk listrik (implied)"/>
    <n v="1000000"/>
    <s v="Rp1.000.000"/>
    <s v="4.5 x 3 meter; Termasuk listrik; Kasur; Meja; Lemari Baju; Ventilasi; Kursi; Bantal; Jendela; K. Mandi Dalam; Kloset Duduk; Shower; WiFi; R. Tamu; Penjaga Kos; R. Makan; R. Jemur; Mushola; Dapur; Taman; CCTV; Parkir Motor &amp; Sepeda"/>
    <n v="900000"/>
    <s v="Rp900.000"/>
    <n v="0.17083333333333331"/>
    <d v="1899-12-30T04:06:00"/>
    <s v="Kos Putra"/>
    <m/>
    <s v="Diskon 100rb"/>
  </r>
  <r>
    <s v="Kost Singgahsini Pondok Indah Tipe A Kebayoran Lama Jakarta Selatan"/>
    <x v="5"/>
    <x v="57"/>
    <n v="15"/>
    <s v="5 x 3 meter"/>
    <s v="Termasuk listrik (implied)"/>
    <s v=""/>
    <s v="N/A"/>
    <s v="5 x 3 meter; Termasuk listrik; AC; Kasur; Meja; Lemari Baju; Kursi; Bantal; Guling; Jendela; K. Mandi Dalam; Kloset Duduk; Wastafel; Shower; Air panas; WiFi; R. Tamu; R. Jemur; Mushola; Dapur; Parkir Mobil; Parkir Motor"/>
    <n v="2575000"/>
    <s v="Rp2.575.000"/>
    <n v="0.17291666666666669"/>
    <d v="1899-12-30T04:09:00"/>
    <s v="Kos Putri"/>
    <m/>
    <s v="Diskon 200rb"/>
  </r>
  <r>
    <s v="Kost Singgahsini Pondok Indah Tipe B Kebayoran Lama Jakarta Selatan"/>
    <x v="5"/>
    <x v="57"/>
    <n v="12"/>
    <s v="4 x 3 meter"/>
    <s v="Termasuk listrik (implied)"/>
    <s v=""/>
    <s v="N/A"/>
    <s v="4 x 3 meter; Termasuk listrik; AC; Kasur; Meja; Lemari Baju; Kursi; Bantal; Guling; Jendela; K. Mandi Dalam; Kloset Duduk; Wastafel; Shower; Air panas; WiFi; R. Tamu; R. Jemur; Mushola; Dapur; Parkir Mobil; Parkir Motor"/>
    <n v="2325000"/>
    <s v="Rp2.325.000"/>
    <n v="0.17083333333333331"/>
    <d v="1899-12-30T04:06:00"/>
    <s v="Kos Putri"/>
    <m/>
    <s v="Diskon 180rb"/>
  </r>
  <r>
    <s v="Kost Singgahsini Pondok Nuri Tipe A Tangerang Selatan"/>
    <x v="2"/>
    <x v="70"/>
    <n v="13.5"/>
    <s v="4.5 x 3 meter"/>
    <s v="Tidak termasuk listrik"/>
    <n v="1625000"/>
    <s v="Rp1.625.000"/>
    <s v="4.5 x 3 meter; Tidak termasuk listrik; AC; Kasur; Meja; Lemari Baju; Ventilasi; Kursi; Jendela; Bantal; K. Mandi Dalam; Kloset Duduk; Ember mandi; Shower; WiFi; R. Cuci; Kulkas; R. Tamu; Penjaga Kos; Mesin Cuci; R. Jemur; Dapur; CCTV; Jemuran; Parkir Motor &amp; Sepeda"/>
    <n v="1465000"/>
    <s v="Rp1.465.000"/>
    <n v="0"/>
    <m/>
    <s v="Kos Putra"/>
    <m/>
    <s v="Diskon 160rb"/>
  </r>
  <r>
    <s v="Kost Singgahsini Pondok Nuri Tipe B Tangerang Selatan"/>
    <x v="2"/>
    <x v="70"/>
    <n v="12"/>
    <s v="4 x 3 meter"/>
    <s v="Tidak termasuk listrik"/>
    <n v="1525000"/>
    <s v="Rp1.525.000"/>
    <s v="4 x 3 meter; Tidak termasuk listrik; AC; Kasur; Meja; Lemari Baju; Ventilasi; Kursi; Jendela; Bantal; Kloset Duduk; K. Mandi Luar; Ember mandi; Shower; WiFi; R. Cuci; Kulkas; R. Tamu; Penjaga Kos; Mesin Cuci; R. Jemur; Dapur; CCTV; Jemuran; Parkir Motor &amp; Sepeda"/>
    <n v="1375000"/>
    <s v="Rp1.375.000"/>
    <n v="0"/>
    <m/>
    <s v="Kos Putra"/>
    <m/>
    <s v="Diskon 150rb"/>
  </r>
  <r>
    <s v="Kost Singgahsini Pondok Nuri Tipe C Tangerang Selatan"/>
    <x v="2"/>
    <x v="70"/>
    <n v="9"/>
    <s v="3 x 3 meter"/>
    <s v="Tidak termasuk listrik"/>
    <n v="1425000"/>
    <s v="Rp1.425.000"/>
    <s v="3 x 3 meter; Tidak termasuk listrik; AC; Kasur; Meja; Lemari Baju; Ventilasi; Kursi; Jendela; Bantal; Kloset Duduk; K. Mandi Luar; Ember mandi; Shower; WiFi; R. Cuci; Kulkas; R. Tamu; Penjaga Kos; Mesin Cuci; R. Jemur; Dapur; CCTV; Jemuran; Parkir Motor &amp; Sepeda"/>
    <n v="1285000"/>
    <s v="Rp1.285.000"/>
    <n v="0"/>
    <m/>
    <s v="Kos Putra"/>
    <m/>
    <s v="Diskon 140rb"/>
  </r>
  <r>
    <s v="Kost Singgahsini Pondok Pinang V Tipe E Kebayoran Lama Jakarta Selatan"/>
    <x v="5"/>
    <x v="57"/>
    <n v="13.799999999999999"/>
    <s v="2.3 x 6.0 meter"/>
    <s v="Tidak termasuk listrik"/>
    <s v=""/>
    <s v="N/A"/>
    <s v="2.3 x 6.0 meter; Tidak termasuk listrik; AC; Kasur; Meja; Lemari Baju; Kursi; Bantal; Jendela; K. Mandi Dalam; Kloset Jongkok; Shower; Air panas; WiFi; R. Tamu; R. Makan; R. Jemur; Mushola; Dapur; TV; Parkir Mobil; Parkir Motor; Parkir Sepeda"/>
    <n v="2925000"/>
    <s v="Rp2.925.000"/>
    <n v="0.17291666666666669"/>
    <d v="1899-12-30T04:09:00"/>
    <s v="Kos Campur"/>
    <m/>
    <s v="Diskon 480rb"/>
  </r>
  <r>
    <s v="Kost Singgahsini Praja Arteri Pondok Indah Jakarta Selatan"/>
    <x v="5"/>
    <x v="57"/>
    <n v="16"/>
    <s v="4 x 4 meter"/>
    <s v="Tidak termasuk listrik"/>
    <n v="2450000"/>
    <s v="Rp2.450.000"/>
    <s v="4 x 4 meter; Tidak termasuk listrik; AC; Kasur; Meja; TV; Lemari Baju; Kursi; Cleaning service; K. Mandi Dalam; Kloset Duduk; Wastafel; Shower; Air panas; WiFi; R. Cuci; Kulkas; R. Tamu; Penjaga Kos; R. Jemur; R. Santai; Dapur; R. Keluarga; Parkir Mobil; Parkir Motor; Parkir Sepeda; Parkir Motor &amp; Sepeda"/>
    <n v="2258000"/>
    <s v="Rp2.258.000"/>
    <n v="0.17083333333333331"/>
    <d v="1899-12-30T04:06:00"/>
    <s v="Kos Campur"/>
    <m/>
    <s v="Diskon 192rb"/>
  </r>
  <r>
    <s v="Kost Singgahsini Praja Dalam 88 Tipe A Kebayoran Lama Jakarta Selatan"/>
    <x v="5"/>
    <x v="188"/>
    <n v="25"/>
    <s v="5 x 5 meter"/>
    <s v="Termasuk listrik (implied)"/>
    <n v="2025000"/>
    <s v="Rp2.025.000"/>
    <s v="5 x 5 meter; Termasuk listrik; AC; Kasur; Lemari Baju; Bantal; Guling; Jendela; Cermin; Kloset Duduk; K. Mandi Luar; Wastafel; Ember mandi; Shower; Air panas; WiFi; R. Cuci; Kulkas; R. Tamu; Penjaga Kos; R. Jemur; Dapur; TV; Jemuran; Parkir Motor &amp; Sepeda"/>
    <n v="1865000"/>
    <s v="Rp1.865.000"/>
    <n v="0.1673611111111111"/>
    <d v="1899-12-30T04:01:00"/>
    <s v="Kos Putri"/>
    <m/>
    <s v="Diskon 160rb"/>
  </r>
  <r>
    <s v="Kost Singgahsini Praja Dalam 88 Tipe B Kebayoran Lama Jakarta Selatan"/>
    <x v="5"/>
    <x v="188"/>
    <n v="16"/>
    <s v="4 x 4 meter"/>
    <s v="Termasuk listrik (implied)"/>
    <s v=""/>
    <s v="N/A"/>
    <s v="4 x 4 meter; Termasuk listrik; AC; Kasur; Lemari Baju; Bantal; Guling; Jendela; Cermin; Kloset Duduk; K. Mandi Luar; Wastafel; Ember mandi; Shower; Air panas; WiFi; R. Cuci; Kulkas; R. Tamu; Penjaga Kos; R. Jemur; Dapur; TV; Jemuran; Parkir Motor &amp; Sepeda"/>
    <n v="1725000"/>
    <s v="Rp1.725.000"/>
    <n v="0.16944444444444443"/>
    <d v="1899-12-30T04:04:00"/>
    <s v="Kos Putri"/>
    <m/>
    <s v="Diskon 160rb"/>
  </r>
  <r>
    <s v="Kost Singgahsini Praja Dalam 88 Tipe C Kebayoran Lama Jakarta Selatan"/>
    <x v="5"/>
    <x v="188"/>
    <n v="6"/>
    <s v="2 x 3 meter"/>
    <s v="Termasuk listrik (implied)"/>
    <s v=""/>
    <s v="N/A"/>
    <s v="2 x 3 meter; Termasuk listrik; AC; Kasur; Lemari Baju; Bantal; Guling; Cermin; Kloset Duduk; K. Mandi Luar; Ember mandi; Wastafel; Shower; Air panas; WiFi; R. Cuci; Kulkas; R. Tamu; Penjaga Kos; R. Jemur; Dapur; TV; Jemuran; Parkir Motor &amp; Sepeda"/>
    <n v="1225000"/>
    <s v="Rp1.225.000"/>
    <n v="0.17291666666666669"/>
    <d v="1899-12-30T04:09:00"/>
    <s v="Kos Putri"/>
    <m/>
    <s v="Diskon 160rb"/>
  </r>
  <r>
    <s v="Kost Singgahsini Praja VI Tipe A Kebayoran Lama Jakarta Selatan"/>
    <x v="5"/>
    <x v="188"/>
    <n v="14.19"/>
    <s v="4.3 x 3.3 meter"/>
    <s v="Tidak termasuk listrik"/>
    <s v=""/>
    <s v="N/A"/>
    <s v="4.3 x 3.3 meter; Tidak termasuk listrik; AC; Kasur; Meja; TV; Lemari Baju; Kulkas; Kursi; Bantal; Cermin; Jendela; K. Mandi Dalam; Kloset Duduk; K. Mandi Luar; Wastafel; Shower; Air panas; WiFi; R. Makan; R. Jemur; Dapur; Dispenser; CCTV; Parkir Mobil; Parkir Motor; Parkir Sepeda"/>
    <n v="3025000"/>
    <s v="Rp3.025.000"/>
    <n v="0.17222222222222225"/>
    <d v="1899-12-30T04:08:00"/>
    <s v="Kos Campur"/>
    <m/>
    <m/>
  </r>
  <r>
    <s v="Kost Singgahsini Prestige Tipe A Tanjung Duren Jakarta Barat"/>
    <x v="3"/>
    <x v="82"/>
    <n v="9"/>
    <s v="3 x 3 meter"/>
    <s v="Tidak termasuk listrik"/>
    <s v=""/>
    <s v="N/A"/>
    <s v="3 x 3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"/>
    <n v="2400000"/>
    <s v="Rp2.400.000"/>
    <n v="0.17222222222222225"/>
    <d v="1899-12-30T04:08:00"/>
    <s v="Kos Campur"/>
    <m/>
    <s v="Diskon 216rb"/>
  </r>
  <r>
    <s v="Kost Singgahsini Prestige Tipe B Tanjung Duren Jakarta Barat"/>
    <x v="3"/>
    <x v="82"/>
    <n v="12"/>
    <s v="3 x 4 meter"/>
    <s v="Tidak termasuk listrik"/>
    <s v=""/>
    <s v="N/A"/>
    <s v="3 x 4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"/>
    <n v="2500000"/>
    <s v="Rp2.500.000"/>
    <n v="0.17222222222222225"/>
    <d v="1899-12-30T04:08:00"/>
    <s v="Kos Campur"/>
    <m/>
    <s v="Diskon 216rb"/>
  </r>
  <r>
    <s v="Kost Singgahsini Prestige Tipe E Tanjung Duren Jakarta Barat"/>
    <x v="3"/>
    <x v="82"/>
    <n v="16"/>
    <s v="4 x 4 meter"/>
    <s v="Tidak termasuk listrik"/>
    <s v=""/>
    <s v="N/A"/>
    <s v="4 x 4 meter; Tidak termasuk listrik; AC; Kasur; Meja; TV; Lemari Baju; Kursi; Bantal; Guling; Jendela; K. Mandi Dalam; Kloset Duduk; Wastafel; Shower; Bak mandi; Air panas; WiFi; R. Cuci; Kulkas; R. Tamu; Penjaga Kos; Dapur; Dispenser; K. Mandi Luar; Parkir Mobil; Parkir Motor"/>
    <n v="3000000"/>
    <s v="Rp3.000.000"/>
    <n v="0.17083333333333331"/>
    <d v="1899-12-30T04:06:00"/>
    <s v="Kos Campur"/>
    <m/>
    <s v="Diskon 216rb"/>
  </r>
  <r>
    <s v="Kost Singgahsini Prestige Tipe G Tanjung Duren Jakarta Barat"/>
    <x v="3"/>
    <x v="82"/>
    <n v="25"/>
    <s v="5 x 5 meter"/>
    <s v="Tidak termasuk listrik"/>
    <s v=""/>
    <s v="N/A"/>
    <s v="5 x 5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"/>
    <n v="3500000"/>
    <s v="Rp3.500.000"/>
    <n v="0.17222222222222225"/>
    <d v="1899-12-30T04:08:00"/>
    <s v="Kos Campur"/>
    <m/>
    <s v="Diskon 216rb"/>
  </r>
  <r>
    <s v="Kost Singgahsini Prestige Tipe H Tanjung Duren Jakarta Barat"/>
    <x v="3"/>
    <x v="82"/>
    <n v="16"/>
    <s v="4 x 4 meter"/>
    <s v="Tidak termasuk listrik"/>
    <s v=""/>
    <s v="N/A"/>
    <s v="4 x 4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"/>
    <n v="2800000"/>
    <s v="Rp2.800.000"/>
    <n v="0.17222222222222225"/>
    <d v="1899-12-30T04:08:00"/>
    <s v="Kos Campur"/>
    <m/>
    <s v="Diskon 216rb"/>
  </r>
  <r>
    <s v="Kost Singgahsini Pringgondani Tipe A Cimanggis Depok"/>
    <x v="1"/>
    <x v="46"/>
    <n v="15"/>
    <s v="5 x 3 meter"/>
    <s v="Tidak termasuk listrik"/>
    <n v="1325000"/>
    <s v="Rp1.325.000"/>
    <s v="5 x 3 meter; Tidak termasuk listrik; AC; Kasur; Meja; Lemari Baju; Ventilasi; Kursi; Bantal; K. Mandi Dalam; Kloset Duduk; Shower; WiFi; R. Tamu; Penjaga Kos; Mushola; CCTV; Parkir Mobil; Parkir Motor &amp; Sepeda"/>
    <n v="1195000"/>
    <s v="Rp1.195.000"/>
    <n v="0.17222222222222225"/>
    <d v="1899-12-30T04:08:00"/>
    <s v="Kos Campur"/>
    <m/>
    <s v="Diskon 130rb"/>
  </r>
  <r>
    <s v="Kost Singgahsini Pringgondani Tipe B Cimanggis Depok"/>
    <x v="1"/>
    <x v="46"/>
    <n v="15"/>
    <s v="5 x 3 meter"/>
    <s v="Tidak termasuk listrik"/>
    <n v="1025000"/>
    <s v="Rp1.025.000"/>
    <s v="5 x 3 meter; Tidak termasuk listrik; Kasur; Meja; Lemari Baju; Ventilasi; Kursi; Bantal; Jendela; K. Mandi Dalam; Kloset Duduk; Shower; WiFi; R. Tamu; Penjaga Kos; Mushola; CCTV; Parkir Mobil; Parkir Motor &amp; Sepeda"/>
    <n v="925000"/>
    <s v="Rp925.000"/>
    <n v="0.17222222222222225"/>
    <d v="1899-12-30T04:08:00"/>
    <s v="Kos Campur"/>
    <m/>
    <s v="Diskon 100rb"/>
  </r>
  <r>
    <s v="Kost Singgahsini Puri Adhyaksa Tipe B Cilandak Jakarta Selatan"/>
    <x v="5"/>
    <x v="7"/>
    <n v="14.28"/>
    <s v="3.4 x 4.2 meter"/>
    <s v="Tidak termasuk listrik"/>
    <s v=""/>
    <s v="N/A"/>
    <s v="3.4 x 4.2 meter; Tidak termasuk listrik; AC; Kasur; Meja; TV; Lemari Baju; Kursi; K. Mandi Dalam; Kloset Duduk; Shower; Air panas; WiFi; Kulkas; R. Tamu; Penjaga Kos; R. Makan; Dapur; Dispenser; Gazebo; CCTV; Parkir Mobil; Parkir Motor &amp; Sepeda"/>
    <n v="2725000"/>
    <s v="Rp2.725.000"/>
    <n v="0.17083333333333331"/>
    <d v="1899-12-30T04:06:00"/>
    <s v="Kos Campur"/>
    <m/>
    <s v="Diskon 256rb"/>
  </r>
  <r>
    <s v="Kost Singgahsini Puri Amarta Tipe A Kebayoran Lama Jakarta Selatan"/>
    <x v="5"/>
    <x v="57"/>
    <e v="#VALUE!"/>
    <s v="N/A"/>
    <s v="N/A"/>
    <n v="3525000"/>
    <s v="Rp3.525.000"/>
    <s v=""/>
    <n v="3350000"/>
    <s v="Rp3.350.000"/>
    <n v="0.17083333333333331"/>
    <d v="1899-12-30T04:06:00"/>
    <s v="Kos Putri"/>
    <m/>
    <s v="Diskon 175rb"/>
  </r>
  <r>
    <s v="Kost Singgahsini Puri Indah A618 Tipe A Kembangan Jakarta Barat"/>
    <x v="3"/>
    <x v="71"/>
    <n v="15.540000000000001"/>
    <s v="4.2 x 3.7 meter"/>
    <s v="Tidak termasuk listrik"/>
    <n v="2475000"/>
    <s v="Rp2.475.000"/>
    <s v="4.2 x 3.7 meter; Tidak termasuk listrik; AC; Kasur; Meja; TV; Lemari Baju; Kursi; Bantal; Jendela; K. Mandi Dalam; Kloset Duduk; Wastafel; Shower; Air panas; WiFi; Kulkas; R. Tamu; Penjaga Kos; Dapur; Dispenser; Parkir Mobil; Parkir Motor &amp; Sepeda"/>
    <n v="2352500"/>
    <s v="Rp2.352.500"/>
    <n v="0.17083333333333331"/>
    <d v="1899-12-30T04:06:00"/>
    <s v="Kos Campur"/>
    <m/>
    <s v="Diskon 123rb"/>
  </r>
  <r>
    <s v="Kost Singgahsini Puri Indah A618 Tipe B Kembangan Jakarta Barat"/>
    <x v="3"/>
    <x v="71"/>
    <n v="15.540000000000001"/>
    <s v="4.2 x 3.7 meter"/>
    <s v="Tidak termasuk listrik"/>
    <n v="2675000"/>
    <s v="Rp2.675.000"/>
    <s v="4.2 x 3.7 meter; Tidak termasuk listrik; AC; Kasur; Meja; TV; Lemari Baju; Kursi; Bantal; Jendela; K. Mandi Dalam; Kloset Duduk; Wastafel; Shower; Air panas; WiFi; Kulkas; R. Tamu; Penjaga Kos; Dapur; Dispenser; Parkir Mobil; Parkir Motor &amp; Sepeda"/>
    <n v="2542500"/>
    <s v="Rp2.542.500"/>
    <n v="0.17291666666666669"/>
    <d v="1899-12-30T04:09:00"/>
    <s v="Kos Campur"/>
    <m/>
    <s v="Diskon 133rb"/>
  </r>
  <r>
    <s v="Kost Singgahsini Puri Indah A618 Tipe C Kembangan Jakarta Barat"/>
    <x v="3"/>
    <x v="71"/>
    <n v="15.540000000000001"/>
    <s v="4.2 x 3.7 meter"/>
    <s v="Tidak termasuk listrik"/>
    <n v="2925000"/>
    <s v="Rp2.925.000"/>
    <s v="4.2 x 3.7 meter; Tidak termasuk listrik; AC; Kasur; Meja; TV; Lemari Baju; Kursi; Bantal; Jendela; K. Mandi Dalam; Kloset Duduk; Wastafel; Shower; Air panas; WiFi; Kulkas; R. Tamu; Penjaga Kos; Dapur; Dispenser; Parkir Mobil; Parkir Motor &amp; Sepeda"/>
    <n v="2780000"/>
    <s v="Rp2.780.000"/>
    <n v="0.16944444444444443"/>
    <d v="1899-12-30T04:04:00"/>
    <s v="Kos Campur"/>
    <m/>
    <s v="Diskon 145rb"/>
  </r>
  <r>
    <s v="Kost Singgahsini Purple Ungu Tipe A Pasar Minggu Jakarta Selatan"/>
    <x v="5"/>
    <x v="43"/>
    <n v="13.5"/>
    <s v="4.5 x 3 meter"/>
    <s v="Tidak termasuk listrik"/>
    <n v="1915000"/>
    <s v="Rp1.915.000"/>
    <s v="4.5 x 3 meter; Tidak termasuk listrik; AC; Kasur; Meja; TV; Ventilasi; Kursi; Wastafel; Bantal; Jendela; K. Mandi Dalam; Kloset Duduk; Shower; WiFi; Parkir Mobil; Parkir Motor"/>
    <n v="1820500"/>
    <s v="Rp1.820.500"/>
    <n v="0.17291666666666669"/>
    <d v="1899-12-30T04:09:00"/>
    <s v="Kos Putri"/>
    <m/>
    <s v="Diskon 95rb"/>
  </r>
  <r>
    <s v="Kost Singgahsini Puspita Tipe A Beji Depok"/>
    <x v="1"/>
    <x v="15"/>
    <n v="10.240000000000002"/>
    <s v="3.2 x 3.2 meter"/>
    <s v="Tidak termasuk listrik"/>
    <n v="1350000"/>
    <s v="Rp1.350.000"/>
    <s v="3.2 x 3.2 meter; Tidak termasuk listrik; AC; Kasur; Meja; Lemari Baju; Bantal; Cermin; Jendela; K. Mandi Dalam; Kloset Duduk; Ember mandi; Shower; Air panas; WiFi; Kulkas; R. Tamu; Penjaga Kos; R. Jemur; Dapur; TV; Gazebo; Jemuran; Parkir Motor &amp; Sepeda"/>
    <n v="1215000"/>
    <s v="Rp1.215.000"/>
    <n v="0.17083333333333331"/>
    <d v="1899-12-30T04:06:00"/>
    <s v="Kos Putri"/>
    <m/>
    <s v="Diskon 135rb"/>
  </r>
  <r>
    <s v="Kost Singgahsini Puspita Tipe B Beji Depok"/>
    <x v="1"/>
    <x v="15"/>
    <n v="10.240000000000002"/>
    <s v="3.2 x 3.2 meter"/>
    <s v="Tidak termasuk listrik"/>
    <n v="1300000"/>
    <s v="Rp1.300.000"/>
    <s v="3.2 x 3.2 meter; Tidak termasuk listrik; AC; Kasur; Meja; Lemari Baju; Bantal; Cermin; Jendela; K. Mandi Dalam; Kloset Duduk; Ember mandi; Shower; WiFi; Kulkas; R. Tamu; Penjaga Kos; R. Jemur; Dapur; TV; Gazebo; Jemuran; Parkir Motor &amp; Sepeda"/>
    <n v="1170000"/>
    <s v="Rp1.170.000"/>
    <n v="0.17083333333333331"/>
    <d v="1899-12-30T04:06:00"/>
    <s v="Kos Putri"/>
    <m/>
    <s v="Diskon 130rb"/>
  </r>
  <r>
    <s v="Kost Singgahsini Puspita Tipe C Beji Depok"/>
    <x v="1"/>
    <x v="15"/>
    <n v="10.240000000000002"/>
    <s v="3.2 x 3.2 meter"/>
    <s v="Tidak termasuk listrik"/>
    <n v="1250000"/>
    <s v="Rp1.250.000"/>
    <s v="3.2 x 3.2 meter; Tidak termasuk listrik; AC; Kasur; Meja; Lemari Baju; Bantal; Cermin; Jendela; K. Mandi Dalam; Kloset Duduk; Ember mandi; Shower; WiFi; Kulkas; R. Tamu; Penjaga Kos; R. Jemur; Dapur; TV; Gazebo; Jemuran; Parkir Motor &amp; Sepeda"/>
    <n v="1125000"/>
    <s v="Rp1.125.000"/>
    <n v="0.17083333333333331"/>
    <d v="1899-12-30T04:06:00"/>
    <s v="Kos Putri"/>
    <m/>
    <s v="Diskon 125rb"/>
  </r>
  <r>
    <s v="Kost Singgahsini Putri Mawar PJMI Tipe A Bintaro Tangerang Selatan"/>
    <x v="2"/>
    <x v="2"/>
    <n v="18"/>
    <s v="4.5 x 4 meter"/>
    <s v="Tidak termasuk listrik"/>
    <s v=""/>
    <s v="N/A"/>
    <s v="4.5 x 4 meter; Tidak termasuk listrik; AC; Kasur; Meja; Lemari Baju; Kursi; Bantal; Jendela; K. Mandi Dalam; Kloset Duduk; Ember mandi; Shower; WiFi; Kulkas; Dapur; Dispenser; Parkir Mobil; Parkir Motor; Parkir Sepeda; Parkir Motor &amp; Sepeda"/>
    <n v="1475000"/>
    <s v="Rp1.475.000"/>
    <n v="0.20833333333333334"/>
    <d v="1899-12-30T05:00:00"/>
    <s v="Kos Putri"/>
    <m/>
    <s v="Diskon 75rb"/>
  </r>
  <r>
    <s v="Kost Singgahsini Putri Mawar PJMI Tipe B Bintaro Tangerang Selatan"/>
    <x v="2"/>
    <x v="2"/>
    <n v="12"/>
    <s v="4 x 3 meter"/>
    <s v="Tidak termasuk listrik"/>
    <s v=""/>
    <s v="N/A"/>
    <s v="4 x 3 meter; Tidak termasuk listrik; AC; Kasur; Meja; Lemari Baju; Kursi; Bantal; Jendela; K. Mandi Dalam; Kloset Duduk; Ember mandi; Shower; WiFi; Kulkas; Dapur; Dispenser; Parkir Mobil; Parkir Motor; Parkir Sepeda; Parkir Motor &amp; Sepeda"/>
    <n v="1375000"/>
    <s v="Rp1.375.000"/>
    <n v="0.17291666666666669"/>
    <d v="1899-12-30T04:09:00"/>
    <s v="Kos Putri"/>
    <m/>
    <s v="Diskon 75rb"/>
  </r>
  <r>
    <s v="Kost Singgahsini Putri Mawar PJMI Tipe C Bintaro Tangerang Selatan"/>
    <x v="2"/>
    <x v="29"/>
    <n v="18"/>
    <s v="4.5 x 4 meter"/>
    <s v="Tidak termasuk listrik"/>
    <s v=""/>
    <s v="N/A"/>
    <s v="4.5 x 4 meter; Tidak termasuk listrik; AC; Kasur; Meja; Lemari Baju; Kursi; Bantal; Jendela; K. Mandi Dalam; Kloset Duduk; Ember mandi; Shower; WiFi; Kulkas; Dapur; Dispenser; Parkir Mobil; Parkir Motor; Parkir Sepeda; Parkir Motor &amp; Sepeda"/>
    <n v="1125000"/>
    <s v="Rp1.125.000"/>
    <n v="0.17291666666666669"/>
    <d v="1899-12-30T04:09:00"/>
    <s v="Kos Putri"/>
    <m/>
    <m/>
  </r>
  <r>
    <s v="Kost Singgahsini Q Biz Tipe A Kebayoran Baru Jakarta Selatan"/>
    <x v="5"/>
    <x v="6"/>
    <n v="7.5"/>
    <s v="2.5 x 3 meter"/>
    <s v="Termasuk listrik (implied)"/>
    <s v=""/>
    <s v="N/A"/>
    <s v="2.5 x 3 meter; Termasuk listrik; AC; Kasur; Meja; Lemari Baju; Kursi; Bantal; Cermin; Guling; Jendela; K. Mandi Dalam; Kloset Duduk; Wastafel; Shower; Air panas; WiFi; Kulkas; R. Tamu; Mesin Cuci; Penjaga Kos; R. Makan; R. Jemur; Dapur; TV; Gazebo; Parkir Mobil; Parkir Motor; Parkir Sepeda"/>
    <n v="3025000"/>
    <s v="Rp3.025.000"/>
    <n v="0.17291666666666669"/>
    <d v="1899-12-30T04:09:00"/>
    <s v="Kos Putri"/>
    <m/>
    <s v="Diskon 158rb"/>
  </r>
  <r>
    <s v="Kost Singgahsini Queen Tisli Tipe A Serpong Tangerang Selatan"/>
    <x v="2"/>
    <x v="18"/>
    <n v="16"/>
    <s v="4 x 4 meter"/>
    <s v="Tidak termasuk listrik"/>
    <n v="2041000"/>
    <s v="Rp2.041.000"/>
    <s v="4 x 4 meter; Tidak termasuk listrik; AC; Kasur; Meja; Lemari Baju; Kursi; Bantal; Cermin; Guling; Jendela; K. Mandi Dalam; Kloset Duduk; Shower; Air panas; WiFi; Kulkas; R. Tamu; Penjaga Kos; R. Makan; R. Jemur; Dapur; Dispenser; K. Mandi Luar; CCTV; Parkir Mobil; Parkir Motor &amp; Sepeda"/>
    <n v="1940200"/>
    <s v="Rp1.940.200"/>
    <n v="0.20833333333333334"/>
    <d v="1899-12-30T05:00:00"/>
    <s v="Kos Campur"/>
    <m/>
    <s v="Diskon 101rb"/>
  </r>
  <r>
    <s v="Kost Singgahsini Queen Tisli Tipe B Serpong Tangerang Selatan"/>
    <x v="2"/>
    <x v="18"/>
    <n v="10.8"/>
    <s v="4 x 2.7 meter"/>
    <s v="Tidak termasuk listrik"/>
    <n v="1825000"/>
    <s v="Rp1.825.000"/>
    <s v="4 x 2.7 meter; Tidak termasuk listrik; AC; Kasur; Meja; Lemari Baju; Kursi; Bantal; Cermin; Guling; Jendela; K. Mandi Dalam; Kloset Duduk; Shower; Air panas; WiFi; Kulkas; R. Tamu; Penjaga Kos; R. Makan; R. Jemur; Dapur; Dispenser; K. Mandi Luar; CCTV; Parkir Mobil; Parkir Motor &amp; Sepeda"/>
    <n v="1735000"/>
    <s v="Rp1.735.000"/>
    <n v="0.17291666666666669"/>
    <d v="1899-12-30T04:09:00"/>
    <s v="Kos Campur"/>
    <m/>
    <s v="Diskon 90rb"/>
  </r>
  <r>
    <s v="Kost Singgahsini R &amp; R Tipe C Palmerah Jakarta Barat"/>
    <x v="3"/>
    <x v="4"/>
    <n v="6.25"/>
    <s v="2.5 x 2.5 meter"/>
    <s v="Tidak termasuk listrik"/>
    <s v=""/>
    <s v="N/A"/>
    <s v="2.5 x 2.5 meter; Tidak termasuk listrik; AC; Kasur; Meja; Lemari Baju; Kulkas; Kursi; Bantal; Guling; Jendela; Kloset Jongkok; K. Mandi Luar; Shower; WiFi; R. Tamu; R. Jemur; Dapur; TV; CCTV; Jemuran; Parkir Motor; Parkir Sepeda"/>
    <n v="1185000"/>
    <s v="Rp1.185.000"/>
    <n v="0.16874999999999998"/>
    <d v="1899-12-30T04:03:00"/>
    <s v="Kos Campur"/>
    <m/>
    <s v="Diskon 74rb"/>
  </r>
  <r>
    <s v="Kost Singgahsini Rahmawati Tebet Jakarta Selatan"/>
    <x v="5"/>
    <x v="64"/>
    <n v="12"/>
    <s v="4 x 3 meter"/>
    <s v="Tidak termasuk listrik"/>
    <n v="1935000"/>
    <s v="Rp1.935.000"/>
    <s v="4 x 3 meter; Tidak termasuk listrik; AC; Kasur; Meja; Lemari Baju; Ventilasi; Kursi; Bantal; Guling; Jendela; K. Mandi Dalam; Kloset Duduk; Ember mandi; Shower; Bak mandi; WiFi; R. Cuci; Penjaga Kos; Dapur; K. Mandi Luar; Parkir Mobil; Parkir Motor; Parkir Sepeda; Parkir Motor &amp; Sepeda"/>
    <n v="1839500"/>
    <s v="Rp1.839.500"/>
    <n v="0.17083333333333331"/>
    <d v="1899-12-30T04:06:00"/>
    <s v="Kos Putri"/>
    <m/>
    <s v="Diskon 96rb"/>
  </r>
  <r>
    <s v="Kost Singgahsini Ramboe Ranca 85 Tipe A Ciputat Tangerang Selatan"/>
    <x v="2"/>
    <x v="103"/>
    <n v="15"/>
    <s v="5 x 3 meter"/>
    <s v="Tidak termasuk listrik"/>
    <s v=""/>
    <s v="N/A"/>
    <s v="5 x 3 meter; Tidak termasuk listrik; AC; Kasur; Meja; TV; Lemari Baju; Ventilasi; Kursi; Bantal; Jendela; K. Mandi Dalam; Kloset Duduk; Wastafel; Shower; Air panas; WiFi; R. Tamu; Dapur; CCTV; Parkir Mobil; Parkir Motor"/>
    <n v="2025000"/>
    <s v="Rp2.025.000"/>
    <n v="0.17083333333333331"/>
    <d v="1899-12-30T04:06:00"/>
    <s v="Kos Campur"/>
    <m/>
    <s v="Diskon 176rb"/>
  </r>
  <r>
    <s v="Kost Singgahsini Ramboe Ranca 85 Tipe B Ciputat Tangerang Selatan"/>
    <x v="2"/>
    <x v="103"/>
    <n v="15"/>
    <s v="5 x 3 meter"/>
    <s v="Tidak termasuk listrik"/>
    <n v="2225000"/>
    <s v="Rp2.225.000"/>
    <s v="5 x 3 meter; Tidak termasuk listrik; AC; Kasur; Meja; TV; Lemari Baju; Ventilasi; Kursi; Bantal; Jendela; K. Mandi Dalam; Kloset Duduk; Wastafel; Shower; Air panas; WiFi; R. Tamu; Dapur; CCTV; Parkir Mobil; Parkir Motor"/>
    <n v="2049000"/>
    <s v="Rp2.049.000"/>
    <n v="0.17083333333333331"/>
    <d v="1899-12-30T04:06:00"/>
    <s v="Kos Campur"/>
    <m/>
    <s v="Diskon 176rb"/>
  </r>
  <r>
    <s v="Kost Singgahsini Raoul Cipete Tipe B Cilandak Jakarta Selatan"/>
    <x v="5"/>
    <x v="7"/>
    <n v="10.240000000000002"/>
    <s v="3.2 x 3.2 meter"/>
    <s v="Tidak termasuk listrik"/>
    <s v=""/>
    <s v="N/A"/>
    <s v="3.2 x 3.2 meter; Tidak termasuk listrik; AC; Kasur; Meja; Lemari Baju; Kursi; Bantal; Jendela; K. Mandi Dalam; Kloset Duduk; Wastafel; Shower; Air panas; WiFi; R. Jemur; Dapur; CCTV; Parkir Mobil; Parkir Sepeda"/>
    <n v="2825000"/>
    <s v="Rp2.825.000"/>
    <n v="0.17083333333333331"/>
    <d v="1899-12-30T04:06:00"/>
    <s v="Kos Campur"/>
    <m/>
    <s v="Diskon 248rb"/>
  </r>
  <r>
    <s v="Kost Singgahsini Raoul Cipete Tipe C Cilandak Jakarta Selatan"/>
    <x v="5"/>
    <x v="7"/>
    <n v="10.8"/>
    <s v="3.6 x 3 meter"/>
    <s v="Tidak termasuk listrik"/>
    <n v="3125000"/>
    <s v="Rp3.125.000"/>
    <s v="3.6 x 3 meter; Tidak termasuk listrik; AC; Kasur; Meja; Lemari Baju; Kursi; Bantal; Jendela; K. Mandi Dalam; Kloset Duduk; Shower; Air panas; WiFi; R. Jemur; Dapur; CCTV; Parkir Mobil; Parkir Sepeda"/>
    <n v="2877000"/>
    <s v="Rp2.877.000"/>
    <n v="0.17291666666666669"/>
    <d v="1899-12-30T04:09:00"/>
    <s v="Kos Campur"/>
    <m/>
    <s v="Diskon 248rb"/>
  </r>
  <r>
    <s v="Kost Singgahsini Raoul Cipete Tipe C Cilandak Jakarta Selatan"/>
    <x v="5"/>
    <x v="7"/>
    <e v="#VALUE!"/>
    <s v="N/A"/>
    <s v="N/A"/>
    <n v="3125000"/>
    <s v="Rp3.125.000"/>
    <s v=""/>
    <n v="2877000"/>
    <s v="Rp2.877.000"/>
    <n v="0.17291666666666669"/>
    <d v="1899-12-30T04:09:00"/>
    <s v="Kos Campur"/>
    <m/>
    <s v="Diskon 248rb"/>
  </r>
  <r>
    <s v="Kost Singgahsini Rap 18A Tipe B Kemayoran Jakarta Pusat"/>
    <x v="9"/>
    <x v="38"/>
    <n v="8.75"/>
    <s v="3.5 x 2.5 meter"/>
    <s v="Tidak termasuk listrik"/>
    <n v="1525000"/>
    <s v="Rp1.525.000"/>
    <s v="3.5 x 2.5 meter; Tidak termasuk listrik; AC; Kasur; Meja; Lemari Baju; Ventilasi; Kursi; Jendela; Bantal; Cermin; Guling; Kloset Duduk; K. Mandi Luar; Ember mandi; WiFi; R. Tamu; R. Jemur; CCTV; Parkir Motor &amp; Sepeda"/>
    <n v="1450000"/>
    <s v="Rp1.450.000"/>
    <n v="0.17222222222222225"/>
    <d v="1899-12-30T04:08:00"/>
    <s v="Kos Campur"/>
    <m/>
    <s v="Diskon 75rb"/>
  </r>
  <r>
    <s v="Kost Singgahsini Rasafa IKPN Tipe A Pesanggrahan Jakarta Selatan"/>
    <x v="5"/>
    <x v="187"/>
    <n v="16"/>
    <s v="4 x 4 meter"/>
    <s v="Termasuk listrik (implied)"/>
    <s v=""/>
    <s v="N/A"/>
    <s v="4 x 4 meter; Termasuk listrik; AC; Kasur; Lemari Baju; Bantal; Guling; Jendela; Kloset Duduk; K. Mandi Luar; Shower; WiFi; Kulkas; R. Tamu; R. Jemur; Dapur; TV; CCTV; Parkir Motor; Parkir Sepeda; Parkir Motor &amp; Sepeda"/>
    <n v="1545000"/>
    <s v="Rp1.545.000"/>
    <n v="0.17222222222222225"/>
    <d v="1899-12-30T04:08:00"/>
    <s v="Kos Putra"/>
    <m/>
    <s v="Diskon 65rb"/>
  </r>
  <r>
    <s v="Kost Singgahsini Ratu Teratai 59 Tipe A Kebon Jeruk Jakarta Barat"/>
    <x v="3"/>
    <x v="14"/>
    <n v="17.5"/>
    <s v="3.5 x 5 meter"/>
    <s v="Tidak termasuk listrik"/>
    <s v=""/>
    <s v="N/A"/>
    <s v="3.5 x 5 meter; Tidak termasuk listrik; AC; Kasur; Meja; Lemari Baju; Kursi; Bantal; Cermin; Jendela; K. Mandi Dalam; Kloset Duduk; Shower; Air panas; WiFi; Kulkas; Penjaga Kos; Dapur; CCTV; Parkir Motor; Parkir Sepeda"/>
    <n v="2305000"/>
    <s v="Rp2.305.000"/>
    <n v="0.17291666666666669"/>
    <d v="1899-12-30T04:09:00"/>
    <s v="Kos Campur"/>
    <m/>
    <m/>
  </r>
  <r>
    <s v="Kost Singgahsini Ravanti Tipe A Ciputat Timur Tangerang Selatan"/>
    <x v="2"/>
    <x v="8"/>
    <n v="13.049999999999999"/>
    <s v="4.5 x 2.9 meter"/>
    <s v="Tidak termasuk listrik"/>
    <n v="1425000"/>
    <s v="Rp1.425.000"/>
    <s v="4.5 x 2.9 meter; Tidak termasuk listrik; AC; Kasur; Meja; Lemari Baju; Kulkas; Kursi; Bantal; Guling; Jendela; K. Mandi Dalam; Kloset Duduk; Shower; WiFi; R. Tamu; Laundry; Dapur; Parkir Mobil; Parkir Motor; Parkir Sepeda"/>
    <n v="1355000"/>
    <s v="Rp1.355.000"/>
    <n v="0.17222222222222225"/>
    <d v="1899-12-30T04:08:00"/>
    <s v="Kos Putri"/>
    <m/>
    <s v="Diskon 70rb"/>
  </r>
  <r>
    <s v="Kost Singgahsini Ravanti Tipe B Ciputat Timur Tangerang Selatan"/>
    <x v="2"/>
    <x v="8"/>
    <n v="14.700000000000001"/>
    <s v="4.2 x 3.5 meter"/>
    <s v="Tidak termasuk listrik"/>
    <n v="1475000"/>
    <s v="Rp1.475.000"/>
    <s v="4.2 x 3.5 meter; Tidak termasuk listrik; AC; Kasur; Meja; TV; Lemari Baju; Kulkas; Kursi; Bantal; Guling; Jendela; K. Mandi Dalam; Kloset Duduk; Shower; WiFi; R. Tamu; Laundry; Dapur; Parkir Mobil; Parkir Motor; Parkir Sepeda"/>
    <n v="1402500"/>
    <s v="Rp1.402.500"/>
    <n v="0.17013888888888887"/>
    <d v="1899-12-30T04:05:00"/>
    <s v="Kos Putri"/>
    <m/>
    <s v="Diskon 73rb"/>
  </r>
  <r>
    <s v="Kost Singgahsini Rifidikan Tipe A Cimanggis Depok"/>
    <x v="1"/>
    <x v="46"/>
    <n v="12.8"/>
    <s v="3.2 x 4 meter"/>
    <s v="Tidak termasuk listrik"/>
    <n v="1225000"/>
    <s v="Rp1.225.000"/>
    <s v="3.2 x 4 meter; Tidak termasuk listrik; AC; Kasur; Meja; Lemari Baju; Ventilasi; Kursi; Bantal; Guling; Cermin; Jendela; K. Mandi Dalam; Kloset Duduk; Ember mandi; Shower; WiFi; R. Tamu; Penjaga Kos; Laundry; R. Jemur; Mushola; Dapur; Taman; CCTV; Jemuran; Parkir Motor &amp; Sepeda"/>
    <n v="1105000"/>
    <s v="Rp1.105.000"/>
    <n v="0.17083333333333331"/>
    <d v="1899-12-30T04:06:00"/>
    <s v="Kos Putri"/>
    <m/>
    <s v="Diskon 120rb"/>
  </r>
  <r>
    <s v="Kost Singgahsini Ritha Tipe A Cempaka Putih Jakarta Pusat"/>
    <x v="9"/>
    <x v="51"/>
    <n v="15"/>
    <s v="5 x 3 meter"/>
    <s v="Tidak termasuk listrik"/>
    <s v=""/>
    <s v="N/A"/>
    <s v="5 x 3 meter; Tidak termasuk listrik; AC; Kasur; Lemari Baju; Cleaning service; K. Mandi Dalam; Kloset Duduk; Shower; WiFi; R. Cuci; R. Tamu; R. Jemur; Dapur; Parkir Mobil; Parkir Motor"/>
    <n v="2325000"/>
    <s v="Rp2.325.000"/>
    <n v="0.17291666666666669"/>
    <d v="1899-12-30T04:09:00"/>
    <s v="Kos Campur"/>
    <m/>
    <s v="Diskon 115rb"/>
  </r>
  <r>
    <s v="Kost Singgahsini RK Tipe A Pondok Aren Tangerang Selatan"/>
    <x v="2"/>
    <x v="29"/>
    <n v="9"/>
    <s v="3 x 3 meter"/>
    <s v="Tidak termasuk listrik"/>
    <n v="1425000"/>
    <s v="Rp1.425.000"/>
    <s v="3 x 3 meter; Tidak termasuk listrik; AC; Kasur; Meja; Lemari Baju; Ventilasi; Jendela; Bantal; K. Mandi Dalam; Kloset Jongkok; Ember mandi; Shower; WiFi; Kulkas; R. Tamu; R. Jemur; Dapur; CCTV; Balcon; Parkir Motor &amp; Sepeda"/>
    <n v="1355000"/>
    <s v="Rp1.355.000"/>
    <n v="0.20833333333333334"/>
    <d v="1899-12-30T05:00:00"/>
    <s v="Kos Putri"/>
    <m/>
    <s v="Diskon 70rb"/>
  </r>
  <r>
    <s v="Kost Singgahsini RK Tipe B Pondok Aren Tangerang Selatan"/>
    <x v="2"/>
    <x v="29"/>
    <n v="9"/>
    <s v="3 x 3 meter"/>
    <s v="Tidak termasuk listrik"/>
    <n v="1325000"/>
    <s v="Rp1.325.000"/>
    <s v="3 x 3 meter; Tidak termasuk listrik; AC; Kasur; Meja; TV; Lemari Baju; Ventilasi; Jendela; Bantal; K. Mandi Dalam; Kloset Jongkok; Ember mandi; Shower; WiFi; Kulkas; R. Tamu; R. Jemur; Dapur; CCTV; Balcon; Parkir Motor &amp; Sepeda"/>
    <n v="1221000"/>
    <s v="Rp1.221.000"/>
    <n v="0.20833333333333334"/>
    <d v="1899-12-30T05:00:00"/>
    <s v="Kos Putri"/>
    <m/>
    <s v="Diskon 104rb"/>
  </r>
  <r>
    <s v="Kost Singgahsini Rose Residence Tipe A Tangerang"/>
    <x v="6"/>
    <x v="22"/>
    <n v="24"/>
    <s v="4 x 6 meter"/>
    <s v="Tidak termasuk listrik"/>
    <n v="3425000"/>
    <s v="Rp3.425.000"/>
    <s v="4 x 6 meter; Tidak termasuk listrik; AC; Kasur; Meja; Lemari Baju; Kursi; Jendela; Bantal; Cermin; K. Mandi Dalam; Kloset Duduk; Wastafel; Shower; Air panas; WiFi; Kulkas; R. Tamu; Penjaga Kos; R. Makan; R. Santai; Dapur; CCTV; Parkir Mobil; Parkir Motor &amp; Sepeda"/>
    <n v="3255000"/>
    <s v="Rp3.255.000"/>
    <n v="0.1673611111111111"/>
    <d v="1899-12-30T04:01:00"/>
    <s v="Kos Campur"/>
    <m/>
    <s v="Diskon 170rb"/>
  </r>
  <r>
    <s v="Kost Singgahsini Rose Residence Tipe B Tangerang"/>
    <x v="6"/>
    <x v="22"/>
    <n v="24.010000000000005"/>
    <s v="4.9 x 4.9 meter"/>
    <s v="Tidak termasuk listrik"/>
    <n v="2425000"/>
    <s v="Rp2.425.000"/>
    <s v="4.9 x 4.9 meter; Tidak termasuk listrik; AC; Kasur; Meja; Lemari Baju; Ventilasi; Kursi; Jendela; Bantal; Cermin; K. Mandi Dalam; Kloset Duduk; Wastafel; Shower; Air panas; WiFi; Kulkas; R. Tamu; Penjaga Kos; R. Makan; R. Santai; Dapur; CCTV; Parkir Mobil; Parkir Motor &amp; Sepeda"/>
    <n v="2305000"/>
    <s v="Rp2.305.000"/>
    <n v="0.17083333333333331"/>
    <d v="1899-12-30T04:06:00"/>
    <s v="Kos Campur"/>
    <m/>
    <s v="Diskon 120rb"/>
  </r>
  <r>
    <s v="Kost Singgahsini Royal Spring Tipe C Pasar Minggu Jakarta Selatan"/>
    <x v="5"/>
    <x v="43"/>
    <n v="8.8000000000000007"/>
    <s v="4 x 2.2 meter"/>
    <s v="Termasuk listrik (implied)"/>
    <s v=""/>
    <s v="N/A"/>
    <s v="4 x 2.2 meter; Termasuk listrik; AC; Kasur; Meja; Lemari Baju; Ventilasi; Kursi; Bantal; Cermin; Jendela; Kloset Duduk; K. Mandi Luar; Wastafel; Shower; WiFi; R. Tamu; Penjaga Kos; Dispenser; TV; Taman; Parkir Mobil; Parkir Motor &amp; Sepeda"/>
    <n v="1825000"/>
    <s v="Rp1.825.000"/>
    <n v="0.17222222222222225"/>
    <d v="1899-12-30T04:08:00"/>
    <s v="Kos Putri"/>
    <m/>
    <s v="Diskon 128rb"/>
  </r>
  <r>
    <s v="Kost Singgahsini RR'S House Tipe A Kebon Jeruk Jakarta Barat"/>
    <x v="3"/>
    <x v="14"/>
    <n v="20"/>
    <s v="5 x 4 meter"/>
    <s v="Tidak termasuk listrik"/>
    <n v="1845000"/>
    <s v="Rp1.845.000"/>
    <s v="5 x 4 meter; Tidak termasuk listrik; AC; Kasur; Meja; TV; Lemari Baju; Kursi; K. Mandi Dalam; Kloset Duduk; Shower; WiFi; Kulkas; R. Tamu; Penjaga Kos; R. Jemur; Dapur; Dispenser; CCTV; Parkir Mobil; Parkir Motor; Parkir Motor &amp; Sepeda"/>
    <n v="1754000"/>
    <s v="Rp1.754.000"/>
    <n v="0.16944444444444443"/>
    <d v="1899-12-30T04:04:00"/>
    <s v="Kos Campur"/>
    <m/>
    <s v="Diskon 91rb"/>
  </r>
  <r>
    <s v="Kost Singgahsini Rumah 5111 Tipe A Setiabudi Jakarta Selatan"/>
    <x v="5"/>
    <x v="44"/>
    <n v="12.209999999999999"/>
    <s v="3.7 x 3.3 meter"/>
    <s v="Tidak termasuk listrik"/>
    <s v=""/>
    <s v="N/A"/>
    <s v="3.7 x 3.3 meter; Tidak termasuk listrik; AC; Kasur; Meja; TV; Lemari Baju; Kursi; Bantal; Cermin; Guling; Jendela; K. Mandi Dalam; Kloset Duduk; Wastafel; Shower; Air panas; WiFi; R. Cuci; Kulkas; Mesin Cuci; Penjaga Kos; Laundry; R. Makan; R. Jemur; Dapur; Dispenser; Parkir Mobil; Parkir Motor; Parkir Sepeda"/>
    <n v="3105000"/>
    <s v="Rp3.105.000"/>
    <n v="0.17083333333333331"/>
    <d v="1899-12-30T04:06:00"/>
    <s v="Kos Campur"/>
    <m/>
    <s v="Diskon 260rb"/>
  </r>
  <r>
    <s v="Kost Singgahsini Rumah Adel Tipe A Makasar Jakarta Timur"/>
    <x v="8"/>
    <x v="45"/>
    <n v="22"/>
    <s v="5.5 x 4 meter"/>
    <s v="Tidak termasuk listrik"/>
    <s v=""/>
    <s v="N/A"/>
    <s v="5.5 x 4 meter; Tidak termasuk listrik; AC; Kasur; Meja; Lemari Baju; Kipas Angin; Sofa; Bantal; K. Mandi Dalam; Kloset Duduk; WiFi; R. Jemur; Dapur; Parkir Motor; Parkir Sepeda"/>
    <n v="1400000"/>
    <s v="Rp1.400.000"/>
    <n v="0.17222222222222225"/>
    <d v="1899-12-30T04:08:00"/>
    <s v="Kos Putra"/>
    <m/>
    <s v="Diskon 88rb"/>
  </r>
  <r>
    <s v="Kost Singgahsini Rumah Adel Tipe B Makasar Jakarta Timur"/>
    <x v="8"/>
    <x v="45"/>
    <n v="8.58"/>
    <s v="3.9 x 2.2 meter"/>
    <s v="Tidak termasuk listrik"/>
    <s v=""/>
    <s v="N/A"/>
    <s v="3.9 x 2.2 meter; Tidak termasuk listrik; AC; Kasur; Meja; Lemari Baju; Kursi; Bantal; Guling; Jendela; Kloset Duduk; K. Mandi Luar; WiFi; R. Jemur; Parkir Motor; Parkir Sepeda"/>
    <n v="1200000"/>
    <s v="Rp1.200.000"/>
    <n v="0.20833333333333334"/>
    <d v="1899-12-30T05:00:00"/>
    <s v="Kos Putra"/>
    <m/>
    <s v="Diskon 88rb"/>
  </r>
  <r>
    <s v="Kost Singgahsini Rumah Adel Tipe C Makasar Jakarta Timur"/>
    <x v="8"/>
    <x v="45"/>
    <n v="8.58"/>
    <s v="3.9 x 2.2 meter"/>
    <s v="Tidak termasuk listrik"/>
    <n v="1100000"/>
    <s v="Rp1.100.000"/>
    <s v="3.9 x 2.2 meter; Tidak termasuk listrik; AC; Kasur; Meja; Lemari Baju; Bantal; Guling; Jendela; Kloset Duduk; K. Mandi Luar; WiFi; R. Jemur; Parkir Motor; Parkir Sepeda"/>
    <n v="1012000"/>
    <s v="Rp1.012.000"/>
    <n v="0.17222222222222225"/>
    <d v="1899-12-30T04:08:00"/>
    <s v="Kos Putra"/>
    <m/>
    <s v="Diskon 88rb"/>
  </r>
  <r>
    <s v="Kost Singgahsini Rumah Adel Tipe D Makasar Jakarta Timur"/>
    <x v="8"/>
    <x v="45"/>
    <n v="6.38"/>
    <s v="2.9 x 2.2 meter"/>
    <s v="Tidak termasuk listrik"/>
    <s v=""/>
    <s v="N/A"/>
    <s v="2.9 x 2.2 meter; Tidak termasuk listrik; Kasur; Meja; Lemari Baju; Kipas Angin; Bantal; Guling; Jendela; Kloset Duduk; K. Mandi Luar; WiFi; R. Jemur; Parkir Motor; Parkir Sepeda"/>
    <n v="600000"/>
    <s v="Rp600.000"/>
    <n v="0.17222222222222225"/>
    <d v="1899-12-30T04:08:00"/>
    <s v="Kos Putra"/>
    <m/>
    <s v="Diskon 88rb"/>
  </r>
  <r>
    <s v="Kost Singgahsini Rumah Bundo Tipe A Ciputat Tangerang Selatan"/>
    <x v="2"/>
    <x v="65"/>
    <n v="10.5"/>
    <s v="3.5 x 3 meter"/>
    <s v="Tidak termasuk listrik"/>
    <n v="1725000"/>
    <s v="Rp1.725.000"/>
    <s v="3.5 x 3 meter; Tidak termasuk listrik; AC; Kasur; Meja; Lemari Baju; Ventilasi; Kursi; Jendela; Cermin; K. Mandi Dalam; Kloset Duduk; Shower; WiFi; R. Cuci; R. Tamu; Penjaga Kos; R. Jemur; Dapur; CCTV; Parkir Mobil; Parkir Motor &amp; Sepeda"/>
    <n v="1589000"/>
    <s v="Rp1.589.000"/>
    <n v="0.17222222222222225"/>
    <d v="1899-12-30T04:08:00"/>
    <s v="Kos Putri"/>
    <m/>
    <s v="Diskon 136rb"/>
  </r>
  <r>
    <s v="Kost Singgahsini Rumah Ceria Cideng Tipe A Gambir Jakarta Pusat"/>
    <x v="9"/>
    <x v="62"/>
    <n v="16"/>
    <s v="4 x 4 meter"/>
    <s v="Tidak termasuk listrik"/>
    <n v="3000000"/>
    <s v="Rp3.000.000"/>
    <s v="4 x 4 meter; Tidak termasuk listrik; AC; Kasur; Meja; TV; Lemari Baju; Kursi; K. Mandi Dalam; Kloset Duduk; Shower; Air panas; WiFi; R. Cuci; Kulkas; R. Tamu; Mesin Cuci; Penjaga Kos; R. Makan; R. Jemur; Dapur; CCTV; Parkir Mobil; Parkir Motor &amp; Sepeda"/>
    <n v="2850000"/>
    <s v="Rp2.850.000"/>
    <n v="0.17083333333333331"/>
    <d v="1899-12-30T04:06:00"/>
    <s v="Kos Campur"/>
    <m/>
    <s v="Diskon 150rb"/>
  </r>
  <r>
    <s v="Kost Singgahsini Rumah Ceria Cideng Tipe C Gambir Jakarta Pusat"/>
    <x v="9"/>
    <x v="62"/>
    <n v="9.6000000000000014"/>
    <s v="3 x 3.2 meter"/>
    <s v="Tidak termasuk listrik"/>
    <s v=""/>
    <s v="N/A"/>
    <s v="3 x 3.2 meter; Tidak termasuk listrik; AC; Kasur; Meja; Lemari Baju; Kursi; Bantal; Cermin; Jendela; Kloset Duduk; K. Mandi Luar; Wastafel; Shower; Air panas; WiFi; R. Cuci; Kulkas; R. Tamu; Mesin Cuci; Penjaga Kos; R. Makan; R. Jemur; Dapur; CCTV; Parkir Mobil; Parkir Motor &amp; Sepeda"/>
    <n v="2300000"/>
    <s v="Rp2.300.000"/>
    <n v="0.16944444444444443"/>
    <d v="1899-12-30T04:04:00"/>
    <s v="Kos Campur"/>
    <m/>
    <s v="Diskon 150rb"/>
  </r>
  <r>
    <s v="Kost Singgahsini Rumah Cibodas Star Tipe A Tangerang"/>
    <x v="6"/>
    <x v="81"/>
    <n v="9"/>
    <s v="3 x 3 meter"/>
    <s v="Tidak termasuk listrik"/>
    <n v="1675000"/>
    <s v="Rp1.675.000"/>
    <s v="3 x 3 meter; Tidak termasuk listrik; AC; Kasur; TV; Lemari Baju; Bantal; Jendela; Cermin; K. Mandi Dalam; Kloset Duduk; Wastafel; Shower; Air panas; WiFi; R. Tamu; Penjaga Kos; R. Makan; R. Jemur; Dapur; Dispenser; CCTV; Jemuran; Parkir Motor &amp; Sepeda"/>
    <n v="1592500"/>
    <s v="Rp1.592.500"/>
    <n v="0.17083333333333331"/>
    <d v="1899-12-30T04:06:00"/>
    <s v="Kos Campur"/>
    <m/>
    <s v="Diskon 83rb"/>
  </r>
  <r>
    <s v="Kost Singgahsini Rumah Cibodas Star Tipe B Tangerang"/>
    <x v="6"/>
    <x v="81"/>
    <n v="7"/>
    <s v="2.8 x 2.5 meter"/>
    <s v="Tidak termasuk listrik"/>
    <n v="1475000"/>
    <s v="Rp1.475.000"/>
    <s v="2.8 x 2.5 meter; Tidak termasuk listrik; AC; Kasur; TV; Lemari Baju; Bantal; Cermin; K. Mandi Dalam; Kloset Duduk; Wastafel; Shower; Air panas; WiFi; R. Tamu; Penjaga Kos; R. Makan; R. Jemur; Dapur; Dispenser; CCTV; Jemuran; Parkir Motor &amp; Sepeda"/>
    <n v="1402500"/>
    <s v="Rp1.402.500"/>
    <n v="0.17222222222222225"/>
    <d v="1899-12-30T04:08:00"/>
    <s v="Kos Campur"/>
    <m/>
    <s v="Diskon 73rb"/>
  </r>
  <r>
    <s v="Kost Singgahsini Rumah Kedua Tipe A Kelapa Gading Jakarta Utara"/>
    <x v="4"/>
    <x v="111"/>
    <n v="10.240000000000002"/>
    <s v="3.2 x 3.2 meter"/>
    <s v="Tidak termasuk listrik"/>
    <n v="2325000"/>
    <s v="Rp2.325.000"/>
    <s v="3.2 x 3.2 meter; Tidak termasuk listrik; AC; Kasur; Meja; Lemari Baju; Kursi; Bantal; Jendela; K. Mandi Dalam; Kloset Duduk; Shower; Air panas; WiFi; Kulkas; Penjaga Kos; Laundry; R. Makan; R. Jemur; Dapur; Dispenser; TV; K. Mandi Luar; Parkir Mobil; Parkir Motor &amp; Sepeda"/>
    <n v="2141000"/>
    <s v="Rp2.141.000"/>
    <n v="0"/>
    <m/>
    <s v="Kos Campur"/>
    <m/>
    <s v="Diskon 184rb"/>
  </r>
  <r>
    <s v="Kost Singgahsini Rumah Kedua Tipe B Kelapa Gading Jakarta Utara"/>
    <x v="4"/>
    <x v="111"/>
    <n v="11.840000000000002"/>
    <s v="3.7 x 3.2 meter"/>
    <s v="Tidak termasuk listrik"/>
    <n v="2275000"/>
    <s v="Rp2.275.000"/>
    <s v="3.7 x 3.2 meter; Tidak termasuk listrik; AC; Kasur; Meja; Lemari Baju; Kursi; Bantal; Jendela; K. Mandi Dalam; Kloset Duduk; Shower; Air panas; WiFi; Kulkas; Penjaga Kos; Laundry; R. Makan; R. Jemur; Dapur; Dispenser; TV; K. Mandi Luar; Parkir Mobil; Parkir Motor &amp; Sepeda"/>
    <n v="2095000"/>
    <s v="Rp2.095.000"/>
    <n v="0.17013888888888887"/>
    <d v="1899-12-30T04:05:00"/>
    <s v="Kos Campur"/>
    <m/>
    <s v="Diskon 180rb"/>
  </r>
  <r>
    <s v="Kost Singgahsini Rumah Kedua Tipe C Kelapa Gading Jakarta Utara"/>
    <x v="4"/>
    <x v="111"/>
    <n v="10.240000000000002"/>
    <s v="3.2 x 3.2 meter"/>
    <s v="Tidak termasuk listrik"/>
    <n v="2125000"/>
    <s v="Rp2.125.000"/>
    <s v="3.2 x 3.2 meter; Tidak termasuk listrik; AC; Kasur; Meja; Lemari Baju; Kursi; Bantal; Jendela; K. Mandi Dalam; Kloset Duduk; Shower; Air panas; WiFi; Kulkas; Penjaga Kos; Laundry; R. Makan; R. Jemur; Dapur; Dispenser; TV; K. Mandi Luar; Parkir Mobil; Parkir Motor &amp; Sepeda"/>
    <n v="1957000"/>
    <s v="Rp1.957.000"/>
    <n v="0.17013888888888887"/>
    <d v="1899-12-30T04:05:00"/>
    <s v="Kos Campur"/>
    <m/>
    <s v="Diskon 168rb"/>
  </r>
  <r>
    <s v="Kost Singgahsini Rumah Nia Tipe A Tebet Jakarta Selatan"/>
    <x v="5"/>
    <x v="189"/>
    <n v="9"/>
    <s v="3 x 3 meter"/>
    <s v="Tidak termasuk listrik"/>
    <n v="2525000"/>
    <s v="Rp2.525.000"/>
    <s v="3 x 3 meter; Tidak termasuk listrik; AC; Kasur; Meja; Lemari Baju; Ventilasi; Kursi; Bantal; Cermin; Guling; K. Mandi Dalam; Kloset Duduk; Shower; WiFi; Kulkas; R. Tamu; R. Jemur; Dapur; Dispenser; CCTV; Jemuran; Parkir Motor &amp; Sepeda"/>
    <n v="2325000"/>
    <s v="Rp2.325.000"/>
    <n v="0.20833333333333334"/>
    <d v="1899-12-30T05:00:00"/>
    <s v="Kos Campur"/>
    <m/>
    <s v="Diskon 200rb"/>
  </r>
  <r>
    <s v="Kost Singgahsini Rumah Sagre Tipe A Cempaka Putih Jakarta Pusat"/>
    <x v="9"/>
    <x v="66"/>
    <n v="15.75"/>
    <s v="3.5 x 4.5 meter"/>
    <s v="Termasuk listrik (implied)"/>
    <s v=""/>
    <s v="N/A"/>
    <s v="3.5 x 4.5 meter; Termasuk listrik; AC; Kasur; Meja; Lemari Baju; Kulkas; Ventilasi; Kursi; Bantal; Jendela; K. Mandi Dalam; Kloset Duduk; Wastafel; Shower; Air panas; WiFi; R. Tamu; R. Makan; Dapur; Dispenser; K. Mandi Luar; CCTV; Parkir Mobil; Parkir Motor; Parkir Sepeda"/>
    <n v="2985000"/>
    <s v="Rp2.985.000"/>
    <n v="0.17222222222222225"/>
    <d v="1899-12-30T04:08:00"/>
    <s v="Kos Campur"/>
    <m/>
    <m/>
  </r>
  <r>
    <s v="Kost Singgahsini Rumah Sagre Tipe B Cempaka Putih Jakarta Pusat"/>
    <x v="9"/>
    <x v="66"/>
    <n v="17.5"/>
    <s v="3.5 x 5 meter"/>
    <s v="Termasuk listrik (implied)"/>
    <s v=""/>
    <s v="N/A"/>
    <s v="3.5 x 5 meter; Termasuk listrik; AC; Kasur; Meja; Lemari Baju; Kulkas; Ventilasi; Kursi; Bantal; Jendela; K. Mandi Dalam; Kloset Duduk; Wastafel; Shower; Air panas; WiFi; R. Tamu; R. Makan; Dapur; Dispenser; K. Mandi Luar; CCTV; Parkir Mobil; Parkir Motor; Parkir Sepeda"/>
    <n v="3505000"/>
    <s v="Rp3.505.000"/>
    <n v="0.17083333333333331"/>
    <d v="1899-12-30T04:06:00"/>
    <s v="Kos Campur"/>
    <m/>
    <s v="Diskon 288rb"/>
  </r>
  <r>
    <s v="Kost Singgahsini Rumah Sagre Tipe C Cempaka Putih Jakarta Pusat"/>
    <x v="9"/>
    <x v="66"/>
    <n v="21"/>
    <s v="3.5 x 6 meter"/>
    <s v="Termasuk listrik (implied)"/>
    <s v=""/>
    <s v="N/A"/>
    <s v="3.5 x 6 meter; Termasuk listrik; AC; Kasur; Meja; Lemari Baju; Kulkas; Ventilasi; Kursi; Bantal; Jendela; K. Mandi Dalam; Kloset Duduk; Wastafel; Shower; Air panas; WiFi; R. Tamu; R. Makan; Dapur; Dispenser; K. Mandi Luar; CCTV; Parkir Mobil; Parkir Motor; Parkir Sepeda"/>
    <n v="3815000"/>
    <s v="Rp3.815.000"/>
    <n v="0.17291666666666669"/>
    <d v="1899-12-30T04:09:00"/>
    <s v="Kos Campur"/>
    <m/>
    <s v="Diskon 288rb"/>
  </r>
  <r>
    <s v="Kost Singgahsini Rumah Sarastri Tipe A Beji Depok"/>
    <x v="1"/>
    <x v="15"/>
    <n v="12"/>
    <s v="4 x 3 meter"/>
    <s v="Tidak termasuk listrik"/>
    <s v=""/>
    <s v="N/A"/>
    <s v="4 x 3 meter; Tidak termasuk listrik; AC; Kasur; Meja; Lemari Baju; Ventilasi; Kursi; Bantal; Jendela; K. Mandi Dalam; Kloset Duduk; Shower; Air panas; WiFi; Kulkas; Penjaga Kos; R. Jemur; Dapur; Parkir Mobil; Parkir Motor &amp; Sepeda"/>
    <n v="1975000"/>
    <s v="Rp1.975.000"/>
    <n v="0.17013888888888887"/>
    <d v="1899-12-30T04:05:00"/>
    <s v="Kos Putri"/>
    <m/>
    <s v="Diskon 179rb"/>
  </r>
  <r>
    <s v="Kost Singgahsini Rumah Sarastri Tipe B Beji Depok"/>
    <x v="1"/>
    <x v="15"/>
    <n v="9.990000000000002"/>
    <s v="3.7 x 2.7 meter"/>
    <s v="Tidak termasuk listrik"/>
    <s v=""/>
    <s v="N/A"/>
    <s v="3.7 x 2.7 meter; Tidak termasuk listrik; AC; Kasur; Meja; Lemari Baju; Ventilasi; Kursi; Jendela; Guling; K. Mandi Dalam; Kloset Duduk; Shower; Air panas; WiFi; Kulkas; Penjaga Kos; R. Jemur; Dapur; Parkir Mobil; Parkir Motor &amp; Sepeda"/>
    <n v="1875000"/>
    <s v="Rp1.875.000"/>
    <n v="0.17013888888888887"/>
    <d v="1899-12-30T04:05:00"/>
    <s v="Kos Putri"/>
    <m/>
    <s v="Diskon 179rb"/>
  </r>
  <r>
    <s v="Kost Singgahsini Rumah Vanessa Tipe A Jagakarsa Jakarta Selatan"/>
    <x v="5"/>
    <x v="40"/>
    <n v="9.7999999999999989"/>
    <s v="2.8 x 3.5 meter"/>
    <s v="Tidak termasuk listrik"/>
    <n v="2025000"/>
    <s v="Rp2.025.000"/>
    <s v="2.8 x 3.5 meter; Tidak termasuk listrik; AC; Kasur; Lemari Baju; K. Mandi Dalam; Kloset Duduk; Shower; Air panas; WiFi; R. Cuci; Kulkas; R. Tamu; Mesin Cuci; R. Makan; R. Jemur; Dapur; Dispenser; CCTV; Parkir Motor &amp; Sepeda"/>
    <n v="1865000"/>
    <s v="Rp1.865.000"/>
    <n v="0.20833333333333334"/>
    <d v="1899-12-30T05:00:00"/>
    <s v="Kos Putri"/>
    <m/>
    <s v="Diskon 160rb"/>
  </r>
  <r>
    <s v="Kost Singgahsini Rumah Vanessa Tipe B Jagakarsa Jakarta Selatan"/>
    <x v="5"/>
    <x v="40"/>
    <n v="8.9599999999999991"/>
    <s v="3.2 x 2.8 meter"/>
    <s v="Tidak termasuk listrik"/>
    <n v="1625000"/>
    <s v="Rp1.625.000"/>
    <s v="3.2 x 2.8 meter; Tidak termasuk listrik; AC; Kasur; Lemari Baju; K. Mandi Dalam; Kloset Duduk; Shower; WiFi; R. Cuci; Kulkas; R. Tamu; Mesin Cuci; R. Makan; R. Jemur; Dapur; Dispenser; CCTV; Parkir Motor &amp; Sepeda"/>
    <n v="1545000"/>
    <s v="Rp1.545.000"/>
    <n v="0.20833333333333334"/>
    <d v="1899-12-30T05:00:00"/>
    <s v="Kos Putri"/>
    <m/>
    <s v="Diskon 80rb"/>
  </r>
  <r>
    <s v="Kost Singgahsini Rume Betawi Tipe B Cipulir Jakarta Selatan"/>
    <x v="5"/>
    <x v="188"/>
    <n v="16"/>
    <s v="4 x 4 meter"/>
    <s v="Tidak termasuk listrik"/>
    <n v="2575000"/>
    <s v="Rp2.575.000"/>
    <s v="4 x 4 meter; Tidak termasuk listrik; AC; Kasur; Meja; Lemari Baju; Kursi; Bantal; Jendela; K. Mandi Dalam; Kloset Duduk; Wastafel; Shower; Bak mandi; Air panas; Bathtub; WiFi; R. Cuci; Kulkas; R. Tamu; Penjaga Kos; R. Makan; Mushola; R. Santai; Dapur; Dispenser; Parkir Mobil; Parkir Motor; Parkir Sepeda"/>
    <n v="2447500"/>
    <s v="Rp2.447.500"/>
    <n v="0.17291666666666669"/>
    <d v="1899-12-30T04:09:00"/>
    <s v="Kos Putri"/>
    <m/>
    <s v="Diskon 128rb"/>
  </r>
  <r>
    <s v="Kost Singgahsini Rumoh Ã¨h Lebak Bulus Tipe A Cilandak Jakarta Selatan"/>
    <x v="5"/>
    <x v="172"/>
    <n v="14.4"/>
    <s v="4 x 3.6 meter"/>
    <s v="Tidak termasuk listrik"/>
    <s v=""/>
    <s v="N/A"/>
    <s v="4 x 3.6 meter; Tidak termasuk listrik; AC; Kasur; Meja; TV; Lemari Baju; Kursi; Bantal; Cermin; Guling; Jendela; K. Mandi Dalam; Kloset Duduk; Shower; Air panas; WiFi; R. Santai; CCTV; Parkir Mobil; Parkir Motor; Parkir Sepeda"/>
    <n v="3325000"/>
    <s v="Rp3.325.000"/>
    <n v="0.17083333333333331"/>
    <d v="1899-12-30T04:06:00"/>
    <s v="Kos Campur"/>
    <m/>
    <s v="Diskon 168rb"/>
  </r>
  <r>
    <s v="Kost Singgahsini Rumoh Ã¨h Lebak Bulus Tipe B Cilandak Jakarta Selatan"/>
    <x v="5"/>
    <x v="172"/>
    <n v="14.4"/>
    <s v="4 x 3.6 meter"/>
    <s v="Tidak termasuk listrik"/>
    <s v=""/>
    <s v="N/A"/>
    <s v="4 x 3.6 meter; Tidak termasuk listrik; AC; Kasur; Meja; Lemari Baju; Kursi; Bantal; Cermin; Guling; Jendela; K. Mandi Dalam; Kloset Duduk; Shower; Air panas; WiFi; R. Santai; TV; CCTV; Parkir Mobil; Parkir Motor; Parkir Sepeda"/>
    <n v="3025000"/>
    <s v="Rp3.025.000"/>
    <n v="0.17083333333333331"/>
    <d v="1899-12-30T04:06:00"/>
    <s v="Kos Campur"/>
    <m/>
    <m/>
  </r>
  <r>
    <s v="Kost Singgahsini Sahar Tipe D Pasar Minggu Jakarta Selatan"/>
    <x v="5"/>
    <x v="43"/>
    <n v="12.8"/>
    <s v="4 x 3.2 meter"/>
    <s v="Tidak termasuk listrik"/>
    <s v=""/>
    <s v="N/A"/>
    <s v="4 x 3.2 meter; Tidak termasuk listrik; AC; Kasur; Meja; Lemari Baju; Kursi; Jendela; Bantal; Cermin; Guling; Kloset Duduk; K. Mandi Luar; Shower; WiFi; Kulkas; R. Tamu; Penjaga Kos; R. Makan; R. Jemur; Dapur; Dispenser; CCTV; Parkir Mobil; Parkir Motor &amp; Sepeda"/>
    <n v="1925000"/>
    <s v="Rp1.925.000"/>
    <n v="0.16944444444444443"/>
    <d v="1899-12-30T04:04:00"/>
    <s v="Kos Putri"/>
    <m/>
    <s v="Diskon 272rb"/>
  </r>
  <r>
    <s v="Kost Singgahsini Sakura Tipe A Cimanggis Depok"/>
    <x v="1"/>
    <x v="46"/>
    <n v="7.5"/>
    <s v="3 x 2.5 meter"/>
    <s v="Tidak termasuk listrik"/>
    <n v="1825000"/>
    <s v="Rp1.825.000"/>
    <s v="3 x 2.5 meter; Tidak termasuk listrik; AC; Kasur; Meja; TV; Lemari Baju; Kursi; Bantal; Guling; Jendela; K. Mandi Dalam; Kloset Duduk; Shower; Air panas; WiFi; Kulkas; R. Tamu; Penjaga Kos; R. Jemur; Dapur; CCTV; Parkir Mobil; Parkir Motor &amp; Sepeda"/>
    <n v="1645000"/>
    <s v="Rp1.645.000"/>
    <n v="0.17013888888888887"/>
    <d v="1899-12-30T04:05:00"/>
    <s v="Kos Putri"/>
    <m/>
    <s v="Diskon 180rb"/>
  </r>
  <r>
    <s v="Kost Singgahsini Samana SCBD Tipe C Kebayoran Baru Jakarta Selatan"/>
    <x v="5"/>
    <x v="6"/>
    <n v="15"/>
    <s v="3 x 5 meter"/>
    <s v="Termasuk listrik (implied)"/>
    <n v="4425000"/>
    <s v="Rp4.425.000"/>
    <s v="3 x 5 meter; Termasuk listrik; AC; Kasur; Meja; TV; Lemari Baju; Ventilasi; Kursi; Bantal; Cermin; Jendela; K. Mandi Dalam; Kloset Duduk; Wastafel; Air panas; WiFi; Kulkas; R. Tamu; R. Makan; R. Jemur; Dapur; Dispenser; K. Mandi Luar; CCTV; Parkir Mobil; Parkir Sepeda; Parkir Motor &amp; Sepeda"/>
    <n v="4205000"/>
    <s v="Rp4.205.000"/>
    <n v="0.17222222222222225"/>
    <d v="1899-12-30T04:08:00"/>
    <s v="Kos Campur"/>
    <m/>
    <s v="Diskon 220rb"/>
  </r>
  <r>
    <s v="Kost Singgahsini Sampit Satoe Lima Tipe D Kebayoran Baru Jakarta Selatan"/>
    <x v="5"/>
    <x v="6"/>
    <n v="6"/>
    <s v="3 x 2 meter"/>
    <s v="Tidak termasuk listrik"/>
    <n v="3715000"/>
    <s v="Rp3.715.000"/>
    <s v="3 x 2 meter; Tidak termasuk listrik; AC; Kasur; Meja; Lemari Baju; Kursi; Bantal; Cermin; Guling; Jendela; K. Mandi Dalam; Kloset Duduk; Wastafel; Shower; Air panas; WiFi; Kulkas; R. Tamu; Penjaga Kos; R. Makan; Dapur; TV; Gazebo; CCTV; Rooftop; Parkir Motor &amp; Sepeda"/>
    <n v="3530500"/>
    <s v="Rp3.530.500"/>
    <n v="0.17222222222222225"/>
    <d v="1899-12-30T04:08:00"/>
    <s v="Kos Campur"/>
    <m/>
    <s v="Diskon 185rb"/>
  </r>
  <r>
    <s v="Kost Singgahsini Sari Raden Inten Tipe B Jakarta Timur"/>
    <x v="8"/>
    <x v="115"/>
    <e v="#VALUE!"/>
    <s v="N/A"/>
    <s v="N/A"/>
    <n v="1225000"/>
    <s v="Rp1.225.000"/>
    <s v=""/>
    <n v="1129000"/>
    <s v="Rp1.129.000"/>
    <n v="0.17291666666666669"/>
    <d v="1899-12-30T04:09:00"/>
    <s v="Kos Putri"/>
    <m/>
    <s v="Diskon 96rb"/>
  </r>
  <r>
    <s v="Kost Singgahsini Sasya 2 Tipe B Pondok Pinang Jakarta Selatan"/>
    <x v="5"/>
    <x v="57"/>
    <n v="10.5"/>
    <s v="3 x 3.5 meter"/>
    <s v="Tidak termasuk listrik"/>
    <s v=""/>
    <s v="N/A"/>
    <s v="3 x 3.5 meter; Tidak termasuk listrik; AC; Kasur; Meja; TV; Lemari Baju; Kursi; Bantal; Cermin; Jendela; K. Mandi Dalam; Kloset Duduk; Shower; Air panas; WiFi; R. Cuci; R. Tamu; R. Makan; R. Jemur; Dapur; K. Mandi Luar; Parkir Mobil; Parkir Motor; Parkir Sepeda"/>
    <n v="1675000"/>
    <s v="Rp1.675.000"/>
    <n v="0.17083333333333331"/>
    <d v="1899-12-30T04:06:00"/>
    <s v="Kos Campur"/>
    <m/>
    <m/>
  </r>
  <r>
    <s v="Kost Singgahsini SB Living Tipe A Menteng Jakarta Pusat"/>
    <x v="9"/>
    <x v="125"/>
    <n v="7.2900000000000009"/>
    <s v="2.7 x 2.7 meter"/>
    <s v="Tidak termasuk listrik"/>
    <n v="2300000"/>
    <s v="Rp2.300.000"/>
    <s v="2.7 x 2.7 meter; Tidak termasuk listrik; AC; Kasur; Meja; Lemari Baju; Kursi; Bantal; Cermin; Guling; Jendela; K. Mandi Dalam; Kloset Duduk; Shower; WiFi; Penjaga Kos; CCTV; Parkir Motor &amp; Sepeda"/>
    <n v="2070000"/>
    <s v="Rp2.070.000"/>
    <n v="0.17222222222222225"/>
    <d v="1899-12-30T04:08:00"/>
    <s v="Kos Campur"/>
    <m/>
    <s v="Diskon 230rb"/>
  </r>
  <r>
    <s v="Kost Singgahsini Scholier Dochter Tipe A Pondok Cabe Tangerang Selatan"/>
    <x v="2"/>
    <x v="54"/>
    <n v="20.8"/>
    <s v="5.2 x 4 meter"/>
    <s v="Tidak termasuk listrik"/>
    <n v="1575000"/>
    <s v="Rp1.575.000"/>
    <s v="5.2 x 4 meter; Tidak termasuk listrik; AC; Kasur; Meja; Lemari Baju; Kursi; Bantal; Jendela; K. Mandi Dalam; Kloset Duduk; Ember mandi; Shower; Air panas; WiFi; R. Tamu; R. Jemur; Dapur; TV; Taman; Jemuran; Parkir Mobil; Parkir Motor &amp; Sepeda"/>
    <n v="1497500"/>
    <s v="Rp1.497.500"/>
    <n v="0"/>
    <m/>
    <s v="Kos Putri"/>
    <m/>
    <s v="Diskon 78rb"/>
  </r>
  <r>
    <s v="Kost Singgahsini Scholier Dochter Tipe B Pondok Cabe Tangerang Selatan"/>
    <x v="2"/>
    <x v="54"/>
    <n v="9"/>
    <s v="3 x 3 meter"/>
    <s v="Tidak termasuk listrik"/>
    <n v="1225000"/>
    <s v="Rp1.225.000"/>
    <s v="3 x 3 meter; Tidak termasuk listrik; AC; Kasur; Meja; Lemari Baju; Kursi; Bantal; Jendela; Kloset Duduk; K. Mandi Luar; Ember mandi; Shower; WiFi; R. Tamu; R. Jemur; Dapur; TV; Taman; Jemuran; Parkir Mobil; Parkir Motor &amp; Sepeda"/>
    <n v="1165000"/>
    <s v="Rp1.165.000"/>
    <n v="0.20833333333333334"/>
    <d v="1899-12-30T05:00:00"/>
    <s v="Kos Putri"/>
    <m/>
    <s v="Diskon 60rb"/>
  </r>
  <r>
    <s v="Kost Singgahsini Sedoso Tipe A Kalibata Jakarta Selatan"/>
    <x v="5"/>
    <x v="190"/>
    <n v="14.8"/>
    <s v="4 x 3.7 meter"/>
    <s v="Tidak termasuk listrik"/>
    <n v="2725000"/>
    <s v="Rp2.725.000"/>
    <s v="4 x 3.7 meter; Tidak termasuk listrik; AC; Kasur; Meja; Lemari Baju; Kursi; Bantal; Guling; Jendela; K. Mandi Dalam; Kloset Duduk; Shower; Air panas; WiFi; R. Cuci; R. Tamu; Penjaga Kos; Dapur; Dispenser; K. Mandi Luar; Parkir Mobil; Parkir Motor; Parkir Sepeda; Parkir Motor &amp; Sepeda"/>
    <n v="2590000"/>
    <s v="Rp2.590.000"/>
    <n v="0.17083333333333331"/>
    <d v="1899-12-30T04:06:00"/>
    <s v="Kos Putri"/>
    <m/>
    <s v="Diskon 135rb"/>
  </r>
  <r>
    <s v="Kost Singgahsini Sedoso Tipe B Kalibata Jakarta Selatan"/>
    <x v="5"/>
    <x v="190"/>
    <n v="10"/>
    <s v="4 x 2.5 meter"/>
    <s v="Tidak termasuk listrik"/>
    <s v=""/>
    <s v="N/A"/>
    <s v="4 x 2.5 meter; Tidak termasuk listrik; AC; Kasur; Meja; Lemari Baju; Kursi; Bantal; Guling; Jendela; K. Mandi Dalam; Kloset Duduk; Shower; Air panas; WiFi; R. Cuci; R. Tamu; Penjaga Kos; Dapur; Dispenser; K. Mandi Luar; Parkir Mobil; Parkir Motor; Parkir Sepeda; Parkir Motor &amp; Sepeda"/>
    <n v="2325000"/>
    <s v="Rp2.325.000"/>
    <n v="0.17222222222222225"/>
    <d v="1899-12-30T04:08:00"/>
    <s v="Kos Putri"/>
    <m/>
    <s v="Diskon 135rb"/>
  </r>
  <r>
    <s v="Kost Singgahsini Sepintu Rawa Buntu Tipe A Serpong Tangerang Selatan"/>
    <x v="2"/>
    <x v="18"/>
    <n v="9"/>
    <s v="3 x 3 meter"/>
    <s v="Tidak termasuk listrik"/>
    <s v=""/>
    <s v="N/A"/>
    <s v="3 x 3 meter; Tidak termasuk listrik; AC; Kasur; Meja; Lemari Baju; Kursi; Bantal; Jendela; K. Mandi Dalam; Kloset Duduk; Wastafel; Shower; WiFi; R. Tamu; Penjaga Kos; R. Makan; R. Jemur; Dapur; CCTV; Rice Cooker; Jemuran; Parkir Mobil; Parkir Motor; Parkir Sepeda"/>
    <n v="1875000"/>
    <s v="Rp1.875.000"/>
    <n v="0.17083333333333331"/>
    <d v="1899-12-30T04:06:00"/>
    <s v="Kos Campur"/>
    <m/>
    <m/>
  </r>
  <r>
    <s v="Kost Singgahsini Sepintu Rawa Buntu Tipe B Serpong Tangerang Selatan"/>
    <x v="2"/>
    <x v="18"/>
    <n v="7.5"/>
    <s v="2.5 x 3 meter"/>
    <s v="Tidak termasuk listrik"/>
    <s v=""/>
    <s v="N/A"/>
    <s v="2.5 x 3 meter; Tidak termasuk listrik; AC; Kasur; Meja; Lemari Baju; Kursi; Bantal; Jendela; K. Mandi Dalam; Kloset Duduk; Wastafel; Shower; WiFi; R. Tamu; Penjaga Kos; R. Makan; R. Jemur; Dapur; CCTV; Rice Cooker; Jemuran; Parkir Mobil; Parkir Motor; Parkir Sepeda"/>
    <n v="1675000"/>
    <s v="Rp1.675.000"/>
    <n v="0.20833333333333334"/>
    <d v="1899-12-30T05:00:00"/>
    <s v="Kos Campur"/>
    <m/>
    <m/>
  </r>
  <r>
    <s v="Kost Singgahsini Serenity Living Tipe A Kelapa Gading Jakarta Utara"/>
    <x v="4"/>
    <x v="111"/>
    <n v="6"/>
    <s v="3 x 2 meter"/>
    <s v="Tidak termasuk listrik"/>
    <n v="1575000"/>
    <s v="Rp1.575.000"/>
    <s v="3 x 2 meter; Tidak termasuk listrik; AC; Kasur; Meja; Lemari Baju; Bantal; Jendela; Kloset Duduk; K. Mandi Luar; Ember mandi; Shower; Air panas; WiFi; Penjaga Kos; Dapur; Dispenser; Parkir Mobil; Parkir Motor &amp; Sepeda"/>
    <n v="1451000"/>
    <s v="Rp1.451.000"/>
    <n v="0.16666666666666666"/>
    <d v="1899-12-30T04:00:00"/>
    <s v="Kos Campur"/>
    <m/>
    <s v="Diskon 124rb"/>
  </r>
  <r>
    <s v="Kost Singgahsini Serenity Living Tipe B Kelapa Gading Jakarta Utara"/>
    <x v="4"/>
    <x v="111"/>
    <n v="6"/>
    <s v="3 x 2 meter"/>
    <s v="Tidak termasuk listrik"/>
    <n v="1375000"/>
    <s v="Rp1.375.000"/>
    <s v="3 x 2 meter; Tidak termasuk listrik; AC; Kasur; Meja; Lemari Baju; Bantal; Kloset Duduk; K. Mandi Luar; Ember mandi; Shower; Air panas; WiFi; Penjaga Kos; Dapur; Dispenser; Parkir Mobil; Parkir Motor &amp; Sepeda"/>
    <n v="1267000"/>
    <s v="Rp1.267.000"/>
    <n v="0.20833333333333334"/>
    <d v="1899-12-30T05:00:00"/>
    <s v="Kos Campur"/>
    <m/>
    <s v="Diskon 108rb"/>
  </r>
  <r>
    <s v="Kost Singgahsini Serenity Living Tipe C Kelapa Gading Jakarta Utara"/>
    <x v="4"/>
    <x v="111"/>
    <n v="4"/>
    <s v="2 x 2 meter"/>
    <s v="Tidak termasuk listrik"/>
    <s v=""/>
    <s v="N/A"/>
    <s v="2 x 2 meter; Tidak termasuk listrik; AC; Kasur; Meja; Lemari Baju; Bantal; Kloset Duduk; K. Mandi Luar; Ember mandi; Shower; Air panas; WiFi; Penjaga Kos; Dapur; Dispenser; Parkir Mobil; Parkir Motor &amp; Sepeda"/>
    <n v="1225000"/>
    <s v="Rp1.225.000"/>
    <n v="0.20833333333333334"/>
    <d v="1899-12-30T05:00:00"/>
    <s v="Kos Campur"/>
    <m/>
    <s v="Diskon 108rb"/>
  </r>
  <r>
    <s v="Kost Singgahsini Seruma Latumenten Tipe A Tambora Jakarta Barat"/>
    <x v="3"/>
    <x v="191"/>
    <n v="9"/>
    <s v="3 x 3 meter"/>
    <s v="Tidak termasuk listrik"/>
    <s v=""/>
    <s v="N/A"/>
    <s v="3 x 3 meter; Tidak termasuk listrik; AC; Kasur; Meja; Lemari Baju; Kursi; Bantal; Cermin; K. Mandi Dalam; Kloset Duduk; Shower; Air panas; WiFi; Kulkas; Penjaga Kos; R. Jemur; Dapur; Dispenser; Parkir Motor &amp; Sepeda"/>
    <n v="1700000"/>
    <s v="Rp1.700.000"/>
    <n v="0.17291666666666669"/>
    <d v="1899-12-30T04:09:00"/>
    <s v="Kos Campur"/>
    <m/>
    <s v="Diskon 144rb"/>
  </r>
  <r>
    <s v="Kost Singgahsini Seruma Latumenten Tipe A Tambora Jakarta Barat"/>
    <x v="3"/>
    <x v="191"/>
    <n v="9"/>
    <s v="3 x 3 meter"/>
    <s v="Tidak termasuk listrik"/>
    <s v=""/>
    <s v="N/A"/>
    <s v="3 x 3 meter; Tidak termasuk listrik; AC; Kasur; Meja; Lemari Baju; Kursi; Bantal; Cermin; K. Mandi Dalam; Kloset Duduk; Shower; Air panas; WiFi; Kulkas; Penjaga Kos; R. Jemur; Dapur; Dispenser; Parkir Motor &amp; Sepeda"/>
    <n v="1700000"/>
    <s v="Rp1.700.000"/>
    <n v="0.17291666666666669"/>
    <d v="1899-12-30T04:09:00"/>
    <s v="Kos Campur"/>
    <m/>
    <s v="Diskon 100rb"/>
  </r>
  <r>
    <s v="Kost Singgahsini Seruma Latumenten Tipe B Tambora Jakarta Barat"/>
    <x v="3"/>
    <x v="191"/>
    <n v="9"/>
    <s v="3 x 3 meter"/>
    <s v="Tidak termasuk listrik"/>
    <s v=""/>
    <s v="N/A"/>
    <s v="3 x 3 meter; Tidak termasuk listrik; AC; Kasur; Lemari Baju; Bantal; Cermin; K. Mandi Dalam; Kloset Duduk; Shower; Air panas; WiFi; Kulkas; Penjaga Kos; R. Jemur; Dapur; Dispenser; Parkir Motor &amp; Sepeda"/>
    <n v="1500000"/>
    <s v="Rp1.500.000"/>
    <n v="0.16666666666666666"/>
    <d v="1899-12-30T04:00:00"/>
    <s v="Kos Campur"/>
    <m/>
    <s v="Diskon 112rb"/>
  </r>
  <r>
    <s v="Kost Singgahsini Seventeen Tipe B Setia Budi Jakarta Selatan"/>
    <x v="5"/>
    <x v="192"/>
    <n v="17.479999999999997"/>
    <s v="4.6 x 3.8 meter"/>
    <s v="Tidak termasuk listrik"/>
    <n v="3225000"/>
    <s v="Rp3.225.000"/>
    <s v="4.6 x 3.8 meter; Tidak termasuk listrik; AC; Kasur; Meja; Lemari Baju; Kursi; Jendela; Bantal; K. Mandi Dalam; Kloset Duduk; Wastafel; Shower; Air panas; WiFi; R. Cuci; Kulkas; R. Tamu; Mesin Cuci; Penjaga Kos; R. Jemur; Dapur; TV; Rooftop; Parkir Mobil; Parkir Motor &amp; Sepeda"/>
    <n v="3065000"/>
    <s v="Rp3.065.000"/>
    <n v="0.17013888888888887"/>
    <d v="1899-12-30T04:05:00"/>
    <s v="Kos Putra"/>
    <m/>
    <s v="Diskon 160rb"/>
  </r>
  <r>
    <s v="Kost Singgahsini Seventeen Tipe C Setia Budi Jakarta Selatan"/>
    <x v="5"/>
    <x v="192"/>
    <n v="14.719999999999999"/>
    <s v="4.6 x 3.2 meter"/>
    <s v="Tidak termasuk listrik"/>
    <n v="2925000"/>
    <s v="Rp2.925.000"/>
    <s v="4.6 x 3.2 meter; Tidak termasuk listrik; AC; Kasur; Meja; Lemari Baju; Ventilasi; Kursi; Jendela; Bantal; K. Mandi Dalam; Kloset Duduk; Wastafel; Shower; Air panas; WiFi; R. Cuci; Kulkas; R. Tamu; Mesin Cuci; Penjaga Kos; R. Jemur; Dapur; TV; Rooftop; Parkir Mobil; Parkir Motor &amp; Sepeda"/>
    <n v="2780000"/>
    <s v="Rp2.780.000"/>
    <n v="0.17222222222222225"/>
    <d v="1899-12-30T04:08:00"/>
    <s v="Kos Putra"/>
    <m/>
    <s v="Diskon 145rb"/>
  </r>
  <r>
    <s v="Kost Singgahsini Seventeen Tipe D Setia Budi Jakarta Selatan"/>
    <x v="5"/>
    <x v="192"/>
    <n v="16.72"/>
    <s v="4.4 x 3.8 meter"/>
    <s v="Tidak termasuk listrik"/>
    <n v="2625000"/>
    <s v="Rp2.625.000"/>
    <s v="4.4 x 3.8 meter; Tidak termasuk listrik; AC; Kasur; Meja; Lemari Baju; Ventilasi; Kursi; Jendela; Bantal; K. Mandi Dalam; Kloset Duduk; Wastafel; Shower; Air panas; WiFi; R. Cuci; Kulkas; R. Tamu; Mesin Cuci; Penjaga Kos; R. Jemur; Dapur; TV; Rooftop; Parkir Mobil; Parkir Motor &amp; Sepeda"/>
    <n v="2495000"/>
    <s v="Rp2.495.000"/>
    <n v="0.17083333333333331"/>
    <d v="1899-12-30T04:06:00"/>
    <s v="Kos Putra"/>
    <m/>
    <s v="Diskon 130rb"/>
  </r>
  <r>
    <s v="Kost Singgahsini Shabila Tipe B Pasar Minggu Jakarta Selatan"/>
    <x v="5"/>
    <x v="43"/>
    <n v="12"/>
    <s v="3 x 4 meter"/>
    <s v="Tidak termasuk listrik"/>
    <s v=""/>
    <s v="N/A"/>
    <s v="3 x 4 meter; Tidak termasuk listrik; AC; Kasur; Meja; Lemari Baju; Ventilasi; Kursi; Bantal; Cermin; Guling; Jendela; K. Mandi Dalam; Kloset Duduk; Wastafel; Shower; Air panas; WiFi; Kulkas; R. Tamu; Penjaga Kos; R. Jemur; R. Santai; Dapur; TV; CCTV; Parkir Mobil; Parkir Sepeda; Parkir Motor; Parkir Motor &amp; Sepeda"/>
    <n v="2360000"/>
    <s v="Rp2.360.000"/>
    <n v="0.17222222222222225"/>
    <d v="1899-12-30T04:08:00"/>
    <s v="Kos Putri"/>
    <m/>
    <s v="Diskon 113rb"/>
  </r>
  <r>
    <s v="Kost Singgahsini Shabila Tipe C Pasar Minggu Jakarta Selatan"/>
    <x v="5"/>
    <x v="43"/>
    <n v="10"/>
    <s v="2.5 x 4 meter"/>
    <s v="Tidak termasuk listrik"/>
    <s v=""/>
    <s v="N/A"/>
    <s v="2.5 x 4 meter; Tidak termasuk listrik; AC; Kasur; Meja; Lemari Baju; Ventilasi; Kursi; Bantal; Cermin; Guling; Jendela; K. Mandi Dalam; Kloset Duduk; Wastafel; Shower; Air panas; WiFi; Kulkas; R. Tamu; Penjaga Kos; R. Jemur; R. Santai; Dapur; TV; CCTV; Parkir Mobil; Parkir Sepeda; Parkir Motor; Parkir Motor &amp; Sepeda"/>
    <n v="2025000"/>
    <s v="Rp2.025.000"/>
    <n v="0.17222222222222225"/>
    <d v="1899-12-30T04:08:00"/>
    <s v="Kos Putri"/>
    <m/>
    <s v="Diskon 104rb"/>
  </r>
  <r>
    <s v="Kost Singgahsini Shafara Tipe C Pesanggrahan Jakarta Selatan"/>
    <x v="5"/>
    <x v="187"/>
    <n v="15"/>
    <s v="5 x 3 meter"/>
    <s v="Tidak termasuk listrik"/>
    <s v=""/>
    <s v="N/A"/>
    <s v="5 x 3 meter; Tidak termasuk listrik; AC; Kasur; Meja; Lemari Baju; Ventilasi; Kursi; Jendela; Wastafel; Bantal; Guling; K. Mandi Dalam; Kloset Duduk; Shower; WiFi; R. Tamu; Penjaga Kos; R. Jemur; CCTV; Parkir Motor &amp; Sepeda"/>
    <n v="2125000"/>
    <s v="Rp2.125.000"/>
    <n v="0.17013888888888887"/>
    <d v="1899-12-30T04:05:00"/>
    <s v="Kos Campur"/>
    <m/>
    <m/>
  </r>
  <r>
    <s v="Kost Singgahsini Shaka Plaza Slipi Tipe A Palmerah Jakarta Barat"/>
    <x v="3"/>
    <x v="4"/>
    <n v="10.240000000000002"/>
    <s v="3.2 x 3.2 meter"/>
    <s v="Termasuk listrik (implied)"/>
    <s v=""/>
    <s v="N/A"/>
    <s v="3.2 x 3.2 meter; Termasuk listrik; AC; Kasur; Meja; Lemari Baju; Ventilasi; Kursi; Bantal; Guling; K. Mandi Dalam; Kloset Duduk; Ember mandi; WiFi; R. Cuci; Kulkas; R. Tamu; Mesin Cuci; Dapur; Dispenser; TV; K. Mandi Luar; Parkir Motor; Parkir Sepeda"/>
    <n v="2275000"/>
    <s v="Rp2.275.000"/>
    <n v="0.20833333333333334"/>
    <d v="1899-12-30T05:00:00"/>
    <s v="Kos Putra"/>
    <m/>
    <m/>
  </r>
  <r>
    <s v="Kost Singgahsini Shaka Plaza Slipi Tipe B Palmerah Jakarta Barat"/>
    <x v="3"/>
    <x v="4"/>
    <n v="8.9599999999999991"/>
    <s v="3.2 x 2.8 meter"/>
    <s v="Termasuk listrik (implied)"/>
    <s v=""/>
    <s v="N/A"/>
    <s v="3.2 x 2.8 meter; Termasuk listrik; AC; Kasur; Meja; Lemari Baju; Ventilasi; Kursi; Bantal; Cermin; Guling; Jendela; K. Mandi Dalam; Kloset Duduk; Ember mandi; WiFi; R. Cuci; Kulkas; R. Tamu; Mesin Cuci; Dapur; Dispenser; TV; K. Mandi Luar; Parkir Motor; Parkir Sepeda"/>
    <n v="2175000"/>
    <s v="Rp2.175.000"/>
    <n v="0.17222222222222225"/>
    <d v="1899-12-30T04:08:00"/>
    <s v="Kos Putra"/>
    <m/>
    <m/>
  </r>
  <r>
    <s v="Kost Singgahsini Shaka Plaza Slipi Tipe C Palmerah Jakarta Barat"/>
    <x v="3"/>
    <x v="4"/>
    <n v="4.32"/>
    <s v="2.4 x 1.8 meter"/>
    <s v="Termasuk listrik (implied)"/>
    <s v=""/>
    <s v="N/A"/>
    <s v="2.4 x 1.8 meter; Termasuk listrik; Kasur; Meja; TV; Lemari Baju; Kursi; Bantal; Guling; Jendela; Kloset Duduk; K. Mandi Luar; Ember mandi; WiFi; R. Cuci; Kulkas; R. Tamu; Mesin Cuci; Dapur; Dispenser; Parkir Motor; Parkir Sepeda"/>
    <n v="1400000"/>
    <s v="Rp1.400.000"/>
    <n v="0.17222222222222225"/>
    <d v="1899-12-30T04:08:00"/>
    <s v="Kos Putra"/>
    <m/>
    <m/>
  </r>
  <r>
    <s v="Kost Singgahsini Simprug Corner 51 Tipe D Kebayoran Lama Jakarta Selatan"/>
    <x v="5"/>
    <x v="57"/>
    <n v="5"/>
    <s v="2.5 x 2 meter"/>
    <s v="Tidak termasuk listrik"/>
    <s v=""/>
    <s v="N/A"/>
    <s v="2.5 x 2 meter; Tidak termasuk listrik; AC; Kasur; Meja; TV; Lemari Baju; Kursi; Bantal; Cermin; Guling; Jendela; Kloset Duduk; K. Mandi Luar; Shower; Air panas; WiFi; Kulkas; Mesin Cuci; Penjaga Kos; Dapur; CCTV; Parkir Motor; Parkir Sepeda"/>
    <n v="2175000"/>
    <s v="Rp2.175.000"/>
    <n v="0.17291666666666669"/>
    <d v="1899-12-30T04:09:00"/>
    <s v="Kos Campur"/>
    <m/>
    <s v="Diskon 148rb"/>
  </r>
  <r>
    <s v="Kost Singgahsini Sinar Resident Pedurenan Tipe A Setia Budi Jakarta Selatan"/>
    <x v="5"/>
    <x v="44"/>
    <n v="10.26"/>
    <s v="3.8 x 2.7 meter"/>
    <s v="Tidak termasuk listrik"/>
    <s v=""/>
    <s v="N/A"/>
    <s v="3.8 x 2.7 meter; Tidak termasuk listrik; AC; Kasur; Lemari Baju; Kulkas; Bantal; Cermin; Guling; Jendela; K. Mandi Dalam; Kloset Duduk; K. Mandi Luar; Wastafel; Shower; Air panas; WiFi; Penjaga Kos; Laundry; R. Makan; R. Jemur; Dapur; CCTV; Jemuran; Parkir Motor &amp; Sepeda"/>
    <n v="2525000"/>
    <s v="Rp2.525.000"/>
    <n v="0.17222222222222225"/>
    <d v="1899-12-30T04:08:00"/>
    <s v="Kos Putri"/>
    <m/>
    <s v="Diskon 120rb"/>
  </r>
  <r>
    <s v="Kost Singgahsini Slipi 18 Tipe B Palmerah Jakarta Barat"/>
    <x v="3"/>
    <x v="4"/>
    <n v="6"/>
    <s v="2 x 3 meter"/>
    <s v="Tidak termasuk listrik"/>
    <s v=""/>
    <s v="N/A"/>
    <s v="2 x 3 meter; Tidak termasuk listrik; Kasur; Lemari Baju; Ventilasi; Bantal; Kloset Duduk; K. Mandi Luar; Ember mandi; Shower; WiFi; R. Jemur; Dapur; CCTV; Parkir Motor"/>
    <n v="950000"/>
    <s v="Rp950.000"/>
    <n v="0.17013888888888887"/>
    <d v="1899-12-30T04:05:00"/>
    <s v="Kos Putri"/>
    <m/>
    <m/>
  </r>
  <r>
    <s v="Kost Singgahsini SMAN 64 Tipe A Cipayung Jakarta Timur"/>
    <x v="8"/>
    <x v="25"/>
    <n v="6.72"/>
    <s v="2.8 x 2.4 meter"/>
    <s v="Termasuk listrik (implied)"/>
    <s v=""/>
    <s v="N/A"/>
    <s v="2.8 x 2.4 meter; Termasuk listrik; AC; Kasur; Meja; Lemari Baju; Kursi; Bantal; Cermin; Guling; Jendela; K. Mandi Dalam; Kloset Duduk; Shower; WiFi; Kulkas; R. Tamu; Dapur; CCTV; Rice Cooker; Parkir Mobil; Parkir Motor; Parkir Sepeda"/>
    <n v="1500000"/>
    <s v="Rp1.500.000"/>
    <n v="0.17291666666666669"/>
    <d v="1899-12-30T04:09:00"/>
    <s v="Kos Putri"/>
    <m/>
    <s v="Diskon 160rb"/>
  </r>
  <r>
    <s v="Kost Singgahsini Sofia Thamrin Tipe B Tanah Abang Jakarta Pusat"/>
    <x v="9"/>
    <x v="42"/>
    <n v="9.4500000000000011"/>
    <s v="3.5 x 2.7 meter"/>
    <s v="Tidak termasuk listrik"/>
    <n v="3025000"/>
    <s v="Rp3.025.000"/>
    <s v="3.5 x 2.7 meter; Tidak termasuk listrik; AC; Kasur; Meja; Lemari Baju; Kursi; Jendela; Cermin; Bantal; K. Mandi Dalam; Kloset Duduk; Wastafel; Shower; WiFi; R. Tamu; Penjaga Kos; Dapur; CCTV; Rooftop; Parkir Mobil; Parkir Motor &amp; Sepeda"/>
    <n v="2875000"/>
    <s v="Rp2.875.000"/>
    <n v="0.1673611111111111"/>
    <d v="1899-12-30T04:01:00"/>
    <s v="Kos Campur"/>
    <m/>
    <s v="Diskon 150rb"/>
  </r>
  <r>
    <s v="Kost Singgahsini Sofia Thamrin Tipe C Tanah Abang Jakarta Pusat"/>
    <x v="9"/>
    <x v="42"/>
    <n v="9.4500000000000011"/>
    <s v="3.5 x 2.7 meter"/>
    <s v="Tidak termasuk listrik"/>
    <n v="2525000"/>
    <s v="Rp2.525.000"/>
    <s v="3.5 x 2.7 meter; Tidak termasuk listrik; AC; Kasur; Meja; Lemari Baju; Kursi; Jendela; Bantal; K. Mandi Dalam; Kloset Duduk; Shower; WiFi; R. Tamu; Penjaga Kos; Dapur; CCTV; Rooftop; Parkir Mobil; Parkir Motor &amp; Sepeda"/>
    <n v="2400000"/>
    <s v="Rp2.400.000"/>
    <n v="0.17013888888888887"/>
    <d v="1899-12-30T04:05:00"/>
    <s v="Kos Campur"/>
    <m/>
    <s v="Diskon 125rb"/>
  </r>
  <r>
    <s v="Kost Singgahsini Sofia Thamrin Tipe D Tanah Abang Jakarta Pusat"/>
    <x v="9"/>
    <x v="42"/>
    <n v="9"/>
    <s v="3 x 3 meter"/>
    <s v="Tidak termasuk listrik"/>
    <n v="2025000"/>
    <s v="Rp2.025.000"/>
    <s v="3 x 3 meter; Tidak termasuk listrik; AC; Kasur; Meja; Lemari Baju; Kursi; Jendela; Bantal; Cermin; K. Mandi Dalam; Kloset Duduk; Shower"/>
    <n v="1925000"/>
    <s v="Rp1.925.000"/>
    <n v="0.17083333333333331"/>
    <d v="1899-12-30T04:06:00"/>
    <s v="Kos Campur"/>
    <m/>
    <s v="Diskon 100rb"/>
  </r>
  <r>
    <s v="Kost Singgahsini Soldier Xosan Tipe A Cipondoh Tangerang"/>
    <x v="6"/>
    <x v="97"/>
    <n v="6.75"/>
    <s v="2.5 x 2.7 meter"/>
    <s v="Tidak termasuk listrik"/>
    <n v="1475000"/>
    <s v="Rp1.475.000"/>
    <s v="2.5 x 2.7 meter; Tidak termasuk listrik; AC; Kasur; Lemari Baju; Ventilasi; Bantal; Cermin; Guling; Jendela; Kloset Duduk; K. Mandi Luar; Ember mandi; Shower; WiFi; Penjaga Kos; Dapur; Parkir Motor &amp; Sepeda"/>
    <n v="1359000"/>
    <s v="Rp1.359.000"/>
    <n v="0.12916666666666668"/>
    <d v="1899-12-30T03:06:00"/>
    <s v="Kos Campur"/>
    <m/>
    <s v="Diskon 116rb"/>
  </r>
  <r>
    <s v="Kost Singgahsini Soldier Xosan Tipe B Cipondoh Tangerang"/>
    <x v="6"/>
    <x v="97"/>
    <n v="5.44"/>
    <s v="3.2 x 1.7 meter"/>
    <s v="Tidak termasuk listrik"/>
    <n v="1375000"/>
    <s v="Rp1.375.000"/>
    <s v="3.2 x 1.7 meter; Tidak termasuk listrik; AC; Kasur; Lemari Baju; Ventilasi; Bantal; Cermin; Guling; Kloset Duduk; K. Mandi Luar; Ember mandi; Shower; WiFi; Penjaga Kos; Dapur; Parkir Motor &amp; Sepeda"/>
    <n v="1267000"/>
    <s v="Rp1.267.000"/>
    <n v="0.17013888888888887"/>
    <d v="1899-12-30T04:05:00"/>
    <s v="Kos Campur"/>
    <m/>
    <s v="Diskon 108rb"/>
  </r>
  <r>
    <s v="Kost Singgahsini STAN Bintaro Andalusia Tipe A Pondok Aren Tangerang Selatan"/>
    <x v="2"/>
    <x v="2"/>
    <n v="6.4399999999999995"/>
    <s v="2.3 x 2.8 meter"/>
    <s v="Tidak termasuk listrik"/>
    <n v="1425000"/>
    <s v="Rp1.425.000"/>
    <s v="2.3 x 2.8 meter; Tidak termasuk listrik; AC; Kasur; Meja; Lemari Baju; Kursi; Bantal; Guling; Jendela; K. Mandi Dalam; Kloset Duduk; WiFi; Kulkas; R. Jemur; Dapur; TV; K. Mandi Luar; Parkir Motor; Parkir Sepeda"/>
    <n v="1285000"/>
    <s v="Rp1.285.000"/>
    <n v="0.17291666666666669"/>
    <d v="1899-12-30T04:09:00"/>
    <s v="Kos Putra"/>
    <m/>
    <s v="Diskon 140rb"/>
  </r>
  <r>
    <s v="Kost Singgahsini STAN Bintaro Andalusia Tipe B Pondok Aren Tangerang Selatan"/>
    <x v="2"/>
    <x v="2"/>
    <n v="8.6999999999999993"/>
    <s v="3 x 2.9 meter"/>
    <s v="Tidak termasuk listrik"/>
    <n v="1525000"/>
    <s v="Rp1.525.000"/>
    <s v="3 x 2.9 meter; Tidak termasuk listrik; AC; Kasur; Meja; Lemari Baju; Kursi; Guling; Jendela; K. Mandi Dalam; Kloset Duduk; Ember mandi; WiFi; Kulkas; R. Jemur; Dapur; TV; K. Mandi Luar; Parkir Motor; Parkir Sepeda"/>
    <n v="1405000"/>
    <s v="Rp1.405.000"/>
    <n v="0.17083333333333331"/>
    <d v="1899-12-30T04:06:00"/>
    <s v="Kos Putra"/>
    <m/>
    <s v="Diskon 120rb"/>
  </r>
  <r>
    <s v="Kost Singgahsini STAN Bintaro Andalusia Tipe C Pondok Aren Tangerang Selatan"/>
    <x v="2"/>
    <x v="29"/>
    <n v="6.4399999999999995"/>
    <s v="2.3 x 2.8 meter"/>
    <s v="Tidak termasuk listrik"/>
    <n v="1125000"/>
    <s v="Rp1.125.000"/>
    <s v="2.3 x 2.8 meter; Tidak termasuk listrik; Kasur; Meja; Lemari Baju; Kursi; Bantal; Guling; Jendela; K. Mandi Dalam; Kloset Duduk; Ember mandi; WiFi; Kulkas; R. Jemur; Dapur; TV; K. Mandi Luar; Parkir Motor; Parkir Sepeda"/>
    <n v="1070000"/>
    <s v="Rp1.070.000"/>
    <n v="0.17222222222222225"/>
    <d v="1899-12-30T04:08:00"/>
    <s v="Kos Putra"/>
    <m/>
    <s v="Diskon 55rb"/>
  </r>
  <r>
    <s v="Kost Singgahsini STAN Bintaro Andalusia Tipe D Pondok Aren Tangerang Selatan"/>
    <x v="2"/>
    <x v="29"/>
    <n v="9.1199999999999992"/>
    <s v="3.8 x 2.4 meter"/>
    <s v="Tidak termasuk listrik"/>
    <n v="1225000"/>
    <s v="Rp1.225.000"/>
    <s v="3.8 x 2.4 meter; Tidak termasuk listrik; Kasur; Meja; Lemari Baju; Kursi; Bantal; Guling; Jendela; K. Mandi Dalam; Kloset Duduk; Ember mandi; WiFi; Kulkas; R. Jemur; Dapur; TV; K. Mandi Luar; Parkir Motor; Parkir Sepeda"/>
    <n v="1165000"/>
    <s v="Rp1.165.000"/>
    <n v="0.17291666666666669"/>
    <d v="1899-12-30T04:09:00"/>
    <s v="Kos Putra"/>
    <m/>
    <s v="Diskon 60rb"/>
  </r>
  <r>
    <s v="Kost Singgahsini STAN Ceger Raya Tipe A Pondok Aren Tangerang"/>
    <x v="2"/>
    <x v="2"/>
    <n v="13.86"/>
    <s v="3.3 x 4.2 meter"/>
    <s v="Tidak termasuk listrik"/>
    <s v=""/>
    <s v="N/A"/>
    <s v="3.3 x 4.2 meter; Tidak termasuk listrik; AC; Kasur; Meja; Lemari Baju; Kulkas; Kursi; Bantal; Cermin; Jendela; K. Mandi Dalam; Kloset Duduk; Wastafel; Ember mandi; Shower; WiFi; R. Jemur; Dapur; Jemuran; Parkir Mobil; Parkir Motor"/>
    <n v="1585000"/>
    <s v="Rp1.585.000"/>
    <n v="0.17013888888888887"/>
    <d v="1899-12-30T04:05:00"/>
    <s v="Kos Campur"/>
    <m/>
    <m/>
  </r>
  <r>
    <s v="Kost Singgahsini STAN Rain Tipe A Pondok Aren Tangerang Selatan"/>
    <x v="2"/>
    <x v="29"/>
    <n v="11.2"/>
    <s v="4 x 2.8 meter"/>
    <s v="Tidak termasuk listrik"/>
    <s v=""/>
    <s v="N/A"/>
    <s v="4 x 2.8 meter; Tidak termasuk listrik; AC; Kasur; Meja; Lemari Baju; Kursi; Bantal; Cermin; Jendela; K. Mandi Dalam; Kloset Duduk; Shower; WiFi; R. Tamu; Dapur; Parkir Motor; Parkir Sepeda"/>
    <n v="1595000"/>
    <s v="Rp1.595.000"/>
    <n v="0.17291666666666669"/>
    <d v="1899-12-30T04:09:00"/>
    <s v="Kos Campur"/>
    <m/>
    <m/>
  </r>
  <r>
    <s v="Kost Singgahsini STAN Tipe A Jurang Mangu Tangerang Selatan"/>
    <x v="2"/>
    <x v="29"/>
    <n v="12"/>
    <s v="4 x 3 meter"/>
    <s v="Tidak termasuk listrik"/>
    <s v=""/>
    <s v="N/A"/>
    <s v="4 x 3 meter; Tidak termasuk listrik; AC; Kasur; Meja; Lemari Baju; Kulkas; Ventilasi; Kursi; Bantal; Cermin; Jendela; K. Mandi Dalam; Kloset Duduk; Shower; WiFi; R. Cuci; R. Tamu; Dapur; Dispenser; Parkir Mobil; Parkir Motor; Parkir Sepeda; Parkir Motor &amp; Sepeda"/>
    <n v="1325000"/>
    <s v="Rp1.325.000"/>
    <n v="0.17083333333333331"/>
    <d v="1899-12-30T04:06:00"/>
    <s v="Kos Campur"/>
    <m/>
    <m/>
  </r>
  <r>
    <s v="Kost Singgahsini STAN Tipe B Jurang Mangu Tangerang Selatan"/>
    <x v="2"/>
    <x v="29"/>
    <n v="12"/>
    <s v="4 x 3 meter"/>
    <s v="Tidak termasuk listrik"/>
    <s v=""/>
    <s v="N/A"/>
    <s v="4 x 3 meter; Tidak termasuk listrik; Kasur; Meja; Lemari Baju; Kulkas; Ventilasi; Kursi; Kipas Angin; Bantal; Cermin; Jendela; K. Mandi Dalam; Kloset Duduk; Shower; WiFi; R. Cuci; R. Tamu; Dapur; Dispenser; Parkir Mobil; Parkir Motor; Parkir Sepeda; Parkir Motor &amp; Sepeda"/>
    <n v="925000"/>
    <s v="Rp925.000"/>
    <n v="0.17222222222222225"/>
    <d v="1899-12-30T04:08:00"/>
    <s v="Kos Campur"/>
    <m/>
    <m/>
  </r>
  <r>
    <s v="Kost Singgahsini Sudarto Kukusan Tipe A Beji Depok"/>
    <x v="1"/>
    <x v="15"/>
    <e v="#VALUE!"/>
    <s v="N/A"/>
    <s v="N/A"/>
    <n v="1535000"/>
    <s v="Rp1.535.000"/>
    <s v="WiFi; R. Tamu; Penjaga Kos; R. Makan; Gazebo; K. Mandi Luar; CCTV; Parkir Mobil; Parkir Motor; Parkir Sepeda"/>
    <n v="1384000"/>
    <s v="Rp1.384.000"/>
    <n v="0.17222222222222225"/>
    <d v="1899-12-30T04:08:00"/>
    <s v="Kos Campur"/>
    <m/>
    <s v="Diskon 151rb"/>
  </r>
  <r>
    <s v="Kost Singgahsini Sumie Dream Tipe A Duren Sawit Jakarta Timur"/>
    <x v="8"/>
    <x v="115"/>
    <n v="7.5"/>
    <s v="2.5 x 3 meter"/>
    <s v="Tidak termasuk listrik"/>
    <n v="1225000"/>
    <s v="Rp1.225.000"/>
    <s v="2.5 x 3 meter; Tidak termasuk listrik; AC; Kasur; Lemari Baju; Bantal; Jendela; K. Mandi Dalam; Kloset Jongkok; Ember mandi; Shower; WiFi; R. Cuci; Kulkas; R. Tamu; Penjaga Kos; Laundry; Dapur; Dispenser; Parkir Mobil; Parkir Motor; Parkir Sepeda; Parkir Motor &amp; Sepeda"/>
    <n v="1165000"/>
    <s v="Rp1.165.000"/>
    <n v="0.17291666666666669"/>
    <d v="1899-12-30T04:09:00"/>
    <s v="Kos Putri"/>
    <m/>
    <s v="Diskon 60rb"/>
  </r>
  <r>
    <s v="Kost Singgahsini Sumie Dream Tipe B Duren Sawit Jakarta Timur"/>
    <x v="8"/>
    <x v="115"/>
    <n v="9"/>
    <s v="3 x 3 meter"/>
    <s v="Tidak termasuk listrik"/>
    <n v="1325000"/>
    <s v="Rp1.325.000"/>
    <s v="3 x 3 meter; Tidak termasuk listrik; AC; Kasur; Lemari Baju; Bantal; Jendela; K. Mandi Dalam; Kloset Jongkok; Ember mandi; Shower; WiFi; R. Cuci; Kulkas; R. Tamu; Penjaga Kos; Laundry; Dapur; Dispenser; Parkir Mobil; Parkir Motor; Parkir Sepeda; Parkir Motor &amp; Sepeda"/>
    <n v="1260000"/>
    <s v="Rp1.260.000"/>
    <n v="0.17222222222222225"/>
    <d v="1899-12-30T04:08:00"/>
    <s v="Kos Putri"/>
    <m/>
    <s v="Diskon 65rb"/>
  </r>
  <r>
    <s v="Kost Singgahsini Summagung Tipe B Kelapa Gading Jakarta Utara"/>
    <x v="4"/>
    <x v="79"/>
    <n v="8.75"/>
    <s v="3.5 x 2.5 meter"/>
    <s v="Tidak termasuk listrik"/>
    <s v=""/>
    <s v="N/A"/>
    <s v="3.5 x 2.5 meter; Tidak termasuk listrik; AC; Kasur; Meja; Lemari Baju; Kursi; Bantal; Cermin; Guling; K. Mandi Dalam; Kloset Duduk; Shower; Air panas; WiFi; Kulkas; R. Tamu; Penjaga Kos; Dapur; Dispenser; Parkir Mobil; Parkir Motor; Parkir Sepeda"/>
    <n v="1645000"/>
    <s v="Rp1.645.000"/>
    <n v="0.17013888888888887"/>
    <d v="1899-12-30T04:05:00"/>
    <s v="Kos Campur"/>
    <m/>
    <m/>
  </r>
  <r>
    <s v="Kost Singgahsini Sunrise Living Tipe A Pasar Minggu Jakarta Selatan"/>
    <x v="5"/>
    <x v="43"/>
    <n v="18"/>
    <s v="6 x 3 meter"/>
    <s v="Tidak termasuk listrik"/>
    <n v="2925000"/>
    <s v="Rp2.925.000"/>
    <s v="6 x 3 meter; Tidak termasuk listrik; AC; Kasur; Meja; Lemari Baju; Kursi; Bantal; Jendela; K. Mandi Dalam; Kloset Duduk; Shower; Air panas; WiFi; Kulkas; Penjaga Kos; R. Jemur; Dapur; CCTV; Rooftop; Parkir Mobil; Parkir Motor &amp; Sepeda"/>
    <n v="2635000"/>
    <s v="Rp2.635.000"/>
    <n v="0.17291666666666669"/>
    <d v="1899-12-30T04:09:00"/>
    <s v="Kos Campur"/>
    <m/>
    <s v="Diskon 290rb"/>
  </r>
  <r>
    <s v="Kost Singgahsini Sunrise Living Tipe B Pasar Minggu Jakarta Selatan"/>
    <x v="5"/>
    <x v="43"/>
    <n v="15.75"/>
    <s v="4.5 x 3.5 meter"/>
    <s v="Tidak termasuk listrik"/>
    <n v="2725000"/>
    <s v="Rp2.725.000"/>
    <s v="4.5 x 3.5 meter; Tidak termasuk listrik; AC; Kasur; Meja; Lemari Baju; Kursi; Bantal; Jendela; K. Mandi Dalam; Kloset Duduk; Shower; Air panas; WiFi; Kulkas; Penjaga Kos; R. Jemur; Dapur; CCTV; Rooftop; Parkir Mobil; Parkir Motor &amp; Sepeda"/>
    <n v="2455000"/>
    <s v="Rp2.455.000"/>
    <n v="0.17291666666666669"/>
    <d v="1899-12-30T04:09:00"/>
    <s v="Kos Campur"/>
    <m/>
    <s v="Diskon 270rb"/>
  </r>
  <r>
    <s v="Kost Singgahsini Sunrise Living Tipe C Pasar Minggu Jakarta Selatan"/>
    <x v="5"/>
    <x v="43"/>
    <n v="13.5"/>
    <s v="4.5 x 3 meter"/>
    <s v="Tidak termasuk listrik"/>
    <n v="2325000"/>
    <s v="Rp2.325.000"/>
    <s v="4.5 x 3 meter; Tidak termasuk listrik; AC; Kasur; Meja; Lemari Baju; Kursi; Bantal; Jendela; K. Mandi Dalam; Kloset Duduk; Shower; Air panas; WiFi; Kulkas; Penjaga Kos; R. Jemur; Dapur; CCTV; Rooftop; Parkir Mobil; Parkir Motor &amp; Sepeda"/>
    <n v="2095000"/>
    <s v="Rp2.095.000"/>
    <n v="0.16874999999999998"/>
    <d v="1899-12-30T04:03:00"/>
    <s v="Kos Campur"/>
    <m/>
    <s v="Diskon 230rb"/>
  </r>
  <r>
    <s v="Kost Singgahsini Sunrise Living Tipe D Pasar Minggu Jakarta Selatan"/>
    <x v="5"/>
    <x v="43"/>
    <n v="11.25"/>
    <s v="4.5 x 2.5 meter"/>
    <s v="Tidak termasuk listrik"/>
    <n v="2025000"/>
    <s v="Rp2.025.000"/>
    <s v="4.5 x 2.5 meter; Tidak termasuk listrik; AC; Kasur; Meja; Lemari Baju; Kursi; Bantal; Jendela; K. Mandi Dalam; Kloset Duduk; Shower; Air panas; WiFi; Kulkas; Penjaga Kos; R. Jemur; Dapur; CCTV; Rooftop; Parkir Mobil; Parkir Motor &amp; Sepeda"/>
    <n v="1825000"/>
    <s v="Rp1.825.000"/>
    <n v="0.17291666666666669"/>
    <d v="1899-12-30T04:09:00"/>
    <s v="Kos Campur"/>
    <m/>
    <s v="Diskon 200rb"/>
  </r>
  <r>
    <s v="Kost Singgahsini Sunter Jaya 48 Tipe A Tanjung Priok Jakarta Utara"/>
    <x v="4"/>
    <x v="5"/>
    <n v="11.100000000000001"/>
    <s v="3.7 x 3 meter"/>
    <s v="Tidak termasuk listrik"/>
    <n v="1625000"/>
    <s v="Rp1.625.000"/>
    <s v="3.7 x 3 meter; Tidak termasuk listrik; AC; Kasur; Lemari Baju; Bantal; Cermin; Dapur Pribadi; Jendela; K. Mandi Dalam; Kloset Duduk; Shower; WiFi; Penjaga Kos; R. Jemur; CCTV; Jemuran; Rooftop; Parkir Motor &amp; Sepeda"/>
    <n v="1545000"/>
    <s v="Rp1.545.000"/>
    <n v="0.16944444444444443"/>
    <d v="1899-12-30T04:04:00"/>
    <s v="Kos Campur"/>
    <m/>
    <s v="Diskon 80rb"/>
  </r>
  <r>
    <s v="Kost Singgahsini Suryopranoto Petojo Tipe A Gambir Jakarta Pusat"/>
    <x v="9"/>
    <x v="62"/>
    <n v="10.240000000000002"/>
    <s v="3.2 x 3.2 meter"/>
    <s v="Tidak termasuk listrik"/>
    <n v="2775000"/>
    <s v="Rp2.775.000"/>
    <s v="3.2 x 3.2 meter; Tidak termasuk listrik; AC; Kasur; Meja; Lemari Baju; Kursi; Bantal; Cermin; Jendela; K. Mandi Dalam; Kloset Duduk; Shower; Air panas; WiFi; R. Cuci; Penjaga Kos; R. Jemur; Dapur; K. Mandi Luar; Rooftop; Parkir Mobil; Parkir Motor &amp; Sepeda"/>
    <n v="2637500"/>
    <s v="Rp2.637.500"/>
    <n v="0.17291666666666669"/>
    <d v="1899-12-30T04:09:00"/>
    <s v="Kos Campur"/>
    <m/>
    <s v="Diskon 138rb"/>
  </r>
  <r>
    <s v="Kost Singgahsini Suryopranoto Petojo Tipe B Gambir Jakarta Pusat"/>
    <x v="9"/>
    <x v="62"/>
    <n v="9"/>
    <s v="3 x 3 meter"/>
    <s v="Tidak termasuk listrik"/>
    <n v="2525000"/>
    <s v="Rp2.525.000"/>
    <s v="3 x 3 meter; Tidak termasuk listrik; AC; Kasur; Meja; Lemari Baju; Kursi; Bantal; Cermin; Jendela; K. Mandi Dalam; Kloset Duduk; Shower; Air panas; WiFi; R. Cuci; Penjaga Kos; R. Jemur; Dapur; K. Mandi Luar; Rooftop; Parkir Mobil; Parkir Motor &amp; Sepeda"/>
    <n v="2325000"/>
    <s v="Rp2.325.000"/>
    <n v="0.16944444444444443"/>
    <d v="1899-12-30T04:04:00"/>
    <s v="Kos Campur"/>
    <m/>
    <s v="Diskon 200rb"/>
  </r>
  <r>
    <s v="Kost Singgahsini Syahrin Tipe C Gandaria Jakarta Selatan"/>
    <x v="5"/>
    <x v="182"/>
    <n v="16"/>
    <s v="4 x 4 meter"/>
    <s v="Termasuk listrik (implied)"/>
    <s v=""/>
    <s v="N/A"/>
    <s v="4 x 4 meter; Termasuk listrik; AC; Kasur; Meja; Lemari Baju; Kursi; Bantal; Cermin; Jendela; K. Mandi Dalam; Kloset Duduk; Wastafel; Shower; Air panas; WiFi; R. Cuci; Kulkas; R. Tamu; Mesin Cuci; Penjaga Kos; Dapur; Dispenser; Balcon; K. Mandi Luar; Parkir Mobil; Parkir Motor; Parkir Motor &amp; Sepeda"/>
    <n v="3575000"/>
    <s v="Rp3.575.000"/>
    <n v="0.17291666666666669"/>
    <d v="1899-12-30T04:09:00"/>
    <s v="Kos Putri"/>
    <m/>
    <s v="Diskon 170rb"/>
  </r>
  <r>
    <s v="Kost Singgahsini T18A Pegangsaan Dua Tipe A Kelapa Gading Jakarta Utara"/>
    <x v="4"/>
    <x v="111"/>
    <n v="8.3999999999999986"/>
    <s v="3 x 2.8 meter"/>
    <s v="Tidak termasuk listrik"/>
    <n v="1690000"/>
    <s v="Rp1.690.000"/>
    <s v="3 x 2.8 meter; Tidak termasuk listrik; AC; Kasur; Meja; Lemari Baju; Ventilasi; Kursi; Bantal; Kloset Duduk; K. Mandi Luar; Wastafel; Shower; WiFi; Kulkas; Penjaga Kos; R. Jemur; Dapur; Rooftop; Parkir Motor &amp; Sepeda"/>
    <n v="1556800"/>
    <s v="Rp1.556.800"/>
    <n v="0.17291666666666669"/>
    <d v="1899-12-30T04:09:00"/>
    <s v="Kos Putri"/>
    <m/>
    <s v="Diskon 133rb"/>
  </r>
  <r>
    <s v="Kost Singgahsini T18A Pegangsaan Dua Tipe B Kelapa Gading Jakarta Utara"/>
    <x v="4"/>
    <x v="111"/>
    <n v="8.3999999999999986"/>
    <s v="3 x 2.8 meter"/>
    <s v="Tidak termasuk listrik"/>
    <n v="1510000"/>
    <s v="Rp1.510.000"/>
    <s v="3 x 2.8 meter; Tidak termasuk listrik; AC; Kasur; Lemari Baju; Ventilasi; Bantal; Kloset Duduk; K. Mandi Luar; Wastafel; Shower; WiFi; Kulkas; Penjaga Kos; R. Jemur; Dapur; Rooftop; Parkir Motor &amp; Sepeda"/>
    <n v="1391200"/>
    <s v="Rp1.391.200"/>
    <n v="0.20833333333333334"/>
    <d v="1899-12-30T05:00:00"/>
    <s v="Kos Putri"/>
    <m/>
    <s v="Diskon 119rb"/>
  </r>
  <r>
    <s v="Kost Singgahsini Taman Apel IV Tipe A Grogol Petamburan Jakarta Barat"/>
    <x v="3"/>
    <x v="13"/>
    <n v="8.19"/>
    <s v="2.1 x 3.9 meter"/>
    <s v="Tidak termasuk listrik"/>
    <s v=""/>
    <s v="N/A"/>
    <s v="2.1 x 3.9 meter; Tidak termasuk listrik; AC; Kasur; Meja; Lemari Baju; Kursi; Bantal; Jendela; K. Mandi Dalam; Kloset Duduk; Shower; Air panas; WiFi; Kulkas; Penjaga Kos; R. Jemur; Dapur; CCTV; Rooftop; Parkir Motor &amp; Sepeda"/>
    <n v="2225000"/>
    <s v="Rp2.225.000"/>
    <n v="0.17083333333333331"/>
    <d v="1899-12-30T04:06:00"/>
    <s v="Kos Campur"/>
    <m/>
    <s v="Diskon 113rb"/>
  </r>
  <r>
    <s v="Kost Singgahsini Taman Apel IV Tipe B Grogol Petamburan Jakarta Barat"/>
    <x v="3"/>
    <x v="13"/>
    <n v="8.19"/>
    <s v="2.1 x 3.9 meter"/>
    <s v="Tidak termasuk listrik"/>
    <s v=""/>
    <s v="N/A"/>
    <s v="2.1 x 3.9 meter; Tidak termasuk listrik; AC; Kasur; Meja; Lemari Baju; Kursi; Bantal; Cermin; Jendela; K. Mandi Dalam; Kloset Duduk; Shower; Air panas; WiFi; Kulkas; Penjaga Kos; R. Jemur; Dapur; CCTV; Rooftop; Parkir Motor &amp; Sepeda"/>
    <n v="1975000"/>
    <s v="Rp1.975.000"/>
    <n v="0.17083333333333331"/>
    <d v="1899-12-30T04:06:00"/>
    <s v="Kos Campur"/>
    <m/>
    <s v="Diskon 98rb"/>
  </r>
  <r>
    <s v="Kost Singgahsini Taman Bunga Tipe A Cimanggis Depok"/>
    <x v="1"/>
    <x v="46"/>
    <n v="20"/>
    <s v="5 x 4 meter"/>
    <s v="Tidak termasuk listrik"/>
    <n v="2500000"/>
    <s v="Rp2.500.000"/>
    <s v="5 x 4 meter; Tidak termasuk listrik; AC; Kasur; Meja; Lemari Baju; Ventilasi; Kursi; Jendela; Bantal; Cermin; K. Mandi Dalam; Kloset Duduk; Shower; Air panas; WiFi; R. Cuci; Kulkas; R. Tamu; Penjaga Kos; R. Makan; R. Jemur; Dapur; CCTV; Parkir Mobil; Parkir Motor &amp; Sepeda"/>
    <n v="2250000"/>
    <s v="Rp2.250.000"/>
    <n v="0.20833333333333334"/>
    <d v="1899-12-30T05:00:00"/>
    <s v="Kos Putri"/>
    <m/>
    <s v="Diskon 250rb"/>
  </r>
  <r>
    <s v="Kost Singgahsini Taman Bunga Tipe B Cimanggis Depok"/>
    <x v="1"/>
    <x v="46"/>
    <n v="12"/>
    <s v="4 x 3 meter"/>
    <s v="Tidak termasuk listrik"/>
    <n v="2200000"/>
    <s v="Rp2.200.000"/>
    <s v="4 x 3 meter; Tidak termasuk listrik; AC; Kasur; Meja; Lemari Baju; Kursi; Jendela; Bantal; Cermin; K. Mandi Dalam; Kloset Duduk; Shower; Air panas; WiFi; R. Cuci; Kulkas; R. Tamu; Penjaga Kos; R. Makan; R. Jemur; Dapur; CCTV; Parkir Mobil; Parkir Motor &amp; Sepeda"/>
    <n v="1980000"/>
    <s v="Rp1.980.000"/>
    <n v="0.20833333333333334"/>
    <d v="1899-12-30T05:00:00"/>
    <s v="Kos Putri"/>
    <m/>
    <s v="Diskon 220rb"/>
  </r>
  <r>
    <s v="Kost Singgahsini Taman Bunga Tipe C Cimanggis Depok"/>
    <x v="1"/>
    <x v="46"/>
    <n v="10.5"/>
    <s v="3.5 x 3 meter"/>
    <s v="Tidak termasuk listrik"/>
    <n v="2000000"/>
    <s v="Rp2.000.000"/>
    <s v="3.5 x 3 meter; Tidak termasuk listrik; AC; Kasur; Meja; Lemari Baju; Kursi; Jendela; Cermin; Bantal; K. Mandi Dalam; Kloset Duduk; Shower; Air panas; WiFi; R. Cuci; Kulkas; R. Tamu; Penjaga Kos; R. Makan; R. Jemur; Dapur; CCTV; Parkir Mobil; Parkir Motor &amp; Sepeda"/>
    <n v="1800000"/>
    <s v="Rp1.800.000"/>
    <n v="0.17013888888888887"/>
    <d v="1899-12-30T04:05:00"/>
    <s v="Kos Putri"/>
    <m/>
    <s v="Diskon 200rb"/>
  </r>
  <r>
    <s v="Kost Singgahsini Taman Bunga Tipe D Cimanggis Depok"/>
    <x v="1"/>
    <x v="46"/>
    <n v="6.6000000000000005"/>
    <s v="3 x 2.2 meter"/>
    <s v="Tidak termasuk listrik"/>
    <n v="1700000"/>
    <s v="Rp1.700.000"/>
    <s v="3 x 2.2 meter; Tidak termasuk listrik; AC; Kasur; Meja; Lemari Baju; Ventilasi; Kursi; Jendela; Bantal; Cermin; Guling; K. Mandi Dalam; Kloset Duduk; Shower; Air panas; WiFi; R. Cuci; Kulkas; R. Tamu; Penjaga Kos; R. Makan; R. Jemur; Dapur; CCTV; Parkir Mobil; Parkir Motor &amp; Sepeda"/>
    <n v="1530000"/>
    <s v="Rp1.530.000"/>
    <n v="0.16944444444444443"/>
    <d v="1899-12-30T04:04:00"/>
    <s v="Kos Putri"/>
    <m/>
    <s v="Diskon 170rb"/>
  </r>
  <r>
    <s v="Kost Singgahsini Taman Malaka 21 Tipe A Duren Sawit Jakarta Timur"/>
    <x v="8"/>
    <x v="39"/>
    <n v="8.75"/>
    <s v="3.5 x 2.5 meter"/>
    <s v="Tidak termasuk listrik"/>
    <n v="1800000"/>
    <s v="Rp1.800.000"/>
    <s v="3.5 x 2.5 meter; Tidak termasuk listrik; AC; Kasur; Meja; Lemari Baju; Kursi; Bantal; Jendela; K. Mandi Dalam; Kloset Duduk; Shower; WiFi; R. Cuci; R. Makan; R. Jemur; Dapur; CCTV; Parkir Motor &amp; Sepeda"/>
    <n v="1656000"/>
    <s v="Rp1.656.000"/>
    <n v="0.20833333333333334"/>
    <d v="1899-12-30T05:00:00"/>
    <s v="Kos Putri"/>
    <m/>
    <s v="Diskon 144rb"/>
  </r>
  <r>
    <s v="Kost Singgahsini Taman Malaka 21 Tipe A Duren Sawit Jakarta Timur"/>
    <x v="8"/>
    <x v="39"/>
    <e v="#VALUE!"/>
    <s v="N/A"/>
    <s v="N/A"/>
    <n v="1800000"/>
    <s v="Rp1.800.000"/>
    <s v=""/>
    <n v="1656000"/>
    <s v="Rp1.656.000"/>
    <n v="0.20833333333333334"/>
    <d v="1899-12-30T05:00:00"/>
    <s v="Kos Putri"/>
    <m/>
    <s v="Diskon 144rb"/>
  </r>
  <r>
    <s v="Kost Singgahsini Tanah Abang Tipe A Jakarta Pusat"/>
    <x v="9"/>
    <x v="186"/>
    <n v="14"/>
    <s v="4 x 3.5 meter"/>
    <s v="Tidak termasuk listrik"/>
    <n v="1825000"/>
    <s v="Rp1.825.000"/>
    <s v="4 x 3.5 meter; Tidak termasuk listrik; AC; Kasur; Meja; Lemari Baju; Kursi; K. Mandi Dalam; Kloset Jongkok; Shower; WiFi; Kulkas; R. Tamu; Penjaga Kos; R. Jemur; Parkir Mobil; Parkir Motor; Parkir Sepeda; Parkir Motor &amp; Sepeda"/>
    <n v="1735000"/>
    <s v="Rp1.735.000"/>
    <n v="0.17291666666666669"/>
    <d v="1899-12-30T04:09:00"/>
    <s v="Kos Putri"/>
    <m/>
    <s v="Diskon 90rb"/>
  </r>
  <r>
    <s v="Kost Singgahsini Tanah Abang Tipe C Jakarta Pusat"/>
    <x v="9"/>
    <x v="186"/>
    <n v="12"/>
    <s v="4 x 3 meter"/>
    <s v="Tidak termasuk listrik"/>
    <s v=""/>
    <s v="N/A"/>
    <s v="4 x 3 meter; Tidak termasuk listrik; AC; Kasur; Meja; Lemari Baju; Kursi; K. Mandi Dalam; Kloset Jongkok; Shower; WiFi; Kulkas; R. Tamu; Penjaga Kos; R. Jemur; Parkir Mobil; Parkir Motor; Parkir Sepeda; Parkir Motor &amp; Sepeda"/>
    <n v="1625000"/>
    <s v="Rp1.625.000"/>
    <n v="0.17083333333333331"/>
    <d v="1899-12-30T04:06:00"/>
    <s v="Kos Putri"/>
    <m/>
    <s v="Diskon 90rb"/>
  </r>
  <r>
    <s v="Kost Singgahsini Tang City Tipe A Tangerang"/>
    <x v="6"/>
    <x v="22"/>
    <n v="6"/>
    <s v="3 x 2 meter"/>
    <s v="Tidak termasuk listrik"/>
    <n v="1525000"/>
    <s v="Rp1.525.000"/>
    <s v="3 x 2 meter; Tidak termasuk listrik; AC; Kasur; Meja; Lemari Baju; Kursi; Bantal; Guling; Kloset Duduk; K. Mandi Luar; Wastafel; Shower; Air panas; WiFi; R. Cuci; Kulkas; R. Tamu; Penjaga Kos; Mesin Cuci; R. Makan; R. Jemur; Dapur; Dispenser; Parkir Mobil; Parkir Motor &amp; Sepeda"/>
    <n v="1450000"/>
    <s v="Rp1.450.000"/>
    <n v="0.17083333333333331"/>
    <d v="1899-12-30T04:06:00"/>
    <s v="Kos Putri"/>
    <m/>
    <s v="Diskon 75rb"/>
  </r>
  <r>
    <s v="Kost Singgahsini Tanjung Duren 33 Tipe A Grogol Jakarta Barat"/>
    <x v="3"/>
    <x v="82"/>
    <n v="8.75"/>
    <s v="2.5 x 3.5 meter"/>
    <s v="Tidak termasuk listrik"/>
    <n v="1895000"/>
    <s v="Rp1.895.000"/>
    <s v="2.5 x 3.5 meter; Tidak termasuk listrik; AC; Kasur; Meja; Lemari Baju; Kursi; Bantal; Jendela; K. Mandi Dalam; Kloset Duduk; Wastafel; Shower; WiFi; R. Cuci; Kulkas; R. Tamu; Laundry; R. Jemur; Dapur; K. Mandi Luar; Parkir Mobil; Parkir Motor; Parkir Sepeda; Parkir Motor &amp; Sepeda"/>
    <n v="1745400"/>
    <s v="Rp1.745.400"/>
    <n v="0.17083333333333331"/>
    <d v="1899-12-30T04:06:00"/>
    <s v="Kos Campur"/>
    <m/>
    <s v="Diskon 150rb"/>
  </r>
  <r>
    <s v="Kost Singgahsini Tanjung Duren 33 Tipe B Grogol Jakarta Barat"/>
    <x v="3"/>
    <x v="82"/>
    <n v="8.75"/>
    <s v="2.5 x 3.5 meter"/>
    <s v="Tidak termasuk listrik"/>
    <s v=""/>
    <s v="N/A"/>
    <s v="2.5 x 3.5 meter; Tidak termasuk listrik; AC; Kasur; Meja; Lemari Baju; Kursi; Bantal; Jendela; Kloset Duduk; K. Mandi Luar; Shower; WiFi; R. Cuci; Kulkas; R. Tamu; Laundry; R. Jemur; Dapur; Parkir Mobil; Parkir Motor; Parkir Sepeda; Parkir Motor &amp; Sepeda"/>
    <n v="1525000"/>
    <s v="Rp1.525.000"/>
    <n v="0.17083333333333331"/>
    <d v="1899-12-30T04:06:00"/>
    <s v="Kos Campur"/>
    <m/>
    <s v="Diskon 150rb"/>
  </r>
  <r>
    <s v="Kost Singgahsini Tanjung Duren 33 Tipe C Grogol Jakarta Barat"/>
    <x v="3"/>
    <x v="82"/>
    <n v="7"/>
    <s v="2.5 x 2.8 meter"/>
    <s v="Tidak termasuk listrik"/>
    <s v=""/>
    <s v="N/A"/>
    <s v="2.5 x 2.8 meter; Tidak termasuk listrik; AC; Kasur; Meja; Lemari Baju; Kursi; Bantal; Jendela; Kloset Duduk; K. Mandi Luar; Shower; WiFi; R. Cuci; Kulkas; R. Tamu; Laundry; R. Jemur; Dapur; Parkir Mobil; Parkir Motor; Parkir Sepeda; Parkir Motor &amp; Sepeda"/>
    <n v="1345000"/>
    <s v="Rp1.345.000"/>
    <n v="0.17083333333333331"/>
    <d v="1899-12-30T04:06:00"/>
    <s v="Kos Campur"/>
    <m/>
    <s v="Diskon 150rb"/>
  </r>
  <r>
    <s v="Kost Singgahsini Tanjung Duren 46 Tipe A Grogol Petamburan Jakarta Barat"/>
    <x v="3"/>
    <x v="13"/>
    <n v="8.64"/>
    <s v="3.6 x 2.4 meter"/>
    <s v="Tidak termasuk listrik"/>
    <n v="2275000"/>
    <s v="Rp2.275.000"/>
    <s v="3.6 x 2.4 meter; Tidak termasuk listrik; AC; Kasur; Meja; TV; Lemari Baju; Kursi; Bantal; Cermin; Guling; Jendela; K. Mandi Dalam; Kloset Duduk; Shower; Air panas; WiFi; Penjaga Kos; Dapur; K. Mandi Luar; CCTV; Parkir Motor; Parkir Sepeda"/>
    <n v="2162500"/>
    <s v="Rp2.162.500"/>
    <n v="0.17222222222222225"/>
    <d v="1899-12-30T04:08:00"/>
    <s v="Kos Campur"/>
    <m/>
    <s v="Diskon 113rb"/>
  </r>
  <r>
    <s v="Kost Singgahsini Tanjung Duren 46 Tipe B Grogol Petamburan Jakarta Barat"/>
    <x v="3"/>
    <x v="13"/>
    <n v="8.64"/>
    <s v="3.6 x 2.4 meter"/>
    <s v="Tidak termasuk listrik"/>
    <n v="2325000"/>
    <s v="Rp2.325.000"/>
    <s v="3.6 x 2.4 meter; Tidak termasuk listrik; AC; Kasur; Meja; TV; Lemari Baju; Kursi; Bantal; Cermin; Guling; Jendela; K. Mandi Dalam; Kloset Duduk; Shower; Air panas; WiFi; Penjaga Kos; Dapur; K. Mandi Luar; CCTV; Parkir Sepeda; Parkir Motor &amp; Sepeda"/>
    <n v="2210000"/>
    <s v="Rp2.210.000"/>
    <n v="0.17222222222222225"/>
    <d v="1899-12-30T04:08:00"/>
    <s v="Kos Campur"/>
    <m/>
    <s v="Diskon 115rb"/>
  </r>
  <r>
    <s v="Kost Singgahsini Taska 33 Tipe A Kelapa Gading Jakarta Utara"/>
    <x v="4"/>
    <x v="79"/>
    <n v="6.72"/>
    <s v="2.8 x 2.4 meter"/>
    <s v="Tidak termasuk listrik"/>
    <s v=""/>
    <s v="N/A"/>
    <s v="2.8 x 2.4 meter; Tidak termasuk listrik; AC; Kasur; Meja; Lemari Baju; Bantal; Guling; K. Mandi Dalam; Kloset Duduk; Wastafel; Shower; WiFi; R. Cuci; Mesin Cuci; R. Jemur; Dapur; CCTV; Parkir Motor; Parkir Sepeda; Parkir Motor &amp; Sepeda"/>
    <n v="1925000"/>
    <s v="Rp1.925.000"/>
    <n v="0.17291666666666669"/>
    <d v="1899-12-30T04:09:00"/>
    <s v="Kos Campur"/>
    <m/>
    <s v="Diskon 168rb"/>
  </r>
  <r>
    <s v="Kost Singgahsini Tawes 23 Rawamangun Tipe A Pulo Gadung Jakarta Timur"/>
    <x v="8"/>
    <x v="32"/>
    <n v="11.2"/>
    <s v="2.8 x 4 meter"/>
    <s v="Tidak termasuk listrik"/>
    <n v="2375000"/>
    <s v="Rp2.375.000"/>
    <s v="2.8 x 4 meter; Tidak termasuk listrik; AC; Kasur; Meja; Lemari Baju; Ventilasi; Kursi; Jendela; Bantal; Cermin; Guling; K. Mandi Dalam; Kloset Duduk; Wastafel; Shower; WiFi; R. Tamu; Penjaga Kos; R. Jemur; TV; Parkir Mobil; Parkir Motor &amp; Sepeda"/>
    <n v="2257500"/>
    <s v="Rp2.257.500"/>
    <n v="0.17013888888888887"/>
    <d v="1899-12-30T04:05:00"/>
    <s v="Kos Campur"/>
    <m/>
    <s v="Diskon 118rb"/>
  </r>
  <r>
    <s v="Kost Singgahsini Tawes 23 Rawamangun Tipe B Pulo Gadung Jakarta Timur"/>
    <x v="8"/>
    <x v="32"/>
    <n v="10.5"/>
    <s v="3 x 3.5 meter"/>
    <s v="Tidak termasuk listrik"/>
    <n v="2275000"/>
    <s v="Rp2.275.000"/>
    <s v="3 x 3.5 meter; Tidak termasuk listrik; AC; Kasur; Meja; TV; Lemari Baju; Kursi; K. Mandi Dalam; Kloset Duduk; Shower; Air panas; WiFi; R. Tamu; Penjaga Kos; R. Jemur; Parkir Mobil; Parkir Motor &amp; Sepeda"/>
    <n v="2162500"/>
    <s v="Rp2.162.500"/>
    <n v="0.17222222222222225"/>
    <d v="1899-12-30T04:08:00"/>
    <s v="Kos Campur"/>
    <m/>
    <s v="Diskon 113rb"/>
  </r>
  <r>
    <s v="Kost Singgahsini Tebet Barat 11 Tipe B Jakarta Selatan"/>
    <x v="5"/>
    <x v="189"/>
    <n v="6.6000000000000005"/>
    <s v="3 x 2.2 meter"/>
    <s v="Termasuk listrik (implied)"/>
    <s v=""/>
    <s v="N/A"/>
    <s v="3 x 2.2 meter; Termasuk listrik; Kasur; Meja; TV; Kursi; Cermin; Jendela; Bantal; Guling; Kloset Duduk; K. Mandi Luar; Ember mandi; Shower; WiFi; Kulkas; R. Tamu; Penjaga Kos; R. Makan; R. Jemur; Dapur; Jemuran; Parkir Motor &amp; Sepeda"/>
    <n v="1225000"/>
    <s v="Rp1.225.000"/>
    <n v="0.17291666666666669"/>
    <d v="1899-12-30T04:09:00"/>
    <s v="Kos Putra"/>
    <m/>
    <m/>
  </r>
  <r>
    <s v="Kost Singgahsini Tebet Barat II Tipe B Tebet Jakarta Selatan"/>
    <x v="5"/>
    <x v="189"/>
    <n v="6"/>
    <s v="3 x 2 meter"/>
    <s v="Tidak termasuk listrik"/>
    <n v="2225000"/>
    <s v="Rp2.225.000"/>
    <s v="3 x 2 meter; Tidak termasuk listrik; AC; Kasur; Meja; Meja Rias; Lemari Baju; Kursi; Bantal; Cermin; Guling; Jendela; Kloset Duduk; K. Mandi Luar; Shower; WiFi; Kulkas; Penjaga Kos; R. Makan; R. Jemur; Dapur; CCTV; Parkir Mobil; Parkir Motor; Parkir Sepeda"/>
    <n v="2005000"/>
    <s v="Rp2.005.000"/>
    <n v="0.17083333333333331"/>
    <d v="1899-12-30T04:06:00"/>
    <s v="Kos Putri"/>
    <m/>
    <s v="Diskon 220rb"/>
  </r>
  <r>
    <s v="Kost Singgahsini Teduh Tebet Timur Tipe A Jakarta Selatan"/>
    <x v="5"/>
    <x v="189"/>
    <n v="32"/>
    <s v="8 x 4 meter"/>
    <s v="Tidak termasuk listrik"/>
    <n v="3300000"/>
    <s v="Rp3.300.000"/>
    <s v="8 x 4 meter; Tidak termasuk listrik; AC; Kasur; Meja; TV; Lemari Baju; Kulkas; Kursi; Sofa; Bantal; Cermin; K. Mandi Dalam; Kloset Duduk; Shower; Air panas; WiFi; R. Tamu; R. Jemur; Dapur; Parkir Mobil; Parkir Motor; Parkir Sepeda"/>
    <n v="3135000"/>
    <s v="Rp3.135.000"/>
    <n v="0.17291666666666669"/>
    <d v="1899-12-30T04:09:00"/>
    <s v="Kos Putra"/>
    <m/>
    <s v="Diskon 165rb"/>
  </r>
  <r>
    <s v="Kost Singgahsini Teduh Tebet Timur Tipe B Jakarta Selatan"/>
    <x v="5"/>
    <x v="189"/>
    <n v="20"/>
    <s v="5 x 4 meter"/>
    <s v="Tidak termasuk listrik"/>
    <n v="2550000"/>
    <s v="Rp2.550.000"/>
    <s v="5 x 4 meter; Tidak termasuk listrik; AC; Kasur; Meja; Lemari Baju; Kursi; Bantal; Jendela; K. Mandi Dalam; Kloset Duduk; Shower; Air panas; WiFi; R. Tamu; R. Jemur; Dapur; Parkir Mobil; Parkir Motor; Parkir Sepeda"/>
    <n v="2422500"/>
    <s v="Rp2.422.500"/>
    <n v="0.17083333333333331"/>
    <d v="1899-12-30T04:06:00"/>
    <s v="Kos Putra"/>
    <m/>
    <s v="Diskon 128rb"/>
  </r>
  <r>
    <s v="Kost Singgahsini Teduh Tebet Timur Tipe C Jakarta Selatan"/>
    <x v="5"/>
    <x v="189"/>
    <n v="12.25"/>
    <s v="3.5 x 3.5 meter"/>
    <s v="Tidak termasuk listrik"/>
    <s v=""/>
    <s v="N/A"/>
    <s v="3.5 x 3.5 meter; Tidak termasuk listrik; AC; Kasur; Meja; Lemari Baju; Kursi; Bantal; Jendela; Kloset Duduk; K. Mandi Luar; Shower; Air panas; WiFi; R. Tamu; R. Jemur; Dapur; Parkir Mobil; Parkir Motor; Parkir Sepeda"/>
    <n v="2130000"/>
    <s v="Rp2.130.000"/>
    <n v="0.20833333333333334"/>
    <d v="1899-12-30T05:00:00"/>
    <s v="Kos Putra"/>
    <m/>
    <s v="Diskon 128rb"/>
  </r>
  <r>
    <s v="Kost Singgahsini Tegal Parang Tipe A Mampang Prapatan Jakarta Selatan"/>
    <x v="5"/>
    <x v="178"/>
    <n v="21"/>
    <s v="3 x 7 meter"/>
    <s v="Termasuk listrik (implied)"/>
    <s v=""/>
    <s v="N/A"/>
    <s v="3 x 7 meter; Termasuk listrik; AC; Kasur; Meja; TV; Lemari Baju; Kursi; Bantal; Cermin; Guling; Jendela; K. Mandi Dalam; Kloset Duduk; Wastafel; Shower; Air panas; WiFi; R. Cuci; Kulkas; R. Tamu; R. Jemur; Dapur; K. Mandi Luar; Parkir Mobil; Parkir Motor; Parkir Sepeda; Parkir Motor &amp; Sepeda"/>
    <n v="3875000"/>
    <s v="Rp3.875.000"/>
    <n v="0"/>
    <m/>
    <s v="Kos Putri"/>
    <m/>
    <m/>
  </r>
  <r>
    <s v="Kost Singgahsini Tegal Parang Tipe B Mampang Prapatan Jakarta Selatan"/>
    <x v="5"/>
    <x v="178"/>
    <n v="8.9599999999999991"/>
    <s v="2.8 x 3.2 meter"/>
    <s v="Termasuk listrik (implied)"/>
    <s v=""/>
    <s v="N/A"/>
    <s v="2.8 x 3.2 meter; Termasuk listrik; AC; Kasur; Meja; TV; Lemari Baju; Kursi; Bantal; Cermin; Guling; K. Mandi Dalam; Kloset Duduk; Shower; Air panas; Parkir Mobil; Parkir Motor; Parkir Sepeda; Parkir Motor &amp; Sepeda"/>
    <n v="2875000"/>
    <s v="Rp2.875.000"/>
    <n v="0.17291666666666669"/>
    <d v="1899-12-30T04:09:00"/>
    <s v="Kos Putri"/>
    <m/>
    <m/>
  </r>
  <r>
    <s v="Kost Singgahsini Tegal Parang Tipe C Mampang Prapatan Jakarta Selatan"/>
    <x v="5"/>
    <x v="178"/>
    <n v="12"/>
    <s v="3 x 4 meter"/>
    <s v="Termasuk listrik (implied)"/>
    <s v=""/>
    <s v="N/A"/>
    <s v="3 x 4 meter; Termasuk listrik; AC; Kasur; Meja; TV; Lemari Baju; Kursi; Bantal; Cermin; Guling; Jendela; Kloset Duduk; K. Mandi Luar; Wastafel; Shower; Air panas; WiFi; R. Cuci; Kulkas; R. Tamu; R. Jemur; Dapur; Parkir Mobil; Parkir Motor; Parkir Sepeda; Parkir Motor &amp; Sepeda"/>
    <n v="2475000"/>
    <s v="Rp2.475.000"/>
    <n v="0.17222222222222225"/>
    <d v="1899-12-30T04:08:00"/>
    <s v="Kos Putri"/>
    <m/>
    <m/>
  </r>
  <r>
    <s v="Kost Singgahsini The Bed Tipe A Serpong Tangerang Selatan"/>
    <x v="2"/>
    <x v="181"/>
    <n v="6"/>
    <s v="2.5 x 2.4 meter"/>
    <s v="Tidak termasuk listrik"/>
    <s v=""/>
    <s v="N/A"/>
    <s v="2.5 x 2.4 meter; Tidak termasuk listrik; AC; Kasur; Meja; Lemari Baju; Kursi; Wastafel; Bantal; Cermin; Kloset Duduk; Kloset Jongkok; K. Mandi Luar; WiFi; Kulkas; R. Tamu; Penjaga Kos; Dapur; Kartu Akses; CCTV; Parkir Motor &amp; Sepeda"/>
    <n v="1925000"/>
    <s v="Rp1.925.000"/>
    <n v="0.20833333333333334"/>
    <d v="1899-12-30T05:00:00"/>
    <s v="Kos Putri"/>
    <m/>
    <m/>
  </r>
  <r>
    <s v="Kost Singgahsini The Best Kost Tipe A Serpong Tangerang Selatan"/>
    <x v="2"/>
    <x v="18"/>
    <n v="15.600000000000001"/>
    <s v="3 x 5.2 meter"/>
    <s v="Tidak termasuk listrik"/>
    <n v="1800000"/>
    <s v="Rp1.800.000"/>
    <s v="3 x 5.2 meter; Tidak termasuk listrik; AC; Kasur; Meja; Lemari Baju; Kursi; Jendela; Wastafel; Bantal; Cermin; K. Mandi Dalam; Kloset Jongkok; Ember mandi; Shower; WiFi; Kulkas; Penjaga Kos; R. Tamu; Dapur; Kartu Akses; CCTV; Rooftop; Parkir Mobil; Parkir Motor &amp; Sepeda"/>
    <n v="1710000"/>
    <s v="Rp1.710.000"/>
    <n v="0.17222222222222225"/>
    <d v="1899-12-30T04:08:00"/>
    <s v="Kos Campur"/>
    <m/>
    <s v="Diskon 90rb"/>
  </r>
  <r>
    <s v="Kost Singgahsini The Best Kost Tipe C Serpong Tangerang Selatan"/>
    <x v="2"/>
    <x v="18"/>
    <n v="15.600000000000001"/>
    <s v="3 x 5.2 meter"/>
    <s v="Tidak termasuk listrik"/>
    <n v="1600000"/>
    <s v="Rp1.600.000"/>
    <s v="3 x 5.2 meter; Tidak termasuk listrik; AC; Kasur; Meja; Lemari Baju; Kursi; Jendela; Wastafel; Bantal; Cermin; K. Mandi Dalam; Kloset Jongkok; Ember mandi; Shower; WiFi; Kulkas; Penjaga Kos; R. Tamu; Dapur; Kartu Akses; CCTV; Rooftop; Parkir Mobil; Parkir Motor &amp; Sepeda"/>
    <n v="1520000"/>
    <s v="Rp1.520.000"/>
    <n v="0.17291666666666669"/>
    <d v="1899-12-30T04:09:00"/>
    <s v="Kos Campur"/>
    <m/>
    <s v="Diskon 80rb"/>
  </r>
  <r>
    <s v="Kost Singgahsini The Casa Tipe B Tebet Jakarta Selatan"/>
    <x v="5"/>
    <x v="64"/>
    <n v="16"/>
    <s v="4 x 4 meter"/>
    <s v="Tidak termasuk listrik"/>
    <n v="2475000"/>
    <s v="Rp2.475.000"/>
    <s v="4 x 4 meter; Tidak termasuk listrik; AC; Kasur; Meja; TV; Lemari Baju; Kulkas; Ventilasi; Kursi; Bantal; Cermin; K. Mandi Dalam; Kloset Duduk; Wastafel; Shower; WiFi; R. Cuci; R. Tamu; R. Jemur; Dapur; Jemuran; Parkir Mobil"/>
    <n v="2352500"/>
    <s v="Rp2.352.500"/>
    <n v="0.17013888888888887"/>
    <d v="1899-12-30T04:05:00"/>
    <s v="Kos Putri"/>
    <m/>
    <s v="Diskon 123rb"/>
  </r>
  <r>
    <s v="Kost Singgahsini The Hartonos Rawasari Tipe A Cempaka Putih Jakarta Pusat"/>
    <x v="9"/>
    <x v="51"/>
    <n v="12.8"/>
    <s v="4 x 3.2 meter"/>
    <s v="Tidak termasuk listrik"/>
    <n v="1900000"/>
    <s v="Rp1.900.000"/>
    <s v="4 x 3.2 meter; Tidak termasuk listrik; AC; Kasur; Meja; Lemari Baju; Kursi; Jendela; Wastafel; Bantal; Cermin; Guling; K. Mandi Dalam; Kloset Duduk; Shower; Air panas; WiFi; Kulkas; Penjaga Kos; Dapur; Parkir Mobil; Parkir Motor &amp; Sepeda"/>
    <n v="1805000"/>
    <s v="Rp1.805.000"/>
    <n v="0.17083333333333331"/>
    <d v="1899-12-30T04:06:00"/>
    <s v="Kos Campur"/>
    <m/>
    <s v="Diskon 95rb"/>
  </r>
  <r>
    <s v="Kost Singgahsini Theresia Tipe A Kelapa Gading Jakarta Utara"/>
    <x v="4"/>
    <x v="111"/>
    <n v="9"/>
    <s v="2.5 x 3.6 meter"/>
    <s v="Termasuk listrik (implied)"/>
    <n v="2325000"/>
    <s v="Rp2.325.000"/>
    <s v="2.5 x 3.6 meter; Termasuk listrik; AC; Kasur; Lemari Baju; Bantal; Cermin; Guling; K. Mandi Dalam; Kloset Duduk; Wastafel; Shower; Air panas; WiFi; Kulkas; R. Jemur; Dapur; K. Mandi Luar; CCTV; Parkir Mobil; Parkir Motor"/>
    <n v="2125000"/>
    <s v="Rp2.125.000"/>
    <n v="0.17291666666666669"/>
    <d v="1899-12-30T04:09:00"/>
    <s v="Kos Campur"/>
    <m/>
    <s v="Diskon 200rb"/>
  </r>
  <r>
    <s v="Kost Singgahsini Theresia Tipe B Kelapa Gading Jakarta Utara"/>
    <x v="4"/>
    <x v="111"/>
    <n v="7.5"/>
    <s v="2.5 x 3 meter"/>
    <s v="Termasuk listrik (implied)"/>
    <n v="2125000"/>
    <s v="Rp2.125.000"/>
    <s v="2.5 x 3 meter; Termasuk listrik; AC; Kasur; Lemari Baju; Bantal; Cermin; Guling; K. Mandi Dalam; Kloset Duduk; Wastafel; Shower; Air panas; WiFi; Kulkas; R. Jemur; Dapur; K. Mandi Luar; CCTV; Parkir Mobil; Parkir Motor"/>
    <n v="1945000"/>
    <s v="Rp1.945.000"/>
    <n v="0.17291666666666669"/>
    <d v="1899-12-30T04:09:00"/>
    <s v="Kos Campur"/>
    <m/>
    <s v="Diskon 180rb"/>
  </r>
  <r>
    <s v="Kost Singgahsini Theresia Tipe C Kelapa Gading Jakarta Utara"/>
    <x v="4"/>
    <x v="111"/>
    <n v="6.25"/>
    <s v="2.5 x 2.5 meter"/>
    <s v="Termasuk listrik (implied)"/>
    <n v="1875000"/>
    <s v="Rp1.875.000"/>
    <s v="2.5 x 2.5 meter; Termasuk listrik; AC; Kasur; Lemari Baju; Bantal; Guling; Kloset Duduk; K. Mandi Luar; Shower; WiFi; Kulkas; R. Jemur; Dapur; CCTV; Parkir Mobil; Parkir Motor"/>
    <n v="1751000"/>
    <s v="Rp1.751.000"/>
    <n v="0.17222222222222225"/>
    <d v="1899-12-30T04:08:00"/>
    <s v="Kos Campur"/>
    <m/>
    <s v="Diskon 124rb"/>
  </r>
  <r>
    <s v="Kost Singgahsini Tin Pisangan Baru Timur Tipe A Matraman Jakarta Timur"/>
    <x v="8"/>
    <x v="72"/>
    <n v="6.25"/>
    <s v="2.5 x 2.5 meter"/>
    <s v="Termasuk listrik (implied)"/>
    <n v="1625000"/>
    <s v="Rp1.625.000"/>
    <s v="2.5 x 2.5 meter; Termasuk listrik; AC; Kasur; Meja; Lemari Baju; Bantal; Cermin; Jendela; K. Mandi Dalam; Kloset Duduk; WiFi; R. Jemur; Parkir Mobil; Parkir Motor; Parkir Sepeda; Parkir Motor &amp; Sepeda"/>
    <n v="1545000"/>
    <s v="Rp1.545.000"/>
    <n v="0.17291666666666669"/>
    <d v="1899-12-30T04:09:00"/>
    <s v="Kos Campur"/>
    <m/>
    <s v="Diskon 80rb"/>
  </r>
  <r>
    <s v="Kost Singgahsini Tin Pisangan Baru Timur Tipe B Matraman Jakarta Timur"/>
    <x v="8"/>
    <x v="72"/>
    <n v="6.25"/>
    <s v="2.5 x 2.5 meter"/>
    <s v="Termasuk listrik (implied)"/>
    <n v="1225000"/>
    <s v="Rp1.225.000"/>
    <s v="2.5 x 2.5 meter; Termasuk listrik; Kasur; Meja; Lemari Baju; Ventilasi; Kipas Angin; Bantal; K. Mandi Dalam; Kloset Duduk; WiFi; R. Jemur; Parkir Mobil; Parkir Motor; Parkir Sepeda; Parkir Motor &amp; Sepeda"/>
    <n v="1129000"/>
    <s v="Rp1.129.000"/>
    <n v="0.17083333333333331"/>
    <d v="1899-12-30T04:06:00"/>
    <s v="Kos Campur"/>
    <m/>
    <s v="Diskon 96rb"/>
  </r>
  <r>
    <s v="Kost Singgahsini Tin Pisangan Baru Timur Tipe C Matraman Jakarta Timur"/>
    <x v="8"/>
    <x v="72"/>
    <n v="6.25"/>
    <s v="2.5 x 2.5 meter"/>
    <s v="Termasuk listrik (implied)"/>
    <n v="1125000"/>
    <s v="Rp1.125.000"/>
    <s v="2.5 x 2.5 meter; Termasuk listrik; Kasur; Meja; Lemari Baju; Ventilasi; Kipas Angin; Bantal; Kloset Duduk; K. Mandi Luar; WiFi; R. Jemur; Parkir Mobil; Parkir Motor; Parkir Sepeda; Parkir Motor &amp; Sepeda"/>
    <n v="1037000"/>
    <s v="Rp1.037.000"/>
    <n v="0.17291666666666669"/>
    <d v="1899-12-30T04:09:00"/>
    <s v="Kos Campur"/>
    <m/>
    <s v="Diskon 88rb"/>
  </r>
  <r>
    <s v="Kost Singgahsini Tin Pisangan Baru Timur Tipe D Matraman Jakarta Timur"/>
    <x v="8"/>
    <x v="72"/>
    <n v="12"/>
    <s v="3 x 4 meter"/>
    <s v="Termasuk listrik (implied)"/>
    <n v="1725000"/>
    <s v="Rp1.725.000"/>
    <s v="3 x 4 meter; Termasuk listrik; AC; Kasur; Meja; Lemari Baju; Bantal; Cermin; Jendela; K. Mandi Dalam; Kloset Duduk; WiFi; R. Jemur; Parkir Motor &amp; Sepeda"/>
    <n v="1640000"/>
    <s v="Rp1.640.000"/>
    <n v="0.17291666666666669"/>
    <d v="1899-12-30T04:09:00"/>
    <s v="Kos Campur"/>
    <m/>
    <s v="Diskon 85rb"/>
  </r>
  <r>
    <s v="Kost Singgahsini Tobasa 3 Tipe B Pulo Gadung Jakarta Timur"/>
    <x v="8"/>
    <x v="32"/>
    <n v="10.8"/>
    <s v="3.6 x 3 meter"/>
    <s v="Termasuk listrik (implied)"/>
    <n v="1900000"/>
    <s v="Rp1.900.000"/>
    <s v="3.6 x 3 meter; Termasuk listrik; AC; Kasur; Meja; Lemari Baju; Ventilasi; Bantal; Cermin; Jendela; K. Mandi Dalam; Kloset Duduk; Shower; WiFi; Kulkas; R. Tamu; Mesin Cuci; Penjaga Kos; Dapur; Dispenser; Parkir Motor &amp; Sepeda"/>
    <n v="1710000"/>
    <s v="Rp1.710.000"/>
    <n v="0.17222222222222225"/>
    <d v="1899-12-30T04:08:00"/>
    <s v="Kos Campur"/>
    <m/>
    <s v="Diskon 190rb"/>
  </r>
  <r>
    <s v="Kost Singgahsini Tobasa 3 Tipe C Pulo Gadung Jakarta Timur"/>
    <x v="8"/>
    <x v="32"/>
    <n v="10.8"/>
    <s v="3.6 x 3 meter"/>
    <s v="Tidak termasuk listrik"/>
    <n v="1800000"/>
    <s v="Rp1.800.000"/>
    <s v="3.6 x 3 meter; Tidak termasuk listrik; AC; Kasur; Meja; Lemari Baju; Ventilasi; Kursi; Bantal; Jendela; K. Mandi Dalam; Kloset Duduk; Shower; WiFi; Kulkas; R. Tamu; Mesin Cuci; Penjaga Kos; Dapur; Dispenser; Parkir Motor &amp; Sepeda"/>
    <n v="1620000"/>
    <s v="Rp1.620.000"/>
    <n v="0"/>
    <m/>
    <s v="Kos Campur"/>
    <m/>
    <s v="Diskon 180rb"/>
  </r>
  <r>
    <s v="Kost Singgahsini Tobasa 3 Tipe D Pulo Gadung Jakarta Timur"/>
    <x v="8"/>
    <x v="32"/>
    <n v="12.92"/>
    <s v="3.8 x 3.4 meter"/>
    <s v="Termasuk listrik (implied)"/>
    <n v="1700000"/>
    <s v="Rp1.700.000"/>
    <s v="3.8 x 3.4 meter; Termasuk listrik; AC; Kasur; Meja; Lemari Baju; Ventilasi; Kursi; Bantal; Cermin; Jendela; K. Mandi Dalam; Kloset Duduk; Shower; WiFi; Kulkas; R. Tamu; Mesin Cuci; Penjaga Kos; Dapur; Dispenser; Parkir Motor &amp; Sepeda"/>
    <n v="1530000"/>
    <s v="Rp1.530.000"/>
    <n v="0.17291666666666669"/>
    <d v="1899-12-30T04:09:00"/>
    <s v="Kos Campur"/>
    <m/>
    <s v="Diskon 170rb"/>
  </r>
  <r>
    <s v="Kost Singgahsini Tobasa 3 Tipe E Pulo Gadung Jakarta Timur"/>
    <x v="8"/>
    <x v="32"/>
    <n v="10.8"/>
    <s v="3.6 x 3 meter"/>
    <s v="Tidak termasuk listrik"/>
    <n v="1500000"/>
    <s v="Rp1.500.000"/>
    <s v="3.6 x 3 meter; Tidak termasuk listrik; AC; Kasur; Meja; Lemari Baju; Ventilasi; Kursi; Bantal; K. Mandi Dalam; Kloset Duduk; Shower; WiFi; Kulkas; R. Tamu; Mesin Cuci; Penjaga Kos; Dapur; Dispenser; Parkir Motor &amp; Sepeda"/>
    <n v="1350000"/>
    <s v="Rp1.350.000"/>
    <n v="0.17291666666666669"/>
    <d v="1899-12-30T04:09:00"/>
    <s v="Kos Campur"/>
    <m/>
    <s v="Diskon 150rb"/>
  </r>
  <r>
    <s v="Kost Singgahsini Tobasa 3 Tipe F Pulo Gadung Jakarta Timur"/>
    <x v="8"/>
    <x v="32"/>
    <n v="10.8"/>
    <s v="3.6 x 3 meter"/>
    <s v="Termasuk listrik (implied)"/>
    <n v="1600000"/>
    <s v="Rp1.600.000"/>
    <s v="3.6 x 3 meter; Termasuk listrik; AC; Kasur; Meja; Lemari Baju; Kursi; Bantal; Guling; Jendela; K. Mandi Dalam; Kloset Duduk; Shower; WiFi; Kulkas; R. Tamu; Mesin Cuci; Penjaga Kos; Dapur; Dispenser; Parkir Motor &amp; Sepeda"/>
    <n v="1440000"/>
    <s v="Rp1.440.000"/>
    <n v="0.12847222222222224"/>
    <d v="1899-12-30T03:05:00"/>
    <s v="Kos Campur"/>
    <m/>
    <s v="Diskon 160rb"/>
  </r>
  <r>
    <s v="Kost Singgahsini Torrycoffe Homes Tipe A Grogol Petamburan Jakarta Barat"/>
    <x v="3"/>
    <x v="13"/>
    <n v="6.6000000000000005"/>
    <s v="3 x 2.2 meter"/>
    <s v="Tidak termasuk listrik"/>
    <s v=""/>
    <s v="N/A"/>
    <s v="3 x 2.2 meter; Tidak termasuk listrik; AC; Kasur; Meja; Lemari Baju; Kursi; Bantal; Cermin; Guling; Jendela; Kloset Duduk; K. Mandi Luar; Shower; WiFi; Penjaga Kos; Dapur; CCTV; Parkir Motor &amp; Sepeda"/>
    <n v="1925000"/>
    <s v="Rp1.925.000"/>
    <n v="0.17291666666666669"/>
    <d v="1899-12-30T04:09:00"/>
    <s v="Kos Campur"/>
    <m/>
    <s v="Diskon 144rb"/>
  </r>
  <r>
    <s v="Kost Singgahsini Tressa Tipe A Kelapa Gading Jakarta Utara"/>
    <x v="4"/>
    <x v="111"/>
    <n v="10.5"/>
    <s v="3.5 x 3 meter"/>
    <s v="Tidak termasuk listrik"/>
    <n v="2005000"/>
    <s v="Rp2.005.000"/>
    <s v="3.5 x 3 meter; Tidak termasuk listrik; AC; Kasur; Meja; Lemari Baju; Ventilasi; Kursi; Bantal; Cermin; K. Mandi Dalam; Kloset Duduk; Wastafel; Shower; Air panas; WiFi; Kulkas; Mesin Cuci; Penjaga Kos; R. Makan; R. Jemur; Dapur; Dispenser; CCTV; Rooftop; Parkir Motor &amp; Sepeda"/>
    <n v="1807000"/>
    <s v="Rp1.807.000"/>
    <n v="0.17083333333333331"/>
    <d v="1899-12-30T04:06:00"/>
    <s v="Kos Putri"/>
    <m/>
    <s v="Diskon 198rb"/>
  </r>
  <r>
    <s v="Kost Singgahsini Triani 32 Tipe A Lenteng Agung Jakarta Selatan"/>
    <x v="5"/>
    <x v="40"/>
    <n v="9"/>
    <s v="3 x 3 meter"/>
    <s v="Tidak termasuk listrik"/>
    <s v=""/>
    <s v="N/A"/>
    <s v="3 x 3 meter; Tidak termasuk listrik; AC; Kasur; Lemari Baju; Ventilasi; Bantal; Jendela; K. Mandi Dalam; Kloset Duduk; Shower; WiFi; Penjaga Kos; Dapur; Dispenser; Parkir Motor; Parkir Sepeda; Parkir Motor &amp; Sepeda"/>
    <n v="1425000"/>
    <s v="Rp1.425.000"/>
    <n v="0.17222222222222225"/>
    <d v="1899-12-30T04:08:00"/>
    <s v="Kos Putri"/>
    <m/>
    <s v="Diskon 112rb"/>
  </r>
  <r>
    <s v="Kost Singgahsini Trimur Tanjung Duren Tipe A Grogol Petamburan Jakarta Barat"/>
    <x v="3"/>
    <x v="13"/>
    <n v="8"/>
    <s v="4 x 2 meter"/>
    <s v="Tidak termasuk listrik"/>
    <n v="1875000"/>
    <s v="Rp1.875.000"/>
    <s v="4 x 2 meter; Tidak termasuk listrik; AC; Kasur; Meja; Lemari Baju; Kursi; Bantal; Cermin; K. Mandi Dalam; Kloset Duduk; Shower; Air panas; WiFi; Kulkas; Penjaga Kos; Dapur; CCTV; Rooftop; Parkir Motor &amp; Sepeda"/>
    <n v="1727000"/>
    <s v="Rp1.727.000"/>
    <n v="0.20833333333333334"/>
    <d v="1899-12-30T05:00:00"/>
    <s v="Kos Campur"/>
    <m/>
    <s v="Diskon 148rb"/>
  </r>
  <r>
    <s v="Kost Singgahsini Trimur Tanjung Duren Tipe B Grogol Petamburan Jakarta Barat"/>
    <x v="3"/>
    <x v="13"/>
    <n v="8"/>
    <s v="4 x 2 meter"/>
    <s v="Tidak termasuk listrik"/>
    <n v="1825000"/>
    <s v="Rp1.825.000"/>
    <s v="4 x 2 meter; Tidak termasuk listrik; AC; Kasur; Meja; Lemari Baju; Kursi; Cermin; Jendela; K. Mandi Dalam; Kloset Duduk; Shower; WiFi; Kulkas; Penjaga Kos; Dapur; CCTV; Rooftop; Parkir Motor &amp; Sepeda"/>
    <n v="1681000"/>
    <s v="Rp1.681.000"/>
    <n v="0.17013888888888887"/>
    <d v="1899-12-30T04:05:00"/>
    <s v="Kos Campur"/>
    <m/>
    <s v="Diskon 144rb"/>
  </r>
  <r>
    <s v="Kost Singgahsini Tutul 402 Pondok Bambu Tipe A Duren Sawit Jakarta Timur"/>
    <x v="8"/>
    <x v="39"/>
    <n v="16"/>
    <s v="4 x 4 meter"/>
    <s v="Tidak termasuk listrik"/>
    <s v=""/>
    <s v="N/A"/>
    <s v="4 x 4 meter; Tidak termasuk listrik; AC; Kasur; Meja; Lemari Baju; Kursi; Bantal; Cermin; Jendela; K. Mandi Dalam; Kloset Duduk; Shower; WiFi; Kulkas; Penjaga Kos; R. Jemur; Dapur; Dispenser; Jemuran; Parkir Motor &amp; Sepeda"/>
    <n v="1875000"/>
    <s v="Rp1.875.000"/>
    <n v="0.16666666666666666"/>
    <d v="1899-12-30T04:00:00"/>
    <s v="Kos Putri"/>
    <m/>
    <m/>
  </r>
  <r>
    <s v="Kost Singgahsini Tutul 402 Pondok Bambu Tipe B Duren Sawit Jakarta Timur"/>
    <x v="8"/>
    <x v="39"/>
    <n v="10.5"/>
    <s v="3 x 3.5 meter"/>
    <s v="Tidak termasuk listrik"/>
    <s v=""/>
    <s v="N/A"/>
    <s v="3 x 3.5 meter; Tidak termasuk listrik; AC; Kasur; Meja; Lemari Baju; Kursi; Bantal; Cermin; Jendela; K. Mandi Dalam; Kloset Duduk; Shower; WiFi; Kulkas; Penjaga Kos; R. Jemur; Dapur; Dispenser; Jemuran; Parkir Motor &amp; Sepeda"/>
    <n v="1775000"/>
    <s v="Rp1.775.000"/>
    <n v="0.17291666666666669"/>
    <d v="1899-12-30T04:09:00"/>
    <s v="Kos Putri"/>
    <m/>
    <m/>
  </r>
  <r>
    <s v="Kost Singgahsini Tutul 402 Pondok Bambu Tipe C Duren Sawit Jakarta Timur"/>
    <x v="8"/>
    <x v="39"/>
    <n v="9"/>
    <s v="3 x 3 meter"/>
    <s v="Tidak termasuk listrik"/>
    <s v=""/>
    <s v="N/A"/>
    <s v="3 x 3 meter; Tidak termasuk listrik; AC; Kasur; Meja; Lemari Baju; Kursi; Bantal; Cermin; Jendela; K. Mandi Dalam; Kloset Duduk; Shower; WiFi; Kulkas; Penjaga Kos; R. Jemur; Dapur; Dispenser; Jemuran; Parkir Motor &amp; Sepeda"/>
    <n v="1675000"/>
    <s v="Rp1.675.000"/>
    <n v="0.17291666666666669"/>
    <d v="1899-12-30T04:09:00"/>
    <s v="Kos Putri"/>
    <m/>
    <m/>
  </r>
  <r>
    <s v="Kost Singgahsini UI Raisa Tipe A Beji Depok"/>
    <x v="1"/>
    <x v="15"/>
    <n v="12"/>
    <s v="3 x 4 meter"/>
    <s v="Tidak termasuk listrik"/>
    <n v="1625000"/>
    <s v="Rp1.625.000"/>
    <s v="3 x 4 meter; Tidak termasuk listrik; AC; Kasur; Meja; Lemari Baju; Kursi; Bantal; Cermin; Guling; Jendela; K. Mandi Dalam; Kloset Duduk; Shower; WiFi; Kulkas; R. Jemur; Dapur; Dispenser; CCTV; Parkir Motor; Parkir Sepeda"/>
    <n v="1465000"/>
    <s v="Rp1.465.000"/>
    <n v="0.17222222222222225"/>
    <d v="1899-12-30T04:08:00"/>
    <s v="Kos Putri"/>
    <m/>
    <s v="Diskon 160rb"/>
  </r>
  <r>
    <s v="Kost Singgahsini Ulujami 5 Tipe A Pesanggrahan Jakarta Selatan"/>
    <x v="5"/>
    <x v="187"/>
    <n v="12"/>
    <s v="3 x 4 meter"/>
    <s v="Tidak termasuk listrik"/>
    <n v="2275000"/>
    <s v="Rp2.275.000"/>
    <s v="3 x 4 meter; Tidak termasuk listrik; AC; Kasur; Meja; Lemari Baju; Kursi; Bantal; Cermin; Jendela; K. Mandi Dalam; Kloset Duduk; Ember mandi; Shower; WiFi; Kulkas; R. Tamu; Penjaga Kos; R. Makan; R. Jemur; Dapur; Dispenser; K. Mandi Luar; Jemuran; Parkir Mobil; Parkir Motor; Parkir Sepeda"/>
    <n v="2162500"/>
    <s v="Rp2.162.500"/>
    <n v="0.17222222222222225"/>
    <d v="1899-12-30T04:08:00"/>
    <s v="Kos Putri"/>
    <m/>
    <s v="Diskon 113rb"/>
  </r>
  <r>
    <s v="Kost Singgahsini Umi Abadi 6 Tipe A Larangan Tangerang"/>
    <x v="6"/>
    <x v="74"/>
    <n v="9"/>
    <s v="3 x 3 meter"/>
    <s v="Tidak termasuk listrik"/>
    <n v="1925000"/>
    <s v="Rp1.925.000"/>
    <s v="3 x 3 meter; Tidak termasuk listrik; AC; Kasur; Meja; Lemari Baju; Ventilasi; Kursi; Bantal; Cermin; Jendela; K. Mandi Dalam; Kloset Duduk; Shower"/>
    <n v="1773000"/>
    <s v="Rp1.773.000"/>
    <n v="0.17083333333333331"/>
    <d v="1899-12-30T04:06:00"/>
    <s v="Kos Putri"/>
    <m/>
    <s v="Diskon 152rb"/>
  </r>
  <r>
    <s v="Kost Singgahsini Umi Abadi 6 Tipe B Larangan Tangerang"/>
    <x v="6"/>
    <x v="74"/>
    <n v="9"/>
    <s v="3 x 3 meter"/>
    <s v="Tidak termasuk listrik"/>
    <n v="1495000"/>
    <s v="Rp1.495.000"/>
    <s v="3 x 3 meter; Tidak termasuk listrik; AC; Kasur; Meja; Lemari Baju; Ventilasi; Kursi; Bantal; Cermin; Jendela; K. Mandi Dalam; Kloset Duduk; Shower; WiFi; Kulkas; Penjaga Kos; R. Makan; R. Jemur; Dapur; Dispenser; CCTV; Jemuran; Parkir Motor; Parkir Sepeda"/>
    <n v="1421500"/>
    <s v="Rp1.421.500"/>
    <n v="0.17291666666666669"/>
    <d v="1899-12-30T04:09:00"/>
    <s v="Kos Putri"/>
    <m/>
    <s v="Diskon 74rb"/>
  </r>
  <r>
    <s v="Kost Singgahsini Umi Abadi 6 Tipe C Larangan Tangerang"/>
    <x v="6"/>
    <x v="74"/>
    <n v="9"/>
    <s v="3 x 3 meter"/>
    <s v="Tidak termasuk listrik"/>
    <n v="1425000"/>
    <s v="Rp1.425.000"/>
    <s v="3 x 3 meter; Tidak termasuk listrik; AC; Kasur; Meja; Lemari Baju; Ventilasi; Kursi; Bantal; Cermin; Jendela; K. Mandi Dalam; Kloset Duduk; Shower; WiFi; Kulkas; Penjaga Kos; R. Makan; R. Jemur; Dapur; Dispenser; CCTV; Jemuran; Parkir Motor; Parkir Sepeda"/>
    <n v="1355000"/>
    <s v="Rp1.355.000"/>
    <n v="0.20833333333333334"/>
    <d v="1899-12-30T05:00:00"/>
    <s v="Kos Putri"/>
    <m/>
    <s v="Diskon 70rb"/>
  </r>
  <r>
    <s v="Kost Singgahsini Ummi Residence Tipe C Pasar Minggu Jakarta Selatan"/>
    <x v="5"/>
    <x v="43"/>
    <n v="17.28"/>
    <s v="3.6 x 4.8 meter"/>
    <s v="Tidak termasuk listrik"/>
    <n v="3500000"/>
    <s v="Rp3.500.000"/>
    <s v="3.6 x 4.8 meter; Tidak termasuk listrik; AC; Kasur; Meja; TV; Lemari Baju; Kursi; Bantal; Cermin; Guling; Jendela; K. Mandi Dalam; Kloset Duduk; Wastafel; Shower; Air panas; WiFi; Kulkas; R. Tamu; Mesin Cuci; R. Makan; R. Jemur; Dapur; Dispenser; K. Mandi Luar; Parkir Mobil; Parkir Sepeda"/>
    <n v="3150000"/>
    <s v="Rp3.150.000"/>
    <n v="0.17291666666666669"/>
    <d v="1899-12-30T04:09:00"/>
    <s v="Kos Campur"/>
    <m/>
    <s v="Diskon 350rb"/>
  </r>
  <r>
    <s v="Kost Singgahsini Ummi Residence Tipe D Pasar Minggu Jakarta Selatan"/>
    <x v="5"/>
    <x v="43"/>
    <n v="15.2"/>
    <s v="4 x 3.8 meter"/>
    <s v="Tidak termasuk listrik"/>
    <n v="2900000"/>
    <s v="Rp2.900.000"/>
    <s v="4 x 3.8 meter; Tidak termasuk listrik; AC; Kasur; Meja; TV; Lemari Baju; Kursi; Bantal; Cermin; Guling; K. Mandi Dalam; Kloset Duduk; Wastafel; Shower; Air panas; WiFi; Kulkas; R. Tamu; Mesin Cuci; R. Makan; R. Jemur; Dapur; Dispenser; K. Mandi Luar; Parkir Mobil; Parkir Sepeda"/>
    <n v="2755000"/>
    <s v="Rp2.755.000"/>
    <n v="0.17291666666666669"/>
    <d v="1899-12-30T04:09:00"/>
    <s v="Kos Campur"/>
    <m/>
    <s v="Diskon 145rb"/>
  </r>
  <r>
    <s v="Kost Singgahsini UNTAR S Parman Tipe A Tomang Jakarta Barat"/>
    <x v="3"/>
    <x v="82"/>
    <n v="9"/>
    <s v="3 x 3 meter"/>
    <s v="Tidak termasuk listrik"/>
    <s v=""/>
    <s v="N/A"/>
    <s v="3 x 3 meter; Tidak termasuk listrik; AC; Kasur; Meja; Lemari Baju; Kursi; Bantal; Jendela; K. Mandi Dalam; Kloset Duduk; Wastafel; Shower; WiFi; R. Tamu; Dapur; Dispenser; TV; Locker; K. Mandi Luar; Parkir Mobil; Parkir Motor; Parkir Sepeda"/>
    <n v="2900000"/>
    <s v="Rp2.900.000"/>
    <n v="0.16944444444444443"/>
    <d v="1899-12-30T04:04:00"/>
    <s v="Kos Campur"/>
    <m/>
    <s v="Diskon 240rb"/>
  </r>
  <r>
    <s v="Kost Singgahsini UNTAR S Parman Tipe B Tomang Jakarta Barat"/>
    <x v="3"/>
    <x v="82"/>
    <n v="12"/>
    <s v="4 x 3 meter"/>
    <s v="Tidak termasuk listrik"/>
    <s v=""/>
    <s v="N/A"/>
    <s v="4 x 3 meter; Tidak termasuk listrik; AC; Kasur; Meja; Lemari Baju; Kursi; Bantal; Guling; Jendela; K. Mandi Dalam; Kloset Duduk; Wastafel; Shower; WiFi; Kulkas; R. Tamu; Dapur; Dispenser; TV; Locker; K. Mandi Luar; Parkir Mobil; Parkir Motor; Parkir Sepeda"/>
    <n v="2400000"/>
    <s v="Rp2.400.000"/>
    <n v="0.17083333333333331"/>
    <d v="1899-12-30T04:06:00"/>
    <s v="Kos Campur"/>
    <m/>
    <s v="Diskon 240rb"/>
  </r>
  <r>
    <s v="Kost Singgahsini Vanela 15 Tipe A Menteng Jakarta Pusat"/>
    <x v="9"/>
    <x v="127"/>
    <n v="10.5"/>
    <s v="3 x 3.5 meter"/>
    <s v="Tidak termasuk listrik"/>
    <s v=""/>
    <s v="N/A"/>
    <s v="3 x 3.5 meter; Tidak termasuk listrik; AC; Kasur; Meja; Dispenser; TV; Lemari Baju; Kulkas; Ventilasi; Kursi; Bantal; K. Mandi Dalam; Kloset Duduk; Wastafel; Shower; Air panas; WiFi; R. Cuci; Laundry; R. Jemur; Dapur; CCTV; Parkir Mobil; Parkir Motor; Parkir Sepeda; Parkir Motor &amp; Sepeda"/>
    <n v="3205000"/>
    <s v="Rp3.205.000"/>
    <n v="0.17222222222222225"/>
    <d v="1899-12-30T04:08:00"/>
    <s v="Kos Campur"/>
    <m/>
    <m/>
  </r>
  <r>
    <s v="Kost Singgahsini Vanela 15 Tipe B Menteng Jakarta Pusat"/>
    <x v="9"/>
    <x v="127"/>
    <n v="10.5"/>
    <s v="3 x 3.5 meter"/>
    <s v="Tidak termasuk listrik"/>
    <s v=""/>
    <s v="N/A"/>
    <s v="3 x 3.5 meter; Tidak termasuk listrik; AC; Kasur; Meja; Dispenser; TV; Lemari Baju; Kulkas; Ventilasi; Kursi; Bantal; K. Mandi Dalam; Kloset Duduk; Wastafel; Shower; Air panas; WiFi; R. Cuci; Laundry; R. Jemur; Dapur; CCTV; Parkir Mobil; Parkir Motor; Parkir Sepeda; Parkir Motor &amp; Sepeda"/>
    <n v="3095000"/>
    <s v="Rp3.095.000"/>
    <n v="0.17083333333333331"/>
    <d v="1899-12-30T04:06:00"/>
    <s v="Kos Campur"/>
    <m/>
    <m/>
  </r>
  <r>
    <s v="Kost Singgahsini Vanela 15 Tipe C Menteng Jakarta Pusat"/>
    <x v="9"/>
    <x v="127"/>
    <n v="10.5"/>
    <s v="3 x 3.5 meter"/>
    <s v="Tidak termasuk listrik"/>
    <s v=""/>
    <s v="N/A"/>
    <s v="3 x 3.5 meter; Tidak termasuk listrik; AC; Kasur; Meja; Dispenser; TV; Lemari Baju; Kulkas; Ventilasi; Kursi; Bantal; K. Mandi Dalam; Kloset Duduk; Wastafel; Shower; Air panas; WiFi; R. Cuci; Laundry; R. Jemur; Dapur; CCTV; Parkir Mobil; Parkir Motor; Parkir Sepeda; Parkir Motor &amp; Sepeda"/>
    <n v="2875000"/>
    <s v="Rp2.875.000"/>
    <n v="0.17083333333333331"/>
    <d v="1899-12-30T04:06:00"/>
    <s v="Kos Campur"/>
    <m/>
    <m/>
  </r>
  <r>
    <s v="Kost Singgahsini Vanela 8 Benhil Tipe A Tanah Abang Jakarta Pusat"/>
    <x v="9"/>
    <x v="42"/>
    <n v="9"/>
    <s v="3 x 3 meter"/>
    <s v="Tidak termasuk listrik"/>
    <n v="3020000"/>
    <s v="Rp3.020.000"/>
    <s v="3 x 3 meter; Tidak termasuk listrik; AC; Kasur; Meja; Lemari Baju; Ventilasi; Kursi; Bantal; Cermin; Guling; Jendela; K. Mandi Dalam; Kloset Duduk; Shower; Air panas; WiFi; Kulkas; R. Tamu; Penjaga Kos; Dapur; Dispenser; CCTV; Parkir Motor &amp; Sepeda"/>
    <n v="2722500"/>
    <s v="Rp2.722.500"/>
    <n v="0.17083333333333331"/>
    <d v="1899-12-30T04:06:00"/>
    <s v="Kos Campur"/>
    <m/>
    <s v="Diskon 298rb"/>
  </r>
  <r>
    <s v="Kost Singgahsini Vanela 8 Benhil Tipe B Tanah Abang Jakarta Pusat"/>
    <x v="9"/>
    <x v="42"/>
    <n v="7.5"/>
    <s v="2.5 x 3 meter"/>
    <s v="Tidak termasuk listrik"/>
    <n v="2895000"/>
    <s v="Rp2.895.000"/>
    <s v="2.5 x 3 meter; Tidak termasuk listrik; AC; Kasur; Meja; Lemari Baju; Ventilasi; Kursi; Bantal; Cermin; Guling; Jendela; K. Mandi Dalam; Kloset Duduk; Shower; Air panas; WiFi; Kulkas; R. Tamu; Penjaga Kos; Dapur; Dispenser; CCTV; Parkir Motor &amp; Sepeda"/>
    <n v="2610000"/>
    <s v="Rp2.610.000"/>
    <n v="0.17083333333333331"/>
    <d v="1899-12-30T04:06:00"/>
    <s v="Kos Campur"/>
    <m/>
    <s v="Diskon 285rb"/>
  </r>
  <r>
    <s v="Kost Singgahsini Vanela 8 Benhil Tipe C Tanah Abang Jakarta Pusat"/>
    <x v="9"/>
    <x v="42"/>
    <n v="6.25"/>
    <s v="2.5 x 2.5 meter"/>
    <s v="Tidak termasuk listrik"/>
    <n v="2545000"/>
    <s v="Rp2.545.000"/>
    <s v="2.5 x 2.5 meter; Tidak termasuk listrik; AC; Kasur; Meja; Lemari Baju; Ventilasi; Kursi; Bantal; Cermin; Guling; Jendela; K. Mandi Dalam; Kloset Duduk; Shower; Air panas; WiFi; Kulkas; R. Tamu; Penjaga Kos; Dapur; Dispenser; CCTV; Parkir Motor &amp; Sepeda"/>
    <n v="2295000"/>
    <s v="Rp2.295.000"/>
    <n v="0.17083333333333331"/>
    <d v="1899-12-30T04:06:00"/>
    <s v="Kos Campur"/>
    <m/>
    <s v="Diskon 250rb"/>
  </r>
  <r>
    <s v="Kost Singgahsini Victory Tipe A Kelapa Gading Jakarta Utara"/>
    <x v="4"/>
    <x v="111"/>
    <n v="10.240000000000002"/>
    <s v="3.2 x 3.2 meter"/>
    <s v="Tidak termasuk listrik"/>
    <n v="2500000"/>
    <s v="Rp2.500.000"/>
    <s v="3.2 x 3.2 meter; Tidak termasuk listrik; AC; Kasur; Meja; Lemari Baju; Kursi; Jendela; Bantal; Cermin; K. Mandi Dalam; Kloset Duduk; Shower; Air panas; WiFi; Kulkas; R. Tamu; Penjaga Kos; R. Jemur; Dapur; Dispenser; CCTV; Parkir Mobil; Parkir Motor &amp; Sepeda"/>
    <n v="2300000"/>
    <s v="Rp2.300.000"/>
    <n v="0"/>
    <m/>
    <s v="Kos Putri"/>
    <m/>
    <s v="Diskon 200rb"/>
  </r>
  <r>
    <s v="Kost Singgahsini Victory Tipe B Kelapa Gading Jakarta Utara"/>
    <x v="4"/>
    <x v="111"/>
    <n v="10.240000000000002"/>
    <s v="3.2 x 3.2 meter"/>
    <s v="Tidak termasuk listrik"/>
    <n v="2300000"/>
    <s v="Rp2.300.000"/>
    <s v="3.2 x 3.2 meter; Tidak termasuk listrik; AC; Kasur; Meja; Lemari Baju; Kursi; Jendela; Bantal; Cermin; K. Mandi Dalam; Kloset Duduk; Shower; Air panas; WiFi; Kulkas; R. Tamu; Penjaga Kos; R. Jemur; Dapur; Dispenser; CCTV; Parkir Mobil; Parkir Motor &amp; Sepeda"/>
    <n v="2116000"/>
    <s v="Rp2.116.000"/>
    <n v="0"/>
    <m/>
    <s v="Kos Putri"/>
    <m/>
    <s v="Diskon 184rb"/>
  </r>
  <r>
    <s v="Kost Singgahsini W One Kebon Kacang Tipe B Tanah Abang Jakarta Pusat"/>
    <x v="9"/>
    <x v="42"/>
    <n v="12.600000000000001"/>
    <s v="4.2 x 3 meter"/>
    <s v="Tidak termasuk listrik"/>
    <n v="3225000"/>
    <s v="Rp3.225.000"/>
    <s v="4.2 x 3 meter; Tidak termasuk listrik; AC; Kasur; Meja; TV; Lemari Baju; Kursi; Jendela; Bantal; Cermin; K. Mandi Dalam; Kloset Duduk; Wastafel; Shower; Air panas; WiFi; Kulkas; Penjaga Kos; R. Tamu; Dispenser; CCTV; Parkir Motor &amp; Sepeda"/>
    <n v="2969000"/>
    <s v="Rp2.969.000"/>
    <n v="0.17291666666666669"/>
    <d v="1899-12-30T04:09:00"/>
    <s v="Kos Campur"/>
    <m/>
    <s v="Diskon 256rb"/>
  </r>
  <r>
    <s v="Kost Singgahsini W One Pasar Baru Tipe B Sawah Besar Jakarta Pusat"/>
    <x v="9"/>
    <x v="59"/>
    <n v="12"/>
    <s v="4 x 3 meter"/>
    <s v="Tidak termasuk listrik"/>
    <n v="2925000"/>
    <s v="Rp2.925.000"/>
    <s v="4 x 3 meter; Tidak termasuk listrik; AC; Kasur; TV; Lemari Baju; Bantal; Jendela; K. Mandi Dalam; Kloset Duduk; Shower; Air panas; WiFi; Kulkas; Penjaga Kos; R. Jemur; R. Makan; Dapur; CCTV; Rooftop; Parkir Motor &amp; Sepeda"/>
    <n v="2693000"/>
    <s v="Rp2.693.000"/>
    <n v="0.16944444444444443"/>
    <d v="1899-12-30T04:04:00"/>
    <s v="Kos Campur"/>
    <m/>
    <s v="Diskon 232rb"/>
  </r>
  <r>
    <s v="Kost Singgahsini W Residence Tipe B Taman Sari Jakarta Barat"/>
    <x v="3"/>
    <x v="149"/>
    <n v="10.35"/>
    <s v="4.5 x 2.3 meter"/>
    <s v="Termasuk listrik (implied)"/>
    <s v=""/>
    <s v="N/A"/>
    <s v="4.5 x 2.3 meter; Termasuk listrik; AC; Kasur; Meja; TV; Lemari Baju; Kursi; Bantal; K. Mandi Dalam; Kloset Duduk; Wastafel; Shower; Air panas; WiFi; Kulkas; R. Tamu; Dapur; CCTV; Parkir Mobil; Parkir Motor; Parkir Sepeda"/>
    <n v="1975000"/>
    <s v="Rp1.975.000"/>
    <n v="0.17083333333333331"/>
    <d v="1899-12-30T04:06:00"/>
    <s v="Kos Campur"/>
    <m/>
    <s v="Diskon 100rb"/>
  </r>
  <r>
    <s v="Kost Singgahsini Warna Warni Mangga Besar Tipe A Taman Sari Jakarta Barat"/>
    <x v="3"/>
    <x v="149"/>
    <n v="21.830000000000002"/>
    <s v="5.9 x 3.7 meter"/>
    <s v="Tidak termasuk listrik"/>
    <n v="2825000"/>
    <s v="Rp2.825.000"/>
    <s v="5.9 x 3.7 meter; Tidak termasuk listrik; AC; Kasur; Meja; Lemari Baju; Kursi; Bantal; Cermin; Guling; Jendela; K. Mandi Dalam; Kloset Duduk; Wastafel; Shower; Air panas; WiFi; Penjaga Kos; R. Jemur; Locker; CCTV; Parkir Mobil; Parkir Motor; Parkir Sepeda"/>
    <n v="2685000"/>
    <s v="Rp2.685.000"/>
    <n v="0.16944444444444443"/>
    <d v="1899-12-30T04:04:00"/>
    <s v="Kos Campur"/>
    <m/>
    <s v="Diskon 140rb"/>
  </r>
  <r>
    <s v="Kost Singgahsini Warna Warni Mangga Besar Tipe D Taman Sari Jakarta Barat"/>
    <x v="3"/>
    <x v="149"/>
    <n v="6.16"/>
    <s v="2.8 x 2.2 meter"/>
    <s v="Tidak termasuk listrik"/>
    <n v="2225000"/>
    <s v="Rp2.225.000"/>
    <s v="2.8 x 2.2 meter; Tidak termasuk listrik; AC; Kasur; Meja; Lemari Baju; Kursi; Bantal; Cermin; Guling; Jendela; K. Mandi Dalam; Kloset Duduk; Wastafel; Shower; Air panas; WiFi; Penjaga Kos; R. Jemur; Locker; CCTV; Parkir Mobil; Parkir Motor; Parkir Sepeda"/>
    <n v="2115000"/>
    <s v="Rp2.115.000"/>
    <n v="0.17222222222222225"/>
    <d v="1899-12-30T04:08:00"/>
    <s v="Kos Campur"/>
    <m/>
    <s v="Diskon 110rb"/>
  </r>
  <r>
    <s v="Kost Singgahsini Waru 15A Tipe A Pasar Rebo Jakarta Timur"/>
    <x v="8"/>
    <x v="28"/>
    <e v="#VALUE!"/>
    <s v="N/A"/>
    <s v="N/A"/>
    <n v="1625000"/>
    <s v="Rp1.625.000"/>
    <s v=""/>
    <n v="1497000"/>
    <s v="Rp1.497.000"/>
    <n v="0.17222222222222225"/>
    <d v="1899-12-30T04:08:00"/>
    <s v="Kos Putri"/>
    <m/>
    <s v="Diskon 128rb"/>
  </r>
  <r>
    <s v="Kost Singgahsini White House Tipe A Mampang Prapatan Jakarta Selatan"/>
    <x v="5"/>
    <x v="178"/>
    <n v="9"/>
    <s v="3 x 3 meter"/>
    <s v="Tidak termasuk listrik"/>
    <s v=""/>
    <s v="N/A"/>
    <s v="3 x 3 meter; Tidak termasuk listrik; AC; Kasur; Meja; Lemari Baju; Kursi; Bantal; Guling; K. Mandi Dalam; Kloset Duduk; Wastafel; Shower; WiFi; R. Cuci; Kulkas; R. Tamu; Dapur; Dispenser; K. Mandi Luar; Parkir Mobil; Parkir Motor"/>
    <n v="2605000"/>
    <s v="Rp2.605.000"/>
    <n v="0.17083333333333331"/>
    <d v="1899-12-30T04:06:00"/>
    <s v="Kos Putri"/>
    <m/>
    <s v="Diskon 222rb"/>
  </r>
  <r>
    <s v="Kost Singgahsini White House Tipe B Mampang Prapatan Jakarta Selatan"/>
    <x v="5"/>
    <x v="178"/>
    <n v="10.5"/>
    <s v="3.5 x 3 meter"/>
    <s v="Termasuk listrik (implied)"/>
    <n v="2805000"/>
    <s v="Rp2.805.000"/>
    <s v="3.5 x 3 meter; Termasuk listrik; AC; Kasur; Meja; Lemari Baju; Kursi; Bantal; Guling; Jendela; K. Mandi Dalam; Kloset Duduk; Wastafel; Shower; WiFi; R. Cuci; Kulkas; R. Tamu; Dapur; Dispenser; K. Mandi Luar; Parkir Mobil; Parkir Motor"/>
    <n v="2582600"/>
    <s v="Rp2.582.600"/>
    <n v="0.17083333333333331"/>
    <d v="1899-12-30T04:06:00"/>
    <s v="Kos Putri"/>
    <m/>
    <s v="Diskon 222rb"/>
  </r>
  <r>
    <s v="Kost Singgahsini Widuri Bendungan Hilir Tipe A Tanah Abang Jakarta Pusat"/>
    <x v="9"/>
    <x v="42"/>
    <n v="12.5"/>
    <s v="5 x 2.5 meter"/>
    <s v="Tidak termasuk listrik"/>
    <s v=""/>
    <s v="N/A"/>
    <s v="5 x 2.5 meter; Tidak termasuk listrik; AC; Kasur; Meja; Lemari Baju; Kursi; Bantal; Guling; Jendela; K. Mandi Dalam; Kloset Duduk; Ember mandi; Shower; WiFi; Kulkas; R. Tamu; Mesin Cuci; Laundry; R. Jemur; Dapur; Dispenser; K. Mandi Luar; CCTV; Parkir Mobil; Parkir Sepeda; Parkir Motor &amp; Sepeda"/>
    <n v="2525000"/>
    <s v="Rp2.525.000"/>
    <n v="0.17083333333333331"/>
    <d v="1899-12-30T04:06:00"/>
    <s v="Kos Putri"/>
    <m/>
    <m/>
  </r>
  <r>
    <s v="Kost Singgahsini Widuri Bendungan Hilir Tipe B Tanah Abang Jakarta Pusat"/>
    <x v="9"/>
    <x v="42"/>
    <n v="12"/>
    <s v="4 x 3 meter"/>
    <s v="Tidak termasuk listrik"/>
    <s v=""/>
    <s v="N/A"/>
    <s v="4 x 3 meter; Tidak termasuk listrik; AC; Kasur; Meja; Lemari Baju; Kursi; Bantal; Guling; Jendela; Kloset Duduk; K. Mandi Luar; Shower; WiFi; Kulkas; R. Tamu; Laundry; R. Jemur; Dapur; Dispenser; CCTV; Parkir Mobil; Parkir Sepeda; Parkir Motor &amp; Sepeda"/>
    <n v="2075000"/>
    <s v="Rp2.075.000"/>
    <n v="0.17222222222222225"/>
    <d v="1899-12-30T04:08:00"/>
    <s v="Kos Putri"/>
    <m/>
    <s v="Diskon 96rb"/>
  </r>
  <r>
    <s v="Kost Singgahsini Wisma Abyu UI Tipe A Beji Depok"/>
    <x v="1"/>
    <x v="15"/>
    <n v="7.2900000000000009"/>
    <s v="2.7 x 2.7 meter"/>
    <s v="Tidak termasuk listrik"/>
    <n v="1725000"/>
    <s v="Rp1.725.000"/>
    <s v="2.7 x 2.7 meter; Tidak termasuk listrik; AC; Kasur; Meja; Lemari Baju; Kursi; Jendela; Bantal; K. Mandi Dalam; Kloset Duduk; Ember mandi; Shower; Air panas; WiFi; Kulkas; R. Tamu; Penjaga Kos; CCTV; Parkir Motor &amp; Sepeda"/>
    <n v="1555000"/>
    <s v="Rp1.555.000"/>
    <n v="0.17013888888888887"/>
    <d v="1899-12-30T04:05:00"/>
    <s v="Kos Putra"/>
    <m/>
    <s v="Diskon 170rb"/>
  </r>
  <r>
    <s v="Kost Singgahsini Wisma Abyu UI Tipe B Beji Depok"/>
    <x v="1"/>
    <x v="15"/>
    <n v="7.2900000000000009"/>
    <s v="2.7 x 2.7 meter"/>
    <s v="Tidak termasuk listrik"/>
    <n v="1575000"/>
    <s v="Rp1.575.000"/>
    <s v="2.7 x 2.7 meter; Tidak termasuk listrik; AC; Kasur; Meja; Lemari Baju; Kursi; Jendela; Bantal; K. Mandi Dalam; Kloset Duduk; Ember mandi; Shower; WiFi; Kulkas; R. Tamu; Penjaga Kos; CCTV; Parkir Motor &amp; Sepeda"/>
    <n v="1420000"/>
    <s v="Rp1.420.000"/>
    <n v="0.20833333333333334"/>
    <d v="1899-12-30T05:00:00"/>
    <s v="Kos Putra"/>
    <m/>
    <s v="Diskon 155rb"/>
  </r>
  <r>
    <s v="Kost Singgahsini Wisma KS23 Tipe B Setiabudi Jakarta Selatan"/>
    <x v="5"/>
    <x v="44"/>
    <n v="16"/>
    <s v="4 x 4 meter"/>
    <s v="Tidak termasuk listrik"/>
    <s v=""/>
    <s v="N/A"/>
    <s v="4 x 4 meter; Tidak termasuk listrik; AC; Kasur; Meja; Lemari Baju; Kursi; K. Mandi Dalam; Kloset Duduk; Wastafel; Shower; Air panas; WiFi; R. Tamu; Mesin Cuci; Penjaga Kos; Laundry; R. Jemur; Dapur; Parkir Mobil; Parkir Motor"/>
    <n v="2825000"/>
    <s v="Rp2.825.000"/>
    <n v="0.17013888888888887"/>
    <d v="1899-12-30T04:05:00"/>
    <s v="Kos Campur"/>
    <m/>
    <s v="Diskon 140rb"/>
  </r>
  <r>
    <s v="Kost Singgahsini Wisma Serasi Tipe A Serpong Tangerang Selatan"/>
    <x v="2"/>
    <x v="18"/>
    <n v="14"/>
    <s v="3.5 x 4 meter"/>
    <s v="Tidak termasuk listrik"/>
    <s v=""/>
    <s v="N/A"/>
    <s v="3.5 x 4 meter; Tidak termasuk listrik; AC; Kasur; Meja; Lemari Baju; Kulkas; Kursi; Bantal; Dapur Pribadi; Jendela; K. Mandi Dalam; Kloset Jongkok; Ember mandi; WiFi; Penjaga Kos; R. Jemur; Parkir Motor &amp; Sepeda"/>
    <n v="1475000"/>
    <s v="Rp1.475.000"/>
    <n v="0.17083333333333331"/>
    <d v="1899-12-30T04:06:00"/>
    <s v="Kos Campur"/>
    <m/>
    <s v="Diskon 80rb"/>
  </r>
  <r>
    <s v="Kost Singgahsini Wisma Serasi Tipe B Serpong Tangerang Selatan"/>
    <x v="2"/>
    <x v="18"/>
    <n v="14"/>
    <s v="3.5 x 4 meter"/>
    <s v="Tidak termasuk listrik"/>
    <s v=""/>
    <s v="N/A"/>
    <s v="3.5 x 4 meter; Tidak termasuk listrik; AC; Kasur; Meja; Lemari Baju; Kursi; Bantal; Jendela; K. Mandi Dalam; Kloset Jongkok; Ember mandi; WiFi; Penjaga Kos; R. Jemur; Parkir Motor &amp; Sepeda"/>
    <n v="1375000"/>
    <s v="Rp1.375.000"/>
    <n v="0.17083333333333331"/>
    <d v="1899-12-30T04:06:00"/>
    <s v="Kos Campur"/>
    <m/>
    <m/>
  </r>
  <r>
    <s v="Kost Singgahsini Yulimar Petamburan 5 Tipe A Tanah Abang Jakarta Pusat"/>
    <x v="9"/>
    <x v="42"/>
    <n v="7.5"/>
    <s v="2.5 x 3 meter"/>
    <s v="Tidak termasuk listrik"/>
    <n v="1375000"/>
    <s v="Rp1.375.000"/>
    <s v="2.5 x 3 meter; Tidak termasuk listrik; AC; Kasur; Lemari Baju; Ventilasi; Jendela; Bantal; Cermin; Guling; Kloset Duduk; Kloset Jongkok; K. Mandi Luar; Ember mandi; WiFi; R. Cuci; Kulkas; R. Tamu; Penjaga Kos; R. Jemur; Dapur; TV; Rice Cooker; Parkir Motor &amp; Sepeda"/>
    <n v="1307500"/>
    <s v="Rp1.307.500"/>
    <n v="0.17291666666666669"/>
    <d v="1899-12-30T04:09:00"/>
    <s v="Kos Putri"/>
    <m/>
    <s v="Diskon 68rb"/>
  </r>
  <r>
    <s v="Kost Singgahsini Zakiah Kelapa Hijau Tipe A Duren Sawit Jakarta Timur"/>
    <x v="8"/>
    <x v="39"/>
    <e v="#VALUE!"/>
    <s v="N/A"/>
    <s v="N/A"/>
    <n v="2025000"/>
    <s v="Rp2.025.000"/>
    <s v=""/>
    <n v="1925000"/>
    <s v="Rp1.925.000"/>
    <n v="0.20833333333333334"/>
    <d v="1899-12-30T05:00:00"/>
    <s v="Kos Putri"/>
    <m/>
    <s v="Diskon 100rb"/>
  </r>
  <r>
    <s v="Kost Singgahsini Zebra Kemang Tipe A Mampang Prapatan Jakarta Selatan"/>
    <x v="5"/>
    <x v="67"/>
    <n v="20"/>
    <s v="5 x 4 meter"/>
    <s v="Tidak termasuk listrik"/>
    <s v=""/>
    <s v="N/A"/>
    <s v="5 x 4 meter; Tidak termasuk listrik; AC; Kasur; Lemari Baju; Bantal; Cermin; Guling; Jendela; K. Mandi Dalam; Kloset Duduk; Shower; WiFi; R. Jemur; Dapur; CCTV; Jemuran; Parkir Mobil; Parkir Motor; Parkir Sepeda; Parkir Motor &amp; Sepeda"/>
    <n v="2005000"/>
    <s v="Rp2.005.000"/>
    <n v="0.17222222222222225"/>
    <d v="1899-12-30T04:08:00"/>
    <s v="Kos Campur"/>
    <m/>
    <s v="Diskon 168rb"/>
  </r>
  <r>
    <s v="Kost Singgahsini Zire Kukusan Beji Depok"/>
    <x v="1"/>
    <x v="15"/>
    <n v="16"/>
    <s v="4 x 4 meter"/>
    <s v="Tidak termasuk listrik"/>
    <n v="925000"/>
    <s v="Rp925.000"/>
    <s v="4 x 4 meter; Tidak termasuk listrik; Kasur; Meja; Lemari Baju; Ventilasi; Kursi; Bantal; Jendela; K. Mandi Dalam; Kloset Duduk; Kloset Jongkok; Ember mandi; Shower; WiFi; R. Cuci; Penjaga Kos; Dapur; Parkir Mobil; Parkir Motor; Parkir Sepeda; Parkir Motor &amp; Sepeda"/>
    <n v="835000"/>
    <s v="Rp835.000"/>
    <n v="0.17083333333333331"/>
    <d v="1899-12-30T04:06:00"/>
    <s v="Kos Putra"/>
    <m/>
    <s v="Diskon 90rb"/>
  </r>
  <r>
    <s v="Kost Sister Tipe A Pulo Gadung Jakarta Timur"/>
    <x v="8"/>
    <x v="32"/>
    <n v="12"/>
    <s v="3 x 4 meter"/>
    <s v="Termasuk listrik (implied)"/>
    <s v=""/>
    <s v="N/A"/>
    <s v="3 x 4 meter; Termasuk listrik; Kasur; Meja; Meja Rias; Lemari Baju; Ventilasi; Bantal; Cermin; Jendela; Kursi; Kloset Duduk; K. Mandi Luar; Bak mandi; WiFi; Kulkas; R. Tamu; R. Jemur; R. Makan; R. Santai; Dapur; Jemuran; R. Keluarga; Parkir Motor"/>
    <n v="1200000"/>
    <s v="Rp1.200.000"/>
    <n v="0"/>
    <m/>
    <s v="Kos Putri"/>
    <m/>
    <m/>
  </r>
  <r>
    <s v="Kost Siti Marwah AC Pulo Gadung Jakarta Timur"/>
    <x v="8"/>
    <x v="94"/>
    <n v="8"/>
    <s v="2 x 4 meter"/>
    <s v="Termasuk listrik (implied)"/>
    <s v=""/>
    <s v="N/A"/>
    <s v="2 x 4 meter; Termasuk listrik; AC; Kasur; Meja; Lemari Baju; Ventilasi; Bantal; Guling; Jendela; Cermin; Kursi; Kloset Duduk; K. Mandi Luar; Bak mandi; WiFi; Kulkas; R. Cuci; Penjaga Kos; R. Jemur; R. Santai; Dapur; Jemuran; Parkir Motor; Parkir Sepeda; Parkir Motor &amp; Sepeda"/>
    <n v="1200000"/>
    <s v="Rp1.200.000"/>
    <n v="0"/>
    <m/>
    <s v="Kos Putri"/>
    <m/>
    <m/>
  </r>
  <r>
    <s v="Kost Skyland Gunung Putri Bogor"/>
    <x v="0"/>
    <x v="95"/>
    <n v="6"/>
    <s v="3 x 2 meter"/>
    <s v="Termasuk listrik (implied)"/>
    <s v=""/>
    <s v="N/A"/>
    <s v="3 x 2 meter; Termasuk listrik; Kasur; Dispenser; Ventilasi; Wastafel; Kipas Angin; Bantal; Jendela; Kloset Jongkok; K. Mandi Luar; Shower; WiFi; R. Cuci; Kulkas; Mesin Cuci; R. Jemur; Dapur; TV; CCTV; Parkir Motor; Parkir Sepeda"/>
    <n v="750000"/>
    <s v="Rp750.000"/>
    <n v="0"/>
    <m/>
    <s v="Kos Campur"/>
    <m/>
    <m/>
  </r>
  <r>
    <s v="Kost Sofia Tipe 1 Dramaga Bogor"/>
    <x v="0"/>
    <x v="23"/>
    <n v="12"/>
    <s v="4 x 3 meter"/>
    <s v="Termasuk listrik (implied)"/>
    <s v=""/>
    <s v="N/A"/>
    <s v="4 x 3 meter; Termasuk listrik; AC; Kasur; Meja; TV; Lemari Baju; Bantal; Cermin; Guling; Kursi; Meja makan; K. Mandi Dalam; Kloset Duduk; Ember mandi; Shower; Air panas; WiFi; R. Cuci; Mesin Cuci; Penjaga Kos; R. Tamu; R. Jemur; R. Makan; Dapur; Dispenser; Jemuran; Parkir Mobil; Parkir Motor; Parkir Sepeda; Parkir Motor &amp; Sepeda"/>
    <n v="1500000"/>
    <s v="Rp1.500.000"/>
    <n v="0"/>
    <m/>
    <s v="Kos Campur"/>
    <m/>
    <m/>
  </r>
  <r>
    <s v="Kost Soja I Tipe A Pinang Tangerang"/>
    <x v="6"/>
    <x v="105"/>
    <n v="6.25"/>
    <s v="2.5 x 2.5 meter"/>
    <s v="Termasuk listrik (implied)"/>
    <s v=""/>
    <s v="N/A"/>
    <s v="2.5 x 2.5 meter; Termasuk listrik; Kasur; Meja; Lemari Baju; Ventilasi; Bantal; Cermin; Guling; Jendela; Kipas Angin; Kloset Jongkok; K. Mandi Luar; Bak mandi; WiFi; Kulkas; R. Cuci; R. Jemur; Dapur; CCTV; Jemuran; TV; Pengurus Kos; Parkir Motor &amp; Sepeda"/>
    <n v="850000"/>
    <s v="Rp850.000"/>
    <n v="0"/>
    <m/>
    <s v="Kos Putri"/>
    <m/>
    <m/>
  </r>
  <r>
    <s v="Kost Sollana Fancy Gold Neglasari Tangerang"/>
    <x v="6"/>
    <x v="34"/>
    <n v="9.9"/>
    <s v="2.2 x 4.5 meter"/>
    <s v="Tidak termasuk listrik"/>
    <s v=""/>
    <s v="N/A"/>
    <s v="2.2 x 4.5 meter; Tidak termasuk listrik; AC; Kasur; Meja; TV; Kulkas; Lemari Baju; Ventilasi; Bantal; Cermin; Guling; K. Mandi Dalam; Kloset Duduk; Ember mandi; Shower; Air panas; WiFi; Laundry; Penjaga Kos; R. Tamu; R. Jemur; R. Makan; R. Santai; Dapur; Dispenser; Parkir Motor"/>
    <n v="1950000"/>
    <s v="Rp1.950.000"/>
    <n v="0"/>
    <m/>
    <s v="Kos Campur"/>
    <m/>
    <m/>
  </r>
  <r>
    <s v="Kost Sollana Premium Superior Neglasari Tangerang"/>
    <x v="6"/>
    <x v="34"/>
    <n v="9.5"/>
    <s v="2.5 x 3.8 meter"/>
    <s v="Tidak termasuk listrik"/>
    <s v=""/>
    <s v="N/A"/>
    <s v="2.5 x 3.8 meter; Tidak termasuk listrik; AC; Kasur; Meja; TV; Lemari Baju; Ventilasi; Bantal; Cermin; Cleaning service; Guling; K. Mandi Dalam; Kloset Duduk; Ember mandi; Shower; Air panas; WiFi; Kulkas; R. Cuci; Laundry; Mesin Cuci; Penjaga Kos; R. Tamu; R. Jemur; R. Makan; R. Santai; Parkir Mobil; Parkir Motor"/>
    <n v="1700000"/>
    <s v="Rp1.700.000"/>
    <n v="0"/>
    <m/>
    <s v="Kos Campur"/>
    <m/>
    <m/>
  </r>
  <r>
    <s v="Kost Sollana Premium Tipe Mezzanine Green Neglasari Tangerang"/>
    <x v="6"/>
    <x v="34"/>
    <n v="15"/>
    <s v="2.5 x 6 meter"/>
    <s v="Tidak termasuk listrik"/>
    <s v=""/>
    <s v="N/A"/>
    <s v="2.5 x 6 meter; Tidak termasuk listrik; AC; Kasur; Dispenser; Meja; TV; Kulkas; Lemari Baju; Ventilasi; Bantal; Cermin; K. Mandi Dalam; Kloset Duduk; Ember mandi; Shower; Air panas; WiFi; R. Cuci; Laundry; Mesin Cuci; Penjaga Kos; R. Tamu; R. Jemur; R. Makan; R. Santai; Parkir Mobil; Parkir Motor"/>
    <n v="1999000"/>
    <s v="Rp1.999.000"/>
    <n v="0.20833333333333334"/>
    <d v="1899-12-30T05:00:00"/>
    <s v="Kos Campur"/>
    <m/>
    <s v="Diskon 95rb"/>
  </r>
  <r>
    <s v="Kost Sollana Premium Tipe Superior Green Neglasari Tangerang"/>
    <x v="6"/>
    <x v="34"/>
    <n v="10"/>
    <s v="2.5 x 4 meter"/>
    <s v="Tidak termasuk listrik"/>
    <s v=""/>
    <s v="N/A"/>
    <s v="2.5 x 4 meter; Tidak termasuk listrik; AC; Kasur; Meja; Meja Rias; TV; Lemari Baju; Ventilasi; Bantal; Cermin; Cleaning service; K. Mandi Dalam; Kloset Duduk; Ember mandi; Shower; Air panas; WiFi; Kulkas; R. Cuci; Laundry; Mesin Cuci; Penjaga Kos; R. Tamu; R. Jemur; R. Makan; R. Santai; Parkir Mobil; Parkir Motor"/>
    <n v="1899000"/>
    <s v="Rp1.899.000"/>
    <n v="0"/>
    <m/>
    <s v="Kos Campur"/>
    <m/>
    <m/>
  </r>
  <r>
    <s v="Kost Sopo House Cileungsi Bogor"/>
    <x v="0"/>
    <x v="31"/>
    <n v="12"/>
    <s v="3 x 4 meter"/>
    <s v="Tidak termasuk listrik"/>
    <s v=""/>
    <s v="N/A"/>
    <s v="3 x 4 meter; Tidak termasuk listrik; AC; Kasur; Meja; Lemari Baju; Bantal; Cermin; Jendela; Kursi; Guling; K. Mandi Dalam; Kloset Duduk; Shower; Air panas; WiFi; Kulkas; Penjaga Kos; Mesin Cuci; R. Tamu; R. Makan; R. Jemur; R. Santai; Dapur; CCTV; Parkir Mobil; Parkir Motor; Parkir Sepeda; Parkir Motor &amp; Sepeda"/>
    <n v="1300000"/>
    <s v="Rp1.300.000"/>
    <n v="0"/>
    <m/>
    <s v="Kos Putri"/>
    <m/>
    <m/>
  </r>
  <r>
    <s v="Kost Sr Tipe VIP Cikarang Barat Bekasi"/>
    <x v="7"/>
    <x v="19"/>
    <n v="9"/>
    <s v="3 x 3 meter"/>
    <s v="Tidak termasuk listrik"/>
    <s v=""/>
    <s v="N/A"/>
    <s v="3 x 3 meter; Tidak termasuk listrik; AC; Kasur; Lemari Baju; Ventilasi; Jendela; Cermin; Wastafel; K. Mandi Dalam; Kloset Jongkok; Ember mandi; WiFi; Penjaga Kos; Dapur; Balcon; Jemuran; Parkir Motor; Parkir Sepeda"/>
    <n v="1150000"/>
    <s v="Rp1.150.000"/>
    <n v="0.20833333333333334"/>
    <d v="1899-12-30T05:00:00"/>
    <s v="Kos Campur"/>
    <m/>
    <m/>
  </r>
  <r>
    <s v="Kost Star Residence Beji Depok"/>
    <x v="1"/>
    <x v="15"/>
    <n v="12"/>
    <s v="3 x 4 meter"/>
    <s v="Termasuk listrik (implied)"/>
    <s v=""/>
    <s v="N/A"/>
    <s v="3 x 4 meter; Termasuk listrik; AC; Kasur; Meja; Lemari Baju; Bantal; Cleaning service; Guling; Jendela; Kursi; Kloset Duduk; Wastafel; Shower; WiFi; Kulkas; Laundry; Penjaga Kos; R. Tamu; Mushola; R. Santai; Dapur; Dispenser; Balcon; Parkir Mobil; Parkir Motor"/>
    <n v="2000000"/>
    <s v="Rp2.000.000"/>
    <n v="0.17291666666666669"/>
    <d v="1899-12-30T04:09:00"/>
    <s v="Kos Campur"/>
    <m/>
    <s v="Diskon 90rb"/>
  </r>
  <r>
    <s v="Kost StayZone Sunter Agung Tipe B Tanjung Priok Jakarta Utara"/>
    <x v="4"/>
    <x v="5"/>
    <n v="8.25"/>
    <s v="3.3 x 2.5 meter"/>
    <s v="Tidak termasuk listrik"/>
    <s v=""/>
    <s v="N/A"/>
    <s v="3.3 x 2.5 meter; Tidak termasuk listrik; AC; Kasur; Meja; Lemari Baju; Ventilasi; Bantal; Cermin; Guling; Kursi; K. Mandi Dalam; Kloset Duduk; Shower; WiFi; Kulkas; Laundry; Penjaga Kos; R. Jemur; R. Makan; R. Santai; Dapur; Dispenser; Balcon; Parkir Mobil; Parkir Motor &amp; Sepeda"/>
    <n v="1900000"/>
    <s v="Rp1.900.000"/>
    <n v="0.20833333333333334"/>
    <d v="1899-12-30T05:00:00"/>
    <s v="Kos Campur"/>
    <m/>
    <m/>
  </r>
  <r>
    <s v="Kost Studio Residence VVIP Koja Jakarta Utara"/>
    <x v="4"/>
    <x v="93"/>
    <n v="12"/>
    <s v="3 x 4 meter"/>
    <s v="Tidak termasuk listrik"/>
    <s v=""/>
    <s v="N/A"/>
    <s v="3 x 4 meter; Tidak termasuk listrik; AC; Kasur; Meja; TV; Lemari Baju; Bantal; Cermin; Jendela; Kursi; K. Mandi Dalam; Kloset Duduk; Ember mandi; Shower; Air panas; WiFi; Kulkas; Penjaga Kos; R. Santai; Dapur; Dispenser; CCTV; Gazebo; Jual Makanan; Kartu Akses; Parkir Motor; Parkir Sepeda"/>
    <n v="2000000"/>
    <s v="Rp2.000.000"/>
    <n v="0"/>
    <m/>
    <s v="Kos Campur"/>
    <m/>
    <m/>
  </r>
  <r>
    <s v="Kost Suari Executive Water Heater Cikarang Utara Bekasi"/>
    <x v="7"/>
    <x v="33"/>
    <n v="11.25"/>
    <s v="4.5 x 2.5 meter"/>
    <s v="Tidak termasuk listrik"/>
    <s v=""/>
    <s v="N/A"/>
    <s v="4.5 x 2.5 meter; Tidak termasuk listrik; AC; Kasur; Meja; TV; Lemari Baju; Ventilasi; Bantal; Cermin; Guling; Jendela; K. Mandi Dalam; Kloset Duduk; Shower; Air panas; WiFi; Kulkas; Dapur; CCTV; Pengurus Kos; Parkir Motor; Parkir Sepeda"/>
    <n v="1600000"/>
    <s v="Rp1.600.000"/>
    <n v="0"/>
    <m/>
    <s v="Kos Putri"/>
    <m/>
    <m/>
  </r>
  <r>
    <s v="Kost Sudut Dua Belas Babakan Madang Bogor"/>
    <x v="0"/>
    <x v="80"/>
    <n v="20"/>
    <s v="5 x 4 meter"/>
    <s v="Tidak termasuk listrik"/>
    <s v=""/>
    <s v="N/A"/>
    <s v="5 x 4 meter; Tidak termasuk listrik; AC; Kasur; TV; Kulkas; Lemari Baju; Bantal; Cermin; Dapur Pribadi; Guling; Jendela; K. Mandi Dalam; Kloset Duduk; Shower; Air panas; Dapur; CCTV; Parkir Mobil; Parkir Motor &amp; Sepeda"/>
    <n v="2400000"/>
    <s v="Rp2.400.000"/>
    <n v="0.17291666666666669"/>
    <d v="1899-12-30T04:09:00"/>
    <s v="Kos Campur"/>
    <m/>
    <m/>
  </r>
  <r>
    <s v="Kost Sukatani Type B Tapos Depok"/>
    <x v="1"/>
    <x v="99"/>
    <n v="12"/>
    <s v="3 x 4 meter"/>
    <s v="Tidak termasuk listrik"/>
    <s v=""/>
    <s v="N/A"/>
    <s v="3 x 4 meter; Tidak termasuk listrik; Kasur; Guling; Jendela; Kloset Jongkok; R. Jemur; Parkir Mobil; Parkir Motor; Parkir Sepeda"/>
    <n v="650000"/>
    <s v="Rp650.000"/>
    <n v="0"/>
    <m/>
    <s v="Kos Putra"/>
    <m/>
    <m/>
  </r>
  <r>
    <s v="Kost Sun Kostel Duren Sawit Jakarta Timur"/>
    <x v="8"/>
    <x v="39"/>
    <n v="18"/>
    <s v="3 x 6 meter"/>
    <s v="Tidak termasuk listrik"/>
    <s v=""/>
    <s v="N/A"/>
    <s v="3 x 6 meter; Tidak termasuk listrik; AC; Kasur; Meja; TV; Lemari Baju; Ventilasi; Kursi; Wastafel; Kipas Angin; Bantal; K. Mandi Dalam; Kloset Jongkok; R. Cuci; R. Jemur; Parkir Motor; Parkir Sepeda"/>
    <n v="1800000"/>
    <s v="Rp1.800.000"/>
    <n v="0"/>
    <m/>
    <s v="Kos Campur"/>
    <m/>
    <m/>
  </r>
  <r>
    <s v="Kost Sunter Indah Raya VIP Tanjung Priok Jakarta Utara"/>
    <x v="4"/>
    <x v="5"/>
    <n v="12"/>
    <s v="3 x 4 meter"/>
    <s v="Tidak termasuk listrik"/>
    <s v=""/>
    <s v="N/A"/>
    <s v="3 x 4 meter; Tidak termasuk listrik; AC; Dispenser; Meja; TV; Lemari Baju; Bantal; Cermin; Jendela; Wastafel; K. Mandi Dalam; Kloset Duduk; Shower; Air panas; WiFi; R. Tamu; R. Makan; R. Santai; Balcon; CCTV; Jual Makanan; Pengurus Kos; R. Keluarga; Parkir Mobil; Parkir Motor; Parkir Sepeda"/>
    <n v="2500000"/>
    <s v="Rp2.500.000"/>
    <n v="0.20833333333333334"/>
    <d v="1899-12-30T05:00:00"/>
    <s v="Kos Campur"/>
    <m/>
    <m/>
  </r>
  <r>
    <s v="Kost Sunter Jaya 12 Tipe Standart Tanjung Priok Jakarta Utara"/>
    <x v="4"/>
    <x v="5"/>
    <n v="12"/>
    <s v="3 x 4 meter"/>
    <s v="Tidak termasuk listrik"/>
    <s v=""/>
    <s v="N/A"/>
    <s v="3 x 4 meter; Tidak termasuk listrik; AC; Kasur; Dispenser; Meja; Kulkas; Lemari Baju; Ventilasi; Bantal; Cermin; Cleaning service; K. Mandi Dalam; Kloset Duduk; Wastafel; Shower; Air panas; WiFi; R. Cuci; Laundry; Mesin Cuci; Penjaga Kos; R. Tamu; R. Jemur; R. Makan; R. Santai; Parkir Mobil; Parkir Motor; Parkir Sepeda"/>
    <n v="2450000"/>
    <s v="Rp2.450.000"/>
    <n v="0"/>
    <m/>
    <s v="Kos Campur"/>
    <m/>
    <m/>
  </r>
  <r>
    <s v="Kost Sunter Karya Bianca Tipe A Tanjung Priok Jakarta Utara"/>
    <x v="4"/>
    <x v="5"/>
    <n v="12"/>
    <s v="3 x 4 meter"/>
    <s v="Tidak termasuk listrik"/>
    <s v=""/>
    <s v="N/A"/>
    <s v="3 x 4 meter; Tidak termasuk listrik; AC; Kasur; Meja; Lemari Baju; Cermin; Guling; Jendela; Kursi; Kloset Duduk; Shower; Dapur; Parkir Motor"/>
    <n v="1650000"/>
    <s v="Rp1.650.000"/>
    <n v="0.17222222222222225"/>
    <d v="1899-12-30T04:08:00"/>
    <s v="Kos Campur"/>
    <m/>
    <s v="Diskon 78rb"/>
  </r>
  <r>
    <s v="Kost Surya Kencana Tipe A Pondok Aren Tangerang Selatan"/>
    <x v="2"/>
    <x v="29"/>
    <n v="14"/>
    <s v="4 x 3.5 meter"/>
    <s v="Tidak termasuk listrik"/>
    <s v=""/>
    <s v="N/A"/>
    <s v="4 x 3.5 meter; Tidak termasuk listrik; AC; Kasur; Meja; Lemari Baju; Ventilasi; Kursi; Bantal; Cermin; Guling; Jendela; K. Mandi Dalam; Kloset Duduk; Ember mandi; Shower; WiFi; Kulkas; R. Tamu; Penjaga Kos; R. Jemur; R. Santai; Dapur; Dispenser; TV; Taman; Parkir Mobil; Parkir Motor; Parkir Sepeda"/>
    <n v="1350000"/>
    <s v="Rp1.350.000"/>
    <n v="0.20833333333333334"/>
    <d v="1899-12-30T05:00:00"/>
    <s v="Kos Campur"/>
    <m/>
    <m/>
  </r>
  <r>
    <s v="Kost Swadaya II Tipe Executive Pondok Aren Tangerang Selatan"/>
    <x v="2"/>
    <x v="2"/>
    <n v="9"/>
    <s v="3 x 3 meter"/>
    <s v="Tidak termasuk listrik"/>
    <s v=""/>
    <s v="N/A"/>
    <s v="3 x 3 meter; Tidak termasuk listrik; AC; Kasur; Meja; Bantal; Guling; Jendela; K. Mandi Dalam; Kloset Duduk; WiFi; Kulkas; Penjaga Kos; Dapur; Pengurus Kos; Parkir Motor &amp; Sepeda"/>
    <n v="1200000"/>
    <s v="Rp1.200.000"/>
    <n v="0.17083333333333331"/>
    <d v="1899-12-30T04:06:00"/>
    <s v="Kos Putra"/>
    <m/>
    <m/>
  </r>
  <r>
    <s v="Kost Swanhouse Tipe A Ciampea Bogor"/>
    <x v="0"/>
    <x v="85"/>
    <n v="20"/>
    <s v="4 x 5 meter"/>
    <s v="Tidak termasuk listrik"/>
    <s v=""/>
    <s v="N/A"/>
    <s v="4 x 5 meter; Tidak termasuk listrik; AC; Kasur; Dispenser; Meja; Lemari Baju; Ventilasi; Bantal; Cermin; Cleaning service; Jendela; K. Mandi Dalam; Kloset Duduk; Ember mandi; Wastafel; Shower; Air panas; WiFi; Laundry; Penjaga Kos; R. Tamu; R. Jemur; R. Santai; Dapur; Balcon; CCTV; Parkir Mobil; Parkir Motor; Parkir Sepeda; Parkir Motor &amp; Sepeda"/>
    <n v="1500000"/>
    <s v="Rp1.500.000"/>
    <n v="0"/>
    <m/>
    <s v="Kos Campur"/>
    <m/>
    <m/>
  </r>
  <r>
    <s v="Kost Swasembada Tipe A Tanjung Priok Jakarta Utara"/>
    <x v="4"/>
    <x v="5"/>
    <n v="12.5"/>
    <s v="2.5 x 5 meter"/>
    <s v="Termasuk listrik (implied)"/>
    <s v=""/>
    <s v="N/A"/>
    <s v="2.5 x 5 meter; Termasuk listrik; Kasur; Kipas Angin; Bantal; K. Mandi Dalam; Kloset Jongkok; Ember mandi; WiFi; Dapur; Balcon; Jemuran; Parkir Motor"/>
    <n v="950000"/>
    <s v="Rp950.000"/>
    <n v="0"/>
    <m/>
    <s v="Kos Campur"/>
    <m/>
    <m/>
  </r>
  <r>
    <s v="Kost Sweet Home Tambun Selatan Bekasi"/>
    <x v="7"/>
    <x v="101"/>
    <n v="13.5"/>
    <s v="4.5 x 3 meter"/>
    <s v="Tidak termasuk listrik"/>
    <s v=""/>
    <s v="N/A"/>
    <s v="4.5 x 3 meter; Tidak termasuk listrik; AC; Kasur; Meja; TV; Lemari Baju; Ventilasi; Bantal; Cermin; Guling; Jendela; K. Mandi Dalam; Kloset Duduk; Ember mandi; Shower; WiFi; Kulkas; Penjaga Kos; Dapur; Dispenser; CCTV; Jemuran; Taman; Parkir Motor"/>
    <n v="1800000"/>
    <s v="Rp1.800.000"/>
    <n v="0"/>
    <m/>
    <s v="Kos Campur"/>
    <m/>
    <m/>
  </r>
  <r>
    <s v="Kost Syariah Asri Hijau Cikarang Selatan Bekasi"/>
    <x v="7"/>
    <x v="27"/>
    <n v="12"/>
    <s v="3 x 4 meter"/>
    <s v="Tidak termasuk listrik"/>
    <s v=""/>
    <s v="N/A"/>
    <s v="3 x 4 meter; Tidak termasuk listrik; Kasur; Lemari Baju; Ventilasi; Dapur Pribadi; Jendela; Kipas Angin; Wastafel; K. Mandi Dalam; Kloset Duduk; Kloset Jongkok; Shower; Bak mandi; Penjaga Kos; Dapur; CCTV; Gazebo; Pengurus Kos; Taman; Jemuran; Joglo; Parkir Motor; Parkir Sepeda; Parkir Motor &amp; Sepeda"/>
    <n v="750000"/>
    <s v="Rp750.000"/>
    <n v="0.20833333333333334"/>
    <d v="1899-12-30T05:00:00"/>
    <s v="Kos Campur"/>
    <m/>
    <m/>
  </r>
  <r>
    <s v="Kost Tafkya House Tipe Standard Parung Panjang Bogor"/>
    <x v="0"/>
    <x v="193"/>
    <n v="12"/>
    <s v="3 x 4 meter"/>
    <s v="Termasuk listrik (implied)"/>
    <s v=""/>
    <s v="N/A"/>
    <s v="3 x 4 meter; Termasuk listrik; AC; Kasur; Meja; Meja Rias; Lemari Baju; Ventilasi; Bantal; Cermin; Kursi; Jendela; K. Mandi Dalam; Kloset Duduk; Wastafel; Shower; WiFi; Kulkas; R. Cuci; R. Tamu; R. Jemur; R. Makan; R. Santai; Dapur; Pengurus Kos; Jemuran; Parkir Mobil; Parkir Motor"/>
    <n v="1700000"/>
    <s v="Rp1.700.000"/>
    <n v="0"/>
    <m/>
    <s v="Kos Putri"/>
    <m/>
    <m/>
  </r>
  <r>
    <s v="Kost Takwa Tipe B1 Cikarang Selatan Bekasi"/>
    <x v="7"/>
    <x v="27"/>
    <n v="8"/>
    <s v="2 x 4 meter"/>
    <s v="Tidak termasuk listrik"/>
    <s v=""/>
    <s v="N/A"/>
    <s v="2 x 4 meter; Tidak termasuk listrik; AC; Kasur; Lemari Baju; Ventilasi; Bantal; Guling; Jendela; Kloset Duduk; K. Mandi Luar; Ember mandi; WiFi; Kulkas; R. Cuci; Laundry; R. Jemur; R. Santai; Dapur; Jemuran; Joglo; Pengurus Kos; Parkir Motor; Parkir Sepeda; Parkir Motor &amp; Sepeda"/>
    <n v="1400000"/>
    <s v="Rp1.400.000"/>
    <n v="0"/>
    <m/>
    <s v="Kos Putra"/>
    <m/>
    <m/>
  </r>
  <r>
    <s v="Kost Talas 107 Tipe B Pamulang Tangerang Selatan"/>
    <x v="2"/>
    <x v="54"/>
    <n v="18"/>
    <s v="3 x 6 meter"/>
    <s v="Termasuk listrik (implied)"/>
    <s v=""/>
    <s v="N/A"/>
    <s v="3 x 6 meter; Termasuk listrik; Kasur; Meja; K. Mandi Dalam; Kloset Jongkok; WiFi"/>
    <n v="900000"/>
    <s v="Rp900.000"/>
    <n v="0.17291666666666669"/>
    <d v="1899-12-30T04:09:00"/>
    <s v="Kos Putra"/>
    <m/>
    <m/>
  </r>
  <r>
    <s v="Kost Talitha Homie Tipe B Cikarang Pusat Bekasi"/>
    <x v="7"/>
    <x v="118"/>
    <n v="12"/>
    <s v="3 x 4 meter"/>
    <s v="Tidak termasuk listrik"/>
    <s v=""/>
    <s v="N/A"/>
    <s v="3 x 4 meter; Tidak termasuk listrik; AC; Kasur; TV; Lemari Baju; Bantal; Guling; Jendela; K. Mandi Dalam; Kloset Jongkok; Shower; WiFi; Kulkas; R. Jemur; Dapur; Jemuran; Parkir Motor; Parkir Sepeda"/>
    <n v="1250000"/>
    <s v="Rp1.250.000"/>
    <n v="0"/>
    <m/>
    <s v="Kos Putri"/>
    <m/>
    <m/>
  </r>
  <r>
    <s v="Kost Taman Beringin Tipe B Kelapa Dua Tangerang"/>
    <x v="6"/>
    <x v="194"/>
    <n v="9"/>
    <s v="3 x 3 meter"/>
    <s v="Tidak termasuk listrik"/>
    <s v=""/>
    <s v="N/A"/>
    <s v="3 x 3 meter; Tidak termasuk listrik; Kasur; Meja; Bantal; Guling; Kipas Angin; Kloset Jongkok; K. Mandi Luar; WiFi; Kulkas; Mesin Cuci; Penjaga Kos; R. Tamu; R. Makan; R. Santai; Dapur; Dispenser; CCTV; Parkir Motor; Parkir Sepeda"/>
    <n v="1100000"/>
    <s v="Rp1.100.000"/>
    <n v="0.16666666666666666"/>
    <d v="1899-12-30T04:00:00"/>
    <s v="Kos Putri"/>
    <m/>
    <m/>
  </r>
  <r>
    <s v="Kost Taman Beringin VVIP Cibodas Tangerang"/>
    <x v="6"/>
    <x v="129"/>
    <n v="12"/>
    <s v="3 x 4 meter"/>
    <s v="Tidak termasuk listrik"/>
    <s v=""/>
    <s v="N/A"/>
    <s v="3 x 4 meter; Tidak termasuk listrik; AC; Kasur; Meja; Lemari Baju; Bantal; Guling; Jendela; Kursi; K. Mandi Dalam; Kloset Duduk; Wastafel; Shower; WiFi; Kulkas; Mesin Cuci; Penjaga Kos; Dapur; Dispenser; CCTV; Jemuran; Kartu Akses; Pengurus Kos; Parkir Motor"/>
    <n v="1600000"/>
    <s v="Rp1.600.000"/>
    <n v="0"/>
    <m/>
    <s v="Kos Putri"/>
    <m/>
    <m/>
  </r>
  <r>
    <s v="Kost Taman Budaya Compact Babakan Madang Bogor"/>
    <x v="0"/>
    <x v="0"/>
    <n v="15"/>
    <s v="3 x 5 meter"/>
    <s v="Tidak termasuk listrik"/>
    <s v=""/>
    <s v="N/A"/>
    <s v="3 x 5 meter; Tidak termasuk listrik; AC; Kasur; Meja; Lemari Baju; Ventilasi; Bantal; Guling; Jendela; Kursi; TV Kabel; Kloset Duduk; K. Mandi Luar; Shower; WiFi; Kulkas; Penjaga Kos; R. Tamu; R. Jemur; R. Makan; R. Santai; Dispenser; CCTV; Balcon; Parkir Mobil; Parkir Motor"/>
    <n v="1500000"/>
    <s v="Rp1.500.000"/>
    <n v="0.20833333333333334"/>
    <d v="1899-12-30T05:00:00"/>
    <s v="Kos Putri"/>
    <m/>
    <s v="Diskon 75rb"/>
  </r>
  <r>
    <s v="Kost Taman Kebalen Tipe A Babelan Bekasi"/>
    <x v="7"/>
    <x v="195"/>
    <n v="12"/>
    <s v="3 x 4 meter"/>
    <s v="Tidak termasuk listrik"/>
    <s v=""/>
    <s v="N/A"/>
    <s v="3 x 4 meter; Tidak termasuk listrik; AC; Kipas Angin; Kloset Duduk; Dapur; Parkir Mobil; Parkir Motor &amp; Sepeda"/>
    <n v="1000000"/>
    <s v="Rp1.000.000"/>
    <n v="0"/>
    <m/>
    <s v="Kos Putra"/>
    <m/>
    <m/>
  </r>
  <r>
    <s v="Kost Taman Mahkota Tipe B Benda Tangerang"/>
    <x v="6"/>
    <x v="24"/>
    <n v="12"/>
    <s v="3 x 4 meter"/>
    <s v="Tidak termasuk listrik"/>
    <s v=""/>
    <s v="N/A"/>
    <s v="3 x 4 meter; Tidak termasuk listrik; AC; Kasur; Meja; Lemari Baju; Ventilasi; Kursi; Wastafel; Bantal; Cermin; Guling; K. Mandi Dalam; Kloset Duduk; Shower; WiFi; Kulkas; R. Tamu; Penjaga Kos; R. Makan; R. Jemur; R. Santai; Dapur; TV; CCTV; Parkir Motor; Parkir Sepeda"/>
    <n v="1750000"/>
    <s v="Rp1.750.000"/>
    <n v="0.20833333333333334"/>
    <d v="1899-12-30T05:00:00"/>
    <s v="Kos Putri"/>
    <m/>
    <m/>
  </r>
  <r>
    <s v="Kost Taman Surya Palem Lestari Cengkareng Kalideres Jakarta Barat"/>
    <x v="3"/>
    <x v="131"/>
    <n v="9"/>
    <s v="3 x 3 meter"/>
    <s v="Tidak termasuk listrik"/>
    <s v=""/>
    <s v="N/A"/>
    <s v="3 x 3 meter; Tidak termasuk listrik; AC; Kasur; Meja; Lemari Baju; Bantal; Cermin; Guling; Kursi; Kloset Duduk; K. Mandi Luar; Shower; WiFi; Kulkas; R. Cuci; Penjaga Kos; R. Jemur; R. Santai; Dapur; Balcon; CCTV; Jemuran; Parkir Motor; Parkir Sepeda"/>
    <n v="1400000"/>
    <s v="Rp1.400.000"/>
    <n v="0.17083333333333331"/>
    <d v="1899-12-30T04:06:00"/>
    <s v="Kos Campur"/>
    <m/>
    <m/>
  </r>
  <r>
    <s v="Kost Tanjung Duren Avela Residence Grogol Petamburan Jakarta Barat"/>
    <x v="3"/>
    <x v="82"/>
    <n v="9"/>
    <s v="3 x 3 meter"/>
    <s v="Tidak termasuk listrik"/>
    <s v=""/>
    <s v="N/A"/>
    <s v="3 x 3 meter; Tidak termasuk listrik; AC; Kasur; Meja; TV; Kulkas; Lemari Baju; Bantal; Cermin; Guling; Jendela; K. Mandi Dalam; Kloset Duduk; Shower; Air panas; WiFi; R. Cuci; Laundry; Penjaga Kos; R. Tamu; R. Jemur; R. Makan; R. Santai; Dapur; Parkir Motor; Parkir Sepeda; Parkir Motor &amp; Sepeda"/>
    <n v="2200000"/>
    <s v="Rp2.200.000"/>
    <n v="0.17222222222222225"/>
    <d v="1899-12-30T04:08:00"/>
    <s v="Kos Campur"/>
    <m/>
    <s v="Diskon 113rb"/>
  </r>
  <r>
    <s v="Kost Tanjung Priok Jakarta Utara"/>
    <x v="4"/>
    <x v="5"/>
    <n v="12"/>
    <s v="3 x 4 meter"/>
    <s v="Tidak termasuk listrik"/>
    <s v=""/>
    <s v="N/A"/>
    <s v="3 x 4 meter; Tidak termasuk listrik; AC; K. Mandi Dalam; Kloset Jongkok; Ember mandi; Shower; WiFi; Penjaga Kos; Pengurus Kos; Parkir Motor"/>
    <n v="1500000"/>
    <s v="Rp1.500.000"/>
    <n v="0.20833333333333334"/>
    <d v="1899-12-30T05:00:00"/>
    <s v="Kos Campur"/>
    <m/>
    <s v="Diskon 78rb"/>
  </r>
  <r>
    <s v="Kost Tante Madia Cileungsi Bogor"/>
    <x v="0"/>
    <x v="128"/>
    <n v="12"/>
    <s v="3 x 4 meter"/>
    <s v="Tidak termasuk listrik"/>
    <s v=""/>
    <s v="N/A"/>
    <s v="3 x 4 meter; Tidak termasuk listrik; Dapur Pribadi; Jendela; Kloset Duduk; Dapur; Jemuran; Parkir Mobil; Parkir Motor; Parkir Sepeda; Parkir Motor &amp; Sepeda"/>
    <n v="600000"/>
    <s v="Rp600.000"/>
    <n v="0"/>
    <m/>
    <s v="Kos Campur"/>
    <m/>
    <m/>
  </r>
  <r>
    <s v="Kost Tapas 25 VIP Blue Penjaringan Jakarta Utara"/>
    <x v="4"/>
    <x v="156"/>
    <n v="12"/>
    <s v="3 x 4 meter"/>
    <s v="Tidak termasuk listrik"/>
    <s v=""/>
    <s v="N/A"/>
    <s v="3 x 4 meter; Tidak termasuk listrik; AC; Kasur; Lemari Baju; Bantal; Cermin; Guling; Jendela; Wastafel; K. Mandi Dalam; Kloset Duduk; Shower; WiFi; CCTV; Jemuran; Pengurus Kos; Parkir Motor &amp; Sepeda"/>
    <n v="1650000"/>
    <s v="Rp1.650.000"/>
    <n v="0"/>
    <m/>
    <s v="Kos Putri"/>
    <m/>
    <m/>
  </r>
  <r>
    <s v="Kost Tara Residence Deluxe Beji Depok"/>
    <x v="1"/>
    <x v="16"/>
    <n v="8.3999999999999986"/>
    <s v="2.8 x 3 meter"/>
    <s v="Tidak termasuk listrik"/>
    <s v=""/>
    <s v="N/A"/>
    <s v="2.8 x 3 meter; Tidak termasuk listrik; AC; Kasur; Meja; Lemari Baju; Ventilasi; Bantal; Kursi; Jendela; Kloset Duduk; K. Mandi Luar; Wastafel; Shower; Air panas; WiFi; Kulkas; Laundry; R. Tamu; Penjaga Kos; R. Jemur; Dapur; Rooftop; CCTV; Parkir Motor &amp; Sepeda"/>
    <n v="1200000"/>
    <s v="Rp1.200.000"/>
    <n v="0.17083333333333331"/>
    <d v="1899-12-30T04:06:00"/>
    <s v="Kos Campur"/>
    <m/>
    <m/>
  </r>
  <r>
    <s v="Kost Tasha Tipe A Beji Depok"/>
    <x v="1"/>
    <x v="15"/>
    <n v="9"/>
    <s v="3 x 3 meter"/>
    <s v="Termasuk listrik (implied)"/>
    <s v=""/>
    <s v="N/A"/>
    <s v="3 x 3 meter; Termasuk listrik; Kasur; Lemari Baju; Kulkas; Ventilasi; Kipas Angin; Bantal; Jendela; Cermin; Kursi; K. Mandi Dalam; Kloset Duduk; Kloset Jongkok; K. Mandi Luar; Ember mandi; Shower; Bak mandi; WiFi; R. Cuci; Penjaga Kos; R. Tamu; R. Jemur; R. Santai; Dapur; CCTV; Jemuran; Parkir Motor; Parkir Sepeda; Parkir Motor &amp; Sepeda"/>
    <n v="750000"/>
    <s v="Rp750.000"/>
    <n v="0.16944444444444443"/>
    <d v="1899-12-30T04:04:00"/>
    <s v="Kos Campur"/>
    <m/>
    <m/>
  </r>
  <r>
    <s v="Kost Tasima Adaro Ciampea Bogor"/>
    <x v="0"/>
    <x v="85"/>
    <n v="9"/>
    <s v="3 x 3 meter"/>
    <s v="Termasuk listrik (implied)"/>
    <s v=""/>
    <s v="N/A"/>
    <s v="3 x 3 meter; Termasuk listrik; Kasur; Meja; Lemari Baju; Bantal; Guling; Kursi; K. Mandi Dalam; Kloset Jongkok; Ember mandi; WiFi; Kulkas; Penjaga Kos; R. Tamu; R. Jemur; R. Makan; R. Santai; Dapur; Balcon; CCTV; Parkir Motor"/>
    <n v="800000"/>
    <s v="Rp800.000"/>
    <n v="0.1673611111111111"/>
    <d v="1899-12-30T04:01:00"/>
    <s v="Kos Campur"/>
    <m/>
    <m/>
  </r>
  <r>
    <s v="Kost Tawakal Premier Home Tipe A Grogol Petamburan Jakarta Barat"/>
    <x v="3"/>
    <x v="13"/>
    <n v="9"/>
    <s v="3 x 3 meter"/>
    <s v="Tidak termasuk listrik"/>
    <s v=""/>
    <s v="N/A"/>
    <s v="3 x 3 meter; Tidak termasuk listrik; AC; Kasur; Meja; TV; Lemari Baju; Bantal; Cermin; Jendela; Kursi; K. Mandi Dalam; Kloset Duduk; K. Mandi Luar; Shower; WiFi; Kulkas; Mesin Cuci; R. Tamu; Dapur; CCTV; Pengurus Kos; Parkir Motor; Parkir Sepeda"/>
    <n v="3000000"/>
    <s v="Rp3.000.000"/>
    <n v="0.17291666666666669"/>
    <d v="1899-12-30T04:09:00"/>
    <s v="Kos Campur"/>
    <m/>
    <m/>
  </r>
  <r>
    <s v="Kost Tawakal Premier Home Tipe B Grogol Petamburan Jakarta Barat"/>
    <x v="3"/>
    <x v="82"/>
    <n v="9"/>
    <s v="3 x 3 meter"/>
    <s v="Tidak termasuk listrik"/>
    <s v=""/>
    <s v="N/A"/>
    <s v="3 x 3 meter; Tidak termasuk listrik; AC; Kasur; Meja; TV; Lemari Baju; Bantal; Cermin; Jendela; Kursi; K. Mandi Dalam; Kloset Duduk; K. Mandi Luar; Shower; WiFi; Kulkas; Mesin Cuci; Penjaga Kos; Dapur; Balcon; CCTV; Jemuran; Pengurus Kos; Parkir Mobil; Parkir Motor; Parkir Sepeda"/>
    <n v="2500000"/>
    <s v="Rp2.500.000"/>
    <n v="0.17083333333333331"/>
    <d v="1899-12-30T04:06:00"/>
    <s v="Kos Campur"/>
    <m/>
    <m/>
  </r>
  <r>
    <s v="Kost Tawes Residence Tipe Executive Pulo Gadung Jakarta Timur"/>
    <x v="8"/>
    <x v="32"/>
    <n v="16"/>
    <s v="4 x 4 meter"/>
    <s v="Termasuk listrik (implied)"/>
    <s v=""/>
    <s v="N/A"/>
    <s v="4 x 4 meter; Termasuk listrik; AC; Kasur; Meja; TV; Lemari Baju; Ventilasi; Kursi; Wastafel; Cleaning service; TV Kabel; K. Mandi Dalam; Kloset Duduk; Shower; Air panas; WiFi; R. Cuci; Kulkas; R. Tamu; Mesin Cuci; Penjaga Kos; Laundry; R. Makan; R. Jemur; R. Santai; Parkir Mobil; Parkir Motor; Parkir Sepeda"/>
    <n v="3300000"/>
    <s v="Rp3.300.000"/>
    <n v="0.20833333333333334"/>
    <d v="1899-12-30T05:00:00"/>
    <s v="Kos Campur"/>
    <m/>
    <m/>
  </r>
  <r>
    <s v="Kost Teman Residence 2 Koja Jakarta Utara"/>
    <x v="4"/>
    <x v="36"/>
    <n v="21"/>
    <s v="3 x 7 meter"/>
    <s v="Tidak termasuk listrik"/>
    <s v=""/>
    <s v="N/A"/>
    <s v="3 x 7 meter; Tidak termasuk listrik; Dapur Pribadi; Jendela; K. Mandi Dalam; Kloset Jongkok; Shower; Balcon; Parkir Motor; Parkir Sepeda; Parkir Motor &amp; Sepeda"/>
    <n v="1700000"/>
    <s v="Rp1.700.000"/>
    <n v="0.17222222222222225"/>
    <d v="1899-12-30T04:08:00"/>
    <s v="Kos Campur"/>
    <m/>
    <s v="Diskon 83rb"/>
  </r>
  <r>
    <s v="Kost Tembok 8 Tipe AC 1 Menteng Jakarta Pusat"/>
    <x v="9"/>
    <x v="125"/>
    <n v="9"/>
    <s v="3 x 3 meter"/>
    <s v="Termasuk listrik (implied)"/>
    <s v=""/>
    <s v="N/A"/>
    <s v="3 x 3 meter; Termasuk listrik; AC; Kasur; Meja; Lemari Baju; Ventilasi; Kursi; Cermin; Jendela; Bantal; Kloset Jongkok; Ember mandi; Shower; WiFi; R. Cuci; R. Jemur; Dapur; Jemuran; Pengurus Kos"/>
    <n v="1850000"/>
    <s v="Rp1.850.000"/>
    <n v="0.17222222222222225"/>
    <d v="1899-12-30T04:08:00"/>
    <s v="Kos Putri"/>
    <m/>
    <m/>
  </r>
  <r>
    <s v="Kost Tenggiri 3R Tipe B Tanjung Priok Jakarta Utara"/>
    <x v="4"/>
    <x v="5"/>
    <n v="9"/>
    <s v="3 x 3 meter"/>
    <s v="Tidak termasuk listrik"/>
    <s v=""/>
    <s v="N/A"/>
    <s v="3 x 3 meter; Tidak termasuk listrik; AC; Kasur; TV; Lemari Baju; Bantal; Kipas Angin; K. Mandi Dalam; Kloset Duduk; Ember mandi; Shower; WiFi; Kulkas; Penjaga Kos; R. Santai; Dapur; Dispenser; Balcon; CCTV; Gazebo; Jual Makanan; Parkir Motor; Parkir Sepeda"/>
    <n v="1300000"/>
    <s v="Rp1.300.000"/>
    <n v="0.12569444444444444"/>
    <d v="1899-12-30T03:01:00"/>
    <s v="Kos Campur"/>
    <m/>
    <m/>
  </r>
  <r>
    <s v="Kost Tentram Tipe 1 Benda Tangerang"/>
    <x v="6"/>
    <x v="122"/>
    <n v="9"/>
    <s v="3 x 3 meter"/>
    <s v="Tidak termasuk listrik"/>
    <s v=""/>
    <s v="N/A"/>
    <s v="3 x 3 meter; Tidak termasuk listrik; Ventilasi; Jendela; K. Mandi Dalam; Kloset Jongkok; Ember mandi; CCTV; Jemuran; Parkir Motor &amp; Sepeda"/>
    <n v="700000"/>
    <s v="Rp700.000"/>
    <n v="0"/>
    <m/>
    <s v="Kos Putri"/>
    <m/>
    <m/>
  </r>
  <r>
    <s v="Kost Teras Berkat Tipe A Babakan Madang Bogor"/>
    <x v="0"/>
    <x v="80"/>
    <n v="12"/>
    <s v="3 x 4 meter"/>
    <s v="Termasuk listrik (implied)"/>
    <s v=""/>
    <s v="N/A"/>
    <s v="3 x 4 meter; Termasuk listrik; AC; Kasur; Meja; Lemari Baju; Bantal; Guling; Jendela; Kursi; Wastafel; Kloset Duduk; K. Mandi Luar; Ember mandi; Shower; Air panas; Kulkas; R. Cuci; Mesin Cuci; R. Jemur; R. Makan; R. Santai; Dapur; Balcon; Jemuran; Jual Makanan; Parkir Mobil; Parkir Motor; Parkir Sepeda"/>
    <n v="1500000"/>
    <s v="Rp1.500.000"/>
    <n v="0"/>
    <m/>
    <s v="Kos Putri"/>
    <m/>
    <m/>
  </r>
  <r>
    <s v="Kost Teras Tipe A Pondok Aren Tangerang Selatan"/>
    <x v="2"/>
    <x v="29"/>
    <n v="9"/>
    <s v="3 x 3 meter"/>
    <s v="Tidak termasuk listrik"/>
    <s v=""/>
    <s v="N/A"/>
    <s v="3 x 3 meter; Tidak termasuk listrik; AC; Kasur; Meja; Lemari Baju; Ventilasi; Bantal; Cermin; Guling; Wastafel; Kursi; K. Mandi Dalam; Kloset Duduk; Shower; WiFi; Kulkas; Penjaga Kos; R. Tamu; R. Makan; R. Jemur; Dapur; Dispenser; Balcon; CCTV; Parkir Motor"/>
    <n v="1400000"/>
    <s v="Rp1.400.000"/>
    <n v="0.17291666666666669"/>
    <d v="1899-12-30T04:09:00"/>
    <s v="Kos Campur"/>
    <m/>
    <s v="Diskon 104rb"/>
  </r>
  <r>
    <s v="Kost The Gading Residence Kelapa Gading Jakarta Utara"/>
    <x v="4"/>
    <x v="79"/>
    <n v="5.5"/>
    <s v="2.5 x 2.2 meter"/>
    <s v="Tidak termasuk listrik"/>
    <s v=""/>
    <s v="N/A"/>
    <s v="2.5 x 2.2 meter; Tidak termasuk listrik; AC; Ventilasi; Bantal; Guling; Kloset Duduk; Wastafel; Shower; WiFi; Kulkas; R. Cuci; R. Jemur; R. Makan; Dispenser; Dapur; Jemuran; K. Mandi Luar; Parkir Mobil; Parkir Motor; Parkir Sepeda"/>
    <n v="1850000"/>
    <s v="Rp1.850.000"/>
    <n v="0.17222222222222225"/>
    <d v="1899-12-30T04:08:00"/>
    <s v="Kos Campur"/>
    <m/>
    <s v="Diskon 124rb"/>
  </r>
  <r>
    <s v="Kost The Grey Barn Tipe B Cikarang Utara Bekasi"/>
    <x v="7"/>
    <x v="33"/>
    <n v="12"/>
    <s v="3 x 4 meter"/>
    <s v="Tidak termasuk listrik"/>
    <s v=""/>
    <s v="N/A"/>
    <s v="3 x 4 meter; Tidak termasuk listrik; AC; Kasur; Meja; Lemari Baju; Bantal; Cermin; Cleaning service; Guling; Jendela; Kursi; K. Mandi Dalam; Kloset Duduk; Shower; WiFi; Kulkas; R. Cuci; Laundry; Mesin Cuci; Penjaga Kos; R. Tamu; R. Jemur; R. Makan; Dapur; Parkir Mobil; Parkir Motor"/>
    <n v="1900000"/>
    <s v="Rp1.900.000"/>
    <n v="0"/>
    <m/>
    <s v="Kos Putri"/>
    <m/>
    <m/>
  </r>
  <r>
    <s v="Kost The Lavender Executive Pamulang Tangerang Selatan"/>
    <x v="2"/>
    <x v="77"/>
    <n v="9"/>
    <s v="3 x 3 meter"/>
    <s v="Tidak termasuk listrik"/>
    <s v=""/>
    <s v="N/A"/>
    <s v="3 x 3 meter; Tidak termasuk listrik; AC; Kasur; Meja; Lemari Baju; Bantal; Cermin; Guling; Jendela; Kursi; Kloset Duduk; Kloset Jongkok; Shower; R. Cuci; R. Tamu; R. Jemur; R. Makan; Dapur; Jemuran; K. Mandi Luar; Pengurus Kos; R. Keluarga; Parkir Mobil; Parkir Motor; Parkir Sepeda"/>
    <n v="1300000"/>
    <s v="Rp1.300.000"/>
    <n v="0"/>
    <m/>
    <s v="Kos Putri"/>
    <m/>
    <m/>
  </r>
  <r>
    <s v="Kost The Legacy Residence Pondok Indah Syariah Kebayoran Lama Jakarta Selatan"/>
    <x v="5"/>
    <x v="188"/>
    <n v="17.5"/>
    <s v="5 x 3.5 meter"/>
    <s v="Tidak termasuk listrik"/>
    <s v=""/>
    <s v="N/A"/>
    <s v="5 x 3.5 meter; Tidak termasuk listrik; AC; Kasur; Meja; TV; Lemari Baju; Ventilasi; Bantal; Cermin; Cleaning service; Guling; K. Mandi Dalam; Kloset Duduk; Wastafel; Shower; Air panas; WiFi; Penjaga Kos; Mushola; Dapur; Dispenser; Balcon; CCTV; Jemuran; Kartu Akses; Pengurus Kos; Parkir Mobil; Parkir Motor"/>
    <n v="3850000"/>
    <s v="Rp3.850.000"/>
    <n v="0.17083333333333331"/>
    <d v="1899-12-30T04:06:00"/>
    <s v="Kos Campur"/>
    <m/>
    <s v="Diskon 193rb"/>
  </r>
  <r>
    <s v="Kost The Mansions Tipe B 1 Kelapa Gading Jakarta Utara"/>
    <x v="4"/>
    <x v="111"/>
    <n v="9"/>
    <s v="3 x 3 meter"/>
    <s v="Tidak termasuk listrik"/>
    <s v=""/>
    <s v="N/A"/>
    <s v="3 x 3 meter; Tidak termasuk listrik; AC; Kasur; Meja; Lemari Baju; Kursi; Bantal; K. Mandi Dalam; Kloset Duduk; Shower; Air panas; WiFi; R. Cuci; Kulkas; Mesin Cuci; Penjaga Kos; R. Makan; R. Jemur; Dispenser; Dapur; TV; Parkir Motor; Parkir Sepeda"/>
    <n v="1850000"/>
    <s v="Rp1.850.000"/>
    <n v="0.12916666666666668"/>
    <d v="1899-12-30T03:06:00"/>
    <s v="Kos Campur"/>
    <m/>
    <s v="Diskon 168rb"/>
  </r>
  <r>
    <s v="Kost The Pom Tipe Standard Dramaga Bogor"/>
    <x v="0"/>
    <x v="73"/>
    <n v="12"/>
    <s v="3 x 4 meter"/>
    <s v="Tidak termasuk listrik"/>
    <s v=""/>
    <s v="N/A"/>
    <s v="3 x 4 meter; Tidak termasuk listrik; Kasur; Meja; Lemari Baju; Ventilasi; Bantal; Cermin; Cleaning service; Dapur Pribadi; Guling; Jendela; K. Mandi Dalam; Kloset Duduk; Ember mandi; Wastafel; Shower; Penjaga Kos; Jual Makanan; Pengurus Kos; Taman; Parkir Mobil; Parkir Motor; Parkir Sepeda; Parkir Motor &amp; Sepeda"/>
    <n v="800000"/>
    <s v="Rp800.000"/>
    <n v="0.20833333333333334"/>
    <d v="1899-12-30T05:00:00"/>
    <s v="Kos Campur"/>
    <m/>
    <m/>
  </r>
  <r>
    <s v="Kost Thekos Cikarang Pusat Bekasi"/>
    <x v="7"/>
    <x v="100"/>
    <n v="35"/>
    <s v="7 x 5 meter"/>
    <s v="Tidak termasuk listrik"/>
    <s v=""/>
    <s v="N/A"/>
    <s v="7 x 5 meter; Tidak termasuk listrik; AC; Kasur; Lemari Baju; Ventilasi; Dapur Pribadi; Wastafel; Bantal; Cleaning service; Jendela; K. Mandi Dalam; Kloset Jongkok; Ember mandi; Shower; WiFi; CCTV; Jemuran; Parkir Mobil; Parkir Motor; Parkir Sepeda"/>
    <n v="1700000"/>
    <s v="Rp1.700.000"/>
    <n v="0"/>
    <m/>
    <s v="Kos Campur"/>
    <m/>
    <m/>
  </r>
  <r>
    <s v="Kost Tiara Ciampea Bogor"/>
    <x v="0"/>
    <x v="85"/>
    <n v="9"/>
    <s v="3 x 3 meter"/>
    <s v="Tidak termasuk listrik"/>
    <s v=""/>
    <s v="N/A"/>
    <s v="3 x 3 meter; Tidak termasuk listrik; Kasur; Meja; Lemari Baju; Jendela; Kursi; K. Mandi Dalam; Kloset Duduk; Kloset Jongkok; K. Mandi Luar; Bak mandi; WiFi; Dapur; Jemuran; Parkir Mobil; Parkir Motor"/>
    <n v="600000"/>
    <s v="Rp600.000"/>
    <n v="0"/>
    <m/>
    <s v="Kos Campur"/>
    <m/>
    <m/>
  </r>
  <r>
    <s v="Kost Tiara Tipe A1 Koja Jakarta Utara"/>
    <x v="4"/>
    <x v="93"/>
    <n v="12"/>
    <s v="3 x 4 meter"/>
    <s v="Tidak termasuk listrik"/>
    <s v=""/>
    <s v="N/A"/>
    <s v="3 x 4 meter; Tidak termasuk listrik; AC; Kasur; Meja; Lemari Baju; Kulkas; Kursi; Bantal; Cermin; Jendela; K. Mandi Dalam; Kloset Jongkok; Ember mandi; WiFi; R. Tamu; Penjaga Kos; R. Jemur; Balcon; CCTV; Jemuran; Parkir Motor; Parkir Sepeda"/>
    <n v="1600000"/>
    <s v="Rp1.600.000"/>
    <n v="0.17222222222222225"/>
    <d v="1899-12-30T04:08:00"/>
    <s v="Kos Campur"/>
    <m/>
    <s v="Diskon 83rb"/>
  </r>
  <r>
    <s v="Kost Tiara Tipe B1 Koja Jakarta Utara"/>
    <x v="4"/>
    <x v="93"/>
    <n v="20"/>
    <s v="4 x 5 meter"/>
    <s v="Tidak termasuk listrik"/>
    <s v=""/>
    <s v="N/A"/>
    <s v="4 x 5 meter; Tidak termasuk listrik; AC; Kasur; Meja; Lemari Baju; Kulkas; Kursi; Bantal; Cermin; Jendela; K. Mandi Dalam; Kloset Jongkok; Ember mandi; WiFi; R. Tamu; Penjaga Kos; Laundry; R. Jemur; Balcon; CCTV; Jemuran"/>
    <n v="1600000"/>
    <s v="Rp1.600.000"/>
    <n v="0.17222222222222225"/>
    <d v="1899-12-30T04:08:00"/>
    <s v="Kos Campur"/>
    <m/>
    <s v="Diskon 83rb"/>
  </r>
  <r>
    <s v="Kost Tifani Tipe A Dramaga Bogor"/>
    <x v="0"/>
    <x v="23"/>
    <n v="9"/>
    <s v="3 x 3 meter"/>
    <s v="Tidak termasuk listrik"/>
    <s v=""/>
    <s v="N/A"/>
    <s v="3 x 3 meter; Tidak termasuk listrik; AC; Kasur; Meja; Lemari Baju; Bantal; Cleaning service; Kursi; Guling; Jendela; K. Mandi Dalam; Kloset Duduk; Shower; WiFi; Kulkas; R. Tamu; R. Jemur; R. Makan; Dapur; Jemuran; CCTV; Parkir Motor"/>
    <n v="1400000"/>
    <s v="Rp1.400.000"/>
    <n v="0"/>
    <m/>
    <s v="Kos Putri"/>
    <m/>
    <m/>
  </r>
  <r>
    <s v="Kost Tinto Tipe 2 Cikarang Selatan Bekasi"/>
    <x v="7"/>
    <x v="27"/>
    <n v="8.41"/>
    <s v="2.9 x 2.9 meter"/>
    <s v="Tidak termasuk listrik"/>
    <s v=""/>
    <s v="N/A"/>
    <s v="2.9 x 2.9 meter; Tidak termasuk listrik; AC; Kasur; Meja; Lemari Baju; Ventilasi; Bantal; Cermin; Cleaning service; Guling; Jendela; K. Mandi Dalam; Kloset Duduk; Ember mandi; Shower; WiFi; Kulkas; Penjaga Kos; R. Tamu; R. Jemur; R. Makan; R. Santai; Dapur; Balcon; CCTV; Parkir Mobil; Parkir Motor; Parkir Sepeda; Parkir Motor &amp; Sepeda"/>
    <n v="1325000"/>
    <s v="Rp1.325.000"/>
    <n v="0"/>
    <m/>
    <s v="Kos Putri"/>
    <m/>
    <m/>
  </r>
  <r>
    <s v="Kost Tinto Tipe 2 Cikarang Selatan Bekasi"/>
    <x v="7"/>
    <x v="27"/>
    <n v="8.41"/>
    <s v="2.9 x 2.9 meter"/>
    <s v="Tidak termasuk listrik"/>
    <s v=""/>
    <s v="N/A"/>
    <s v="2.9 x 2.9 meter; Tidak termasuk listrik; AC; Kasur; Meja; Lemari Baju; Ventilasi; Bantal; Cermin; Cleaning service; Guling; Jendela; K. Mandi Dalam; Kloset Duduk; Ember mandi; Shower; Parkir Mobil; Parkir Motor; Parkir Sepeda; Parkir Motor &amp; Sepeda"/>
    <n v="1325000"/>
    <s v="Rp1.325.000"/>
    <n v="0"/>
    <m/>
    <s v="Kos Putri"/>
    <m/>
    <m/>
  </r>
  <r>
    <s v="Kost Tinto Tipe A Cikarang Selatan Bekasi"/>
    <x v="7"/>
    <x v="27"/>
    <n v="9"/>
    <s v="3 x 3 meter"/>
    <s v="Tidak termasuk listrik"/>
    <s v=""/>
    <s v="N/A"/>
    <s v="3 x 3 meter; Tidak termasuk listrik; AC; Kasur; Meja; Lemari Baju; Ventilasi; Bantal; Cermin; Cleaning service; Guling; Jendela; K. Mandi Dalam; Kloset Duduk; Ember mandi; Shower; WiFi; Kulkas; Penjaga Kos; R. Tamu; R. Jemur; R. Makan; R. Santai; Dapur; Balcon; CCTV; Parkir Mobil; Parkir Motor; Parkir Sepeda; Parkir Motor &amp; Sepeda"/>
    <n v="1380000"/>
    <s v="Rp1.380.000"/>
    <n v="0.17222222222222225"/>
    <d v="1899-12-30T04:08:00"/>
    <s v="Kos Campur"/>
    <m/>
    <m/>
  </r>
  <r>
    <s v="Kost Tinto Tipe C Cikarang Selatan Bekasi"/>
    <x v="7"/>
    <x v="27"/>
    <n v="12"/>
    <s v="3 x 4 meter"/>
    <s v="Tidak termasuk listrik"/>
    <s v=""/>
    <s v="N/A"/>
    <s v="3 x 4 meter; Tidak termasuk listrik; AC; Kasur; Meja; Lemari Baju; Ventilasi; Bantal; Cermin; Cleaning service; Guling; Jendela; K. Mandi Dalam; Kloset Duduk; Ember mandi; Shower; WiFi; Kulkas; Penjaga Kos; R. Tamu; R. Jemur; R. Makan; R. Santai; Dapur; Balcon; CCTV; Parkir Mobil; Parkir Motor; Parkir Sepeda; Parkir Motor &amp; Sepeda"/>
    <n v="1330000"/>
    <s v="Rp1.330.000"/>
    <n v="0.17222222222222225"/>
    <d v="1899-12-30T04:08:00"/>
    <s v="Kos Campur"/>
    <m/>
    <m/>
  </r>
  <r>
    <s v="Kost Tirta F30 Tipe A Dramaga Bogor"/>
    <x v="0"/>
    <x v="23"/>
    <n v="9"/>
    <s v="3 x 3 meter"/>
    <s v="Tidak termasuk listrik"/>
    <s v=""/>
    <s v="N/A"/>
    <s v="3 x 3 meter; Tidak termasuk listrik; AC; Kasur; Meja; Lemari Baju; Ventilasi; Bantal; Cermin; Jendela; Kursi; K. Mandi Dalam; Kloset Jongkok; Ember mandi; Shower; WiFi; Kulkas; R. Cuci; R. Tamu; R. Jemur; R. Makan; R. Santai; Dapur; Jemuran; K. Mandi Luar; Parkir Mobil; Parkir Motor; Parkir Sepeda"/>
    <n v="1400000"/>
    <s v="Rp1.400.000"/>
    <n v="0"/>
    <m/>
    <s v="Kos Putri"/>
    <m/>
    <m/>
  </r>
  <r>
    <s v="Kost Tiseri Tipe Standar Dramaga Bogor"/>
    <x v="0"/>
    <x v="23"/>
    <n v="7.5"/>
    <s v="2.5 x 3 meter"/>
    <s v="Tidak termasuk listrik"/>
    <s v=""/>
    <s v="N/A"/>
    <s v="2.5 x 3 meter; Tidak termasuk listrik; AC; Kasur; Meja; Dispenser; Lemari Baju; Ventilasi; Bantal; Cermin; Kursi; K. Mandi Dalam; Kloset Duduk; Shower; WiFi; Kulkas; R. Cuci; R. Tamu; R. Jemur; R. Santai; Dapur; Balcon; Jemuran; Parkir Motor; Parkir Motor &amp; Sepeda"/>
    <n v="1350000"/>
    <s v="Rp1.350.000"/>
    <n v="0"/>
    <m/>
    <s v="Kos Putri"/>
    <m/>
    <m/>
  </r>
  <r>
    <s v="Kost Titi Tipe A Cipondoh Tangerang"/>
    <x v="6"/>
    <x v="98"/>
    <n v="18"/>
    <s v="3 x 6 meter"/>
    <s v="Tidak termasuk listrik"/>
    <s v=""/>
    <s v="N/A"/>
    <s v="3 x 6 meter; Tidak termasuk listrik; Meja; Ventilasi; Jendela; K. Mandi Dalam; Kloset Jongkok; Ember mandi; Bak mandi; Jemuran; Jual Makanan; Taman"/>
    <n v="850000"/>
    <s v="Rp850.000"/>
    <n v="0.20833333333333334"/>
    <d v="1899-12-30T05:00:00"/>
    <s v="Kos Campur"/>
    <m/>
    <m/>
  </r>
  <r>
    <s v="Kost Tjek Ma Tipe A Pondok Aren Tangerang Selatan"/>
    <x v="2"/>
    <x v="29"/>
    <n v="9"/>
    <s v="3 x 3 meter"/>
    <s v="Tidak termasuk listrik"/>
    <s v=""/>
    <s v="N/A"/>
    <s v="3 x 3 meter; Tidak termasuk listrik; AC; Kasur; Lemari Baju; Cleaning service; Bantal; Guling; Jendela; Kloset Duduk; K. Mandi Luar; Shower; WiFi; R. Tamu; Penjaga Kos; R. Jemur; R. Santai; Dapur; Pengurus Kos; Parkir Mobil; Parkir Motor; Parkir Sepeda"/>
    <n v="1300000"/>
    <s v="Rp1.300.000"/>
    <n v="4.4444444444444446E-2"/>
    <d v="1899-12-30T01:04:00"/>
    <s v="Kos Putri"/>
    <m/>
    <m/>
  </r>
  <r>
    <s v="Kost Tjek Ma Tipe C Pondok Aren Tangerang Selatan"/>
    <x v="2"/>
    <x v="29"/>
    <n v="15"/>
    <s v="5 x 3 meter"/>
    <s v="Tidak termasuk listrik"/>
    <s v=""/>
    <s v="N/A"/>
    <s v="5 x 3 meter; Tidak termasuk listrik; AC; Kasur; Lemari Baju; Cleaning service; Bantal; Guling; Jendela; Kloset Duduk; K. Mandi Luar; Shower; WiFi; R. Tamu; Penjaga Kos; R. Jemur; R. Santai; Dapur; Pengurus Kos; Parkir Mobil; Parkir Motor; Parkir Sepeda"/>
    <n v="1400000"/>
    <s v="Rp1.400.000"/>
    <n v="0"/>
    <m/>
    <s v="Kos Putri"/>
    <m/>
    <m/>
  </r>
  <r>
    <s v="Kost TK 9C Tipe AC Karang Tengah Tangerang"/>
    <x v="6"/>
    <x v="26"/>
    <n v="9"/>
    <s v="3 x 3 meter"/>
    <s v="Tidak termasuk listrik"/>
    <s v=""/>
    <s v="N/A"/>
    <s v="3 x 3 meter; Tidak termasuk listrik; AC; Kasur; Lemari Baju; Ventilasi; K. Mandi Dalam; Kloset Duduk; Ember mandi; Shower; WiFi; R. Cuci; R. Tamu; R. Jemur; Jemuran; Pengurus Kos; CCTV; Parkir Motor; Parkir Motor &amp; Sepeda"/>
    <n v="1150000"/>
    <s v="Rp1.150.000"/>
    <n v="0"/>
    <m/>
    <s v="Kos Putra"/>
    <m/>
    <m/>
  </r>
  <r>
    <s v="Kost Toha Limo Depok"/>
    <x v="1"/>
    <x v="9"/>
    <n v="9"/>
    <s v="3 x 3 meter"/>
    <s v="Tidak termasuk listrik"/>
    <s v=""/>
    <s v="N/A"/>
    <s v="3 x 3 meter; Tidak termasuk listrik; Kasur; TV; Lemari Baju; Kipas Angin; Bantal; Guling; Jendela; Cermin; Kloset Jongkok; K. Mandi Luar; Ember mandi; Bak mandi; WiFi; R. Cuci; Mesin Cuci; R. Santai; Taman; Gazebo; Jemuran; Parkir Motor"/>
    <n v="800000"/>
    <s v="Rp800.000"/>
    <n v="0"/>
    <m/>
    <s v="Kos Putri"/>
    <m/>
    <m/>
  </r>
  <r>
    <s v="Kost Tresidence Kramatjati Jakarta Timur"/>
    <x v="8"/>
    <x v="47"/>
    <n v="21"/>
    <s v="3 x 7 meter"/>
    <s v="Tidak termasuk listrik"/>
    <s v=""/>
    <s v="N/A"/>
    <s v="3 x 7 meter; Tidak termasuk listrik; AC; Kasur; Meja; TV; Lemari Baju; Kursi; Wastafel; Cermin; Jendela; K. Mandi Dalam; Kloset Duduk; Shower; Air panas; WiFi; Penjaga Kos; Laundry; R. Jemur; CCTV; Pengurus Kos; Parkir Mobil; Parkir Motor; Parkir Sepeda"/>
    <n v="2400000"/>
    <s v="Rp2.400.000"/>
    <n v="0"/>
    <m/>
    <s v="Kos Campur"/>
    <m/>
    <m/>
  </r>
  <r>
    <s v="Kost Tri Irianto 1 Pulo Gadung Jakarta Timur"/>
    <x v="8"/>
    <x v="94"/>
    <n v="12"/>
    <s v="3 x 4 meter"/>
    <s v="Tidak termasuk listrik"/>
    <s v=""/>
    <s v="N/A"/>
    <s v="3 x 4 meter; Tidak termasuk listrik; Kasur; Meja; Lemari Baju; Guling; Jendela; Kipas Angin; Kursi; K. Mandi Dalam; Kloset Jongkok; Ember mandi; Shower; WiFi; Kulkas; Dapur; TV; Parkir Motor"/>
    <n v="1000000"/>
    <s v="Rp1.000.000"/>
    <n v="0"/>
    <m/>
    <s v="Kos Campur"/>
    <m/>
    <m/>
  </r>
  <r>
    <s v="Kost Tri Tipe B Matraman Jakarta Timur"/>
    <x v="8"/>
    <x v="72"/>
    <n v="12"/>
    <s v="3 x 4 meter"/>
    <s v="Termasuk listrik (implied)"/>
    <s v=""/>
    <s v="N/A"/>
    <s v="3 x 4 meter; Termasuk listrik; AC; Kasur; Lemari Baju; Kursi; K. Mandi Dalam; Kloset Jongkok; Bak mandi; R. Cuci; R. Tamu; R. Jemur; R. Santai; Dapur; Balcon"/>
    <n v="1400000"/>
    <s v="Rp1.400.000"/>
    <n v="0.20833333333333334"/>
    <d v="1899-12-30T05:00:00"/>
    <s v="Kos Putra"/>
    <m/>
    <m/>
  </r>
  <r>
    <s v="Kost Tricasa Deluxe Doubel Tangerang"/>
    <x v="6"/>
    <x v="90"/>
    <n v="15.17"/>
    <s v="3.7 x 4.1 meter"/>
    <s v="Tidak termasuk listrik"/>
    <s v=""/>
    <s v="N/A"/>
    <s v="3.7 x 4.1 meter; Tidak termasuk listrik; AC; Kasur; Meja; Lemari Baju; Bantal; Cleaning service; Jendela; Kursi; K. Mandi Dalam; Kloset Duduk; Shower; Air panas; WiFi; Kulkas; Mesin Cuci; Penjaga Kos; R. Jemur; Dapur; Dispenser; Balcon; CCTV; Jemuran; Parkir Motor &amp; Sepeda"/>
    <n v="2300000"/>
    <s v="Rp2.300.000"/>
    <n v="0.17083333333333331"/>
    <d v="1899-12-30T04:06:00"/>
    <s v="Kos Campur"/>
    <m/>
    <s v="Diskon 105rb"/>
  </r>
  <r>
    <s v="Kost Trio Tipe A Ciampea Bogor"/>
    <x v="0"/>
    <x v="85"/>
    <n v="9"/>
    <s v="3 x 3 meter"/>
    <s v="Tidak termasuk listrik"/>
    <s v=""/>
    <s v="N/A"/>
    <s v="3 x 3 meter; Tidak termasuk listrik; Dapur Pribadi; Jendela; Kloset Duduk; Shower; R. Tamu; R. Makan; R. Santai; Dapur; Balcon; K. Mandi Luar; R. Keluarga; Parkir Mobil; Parkir Motor; Parkir Sepeda; Parkir Motor &amp; Sepeda"/>
    <n v="900000"/>
    <s v="Rp900.000"/>
    <n v="0"/>
    <m/>
    <s v="Kos Putri"/>
    <m/>
    <m/>
  </r>
  <r>
    <s v="Kost Trust Living Tipe A Grogol Petamburan Jakarta Barat"/>
    <x v="3"/>
    <x v="13"/>
    <n v="9"/>
    <s v="3 x 3 meter"/>
    <s v="Tidak termasuk listrik"/>
    <s v=""/>
    <s v="N/A"/>
    <s v="3 x 3 meter; Tidak termasuk listrik; AC; Kasur; Meja; TV; Lemari Baju; Ventilasi; Cermin; Jendela; Wastafel; K. Mandi Dalam; Kloset Duduk; Shower; Air panas; WiFi; Kulkas; Laundry; Penjaga Kos; Dapur; Dispenser; CCTV; Jemuran; Kartu Akses; Pengurus Kos; Parkir Motor; Parkir Sepeda; Parkir Motor &amp; Sepeda"/>
    <n v="2300000"/>
    <s v="Rp2.300.000"/>
    <n v="0.17222222222222225"/>
    <d v="1899-12-30T04:08:00"/>
    <s v="Kos Campur"/>
    <m/>
    <s v="Diskon 113rb"/>
  </r>
  <r>
    <s v="Kost Tulip Tipe A Pondok Aren Tangerang Selatann"/>
    <x v="2"/>
    <x v="29"/>
    <n v="12"/>
    <s v="3 x 4 meter"/>
    <s v="Tidak termasuk listrik"/>
    <s v=""/>
    <s v="N/A"/>
    <s v="3 x 4 meter; Tidak termasuk listrik; AC; Kasur; Meja; TV; Lemari Baju; Kulkas; Kursi; Bantal; Guling; Kloset Jongkok; K. Mandi Luar; Ember mandi; Bak mandi; R. Tamu; R. Jemur; R. Santai; Taman; Balcon; Jemuran; Parkir Mobil; Parkir Motor; Parkir Sepeda"/>
    <n v="850000"/>
    <s v="Rp850.000"/>
    <n v="0"/>
    <m/>
    <s v="Kos Putra"/>
    <m/>
    <m/>
  </r>
  <r>
    <s v="Kost Turbo Space VIP Suite Duren Sawit Jakarta Timur"/>
    <x v="8"/>
    <x v="39"/>
    <n v="40"/>
    <s v="8 x 5 meter"/>
    <s v="Tidak termasuk listrik"/>
    <s v=""/>
    <s v="N/A"/>
    <s v="8 x 5 meter; Tidak termasuk listrik; AC; Kasur; Dispenser; Meja; TV; Lemari Baju; Ventilasi; Bantal; Cermin; Guling; K. Mandi Dalam; Kloset Duduk; Wastafel; Shower; Air panas; WiFi; Kulkas; Penjaga Kos; R. Tamu; Laundry; R. Makan; R. Santai; Dapur; CCTV; Jual Makanan; Parkir Mobil; Parkir Motor; Parkir Sepeda"/>
    <n v="3000000"/>
    <s v="Rp3.000.000"/>
    <n v="0"/>
    <m/>
    <s v="Kos Campur"/>
    <m/>
    <m/>
  </r>
  <r>
    <s v="Kost Tuscany Garden 17 Cikarang Selatan Bekasi"/>
    <x v="7"/>
    <x v="27"/>
    <n v="12"/>
    <s v="3 x 4 meter"/>
    <s v="Tidak termasuk listrik"/>
    <s v=""/>
    <s v="N/A"/>
    <s v="3 x 4 meter; Tidak termasuk listrik; AC; Kasur; Meja; Lemari Baju; WiFi; Parkir Mobil"/>
    <n v="1950000"/>
    <s v="Rp1.950.000"/>
    <n v="0.17291666666666669"/>
    <d v="1899-12-30T04:09:00"/>
    <s v="Kos Campur"/>
    <m/>
    <m/>
  </r>
  <r>
    <s v="Kost Tuscany Garden 9 Tipe B Cikarang Selatan Bekasi"/>
    <x v="7"/>
    <x v="27"/>
    <n v="12"/>
    <s v="3 x 4 meter"/>
    <s v="Tidak termasuk listrik"/>
    <s v=""/>
    <s v="N/A"/>
    <s v="3 x 4 meter; Tidak termasuk listrik; Kasur; Meja; Lemari Baju; K. Mandi Dalam; Kloset Duduk; WiFi; Parkir Mobil"/>
    <n v="1650000"/>
    <s v="Rp1.650.000"/>
    <n v="0.17222222222222225"/>
    <d v="1899-12-30T04:08:00"/>
    <s v="Kos Campur"/>
    <m/>
    <m/>
  </r>
  <r>
    <s v="Kost Twin House Tipe VVIP Dramaga Bogor"/>
    <x v="0"/>
    <x v="73"/>
    <n v="9"/>
    <s v="3 x 3 meter"/>
    <s v="Tidak termasuk listrik"/>
    <s v=""/>
    <s v="N/A"/>
    <s v="3 x 3 meter; Tidak termasuk listrik; AC; Kasur; Meja; Lemari Baju; Ventilasi; Bantal; Cermin; Jendela; Kursi; K. Mandi Dalam; Kloset Duduk; Shower; WiFi; Kulkas; R. Tamu; R. Makan; R. Santai; Dapur; CCTV; Kartu Akses; R. Keluarga; Taman; Parkir Mobil; Parkir Motor; Parkir Sepeda"/>
    <n v="1550000"/>
    <s v="Rp1.550.000"/>
    <n v="0"/>
    <m/>
    <s v="Kos Putri"/>
    <m/>
    <m/>
  </r>
  <r>
    <s v="Kost UI Tidar Tipe A Beji Depok"/>
    <x v="1"/>
    <x v="15"/>
    <n v="7.5"/>
    <s v="3 x 2.5 meter"/>
    <s v="Termasuk listrik (implied)"/>
    <s v=""/>
    <s v="N/A"/>
    <s v="3 x 2.5 meter; Termasuk listrik; Kasur; Meja; Lemari Baju; Ventilasi; Kursi; Bantal; Guling; Jendela; K. Mandi Dalam; Kloset Jongkok; Ember mandi; WiFi; R. Tamu; Parkir Sepeda"/>
    <n v="703250"/>
    <s v="Rp703.250"/>
    <n v="0.20833333333333334"/>
    <d v="1899-12-30T05:00:00"/>
    <s v="Kos Putra"/>
    <m/>
    <m/>
  </r>
  <r>
    <s v="Kost Uj Babakan Madang Bogor"/>
    <x v="0"/>
    <x v="80"/>
    <n v="12"/>
    <s v="3 x 4 meter"/>
    <s v="Tidak termasuk listrik"/>
    <s v=""/>
    <s v="N/A"/>
    <s v="3 x 4 meter; Tidak termasuk listrik; AC; Kasur; Bantal; Cermin; Guling; Jendela; K. Mandi Dalam; Kloset Duduk; Ember mandi; WiFi; Kulkas; Dapur; Dispenser; CCTV; Parkir Mobil; Parkir Motor"/>
    <n v="1500000"/>
    <s v="Rp1.500.000"/>
    <n v="0"/>
    <m/>
    <s v="Kos Putra"/>
    <m/>
    <m/>
  </r>
  <r>
    <s v="Kost Umah Putih Tipe A Ciampea Bogor"/>
    <x v="0"/>
    <x v="85"/>
    <n v="9"/>
    <s v="3 x 3 meter"/>
    <s v="Termasuk listrik (implied)"/>
    <s v=""/>
    <s v="N/A"/>
    <s v="3 x 3 meter; Termasuk listrik; Kasur; Meja; Ventilasi; Bantal; Cermin; Jendela; Kipas Angin; Kursi; K. Mandi Dalam; Kloset Jongkok; K. Mandi Luar; Ember mandi; Penjaga Kos; Jemuran; Pengurus Kos; Taman; Parkir Mobil; Parkir Motor"/>
    <n v="750000"/>
    <s v="Rp750.000"/>
    <n v="0"/>
    <m/>
    <s v="Kos Campur"/>
    <m/>
    <m/>
  </r>
  <r>
    <s v="Kost Umanami Standar Gunung Putri Bogor"/>
    <x v="0"/>
    <x v="89"/>
    <n v="12"/>
    <s v="3 x 4 meter"/>
    <s v="Tidak termasuk listrik"/>
    <s v=""/>
    <s v="N/A"/>
    <s v="3 x 4 meter; Tidak termasuk listrik; Kasur; Lemari Baju; Ventilasi; Bantal; Guling; Jendela; Kloset Jongkok; K. Mandi Luar; Bak mandi; R. Cuci; Kulkas; R. Tamu; Mesin Cuci; R. Jemur; R. Makan; Dapur; Dispenser; Balcon; Jemuran; Parkir Mobil; Parkir Motor"/>
    <n v="700000"/>
    <s v="Rp700.000"/>
    <n v="0.20833333333333334"/>
    <d v="1899-12-30T05:00:00"/>
    <s v="Kos Putri"/>
    <m/>
    <m/>
  </r>
  <r>
    <s v="Kost Umi 1 Tipe Non Ac Bojongsari Depok"/>
    <x v="1"/>
    <x v="196"/>
    <n v="12"/>
    <s v="3 x 4 meter"/>
    <s v="Tidak termasuk listrik"/>
    <s v=""/>
    <s v="N/A"/>
    <s v="3 x 4 meter; Tidak termasuk listrik; Kasur; Lemari Baju; Bantal; Dapur Pribadi; Guling; Jendela; Kipas Angin; Wastafel; K. Mandi Dalam; Kloset Jongkok; Shower; WiFi; CCTV; Parkir Motor"/>
    <n v="715000"/>
    <s v="Rp715.000"/>
    <n v="0"/>
    <m/>
    <s v="Kos Putra"/>
    <m/>
    <m/>
  </r>
  <r>
    <s v="Kost Unfurnished Karang Tengah Tangerang"/>
    <x v="6"/>
    <x v="26"/>
    <n v="38.5"/>
    <s v="11 x 3.5 meter"/>
    <s v="Tidak termasuk listrik"/>
    <s v=""/>
    <s v="N/A"/>
    <s v="11 x 3.5 meter; Tidak termasuk listrik; Meja; Ventilasi; Jendela; Wastafel; K. Mandi Dalam; Kloset Jongkok; R. Cuci; R. Tamu; R. Jemur; R. Makan; R. Santai; Dapur; Gazebo; Jemuran; Joglo; R. Keluarga; Parkir Mobil; Parkir Motor; Parkir Sepeda; Parkir Motor &amp; Sepeda"/>
    <n v="1700000"/>
    <s v="Rp1.700.000"/>
    <n v="0.17291666666666669"/>
    <d v="1899-12-30T04:09:00"/>
    <s v="Kos Campur"/>
    <m/>
    <m/>
  </r>
  <r>
    <s v="Kost Unicorn Residence Suite Kembangan Jakarta Barat"/>
    <x v="3"/>
    <x v="133"/>
    <n v="28"/>
    <s v="7 x 4 meter"/>
    <s v="Tidak termasuk listrik"/>
    <s v=""/>
    <s v="N/A"/>
    <s v="7 x 4 meter; Tidak termasuk listrik; AC; Kasur; Meja; Dispenser; TV; Lemari Baju; Kulkas; Ventilasi; Bantal; Cermin; K. Mandi Dalam; Kloset Duduk; Wastafel; Shower; Air panas; WiFi; R. Cuci; Penjaga Kos; Laundry; Mesin Cuci; R. Jemur; Dapur; Balcon; Parkir Mobil; Parkir Motor; Parkir Sepeda; Parkir Motor &amp; Sepeda"/>
    <n v="3050000"/>
    <s v="Rp3.050.000"/>
    <n v="0.20833333333333334"/>
    <d v="1899-12-30T05:00:00"/>
    <s v="Kos Campur"/>
    <m/>
    <m/>
  </r>
  <r>
    <s v="Kost Unilever D9 Tipe B Karang Tengah Tangerang"/>
    <x v="6"/>
    <x v="121"/>
    <n v="8.75"/>
    <s v="2.5 x 3.5 meter"/>
    <s v="Tidak termasuk listrik"/>
    <s v=""/>
    <s v="N/A"/>
    <s v="2.5 x 3.5 meter; Tidak termasuk listrik; AC; Kasur; Meja; TV; Lemari Baju; Ventilasi; Bantal; Cermin; Dapur Pribadi; Guling; K. Mandi Dalam; Kloset Duduk; Kloset Jongkok; Ember mandi; Shower; WiFi; Kulkas; R. Jemur; Dapur; CCTV; Jemuran; Parkir Mobil; Parkir Motor"/>
    <n v="1700000"/>
    <s v="Rp1.700.000"/>
    <n v="0"/>
    <m/>
    <s v="Kos Campur"/>
    <m/>
    <m/>
  </r>
  <r>
    <s v="Kost Valencia Jaya 9 Grogol Petamburan Jakarta Barat"/>
    <x v="3"/>
    <x v="82"/>
    <n v="9"/>
    <s v="3 x 3 meter"/>
    <s v="Tidak termasuk listrik"/>
    <s v=""/>
    <s v="N/A"/>
    <s v="3 x 3 meter; Tidak termasuk listrik; AC; Kasur; Lemari Baju; Kloset Jongkok; K. Mandi Luar; Ember mandi; WiFi; R. Cuci; R. Jemur; Locker; Parkir Motor; Parkir Sepeda"/>
    <n v="775000"/>
    <s v="Rp775.000"/>
    <n v="0.1277777777777778"/>
    <d v="1899-12-30T03:04:00"/>
    <s v="Kos Campur"/>
    <m/>
    <m/>
  </r>
  <r>
    <s v="Kost Valencia Jaya Tipe B Grogol Petamburan Jakarta Barat"/>
    <x v="3"/>
    <x v="82"/>
    <n v="9"/>
    <s v="3 x 3 meter"/>
    <s v="Tidak termasuk listrik"/>
    <s v=""/>
    <s v="N/A"/>
    <s v="3 x 3 meter; Tidak termasuk listrik; AC; Kasur; Lemari Baju; Kloset Jongkok; K. Mandi Luar; Ember mandi; WiFi; R. Cuci; R. Jemur; Locker; Parkir Motor; Parkir Sepeda"/>
    <n v="775000"/>
    <s v="Rp775.000"/>
    <n v="0.12916666666666668"/>
    <d v="1899-12-30T03:06:00"/>
    <s v="Kos Campur"/>
    <m/>
    <m/>
  </r>
  <r>
    <s v="Kost Valentina Tipe Silver Tanjung Priok Jakarta Utara"/>
    <x v="4"/>
    <x v="10"/>
    <n v="9"/>
    <s v="3 x 3 meter"/>
    <s v="Tidak termasuk listrik"/>
    <s v=""/>
    <s v="N/A"/>
    <s v="3 x 3 meter; Tidak termasuk listrik; AC; Kasur; Meja; Kulkas; Lemari Baju; Ventilasi; Bantal; Cermin; Jendela; Guling; Kloset Duduk; K. Mandi Luar; Ember mandi; Shower; WiFi; R. Cuci; Penjaga Kos; Mesin Cuci; R. Jemur; R. Makan; Dapur; Dispenser; CCTV; Parkir Motor; Parkir Sepeda"/>
    <n v="1100000"/>
    <s v="Rp1.100.000"/>
    <n v="0.13125000000000001"/>
    <d v="1899-12-30T03:09:00"/>
    <s v="Kos Campur"/>
    <m/>
    <s v="Diskon 96rb"/>
  </r>
  <r>
    <s v="Kost Vanya 2 Dramaga Bogor"/>
    <x v="0"/>
    <x v="23"/>
    <n v="16"/>
    <s v="4 x 4 meter"/>
    <s v="Tidak termasuk listrik"/>
    <s v=""/>
    <s v="N/A"/>
    <s v="4 x 4 meter; Tidak termasuk listrik; AC; Kasur; Meja; Dispenser; Lemari Baju; Ventilasi; Bantal; Guling; Jendela; Kursi; K. Mandi Dalam; Kloset Duduk; Wastafel; Shower; Air panas; WiFi; Kulkas; R. Cuci; Penjaga Kos; R. Tamu; Laundry; Mesin Cuci; R. Jemur; R. Makan; Mushola; Parkir Mobil; Parkir Motor; Parkir Sepeda; Parkir Motor &amp; Sepeda"/>
    <n v="1400000"/>
    <s v="Rp1.400.000"/>
    <n v="0.20833333333333334"/>
    <d v="1899-12-30T05:00:00"/>
    <s v="Kos Putri"/>
    <m/>
    <m/>
  </r>
  <r>
    <s v="Kost VB98 Sentul City Babakan Madang Bogor"/>
    <x v="0"/>
    <x v="80"/>
    <n v="7"/>
    <s v="2.5 x 2.8 meter"/>
    <s v="Tidak termasuk listrik"/>
    <s v=""/>
    <s v="N/A"/>
    <s v="2.5 x 2.8 meter; Tidak termasuk listrik; AC; Kasur; Meja; Ventilasi; Jendela; Guling; Kursi; Bantal; K. Mandi Dalam; Kloset Duduk; Ember mandi; Shower; Air panas; Kulkas; R. Cuci; Penjaga Kos; R. Tamu; R. Jemur; R. Santai; Dispenser; Dapur; Balcon; Jemuran; Parkir Motor"/>
    <n v="2400000"/>
    <s v="Rp2.400.000"/>
    <n v="0"/>
    <m/>
    <s v="Kos Campur"/>
    <m/>
    <m/>
  </r>
  <r>
    <s v="Kost Venice Tipe A Taman Sari Jakarta Barat"/>
    <x v="3"/>
    <x v="136"/>
    <n v="8.8000000000000007"/>
    <s v="4 x 2.2 meter"/>
    <s v="Tidak termasuk listrik"/>
    <s v=""/>
    <s v="N/A"/>
    <s v="4 x 2.2 meter; Tidak termasuk listrik; AC; Kasur; Meja; Bantal; Cermin; Cleaning service; Guling; Jendela; K. Mandi Dalam; Shower; Air panas; WiFi; Kulkas; Penjaga Kos; R. Santai; Dapur; Dispenser; CCTV; Pengurus Kos; Rooftop; Parkir Motor &amp; Sepeda"/>
    <n v="1850000"/>
    <s v="Rp1.850.000"/>
    <n v="0.16944444444444443"/>
    <d v="1899-12-30T04:04:00"/>
    <s v="Kos Campur"/>
    <m/>
    <s v="Diskon 160rb"/>
  </r>
  <r>
    <s v="Kost Verena I Tipe AC Cikarang Selatan Bekasi"/>
    <x v="7"/>
    <x v="27"/>
    <n v="12"/>
    <s v="3 x 4 meter"/>
    <s v="Termasuk listrik (implied)"/>
    <s v=""/>
    <s v="N/A"/>
    <s v="3 x 4 meter; Termasuk listrik; AC; Kasur; Meja Rias; Lemari Baju; Ventilasi; Bantal; Cermin; Guling; Jendela; Wastafel; K. Mandi Dalam; Kloset Duduk; Ember mandi; Bak mandi; WiFi; Penjaga Kos; R. Jemur; R. Makan; R. Santai; Dapur; Dispenser; Balcon; CCTV; Jemuran; Parkir Mobil; Parkir Motor; Parkir Sepeda; Parkir Motor &amp; Sepeda"/>
    <n v="2000000"/>
    <s v="Rp2.000.000"/>
    <n v="0.17291666666666669"/>
    <d v="1899-12-30T04:09:00"/>
    <s v="Kos Campur"/>
    <m/>
    <m/>
  </r>
  <r>
    <s v="Kost Versanda Homestay BSD City Tipe A Serpong Tangerang Selatan"/>
    <x v="2"/>
    <x v="18"/>
    <n v="12"/>
    <s v="3 x 4 meter"/>
    <s v="Tidak termasuk listrik"/>
    <s v=""/>
    <s v="N/A"/>
    <s v="3 x 4 meter; Tidak termasuk listrik; AC; Kasur; Meja; Lemari Baju; Ventilasi; Bantal; Jendela; Kursi; Wastafel; Cermin; K. Mandi Dalam; Kloset Duduk; Shower; Air panas; WiFi; Kulkas; Penjaga Kos; Dapur; CCTV; Pengurus Kos; Parkir Mobil; Parkir Motor; Parkir Sepeda"/>
    <n v="2100000"/>
    <s v="Rp2.100.000"/>
    <n v="0.17083333333333331"/>
    <d v="1899-12-30T04:06:00"/>
    <s v="Kos Campur"/>
    <m/>
    <s v="Diskon 101rb"/>
  </r>
  <r>
    <s v="Kost Villa Melati Mas Tipe B Serpong Utara Tangerang Selatan"/>
    <x v="2"/>
    <x v="181"/>
    <n v="10.5"/>
    <s v="3 x 3.5 meter"/>
    <s v="Termasuk listrik (implied)"/>
    <s v=""/>
    <s v="N/A"/>
    <s v="3 x 3.5 meter; Termasuk listrik; AC; Kasur; Meja; Lemari Baju; Kursi; Kloset Duduk; K. Mandi Luar; Shower; Air panas; WiFi; R. Cuci; Kulkas; R. Tamu; R. Makan; R. Jemur; Dapur; Dispenser; TV; Parkir Mobil; Parkir Motor; Parkir Sepeda"/>
    <n v="1900000"/>
    <s v="Rp1.900.000"/>
    <n v="0.20833333333333334"/>
    <d v="1899-12-30T05:00:00"/>
    <s v="Kos Putri"/>
    <m/>
    <m/>
  </r>
  <r>
    <s v="Kost Village Marpaung Tipe A Ciledug Tangerang"/>
    <x v="6"/>
    <x v="147"/>
    <n v="12"/>
    <s v="3 x 4 meter"/>
    <s v="Termasuk listrik (implied)"/>
    <s v=""/>
    <s v="N/A"/>
    <s v="3 x 4 meter; Termasuk listrik; Kasur; Lemari Baju; Jendela; K. Mandi Dalam; Kloset Jongkok; Ember mandi; WiFi; R. Tamu; Penjaga Kos; R. Jemur; Mushola; R. Santai; K. Mandi Luar; CCTV; Jual Makanan; Pengurus Kos; Parkir Motor; Parkir Sepeda"/>
    <n v="800000"/>
    <s v="Rp800.000"/>
    <n v="0"/>
    <m/>
    <s v="Kos Campur"/>
    <m/>
    <m/>
  </r>
  <r>
    <s v="Kost Village Marpaung Tipe AC Ciledug Tangerang"/>
    <x v="6"/>
    <x v="147"/>
    <n v="12"/>
    <s v="3 x 4 meter"/>
    <s v="Termasuk listrik (implied)"/>
    <s v=""/>
    <s v="N/A"/>
    <s v="3 x 4 meter; Termasuk listrik; Ventilasi; K. Mandi Dalam; Kloset Jongkok; WiFi; R. Cuci; Penjaga Kos; R. Jemur; R. Santai; K. Mandi Luar; CCTV; Jual Makanan; Pengurus Kos; Jemuran; Parkir Motor"/>
    <n v="1300000"/>
    <s v="Rp1.300.000"/>
    <n v="4.3750000000000004E-2"/>
    <d v="1899-12-30T01:03:00"/>
    <s v="Kos Campur"/>
    <m/>
    <m/>
  </r>
  <r>
    <s v="Kost Vimala VVIP Cengkareng Jakarta Barat"/>
    <x v="3"/>
    <x v="53"/>
    <n v="13.5"/>
    <s v="3 x 4.5 meter"/>
    <s v="Tidak termasuk listrik"/>
    <s v=""/>
    <s v="N/A"/>
    <s v="3 x 4.5 meter; Tidak termasuk listrik; AC; Kasur; Meja; TV; Lemari Baju; Ventilasi; Bantal; Cermin; Jendela; Kursi; K. Mandi Dalam; Kloset Duduk; Wastafel; Shower; Air panas; WiFi; Kulkas; Penjaga Kos; Dapur; Dispenser; CCTV; Pengurus Kos; Rice Cooker; Rooftop; Parkir Motor; Parkir Sepeda; Parkir Motor &amp; Sepeda"/>
    <n v="2000000"/>
    <s v="Rp2.000.000"/>
    <n v="0"/>
    <m/>
    <s v="Kos Campur"/>
    <m/>
    <m/>
  </r>
  <r>
    <s v="Kost Vinn Room 1 Lux Kelapa Gading Jakarta Utara"/>
    <x v="4"/>
    <x v="111"/>
    <n v="12"/>
    <s v="4 x 3 meter"/>
    <s v="Tidak termasuk listrik"/>
    <s v=""/>
    <s v="N/A"/>
    <s v="4 x 3 meter; Tidak termasuk listrik; AC; Kasur; Meja; Lemari Baju; Ventilasi; Kursi; Bantal; Guling; Cermin; Jendela; Kloset Duduk; K. Mandi Luar; Wastafel; Shower; WiFi; Kulkas; R. Cuci; R. Tamu; R. Makan; R. Jemur; R. Santai; Dapur; Jemuran; Balcon; Parkir Mobil; Parkir Motor; Parkir Sepeda"/>
    <n v="1499999"/>
    <s v="Rp1.499.999"/>
    <n v="0.20833333333333334"/>
    <d v="1899-12-30T05:00:00"/>
    <s v="Kos Campur"/>
    <m/>
    <m/>
  </r>
  <r>
    <s v="Kost Viveka Residence Bintaro Deluxe Pondok Aren Tangerang Selatan"/>
    <x v="2"/>
    <x v="2"/>
    <n v="7.5"/>
    <s v="3 x 2.5 meter"/>
    <s v="Tidak termasuk listrik"/>
    <s v=""/>
    <s v="N/A"/>
    <s v="3 x 2.5 meter; Tidak termasuk listrik; AC; Kasur; Meja; TV; Lemari Baju; Bantal; Cermin; Guling; Jendela; Kursi; K. Mandi Dalam; Kloset Duduk; Shower; Air panas; WiFi; Kulkas; Laundry; Penjaga Kos; R. Tamu; R. Makan; Dapur; Dispenser; CCTV; Kartu Akses; Parkir Motor; Parkir Sepeda; Parkir Motor &amp; Sepeda"/>
    <n v="2000000"/>
    <s v="Rp2.000.000"/>
    <n v="0.20833333333333334"/>
    <d v="1899-12-30T05:00:00"/>
    <s v="Kos Campur"/>
    <m/>
    <m/>
  </r>
  <r>
    <s v="Kost Viveka Residence Bintaro Premium Pondok Aren Tangerang Selatan"/>
    <x v="2"/>
    <x v="2"/>
    <n v="7.5"/>
    <s v="3 x 2.5 meter"/>
    <s v="Tidak termasuk listrik"/>
    <s v=""/>
    <s v="N/A"/>
    <s v="3 x 2.5 meter; Tidak termasuk listrik; AC; Kasur; Meja; TV; Lemari Baju; Kulkas; Bantal; Guling; Jendela; Kursi; K. Mandi Dalam; Kloset Duduk; Shower; Air panas; WiFi; Laundry; Penjaga Kos; R. Tamu; R. Makan; Dapur; Dispenser; CCTV; Kartu Akses; Parkir Motor; Parkir Sepeda; Parkir Motor &amp; Sepeda"/>
    <n v="2200000"/>
    <s v="Rp2.200.000"/>
    <n v="0.20833333333333334"/>
    <d v="1899-12-30T05:00:00"/>
    <s v="Kos Campur"/>
    <m/>
    <m/>
  </r>
  <r>
    <s v="Kost Vorden Tipe A Cibinong Bogor"/>
    <x v="0"/>
    <x v="35"/>
    <n v="12"/>
    <s v="3 x 4 meter"/>
    <s v="Tidak termasuk listrik"/>
    <s v=""/>
    <s v="N/A"/>
    <s v="3 x 4 meter; Tidak termasuk listrik; Kasur; Lemari Baju; Ventilasi; Jendela; K. Mandi Dalam; Kloset Jongkok; Ember mandi; WiFi; R. Jemur; R. Santai; Dapur; CCTV; Gazebo; Jemuran; Rooftop; Taman; Parkir Mobil; Parkir Motor; Parkir Sepeda; Parkir Motor &amp; Sepeda"/>
    <n v="600000"/>
    <s v="Rp600.000"/>
    <n v="0"/>
    <m/>
    <s v="Kos Campur"/>
    <m/>
    <m/>
  </r>
  <r>
    <s v="Kost Waikiki 2 Cikarang Pusat Bekasi"/>
    <x v="7"/>
    <x v="100"/>
    <n v="9"/>
    <s v="3 x 3 meter"/>
    <s v="Tidak termasuk listrik"/>
    <s v=""/>
    <s v="N/A"/>
    <s v="3 x 3 meter; Tidak termasuk listrik; AC; Kasur; Meja; Lemari Baju; Bantal; Cermin; K. Mandi Dalam; Kloset Duduk; Shower; WiFi; Kulkas; R. Makan; Dapur; Dispenser; Parkir Mobil; Parkir Motor"/>
    <n v="1800000"/>
    <s v="Rp1.800.000"/>
    <n v="0"/>
    <m/>
    <s v="Kos Campur"/>
    <m/>
    <m/>
  </r>
  <r>
    <s v="Kost Walank Dcost Koja Jakarta Utara"/>
    <x v="4"/>
    <x v="93"/>
    <n v="17.5"/>
    <s v="3.5 x 5 meter"/>
    <s v="Tidak termasuk listrik"/>
    <s v=""/>
    <s v="N/A"/>
    <s v="3.5 x 5 meter; Tidak termasuk listrik; AC; Kasur; Meja; TV; Lemari Baju; Kulkas; Ventilasi; Bantal; Cermin; Cleaning service; K. Mandi Dalam; Kloset Duduk; Ember mandi; Shower; Air panas; WiFi; Penjaga Kos; R. Tamu; Laundry; R. Jemur; R. Santai; Dapur; Balcon; CCTV; Parkir Mobil; Parkir Motor"/>
    <n v="2500000"/>
    <s v="Rp2.500.000"/>
    <n v="0"/>
    <m/>
    <s v="Kos Campur"/>
    <m/>
    <m/>
  </r>
  <r>
    <s v="Kost Warbun Tipe C Cileungsi Bogor"/>
    <x v="0"/>
    <x v="31"/>
    <n v="12"/>
    <s v="3 x 4 meter"/>
    <s v="Tidak termasuk listrik"/>
    <s v=""/>
    <s v="N/A"/>
    <s v="3 x 4 meter; Tidak termasuk listrik; Kasur; Ventilasi; Kloset Duduk; K. Mandi Luar; Wastafel; Shower; Air panas; WiFi; Penjaga Kos; R. Jemur; Balcon; CCTV; Gazebo; Jemuran; Jual Makanan; Rooftop; Parkir Mobil; Parkir Motor; Parkir Sepeda; Parkir Motor &amp; Sepeda"/>
    <n v="600000"/>
    <s v="Rp600.000"/>
    <n v="0"/>
    <m/>
    <s v="Kos Campur"/>
    <m/>
    <m/>
  </r>
  <r>
    <s v="Kost Warbun Tipe VIP Cileungsi Bogor"/>
    <x v="0"/>
    <x v="31"/>
    <n v="12"/>
    <s v="3 x 4 meter"/>
    <s v="Tidak termasuk listrik"/>
    <s v=""/>
    <s v="N/A"/>
    <s v="3 x 4 meter; Tidak termasuk listrik; AC; Kasur; Dispenser; Meja; Meja Rias; Bantal; Cermin; Kursi; Wastafel; K. Mandi Dalam; Kloset Duduk; Shower; R. Jemur; Balcon; CCTV; Gazebo; Jemuran; Jual Makanan; Parkir Mobil; Parkir Motor; Parkir Sepeda; Parkir Motor &amp; Sepeda"/>
    <n v="1500000"/>
    <s v="Rp1.500.000"/>
    <n v="0"/>
    <m/>
    <s v="Kos Campur"/>
    <m/>
    <m/>
  </r>
  <r>
    <s v="Kost White Eksklusif Pamulang Tangerang Selatan"/>
    <x v="2"/>
    <x v="77"/>
    <n v="9"/>
    <s v="3 x 3 meter"/>
    <s v="Tidak termasuk listrik"/>
    <s v=""/>
    <s v="N/A"/>
    <s v="3 x 3 meter; Tidak termasuk listrik; AC; Kasur; Meja; TV; Lemari Baju; Bantal; Cermin; Jendela; Kursi; K. Mandi Dalam; Kloset Duduk; Shower; WiFi; Kulkas; R. Cuci; Mesin Cuci; R. Jemur; Dapur; CCTV; Jemuran; Parkir Motor &amp; Sepeda"/>
    <n v="1500000"/>
    <s v="Rp1.500.000"/>
    <n v="0"/>
    <m/>
    <s v="Kos Putri"/>
    <m/>
    <m/>
  </r>
  <r>
    <s v="Kost Wie Tipe A Cikarang Selatan Bekasi"/>
    <x v="7"/>
    <x v="27"/>
    <n v="9"/>
    <s v="3 x 3 meter"/>
    <s v="Tidak termasuk listrik"/>
    <s v=""/>
    <s v="N/A"/>
    <s v="3 x 3 meter; Tidak termasuk listrik; AC; Kasur; Lemari Baju; Ventilasi; Bantal; Wastafel; K. Mandi Dalam; Kloset Duduk; Shower; WiFi; Kulkas; R. Tamu; R. Jemur; R. Santai; Dapur; Jemuran; K. Mandi Luar; Pengurus Kos; Parkir Mobil; Parkir Motor"/>
    <n v="1200000"/>
    <s v="Rp1.200.000"/>
    <n v="0"/>
    <m/>
    <s v="Kos Putra"/>
    <m/>
    <m/>
  </r>
  <r>
    <s v="Kost Wijaya Kusuma Non AC Tebet Jakarta Selatan"/>
    <x v="5"/>
    <x v="64"/>
    <n v="12"/>
    <s v="3 x 4 meter"/>
    <s v="Tidak termasuk listrik"/>
    <s v=""/>
    <s v="N/A"/>
    <s v="3 x 4 meter; Tidak termasuk listrik; AC; Kasur; Bantal; Guling; Jendela; Kipas Angin; K. Mandi Dalam; Kloset Duduk; WiFi; Penjaga Kos; Dapur; CCTV; Gazebo; Jemuran; Pengurus Kos; R. Keluarga; Parkir Motor"/>
    <n v="1200000"/>
    <s v="Rp1.200.000"/>
    <n v="0"/>
    <m/>
    <s v="Kos Putri"/>
    <m/>
    <m/>
  </r>
  <r>
    <s v="Kost Wijaya Neglasari Tangerang"/>
    <x v="6"/>
    <x v="144"/>
    <n v="15"/>
    <s v="3 x 5 meter"/>
    <s v="Tidak termasuk listrik"/>
    <s v=""/>
    <s v="N/A"/>
    <s v="3 x 5 meter; Tidak termasuk listrik; AC; Kasur; Meja; Lemari Baju; Ventilasi; Kursi; Bantal; Dapur Pribadi; Guling; K. Mandi Dalam; Kloset Duduk; Ember mandi; WiFi; Penjaga Kos; Jemuran; Kartu Akses; Parkir Mobil; Parkir Motor"/>
    <n v="1500000"/>
    <s v="Rp1.500.000"/>
    <n v="0.20833333333333334"/>
    <d v="1899-12-30T05:00:00"/>
    <s v="Kos Campur"/>
    <m/>
    <m/>
  </r>
  <r>
    <s v="Kost Wilka Larangan Tangerang"/>
    <x v="6"/>
    <x v="74"/>
    <n v="12"/>
    <s v="3 x 4 meter"/>
    <s v="Tidak termasuk listrik"/>
    <s v=""/>
    <s v="N/A"/>
    <s v="3 x 4 meter; Tidak termasuk listrik; AC; Kasur; Meja; Bantal; Jendela; Kursi; K. Mandi Dalam; Kloset Duduk; Shower; WiFi; R. Cuci; Penjaga Kos; R. Jemur; R. Santai; Jemuran; Jual Makanan; Taman; Parkir Motor"/>
    <n v="1500000"/>
    <s v="Rp1.500.000"/>
    <n v="0.17291666666666669"/>
    <d v="1899-12-30T04:09:00"/>
    <s v="Kos Campur"/>
    <m/>
    <m/>
  </r>
  <r>
    <s v="Kost Wimala Suites Co Living Tipe Deluxe Plus Taman Sari Jakarta Barat"/>
    <x v="3"/>
    <x v="136"/>
    <n v="16"/>
    <s v="4 x 4 meter"/>
    <s v="Tidak termasuk listrik"/>
    <s v=""/>
    <s v="N/A"/>
    <s v="4 x 4 meter; Tidak termasuk listrik; AC; Kasur; Meja; TV; Kulkas; Lemari Baju; Ventilasi; Bantal; Cermin; Cleaning service; K. Mandi Dalam; Kloset Duduk; Wastafel; Shower; Air panas; WiFi; R. Cuci; Laundry; Penjaga Kos; R. Tamu; R. Jemur; R. Makan; R. Santai; Dapur; Parkir Motor; Parkir Sepeda"/>
    <n v="3600000"/>
    <s v="Rp3.600.000"/>
    <n v="0.17013888888888887"/>
    <d v="1899-12-30T04:05:00"/>
    <s v="Kos Campur"/>
    <m/>
    <m/>
  </r>
  <r>
    <s v="Kost Wimala Suites Co Living Tipe Deluxe Taman Sari Jakarta Barat"/>
    <x v="3"/>
    <x v="136"/>
    <n v="16"/>
    <s v="4 x 4 meter"/>
    <s v="Tidak termasuk listrik"/>
    <s v=""/>
    <s v="N/A"/>
    <s v="4 x 4 meter; Tidak termasuk listrik; AC; Kasur; Meja; TV; Kulkas; Lemari Baju; Ventilasi; Bantal; Cermin; Cleaning service; K. Mandi Dalam; Kloset Duduk; Wastafel; Shower; Air panas; WiFi; R. Cuci; Laundry; Penjaga Kos; R. Tamu; R. Jemur; R. Makan; R. Santai; Dapur; Parkir Motor; Parkir Sepeda"/>
    <n v="3500000"/>
    <s v="Rp3.500.000"/>
    <n v="0.20833333333333334"/>
    <d v="1899-12-30T05:00:00"/>
    <s v="Kos Campur"/>
    <m/>
    <s v="Diskon 288rb"/>
  </r>
  <r>
    <s v="Kost Wimala Suites Co Living Tipe Royal Plus Taman Sari Jakarta Barat"/>
    <x v="3"/>
    <x v="136"/>
    <n v="12"/>
    <s v="3 x 4 meter"/>
    <s v="Tidak termasuk listrik"/>
    <s v=""/>
    <s v="N/A"/>
    <s v="3 x 4 meter; Tidak termasuk listrik; AC; Kasur; Meja; TV; Lemari Baju; Ventilasi; Bantal; Cermin; Cleaning service; Guling; K. Mandi Dalam; Kloset Duduk; Wastafel; Shower; Air panas; WiFi; Kulkas; R. Cuci; Laundry; Penjaga Kos; R. Tamu; R. Jemur; R. Makan; R. Santai; Dapur; Parkir Motor; Parkir Sepeda"/>
    <n v="3100000"/>
    <s v="Rp3.100.000"/>
    <n v="0.17291666666666669"/>
    <d v="1899-12-30T04:09:00"/>
    <s v="Kos Campur"/>
    <m/>
    <m/>
  </r>
  <r>
    <s v="Kost Wish Choice Tipe Non AC Serpong Utara Tangerang Selatan"/>
    <x v="2"/>
    <x v="181"/>
    <n v="9"/>
    <s v="3 x 3 meter"/>
    <s v="Termasuk listrik (implied)"/>
    <s v=""/>
    <s v="N/A"/>
    <s v="3 x 3 meter; Termasuk listrik; Kasur; Dispenser; Meja; Kulkas; Lemari Baju; Ventilasi; Bantal; Guling; Jendela; Kipas Angin; K. Mandi Dalam; Kloset Jongkok; K. Mandi Luar; Ember mandi; WiFi; Penjaga Kos; R. Tamu; R. Jemur; Dapur; CCTV; Jemuran; Pengurus Kos; Parkir Motor &amp; Sepeda"/>
    <n v="950000"/>
    <s v="Rp950.000"/>
    <n v="0"/>
    <m/>
    <s v="Kos Putra"/>
    <m/>
    <m/>
  </r>
  <r>
    <s v="Kost Wisma Adika Ibu Sulis Tipe A Cikarang Utara Bekasi"/>
    <x v="7"/>
    <x v="33"/>
    <n v="9"/>
    <s v="3 x 3 meter"/>
    <s v="Termasuk listrik (implied)"/>
    <s v=""/>
    <s v="N/A"/>
    <s v="3 x 3 meter; Termasuk listrik; Kasur; Meja; Lemari Baju; Ventilasi; Bantal; Jendela; Kursi; K. Mandi Dalam; Kloset Jongkok; Ember mandi; WiFi; Dispenser; Balcon; CCTV; Jemuran; Pengurus Kos; Parkir Motor &amp; Sepeda"/>
    <n v="550000"/>
    <s v="Rp550.000"/>
    <n v="0"/>
    <m/>
    <s v="Kos Putra"/>
    <m/>
    <m/>
  </r>
  <r>
    <s v="Kost Wisma Adirama Cikarang Selatan Bekasi"/>
    <x v="7"/>
    <x v="27"/>
    <n v="9"/>
    <s v="3 x 3 meter"/>
    <s v="Termasuk listrik (implied)"/>
    <s v=""/>
    <s v="N/A"/>
    <s v="3 x 3 meter; Termasuk listrik; Kasur; Meja; Lemari Baju; Ventilasi; Bantal; Jendela; Kursi; Kloset Jongkok; K. Mandi Luar; Ember mandi; Shower; WiFi; Mushola; R. Jemur; Dispenser; CCTV; Jemuran; Pengurus Kos; Parkir Motor &amp; Sepeda"/>
    <n v="675000"/>
    <s v="Rp675.000"/>
    <n v="0"/>
    <m/>
    <s v="Kos Putra"/>
    <m/>
    <m/>
  </r>
  <r>
    <s v="Kost Wisma Azkara I Tipe AC Beji Depok"/>
    <x v="1"/>
    <x v="15"/>
    <n v="12.25"/>
    <s v="3.5 x 3.5 meter"/>
    <s v="Tidak termasuk listrik"/>
    <s v=""/>
    <s v="N/A"/>
    <s v="3.5 x 3.5 meter; Tidak termasuk listrik; AC; Kasur; Meja; Lemari Baju; Ventilasi; Bantal; Guling; Jendela; Kursi; K. Mandi Dalam; Kloset Duduk; Shower; WiFi; Kulkas; Penjaga Kos; R. Santai; Dapur; Jemuran; Parkir Motor"/>
    <n v="1350000"/>
    <s v="Rp1.350.000"/>
    <n v="0.1673611111111111"/>
    <d v="1899-12-30T04:01:00"/>
    <s v="Kos Putra"/>
    <m/>
    <m/>
  </r>
  <r>
    <s v="Kost Wisma Dewa Ruci Premium Cikarang Utara Bekasi"/>
    <x v="7"/>
    <x v="33"/>
    <n v="32"/>
    <s v="8 x 4 meter"/>
    <s v="Tidak termasuk listrik"/>
    <s v=""/>
    <s v="N/A"/>
    <s v="8 x 4 meter; Tidak termasuk listrik; AC; Kasur; Meja; TV; Kulkas; Lemari Baju; Bantal; Cermin; Jendela; Kursi; K. Mandi Dalam; Kloset Duduk; Wastafel; Shower; WiFi; Penjaga Kos; Mushola; R. Jemur; R. Makan; Dapur; CCTV; Jemuran; Jual Makanan; K. Mandi Luar; Parkir Mobil; Parkir Motor"/>
    <n v="1800000"/>
    <s v="Rp1.800.000"/>
    <n v="0"/>
    <m/>
    <s v="Kos Campur"/>
    <m/>
    <m/>
  </r>
  <r>
    <s v="Kost Wisma Kedurang Cikarang Utara Bekasi"/>
    <x v="7"/>
    <x v="78"/>
    <n v="9"/>
    <s v="3 x 3 meter"/>
    <s v="Tidak termasuk listrik"/>
    <s v=""/>
    <s v="N/A"/>
    <s v="3 x 3 meter; Tidak termasuk listrik; Ventilasi; Dapur Pribadi; K. Mandi Dalam; Kloset Jongkok; R. Jemur; Jemuran; Jual Makanan; CCTV; Parkir Motor"/>
    <n v="515000"/>
    <s v="Rp515.000"/>
    <n v="0.1673611111111111"/>
    <d v="1899-12-30T04:01:00"/>
    <s v="Kos Campur"/>
    <m/>
    <m/>
  </r>
  <r>
    <s v="Kost Wisma La Sapienza Dramaga Bogor"/>
    <x v="0"/>
    <x v="23"/>
    <n v="12"/>
    <s v="3 x 4 meter"/>
    <s v="Tidak termasuk listrik"/>
    <s v=""/>
    <s v="N/A"/>
    <s v="3 x 4 meter; Tidak termasuk listrik; Kasur; Meja; Lemari Baju; Jendela; Kloset Jongkok; Bak mandi; WiFi; Kulkas; R. Cuci; R. Tamu; R. Jemur; R. Santai; Dapur; Jemuran; K. Mandi Luar; Pengurus Kos; Parkir Motor"/>
    <n v="600000"/>
    <s v="Rp600.000"/>
    <n v="0.17013888888888887"/>
    <d v="1899-12-30T04:05:00"/>
    <s v="Kos Putri"/>
    <m/>
    <m/>
  </r>
  <r>
    <s v="Kost Wisma Mandiri Tipe A Tambun Selatan Bekasi"/>
    <x v="7"/>
    <x v="101"/>
    <n v="9"/>
    <s v="3 x 3 meter"/>
    <s v="Termasuk listrik (implied)"/>
    <s v=""/>
    <s v="N/A"/>
    <s v="3 x 3 meter; Termasuk listrik; AC; Meja; Lemari Baju; Bantal; Cermin; Guling; Kursi; K. Mandi Dalam; Kloset Duduk; K. Mandi Luar; Ember mandi; Shower; Air panas; WiFi; Kulkas; R. Cuci; Laundry; Mesin Cuci; Penjaga Kos; R. Tamu; R. Jemur; R. Makan; R. Santai; Parkir Mobil; Parkir Motor"/>
    <n v="1750000"/>
    <s v="Rp1.750.000"/>
    <n v="0"/>
    <m/>
    <s v="Kos Putri"/>
    <m/>
    <m/>
  </r>
  <r>
    <s v="Kost Wisma Nusantara Dramaga Bogor"/>
    <x v="0"/>
    <x v="23"/>
    <n v="6"/>
    <s v="3 x 2 meter"/>
    <s v="Tidak termasuk listrik"/>
    <s v=""/>
    <s v="N/A"/>
    <s v="3 x 2 meter; Tidak termasuk listrik; Kasur; Lemari Baju; K. Mandi Dalam; Kloset Jongkok; WiFi; Kulkas; Penjaga Kos; Dapur; CCTV; Jemuran; Parkir Motor"/>
    <n v="800000"/>
    <s v="Rp800.000"/>
    <n v="0.20833333333333334"/>
    <d v="1899-12-30T05:00:00"/>
    <s v="Kos Putri"/>
    <m/>
    <m/>
  </r>
  <r>
    <s v="Kost Wisma Orange Stasiun Tenjo Bogor"/>
    <x v="0"/>
    <x v="168"/>
    <n v="27"/>
    <s v="3 x 9 meter"/>
    <s v="Tidak termasuk listrik"/>
    <s v=""/>
    <s v="N/A"/>
    <s v="3 x 9 meter; Tidak termasuk listrik; Ventilasi; Dapur Pribadi; Kloset Jongkok; R. Tamu; R. Jemur; Dapur; Taman; Parkir Mobil; Parkir Motor; Parkir Sepeda"/>
    <n v="600000"/>
    <s v="Rp600.000"/>
    <n v="0"/>
    <m/>
    <s v="Kos Campur"/>
    <m/>
    <m/>
  </r>
  <r>
    <s v="Kost Wisma Pertenunan Senayan Kebayoran Lama Jakarta Selatan"/>
    <x v="5"/>
    <x v="57"/>
    <n v="25"/>
    <s v="5 x 5 meter"/>
    <s v="Termasuk listrik (implied)"/>
    <s v=""/>
    <s v="N/A"/>
    <s v="5 x 5 meter; Termasuk listrik; AC; Kasur; Meja; Dispenser; TV; Meja Rias; Lemari Baju; Kulkas; Ventilasi; Kursi; K. Mandi Dalam; Kloset Duduk; Wastafel; Shower; Air panas; WiFi; R. Tamu; Penjaga Kos; Laundry; R. Makan; R. Santai; Dapur; Balcon; Parkir Mobil; Parkir Motor"/>
    <n v="6800000"/>
    <s v="Rp6.800.000"/>
    <n v="0"/>
    <m/>
    <s v="Kos Campur"/>
    <m/>
    <m/>
  </r>
  <r>
    <s v="Kost Wisma Puteri Ayu Beji Depok"/>
    <x v="1"/>
    <x v="15"/>
    <n v="13.5"/>
    <s v="4.5 x 3 meter"/>
    <s v="Termasuk listrik (implied)"/>
    <s v=""/>
    <s v="N/A"/>
    <s v="4.5 x 3 meter; Termasuk listrik; Kasur; Lemari Baju; K. Mandi Dalam; Kloset Jongkok; Ember mandi; WiFi; Penjaga Kos; R. Santai; Pengurus Kos; Parkir Motor"/>
    <n v="700000"/>
    <s v="Rp700.000"/>
    <n v="0"/>
    <m/>
    <s v="Kos Putri"/>
    <m/>
    <m/>
  </r>
  <r>
    <s v="Kost Wisma Sanata Nur Tipe B1 Gunung Sindur Bogor"/>
    <x v="0"/>
    <x v="159"/>
    <n v="8.1000000000000014"/>
    <s v="2.7 x 3 meter"/>
    <s v="Termasuk listrik (implied)"/>
    <s v=""/>
    <s v="N/A"/>
    <s v="2.7 x 3 meter; Termasuk listrik; Kasur; Meja; Lemari Baju; Ventilasi; Bantal; Cermin; Guling; Jendela; Kipas Angin; Kursi; K. Mandi Dalam; Kloset Duduk; Ember mandi; Shower; WiFi; Kulkas; R. Cuci; Penjaga Kos; R. Tamu; Mushola; R. Jemur; R. Makan; R. Santai; Dapur; Parkir Mobil; Parkir Motor; Parkir Sepeda"/>
    <n v="1100000"/>
    <s v="Rp1.100.000"/>
    <n v="0"/>
    <m/>
    <s v="Kos Campur"/>
    <m/>
    <m/>
  </r>
  <r>
    <s v="Kost Wisma Tiara Tipe A Beji Depok"/>
    <x v="1"/>
    <x v="16"/>
    <n v="24"/>
    <s v="3 x 8 meter"/>
    <s v="Tidak termasuk listrik"/>
    <s v=""/>
    <s v="N/A"/>
    <s v="3 x 8 meter; Tidak termasuk listrik; AC; Kasur; Meja; Lemari Baju; Bantal; Jendela; Kursi; K. Mandi Dalam; Kloset Jongkok; Ember mandi; WiFi; Balcon; Parkir Mobil; Parkir Motor"/>
    <n v="1200000"/>
    <s v="Rp1.200.000"/>
    <n v="0.16874999999999998"/>
    <d v="1899-12-30T04:03:00"/>
    <s v="Kos Putra"/>
    <m/>
    <m/>
  </r>
  <r>
    <s v="Kost Wisma Tonitaa Karawaci Tangerang"/>
    <x v="6"/>
    <x v="141"/>
    <n v="9"/>
    <s v="3 x 3 meter"/>
    <s v="Termasuk listrik (implied)"/>
    <s v=""/>
    <s v="N/A"/>
    <s v="3 x 3 meter; Termasuk listrik; Kasur; Lemari Baju; Bantal; K. Mandi Dalam; Kloset Jongkok; Bak mandi; WiFi; Penjaga Kos; Dapur; Balcon; CCTV; Jemuran; Parkir Motor; Parkir Sepeda"/>
    <n v="800000"/>
    <s v="Rp800.000"/>
    <n v="0"/>
    <m/>
    <s v="Kos Campur"/>
    <m/>
    <m/>
  </r>
  <r>
    <s v="Kost Wisma Torina Cikarang Pusat Bekasi"/>
    <x v="7"/>
    <x v="118"/>
    <n v="12"/>
    <s v="3 x 4 meter"/>
    <s v="Tidak termasuk listrik"/>
    <s v=""/>
    <s v="N/A"/>
    <s v="3 x 4 meter; Tidak termasuk listrik; AC; Kasur; Lemari Baju; Ventilasi; Bantal; Cermin; Dapur Pribadi; Guling; Jendela; Wastafel; K. Mandi Dalam; Kloset Duduk; Shower; WiFi; Penjaga Kos; CCTV; Pengurus Kos; Parkir Mobil; Parkir Motor; Parkir Sepeda; Parkir Motor &amp; Sepeda"/>
    <n v="1650000"/>
    <s v="Rp1.650.000"/>
    <n v="0"/>
    <m/>
    <s v="Kos Campur"/>
    <m/>
    <m/>
  </r>
  <r>
    <s v="Kost WM Tipe A Cakung Jakarta Timur"/>
    <x v="8"/>
    <x v="119"/>
    <n v="9"/>
    <s v="3 x 3 meter"/>
    <s v="Termasuk listrik (implied)"/>
    <s v=""/>
    <s v="N/A"/>
    <s v="3 x 3 meter; Termasuk listrik; Lemari Baju; Bantal; Jendela; Kipas Angin; Kloset Duduk; Ember mandi; Shower; R. Cuci; Jemuran; K. Mandi Luar; CCTV; Parkir Motor; Parkir Sepeda"/>
    <n v="1100000"/>
    <s v="Rp1.100.000"/>
    <n v="0.20833333333333334"/>
    <d v="1899-12-30T05:00:00"/>
    <s v="Kos Campur"/>
    <m/>
    <m/>
  </r>
  <r>
    <s v="Kost Wulan Gunung Sindur Bogor"/>
    <x v="0"/>
    <x v="126"/>
    <n v="9"/>
    <s v="3 x 3 meter"/>
    <s v="Termasuk listrik (implied)"/>
    <s v=""/>
    <s v="N/A"/>
    <s v="3 x 3 meter; Termasuk listrik; Kasur; Meja; Lemari Baju; Bantal; Kipas Angin; Kursi; Ember mandi; WiFi; Kulkas; R. Tamu; Dapur; Parkir Motor; Parkir Sepeda"/>
    <n v="900000"/>
    <s v="Rp900.000"/>
    <n v="0"/>
    <m/>
    <s v="Kos Putra"/>
    <m/>
    <m/>
  </r>
  <r>
    <s v="Kost Wynn Sunter Tipe 1 Tanjung Priok Jakarta Utara"/>
    <x v="4"/>
    <x v="5"/>
    <n v="6"/>
    <s v="2 x 3 meter"/>
    <s v="Tidak termasuk listrik"/>
    <s v=""/>
    <s v="N/A"/>
    <s v="2 x 3 meter; Tidak termasuk listrik; AC; Kasur; Ventilasi; Bantal; Cermin; Jendela; Wastafel; K. Mandi Dalam; Kloset Duduk; Shower; WiFi; Kulkas; R. Cuci; Laundry; Mesin Cuci; Penjaga Kos; R. Jemur; Dapur; Dispenser; CCTV; Parkir Motor"/>
    <n v="1400000"/>
    <s v="Rp1.400.000"/>
    <n v="0.17222222222222225"/>
    <d v="1899-12-30T04:08:00"/>
    <s v="Kos Campur"/>
    <m/>
    <s v="Diskon 78rb"/>
  </r>
  <r>
    <s v="Kost Yahya Sirkuit Sentul Citeureup Bogor"/>
    <x v="0"/>
    <x v="109"/>
    <n v="13.5"/>
    <s v="3 x 4.5 meter"/>
    <s v="Termasuk listrik (implied)"/>
    <s v=""/>
    <s v="N/A"/>
    <s v="3 x 4.5 meter; Termasuk listrik; Kasur; Meja; Lemari Baju; Kulkas; Ventilasi; Kursi; Bantal; Cermin; Guling; Jendela; K. Mandi Dalam; Kloset Jongkok; K. Mandi Luar; Ember mandi; Bak mandi; WiFi; Penjaga Kos; R. Jemur; Mushola; R. Santai; Balcon; Pengurus Kos; Jemuran; Kartu Akses; Parkir Mobil; Parkir Motor; Parkir Sepeda"/>
    <n v="1400000"/>
    <s v="Rp1.400.000"/>
    <n v="0.17013888888888887"/>
    <d v="1899-12-30T04:05:00"/>
    <s v="Kos Campur"/>
    <m/>
    <m/>
  </r>
  <r>
    <s v="Kost Yani Exclusive Cikarang Barat Bekasi"/>
    <x v="7"/>
    <x v="108"/>
    <n v="9"/>
    <s v="3 x 3 meter"/>
    <s v="Termasuk listrik (implied)"/>
    <s v=""/>
    <s v="N/A"/>
    <s v="3 x 3 meter; Termasuk listrik; AC; Kasur; Meja; Lemari Baju; Ventilasi; Cermin; Jendela; Kloset Duduk; WiFi; Kulkas; Laundry; R. Makan; R. Santai; Dapur; Dispenser; Balcon; Jemuran; Jual Makanan; Parkir Motor"/>
    <n v="1500000"/>
    <s v="Rp1.500.000"/>
    <n v="0"/>
    <m/>
    <s v="Kos Putri"/>
    <m/>
    <m/>
  </r>
  <r>
    <s v="Kost Yasin Tipe A Kebon Jeruk Jakarta Barat"/>
    <x v="3"/>
    <x v="61"/>
    <n v="12"/>
    <s v="3 x 4 meter"/>
    <s v="Termasuk listrik (implied)"/>
    <s v=""/>
    <s v="N/A"/>
    <s v="3 x 4 meter; Termasuk listrik; Kasur; Lemari Baju; Bantal; Guling; Jendela; Kipas Angin; K. Mandi Dalam; Kloset Jongkok; K. Mandi Luar; Ember mandi; Bak mandi; WiFi; R. Cuci; R. Jemur; Balcon; Jemuran; Jual Makanan; Parkir Motor &amp; Sepeda"/>
    <n v="700000"/>
    <s v="Rp700.000"/>
    <n v="0"/>
    <m/>
    <s v="Kos Campur"/>
    <m/>
    <m/>
  </r>
  <r>
    <s v="Kost Yasmin Tipe B Dramaga Bogor"/>
    <x v="0"/>
    <x v="73"/>
    <n v="12"/>
    <s v="3 x 4 meter"/>
    <s v="Termasuk listrik (implied)"/>
    <s v=""/>
    <s v="N/A"/>
    <s v="3 x 4 meter; Termasuk listrik; Kasur; Dispenser; Lemari Baju; Ventilasi; Bantal; Cermin; Guling; Jendela; Kipas Angin; Kursi; K. Mandi Dalam; Kloset Jongkok; Ember mandi; Shower; WiFi; Penjaga Kos; R. Jemur; Balcon; Jemuran; Pengurus Kos; Parkir Motor; Parkir Motor &amp; Sepeda"/>
    <n v="500000"/>
    <s v="Rp500.000"/>
    <n v="0"/>
    <m/>
    <s v="Kos Campur"/>
    <m/>
    <m/>
  </r>
  <r>
    <s v="Kost Yellow Cipondoh Tangerang"/>
    <x v="6"/>
    <x v="97"/>
    <n v="12"/>
    <s v="3 x 4 meter"/>
    <s v="Tidak termasuk listrik"/>
    <s v=""/>
    <s v="N/A"/>
    <s v="3 x 4 meter; Tidak termasuk listrik; AC; Kasur; Meja; TV; Lemari Baju; Bantal; Cermin; Guling; Jendela; Kursi; K. Mandi Dalam; Kloset Duduk; Shower; WiFi; Kulkas; Laundry; R. Jemur; R. Santai; Dapur; CCTV; Jemuran; Rooftop; Pengurus Kos; Parkir Mobil; Parkir Motor; Parkir Sepeda"/>
    <n v="1900000"/>
    <s v="Rp1.900.000"/>
    <n v="0"/>
    <m/>
    <s v="Kos Putri"/>
    <m/>
    <m/>
  </r>
  <r>
    <s v="Kost Yellow Unhan Sentul Tipe Executive Citeureup Bogor"/>
    <x v="0"/>
    <x v="109"/>
    <n v="12"/>
    <s v="3 x 4 meter"/>
    <s v="Termasuk listrik (implied)"/>
    <s v=""/>
    <s v="N/A"/>
    <s v="3 x 4 meter; Termasuk listrik; Kasur; Meja; Lemari Baju; Ventilasi; Bantal; Dapur Pribadi; Guling; Jendela; Kipas Angin; K. Mandi Dalam; Kloset Duduk; Kloset Jongkok; K. Mandi Luar; Ember mandi; Shower; Bak mandi; Kulkas; R. Cuci; R. Tamu; Mushola; R. Jemur; R. Makan; R. Santai; Dapur; Dispenser; Balcon; Parkir Mobil; Parkir Motor; Parkir Sepeda"/>
    <n v="800000"/>
    <s v="Rp800.000"/>
    <n v="0"/>
    <m/>
    <s v="Kos Campur"/>
    <m/>
    <m/>
  </r>
  <r>
    <s v="Kost YL 62 Sawangan Depok"/>
    <x v="1"/>
    <x v="179"/>
    <n v="12"/>
    <s v="3 x 4 meter"/>
    <s v="Tidak termasuk listrik"/>
    <s v=""/>
    <s v="N/A"/>
    <s v="3 x 4 meter; Tidak termasuk listrik; Kasur; Lemari Baju; Ventilasi; Bantal; Jendela; Kipas Angin; K. Mandi Dalam; Kloset Duduk; Kloset Jongkok; Ember mandi; Shower; WiFi; Penjaga Kos; R. Jemur; R. Makan; Dapur; Balcon; Jemuran; Pengurus Kos; Parkir Motor; Parkir Sepeda"/>
    <n v="900000"/>
    <s v="Rp900.000"/>
    <n v="0.17083333333333331"/>
    <d v="1899-12-30T04:06:00"/>
    <s v="Kos Campur"/>
    <m/>
    <m/>
  </r>
  <r>
    <s v="Kost Yudi Residence Tipe A Tanjung Priok Jakarta Utara"/>
    <x v="4"/>
    <x v="5"/>
    <n v="9"/>
    <s v="3 x 3 meter"/>
    <s v="Tidak termasuk listrik"/>
    <s v=""/>
    <s v="N/A"/>
    <s v="3 x 3 meter; Tidak termasuk listrik; AC; Kasur; Meja; TV; Lemari Baju; Kulkas; Ventilasi; Kursi; Wastafel; Kipas Angin; K. Mandi Dalam; Kloset Duduk; Shower; WiFi; R. Cuci; R. Tamu; Penjaga Kos; R. Makan; R. Jemur; R. Santai; Dapur; Parkir Motor; Parkir Sepeda"/>
    <n v="2500000"/>
    <s v="Rp2.500.000"/>
    <n v="0.17083333333333331"/>
    <d v="1899-12-30T04:06:00"/>
    <s v="Kos Campur"/>
    <m/>
    <s v="Diskon 118rb"/>
  </r>
  <r>
    <s v="Kost Yudi Residence Tipe A Tanjung Priok Jakarta Utara"/>
    <x v="4"/>
    <x v="5"/>
    <n v="9"/>
    <s v="3 x 3 meter"/>
    <s v="Tidak termasuk listrik"/>
    <s v=""/>
    <s v="N/A"/>
    <s v="3 x 3 meter; Tidak termasuk listrik; AC; Kasur; Meja; TV; Lemari Baju; Kulkas; Ventilasi; Kursi; Wastafel; Kipas Angin; K. Mandi Dalam; Kloset Duduk; Shower; WiFi; R. Cuci; R. Tamu; Penjaga Kos; R. Makan; R. Jemur; R. Santai; Dapur; Parkir Motor; Parkir Sepeda"/>
    <n v="2500000"/>
    <s v="Rp2.500.000"/>
    <n v="0.17222222222222225"/>
    <d v="1899-12-30T04:08:00"/>
    <s v="Kos Campur"/>
    <m/>
    <s v="Diskon 118rb"/>
  </r>
  <r>
    <s v="Kost Yudi Residence Tipe C Tanjung Priok Jakarta Utara"/>
    <x v="4"/>
    <x v="5"/>
    <n v="9"/>
    <s v="3 x 3 meter"/>
    <s v="Termasuk listrik (implied)"/>
    <s v=""/>
    <s v="N/A"/>
    <s v="3 x 3 meter; Termasuk listrik; AC; Kasur; Lemari Baju; Ventilasi; Bantal; Cermin; Guling; Jendela; Kipas Angin; K. Mandi Dalam; Kloset Duduk; Shower; R. Cuci; Kulkas; R. Tamu; Penjaga Kos; R. Makan; R. Jemur; R. Santai; Dapur; TV; R. Keluarga; Parkir Motor; Parkir Sepeda"/>
    <n v="1800000"/>
    <s v="Rp1.800.000"/>
    <n v="0.16944444444444443"/>
    <d v="1899-12-30T04:04:00"/>
    <s v="Kos Campur"/>
    <m/>
    <s v="Diskon 80rb"/>
  </r>
  <r>
    <s v="Kost Yume Home Executive Kali Deres Jakarta Barat"/>
    <x v="3"/>
    <x v="184"/>
    <n v="12"/>
    <s v="3 x 4 meter"/>
    <s v="Tidak termasuk listrik"/>
    <s v=""/>
    <s v="N/A"/>
    <s v="3 x 4 meter; Tidak termasuk listrik; AC; Kasur; TV; Lemari Baju; Ventilasi; Bantal; Guling; Jendela; Kursi; K. Mandi Dalam; Kloset Duduk; Shower; Air panas; WiFi; Kulkas; R. Cuci; Mesin Cuci; Penjaga Kos; R. Tamu; R. Jemur; R. Makan; R. Santai; Dapur; Parkir Motor; Parkir Sepeda; Parkir Motor &amp; Sepeda"/>
    <n v="2100000"/>
    <s v="Rp2.100.000"/>
    <n v="0.20833333333333334"/>
    <d v="1899-12-30T05:00:00"/>
    <s v="Kos Campur"/>
    <m/>
    <m/>
  </r>
  <r>
    <s v="Kost Z Dramaga Bogor"/>
    <x v="0"/>
    <x v="73"/>
    <n v="12"/>
    <s v="3 x 4 meter"/>
    <s v="Tidak termasuk listrik"/>
    <s v=""/>
    <s v="N/A"/>
    <s v="3 x 4 meter; Tidak termasuk listrik; AC; Kasur; Meja; Lemari Baju; Bantal; Cermin; Guling; Jendela; Kursi; K. Mandi Dalam; Kloset Duduk; Shower; WiFi; Kulkas; R. Cuci; Mesin Cuci; Penjaga Kos; R. Tamu; R. Jemur; R. Santai; Dapur; Dispenser; Parkir Motor; Parkir Sepeda"/>
    <n v="1500000"/>
    <s v="Rp1.500.000"/>
    <n v="0.20833333333333334"/>
    <d v="1899-12-30T05:00:00"/>
    <s v="Kos Putri"/>
    <m/>
    <m/>
  </r>
  <r>
    <s v="Kost ZAHIRA 2 Tipe B Cikarang Utara Bekasi"/>
    <x v="7"/>
    <x v="33"/>
    <n v="12"/>
    <s v="3 x 4 meter"/>
    <s v="Termasuk listrik (implied)"/>
    <s v=""/>
    <s v="N/A"/>
    <s v="3 x 4 meter; Termasuk listrik; Ventilasi; Kloset Jongkok; R. Jemur; Dapur; Balcon; Jemuran; Kartu Akses; Parkir Motor; Parkir Sepeda; Parkir Motor &amp; Sepeda"/>
    <n v="485000"/>
    <s v="Rp485.000"/>
    <n v="0"/>
    <m/>
    <s v="Kos Campur"/>
    <m/>
    <m/>
  </r>
  <r>
    <s v="Kost Zahira 4 Executive Cikarang Barat Bekasi"/>
    <x v="7"/>
    <x v="19"/>
    <n v="9"/>
    <s v="3 x 3 meter"/>
    <s v="Tidak termasuk listrik"/>
    <s v=""/>
    <s v="N/A"/>
    <s v="3 x 3 meter; Tidak termasuk listrik; AC; Kasur; Meja; Lemari Baju; Bantal; Cermin; Guling; Jendela; Kursi; K. Mandi Dalam; Kloset Duduk; Ember mandi; Shower; WiFi; Laundry; Penjaga Kos; R. Jemur; Dispenser; Balcon; CCTV; Jemuran; Pengurus Kos; Parkir Motor; Parkir Sepeda"/>
    <n v="1100000"/>
    <s v="Rp1.100.000"/>
    <n v="0"/>
    <m/>
    <s v="Kos Putri"/>
    <m/>
    <m/>
  </r>
  <r>
    <s v="Kost Zahira 4 Executive Cikarang Barat Bekasi"/>
    <x v="7"/>
    <x v="19"/>
    <n v="9"/>
    <s v="3 x 3 meter"/>
    <s v="Tidak termasuk listrik"/>
    <s v=""/>
    <s v="N/A"/>
    <s v="3 x 3 meter; Tidak termasuk listrik; AC; Kasur; Meja; Lemari Baju; Bantal; Cermin; Guling; Jendela; Kursi; Parkir Motor; Parkir Sepeda"/>
    <n v="1100000"/>
    <s v="Rp1.100.000"/>
    <n v="0"/>
    <m/>
    <s v="Kos Putri"/>
    <m/>
    <m/>
  </r>
  <r>
    <s v="Kost Zahra Beji Depok"/>
    <x v="1"/>
    <x v="15"/>
    <n v="12"/>
    <s v="3 x 4 meter"/>
    <s v="Termasuk listrik (implied)"/>
    <s v=""/>
    <s v="N/A"/>
    <s v="3 x 4 meter; Termasuk listrik; AC; Kasur; Meja; Lemari Baju; Ventilasi; Kursi; Bantal; Jendela; K. Mandi Dalam; Kloset Duduk; Shower; WiFi; R. Cuci; Kulkas; R. Tamu; Mesin Cuci; Penjaga Kos; R. Makan; R. Jemur; R. Santai; Dapur; Parkir Motor; Parkir Sepeda"/>
    <n v="1400000"/>
    <s v="Rp1.400.000"/>
    <n v="0.20833333333333334"/>
    <d v="1899-12-30T05:00:00"/>
    <s v="Kos Putri"/>
    <m/>
    <m/>
  </r>
  <r>
    <s v="Kost Zahra Pinang Tangerang"/>
    <x v="6"/>
    <x v="17"/>
    <n v="15"/>
    <s v="3 x 5 meter"/>
    <s v="Tidak termasuk listrik"/>
    <s v=""/>
    <s v="N/A"/>
    <s v="3 x 5 meter; Tidak termasuk listrik; Ventilasi; Dapur Pribadi; Jendela; Wastafel; K. Mandi Dalam; Kloset Jongkok; Ember mandi; R. Tamu; Balcon; Jemuran; Pengurus Kos; Parkir Motor; Parkir Sepeda"/>
    <n v="750000"/>
    <s v="Rp750.000"/>
    <n v="0"/>
    <m/>
    <s v="Kos Campur"/>
    <m/>
    <m/>
  </r>
  <r>
    <s v="Kost Zahra Puri Flamboyan Ciputat Timur Tangerang Selatan"/>
    <x v="2"/>
    <x v="52"/>
    <n v="16"/>
    <s v="4 x 4 meter"/>
    <s v="Termasuk listrik (implied)"/>
    <s v=""/>
    <s v="N/A"/>
    <s v="4 x 4 meter; Termasuk listrik; Kasur; Meja; Dispenser; Lemari Baju; Ventilasi; Kursi; Bantal; Guling; Jendela; Dapur Pribadi; K. Mandi Dalam; Kloset Duduk; K. Mandi Luar; Shower; WiFi; R. Cuci; R. Tamu; Mesin Cuci; Penjaga Kos; R. Jemur; R. Santai; Dapur; Balcon; Parkir Mobil; Parkir Motor; Parkir Sepeda"/>
    <n v="12300000"/>
    <s v="Rp12.300.000"/>
    <n v="0"/>
    <m/>
    <s v="Kos Putri"/>
    <m/>
    <m/>
  </r>
  <r>
    <s v="Kost Zahsy Tipe A Tangerang"/>
    <x v="6"/>
    <x v="90"/>
    <n v="18"/>
    <s v="3 x 6 meter"/>
    <s v="Tidak termasuk listrik"/>
    <s v=""/>
    <s v="N/A"/>
    <s v="3 x 6 meter; Tidak termasuk listrik; Kasur; Lemari Baju; Ventilasi; Bantal; Guling; Jendela; Kipas Angin; K. Mandi Dalam; Kloset Duduk; Ember mandi; Laundry; Balcon; CCTV; Gazebo; Jemuran; Joglo; Parkir Motor; Parkir Sepeda"/>
    <n v="950000"/>
    <s v="Rp950.000"/>
    <n v="0"/>
    <m/>
    <s v="Kos Campur"/>
    <m/>
    <m/>
  </r>
  <r>
    <s v="Kost Zea Andri Alam Sutera Pinang Tangerang"/>
    <x v="6"/>
    <x v="17"/>
    <n v="12"/>
    <s v="3 x 4 meter"/>
    <s v="Tidak termasuk listrik"/>
    <s v=""/>
    <s v="N/A"/>
    <s v="3 x 4 meter; Tidak termasuk listrik; AC; Kasur; Meja; Lemari Baju; Ventilasi; Bantal; Guling; Jendela; Cermin; K. Mandi Dalam; Kloset Duduk; Ember mandi; Shower; WiFi; R. Cuci; Kulkas; Mesin Cuci; Penjaga Kos; R. Jemur; Dapur; Jemuran; Balcon; Pengurus Kos; Parkir Motor; Parkir Sepeda; Parkir Motor &amp; Sepeda"/>
    <n v="1500000"/>
    <s v="Rp1.500.000"/>
    <n v="0.17013888888888887"/>
    <d v="1899-12-30T04:05:00"/>
    <s v="Kos Campur"/>
    <m/>
    <s v="Diskon 90rb"/>
  </r>
  <r>
    <s v="Kost Zeal 2 Residence Serpong Utara Tangerang Selatan"/>
    <x v="2"/>
    <x v="181"/>
    <n v="18"/>
    <s v="3 x 6 meter"/>
    <s v="Termasuk listrik (implied)"/>
    <s v=""/>
    <s v="N/A"/>
    <s v="3 x 6 meter; Termasuk listrik; AC; Kasur; Meja; TV; Meja Rias; Lemari Baju; Kulkas; Ventilasi; Kursi; Wastafel; K. Mandi Dalam; Kloset Duduk; Shower; Air panas; WiFi; Penjaga Kos; Laundry; R. Santai; Dapur; Dispenser; Kartu Akses; CCTV; Pengurus Kos; Parkir Mobil; Parkir Motor; Parkir Sepeda; Parkir Motor &amp; Sepeda"/>
    <n v="3700000"/>
    <s v="Rp3.700.000"/>
    <n v="0"/>
    <m/>
    <s v="Kos Campur"/>
    <m/>
    <m/>
  </r>
  <r>
    <s v="Kost Zeeka Kutek Ui Beji Depok"/>
    <x v="1"/>
    <x v="16"/>
    <n v="14"/>
    <s v="3.5 x 4 meter"/>
    <s v="Tidak termasuk listrik"/>
    <s v=""/>
    <s v="N/A"/>
    <s v="3.5 x 4 meter; Tidak termasuk listrik; AC; Kasur; Meja; Lemari Baju; Ventilasi; Bantal; Cermin; Cleaning service; Guling; Jendela; K. Mandi Dalam; Kloset Duduk; Wastafel; Shower; Air panas; WiFi; Kulkas; Penjaga Kos; R. Tamu; Dapur; Dispenser; CCTV; Pengurus Kos; R. Keluarga; TV; Parkir Motor"/>
    <n v="1650000"/>
    <s v="Rp1.650.000"/>
    <m/>
    <d v="1899-12-30T04:05:00"/>
    <s v="Kos Putri"/>
    <m/>
    <s v="Diskon 179rb"/>
  </r>
  <r>
    <s v="Kost Zhakost Dramaga Bogor"/>
    <x v="0"/>
    <x v="73"/>
    <n v="9"/>
    <s v="3 x 3 meter"/>
    <s v="Termasuk listrik (implied)"/>
    <s v=""/>
    <s v="N/A"/>
    <s v="3 x 3 meter; Termasuk listrik; Kasur; Meja; Kursi; Cleaning service; Bantal; Jendela; K. Mandi Dalam; Kloset Jongkok; K. Mandi Luar; Ember mandi; WiFi; Kulkas; R. Makan; R. Jemur; R. Santai; Dapur; Balcon; CCTV; Jemuran; Parkir Motor"/>
    <n v="700000"/>
    <s v="Rp700.000"/>
    <m/>
    <d v="1899-12-30T04:05:00"/>
    <s v="Kos Putra"/>
    <m/>
    <m/>
  </r>
  <r>
    <s v="Kost Zuzu Tipe A Pamulang Tangerang Selatan"/>
    <x v="2"/>
    <x v="77"/>
    <n v="9"/>
    <s v="3 x 3 meter"/>
    <s v="Termasuk listrik (implied)"/>
    <s v=""/>
    <s v="N/A"/>
    <s v="3 x 3 meter; Termasuk listrik; Kasur; Lemari Baju; Bantal; Jendela; Kipas Angin; Kloset Duduk; K. Mandi Luar; Ember mandi; WiFi; R. Jemur; Jemuran; Parkir Motor &amp; Sepeda"/>
    <n v="800000"/>
    <s v="Rp800.000"/>
    <m/>
    <d v="1899-12-30T05:00:00"/>
    <s v="Kos Putri"/>
    <m/>
    <s v="Diskon 72rb"/>
  </r>
  <r>
    <s v="Rumah Kontrakan Alantoti Serang Baru Bekasi"/>
    <x v="7"/>
    <x v="197"/>
    <n v="1800"/>
    <s v="30 x 60 meter"/>
    <s v="Tidak termasuk listrik"/>
    <s v=""/>
    <s v="N/A"/>
    <s v="30 x 60 meter; Tidak termasuk listrik; Ventilasi; Dapur Pribadi; Jendela; Wastafel; Kloset Jongkok; K. Mandi Luar; Ember mandi; Bak mandi; Penjaga Kos; R. Tamu; R. Santai; Dapur; R. Keluarga; Parkir Mobil; Parkir Motor; Parkir Sepeda; Parkir Motor &amp; Sepeda"/>
    <n v="1100000"/>
    <s v="Rp1.100.000"/>
    <m/>
    <m/>
    <s v="Kos Campur"/>
    <m/>
    <m/>
  </r>
  <r>
    <s v="Rumah Kontrakan Anastra Village Cibitung Bekasi"/>
    <x v="7"/>
    <x v="110"/>
    <n v="60"/>
    <s v="6 x 10 meter"/>
    <s v="Tidak termasuk listrik"/>
    <s v=""/>
    <s v="N/A"/>
    <s v="6 x 10 meter; Tidak termasuk listrik; Dapur Pribadi; Jendela; K. Mandi Dalam; Kloset Jongkok; Ember mandi; Bak mandi; R. Cuci; R. Tamu; Mushola; R. Jemur; R. Santai; Dapur; Balcon; Gazebo; Jemuran; Joglo; Parkir Mobil; Parkir Motor; Parkir Sepeda; Parkir Motor &amp; Sepeda"/>
    <n v="750000"/>
    <s v="Rp750.000"/>
    <m/>
    <m/>
    <s v="Kos Campur"/>
    <m/>
    <m/>
  </r>
  <r>
    <s v="Rumah Kontrakan Baladewa Depok Sukmajaya Depok"/>
    <x v="1"/>
    <x v="84"/>
    <n v="9"/>
    <s v="3 x 3 meter"/>
    <s v="Tidak termasuk listrik"/>
    <s v=""/>
    <s v="N/A"/>
    <s v="3 x 3 meter; Tidak termasuk listrik; Jendela; Kloset Duduk; Shower; R. Tamu; R. Makan; R. Santai; Dapur; Jemuran; R. Keluarga; Parkir Mobil; Parkir Motor"/>
    <n v="2500000"/>
    <s v="Rp2.500.000"/>
    <m/>
    <m/>
    <s v="Kos Campur"/>
    <m/>
    <m/>
  </r>
  <r>
    <s v="Rumah Kontrakan CNA Home Tamansari Bogor"/>
    <x v="0"/>
    <x v="198"/>
    <n v="30"/>
    <s v="5 x 6 meter"/>
    <s v="Tidak termasuk listrik"/>
    <s v=""/>
    <s v="N/A"/>
    <s v="5 x 6 meter; Tidak termasuk listrik; AC; Kasur; Meja; TV; Kulkas; Kursi; K. Mandi Dalam; Kloset Duduk; Ember mandi; Wastafel; Shower; Air panas; R. Tamu; Dapur; Taman; Parkir Mobil; Parkir Motor; Parkir Sepeda; Parkir Motor &amp; Sepeda"/>
    <n v="3500000"/>
    <s v="Rp3.500.000"/>
    <m/>
    <m/>
    <s v="Kos Campur"/>
    <m/>
    <m/>
  </r>
  <r>
    <s v="Rumah Kontrakan Gang H Nasir Ciputat Tangerang Selatan"/>
    <x v="2"/>
    <x v="103"/>
    <n v="10"/>
    <s v="2 x 5 meter"/>
    <s v="Tidak termasuk listrik"/>
    <s v=""/>
    <s v="N/A"/>
    <s v="2 x 5 meter; Tidak termasuk listrik; Jendela; Kloset Jongkok; R. Cuci; R. Tamu; R. Jemur; R. Makan; R. Santai; Balcon; R. Keluarga; Parkir Motor"/>
    <n v="1000000"/>
    <s v="Rp1.000.000"/>
    <m/>
    <m/>
    <s v="Kos Campur"/>
    <m/>
    <m/>
  </r>
  <r>
    <s v="Rumah Kontrakan Komplek Sunter Jaya Baru Tanjung Priok Jakarta Utara"/>
    <x v="4"/>
    <x v="10"/>
    <n v="12"/>
    <s v="3 x 4 meter"/>
    <s v="Tidak termasuk listrik"/>
    <s v=""/>
    <s v="N/A"/>
    <s v="3 x 4 meter; Tidak termasuk listrik; Ventilasi; Jendela; K. Mandi Dalam; Kloset Duduk; Kloset Jongkok; Bak mandi; R. Cuci; R. Tamu; R. Jemur; R. Makan; R. Santai; Dapur; R. Keluarga; Parkir Mobil; Parkir Motor; Parkir Sepeda; Parkir Motor &amp; Sepeda"/>
    <n v="4600000"/>
    <s v="Rp4.600.000"/>
    <m/>
    <m/>
    <s v="Kos Campur"/>
    <m/>
    <m/>
  </r>
  <r>
    <s v="Rumah Kontrakan Lily Jonggol Bogor"/>
    <x v="0"/>
    <x v="199"/>
    <n v="6"/>
    <s v="2 x 3 meter"/>
    <s v="Tidak termasuk listrik"/>
    <s v=""/>
    <s v="N/A"/>
    <s v="2 x 3 meter; Tidak termasuk listrik; AC; Kloset Duduk; CCTV; Parkir Mobil"/>
    <n v="1500000"/>
    <s v="Rp1.500.000"/>
    <m/>
    <m/>
    <s v="Kos Campur"/>
    <m/>
    <m/>
  </r>
  <r>
    <s v="Rumah Kontrakan Mustika Tambelang Bekasi"/>
    <x v="7"/>
    <x v="200"/>
    <n v="12"/>
    <s v="3 x 4 meter"/>
    <s v="Tidak termasuk listrik"/>
    <s v=""/>
    <s v="N/A"/>
    <s v="3 x 4 meter; Tidak termasuk listrik; Jendela; Dapur Pribadi; Kloset Jongkok; Ember mandi; Shower; R. Tamu; Dapur; Parkir Mobil; Parkir Motor; Parkir Sepeda; Parkir Motor &amp; Sepeda"/>
    <n v="1500000"/>
    <s v="Rp1.500.000"/>
    <m/>
    <m/>
    <s v="Kos Campur"/>
    <m/>
    <m/>
  </r>
  <r>
    <s v="Rumah Kontrakan Nanang Bojong Rangkas Ciampea Bogor"/>
    <x v="0"/>
    <x v="85"/>
    <n v="9"/>
    <s v="3 x 3 meter"/>
    <s v="Tidak termasuk listrik"/>
    <s v=""/>
    <s v="N/A"/>
    <s v="3 x 3 meter; Tidak termasuk listrik; Ventilasi; Dapur Pribadi; Jendela; Wastafel; Kloset Jongkok; K. Mandi Luar; Shower; R. Cuci; R. Tamu; R. Jemur; R. Makan; R. Santai; Dapur; Balcon; Jual Makanan; R. Keluarga; Parkir Motor; Parkir Sepeda"/>
    <n v="800000"/>
    <s v="Rp800.000"/>
    <m/>
    <m/>
    <s v="Kos Campur"/>
    <m/>
    <m/>
  </r>
  <r>
    <m/>
    <x v="10"/>
    <x v="201"/>
    <n v="2326"/>
    <m/>
    <m/>
    <n v="621"/>
    <s v="1732"/>
    <e v="#REF!"/>
    <b v="1"/>
    <n v="0"/>
    <m/>
    <b v="1"/>
    <m/>
    <m/>
    <m/>
  </r>
  <r>
    <m/>
    <x v="10"/>
    <x v="201"/>
    <m/>
    <m/>
    <m/>
    <m/>
    <m/>
    <m/>
    <n v="2353"/>
    <b v="0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58">
  <r>
    <s v="Kost 0088 Tipe A Babakan Madang Bogor"/>
    <x v="0"/>
    <s v="Babakan Madang"/>
    <n v="12"/>
    <s v="3 x 4 meter"/>
    <s v="Termasuk listrik (implied)"/>
    <s v=""/>
    <s v="N/A"/>
    <s v="3 x 4 meter; Termasuk listrik; Kasur; Bantal; Guling; Jendela; K. Mandi Dalam; Kloset Duduk; Ember mandi; Shower; Dapur; Dispenser; Balcon; CCTV; Taman; Parkir Mobil; Parkir Motor; Parkir Sepeda; Parkir Motor &amp; Sepeda"/>
    <x v="0"/>
    <s v="Rp950.000"/>
    <x v="0"/>
    <m/>
    <x v="0"/>
    <m/>
    <m/>
  </r>
  <r>
    <s v="Kost 121 Cinere Depok"/>
    <x v="1"/>
    <s v="Cinere"/>
    <n v="12"/>
    <s v="4 x 3 meter"/>
    <s v="Tidak termasuk listrik"/>
    <s v=""/>
    <s v="N/A"/>
    <s v="4 x 3 meter; Tidak termasuk listrik; AC; Kasur; Lemari Baju; Bantal; Cermin; K. Mandi Dalam; Kloset Duduk; Kloset Jongkok; Ember mandi; WiFi; R. Jemur; Balcon; CCTV; Jemuran; Pengurus Kos; Parkir Motor; Parkir Sepeda"/>
    <x v="1"/>
    <s v="Rp1.100.000"/>
    <x v="0"/>
    <m/>
    <x v="1"/>
    <m/>
    <m/>
  </r>
  <r>
    <s v="Kost 126 Pondok Aren Tangerang Selatan"/>
    <x v="2"/>
    <s v="Kecamatan Pondok Aren"/>
    <n v="9"/>
    <s v="3 x 3 meter"/>
    <s v="Tidak termasuk listrik"/>
    <s v=""/>
    <s v="N/A"/>
    <s v="3 x 3 meter; Tidak termasuk listrik; AC; Kasur; Meja; Lemari Baju; Bantal; Jendela; K. Mandi Dalam; Kloset Jongkok; Ember mandi; WiFi; R. Jemur; Dispenser; Balcon; CCTV; Jemuran; Gazebo; Jual Makanan; Taman; Parkir Mobil; Parkir Motor"/>
    <x v="1"/>
    <s v="Rp1.100.000"/>
    <x v="0"/>
    <m/>
    <x v="1"/>
    <m/>
    <m/>
  </r>
  <r>
    <s v="Kost 20088 Babakan Madang Bogor"/>
    <x v="0"/>
    <s v="Babakan Madang"/>
    <n v="12"/>
    <s v="3 x 4 meter"/>
    <s v="Termasuk listrik (implied)"/>
    <s v=""/>
    <s v="N/A"/>
    <s v="3 x 4 meter; Termasuk listrik; Kasur; Lemari Baju; Ventilasi; Bantal; Guling; Jendela; K. Mandi Dalam; Kloset Duduk; K. Mandi Luar; Ember mandi; Shower; R. Tamu; R. Jemur; R. Makan; R. Santai; Dispenser; CCTV; Jemuran; Pengurus Kos; Kartu Akses; Parkir Motor"/>
    <x v="2"/>
    <s v="Rp700.000"/>
    <x v="0"/>
    <m/>
    <x v="0"/>
    <m/>
    <m/>
  </r>
  <r>
    <s v="Kost 21 Alam Sutera Tipe A Serpong Utara Tangerang Selatan"/>
    <x v="2"/>
    <s v="Kecamatan Serpong Utara"/>
    <n v="6"/>
    <s v="2 x 3 meter"/>
    <s v="Termasuk listrik (implied)"/>
    <s v=""/>
    <s v="N/A"/>
    <s v="2 x 3 meter; Termasuk listrik; AC; Kasur; Lemari Baju; Bantal; Cermin; Cleaning service; Kloset Duduk; K. Mandi Luar; Wastafel; Shower; WiFi; Kulkas; Laundry; Dapur; Dispenser; Pengurus Kos; Parkir Mobil; Parkir Motor; Parkir Sepeda; Parkir Motor &amp; Sepeda"/>
    <x v="3"/>
    <s v="Rp1.500.000"/>
    <x v="1"/>
    <d v="1899-12-30T01:00:00"/>
    <x v="1"/>
    <m/>
    <m/>
  </r>
  <r>
    <s v="Kost 21 Alam Sutera Tipe B Serpong Utara Tangerang Selatan"/>
    <x v="2"/>
    <s v="Kecamatan Serpong Utara"/>
    <n v="9"/>
    <s v="3 x 3 meter"/>
    <s v="Termasuk listrik (implied)"/>
    <s v=""/>
    <s v="N/A"/>
    <s v="3 x 3 meter; Termasuk listrik; AC; Kasur; Meja; Lemari Baju; Bantal; Cermin; Jendela; Kursi; Kloset Duduk; K. Mandi Luar; Wastafel; Shower; WiFi; Kulkas; Laundry; Dapur; Dispenser; Pengurus Kos; Parkir Mobil; Parkir Motor; Parkir Sepeda; Parkir Motor &amp; Sepeda"/>
    <x v="4"/>
    <s v="Rp2.200.000"/>
    <x v="2"/>
    <d v="1899-12-30T04:08:00"/>
    <x v="1"/>
    <m/>
    <m/>
  </r>
  <r>
    <s v="Kost 28 Pondoklabu Cinere Depok"/>
    <x v="1"/>
    <s v="Cinere"/>
    <n v="16"/>
    <s v="4 x 4 meter"/>
    <s v="Tidak termasuk listrik"/>
    <s v=""/>
    <s v="N/A"/>
    <s v="4 x 4 meter; Tidak termasuk listrik; AC; Kasur; Meja; Lemari Baju; Bantal; Cermin; Guling; Jendela; K. Mandi Dalam; Kloset Duduk; Shower; WiFi; Penjaga Kos; R. Jemur; Dapur; CCTV; Jemuran; Parkir Motor; Parkir Sepeda"/>
    <x v="5"/>
    <s v="Rp1.350.000"/>
    <x v="0"/>
    <m/>
    <x v="2"/>
    <m/>
    <m/>
  </r>
  <r>
    <s v="Kost 2nd Home Tipe Executive Palmerah Jakarta Barat"/>
    <x v="3"/>
    <s v="Palmerah"/>
    <n v="12"/>
    <s v="4 x 3 meter"/>
    <s v="Tidak termasuk listrik"/>
    <s v=""/>
    <s v="N/A"/>
    <s v="4 x 3 meter; Tidak termasuk listrik; AC; Kasur; Meja; Meja Rias; TV; Lemari Baju; Ventilasi; Bantal; Cermin; Cleaning service; K. Mandi Dalam; Kloset Duduk; Shower; Air panas; WiFi; Kulkas; Penjaga Kos; R. Jemur; R. Makan; R. Santai; Dapur; Dispenser; Balcon; CCTV; Parkir Motor; Parkir Motor &amp; Sepeda"/>
    <x v="6"/>
    <s v="Rp3.100.000"/>
    <x v="3"/>
    <d v="1899-12-30T05:00:00"/>
    <x v="0"/>
    <m/>
    <s v="Diskon 256rb"/>
  </r>
  <r>
    <s v="Kost 38 Lt3 Tanjung Priok Jakarta Utara"/>
    <x v="4"/>
    <s v="Tanjung Priok"/>
    <n v="9"/>
    <s v="3 x 3 meter"/>
    <s v="Termasuk listrik (implied)"/>
    <s v=""/>
    <s v="N/A"/>
    <s v="3 x 3 meter; Termasuk listrik; Kasur; Meja; Kulkas; Lemari Baju; Ventilasi; Bantal; Cermin; Cleaning service; Jendela; Kipas Angin; Kloset Jongkok; K. Mandi Luar; Penjaga Kos; R. Jemur; Dapur; CCTV; Jemuran; Pengurus Kos"/>
    <x v="2"/>
    <s v="Rp700.000"/>
    <x v="4"/>
    <d v="1899-12-30T04:01:00"/>
    <x v="1"/>
    <m/>
    <m/>
  </r>
  <r>
    <s v="Kost 3tranches Home SCBD Tipe A Kebayoran Baru Jakarta Selatan"/>
    <x v="5"/>
    <s v="Kebayoran Baru"/>
    <n v="15"/>
    <s v="3 x 5 meter"/>
    <s v="Tidak termasuk listrik"/>
    <s v=""/>
    <s v="N/A"/>
    <s v="3 x 5 meter; Tidak termasuk listrik; AC; Kasur; Meja; TV; Lemari Baju; Kursi; TV Kabel; Bantal; Cermin; Guling; K. Mandi Dalam; Kloset Duduk; Wastafel; Shower; Air panas; WiFi; Kulkas; R. Tamu; Laundry; R. Jemur; Dapur; Dispenser; CCTV; Pengurus Kos; Parkir Motor; Parkir Sepeda"/>
    <x v="7"/>
    <s v="Rp3.500.000"/>
    <x v="5"/>
    <d v="1899-12-30T04:00:00"/>
    <x v="0"/>
    <m/>
    <m/>
  </r>
  <r>
    <s v="Kost 3tranches Home Senopati Kebayoran Baru Jakarta Selatan"/>
    <x v="5"/>
    <s v="Kebayoran Baru"/>
    <n v="16"/>
    <s v="4 x 4 meter"/>
    <s v="Tidak termasuk listrik"/>
    <s v=""/>
    <s v="N/A"/>
    <s v="4 x 4 meter; Tidak termasuk listrik; AC; Kasur; TV; Kulkas; Lemari Baju; Bantal; Cermin; Guling; Jendela; Wastafel; K. Mandi Dalam; Shower; Air panas; WiFi; Dapur; Dispenser; CCTV; Pengurus Kos; Parkir Motor"/>
    <x v="8"/>
    <s v="Rp3.800.000"/>
    <x v="6"/>
    <d v="1899-12-30T04:06:00"/>
    <x v="0"/>
    <m/>
    <s v="Diskon 304rb"/>
  </r>
  <r>
    <s v="Kost 3tranches Home Tipe D Cilandak Jakarta Selatan"/>
    <x v="5"/>
    <s v="Cilandak"/>
    <n v="27.599999999999998"/>
    <s v="4.6 x 6 meter"/>
    <s v="Tidak termasuk listrik"/>
    <s v=""/>
    <s v="N/A"/>
    <s v="4.6 x 6 meter; Tidak termasuk listrik; AC; Kasur; Meja; TV; Lemari Baju; Bantal; Cermin; Dapur Pribadi; Guling; Jendela; K. Mandi Dalam; Kloset Duduk; Wastafel; Shower; Air panas; WiFi; Kulkas; R. Tamu; Penjaga Kos; Laundry; R. Jemur; R. Santai; Dapur; Dispenser; CCTV; Parkir Mobil; Parkir Motor; Parkir Sepeda"/>
    <x v="9"/>
    <s v="Rp4.000.000"/>
    <x v="7"/>
    <d v="1899-12-30T03:06:00"/>
    <x v="0"/>
    <m/>
    <s v="Diskon 193rb"/>
  </r>
  <r>
    <s v="Kost 44 Ciputat Timur Tangerang Selatan"/>
    <x v="2"/>
    <s v="Kecamatan Ciputat Timur"/>
    <n v="9"/>
    <s v="3 x 3 meter"/>
    <s v="Termasuk listrik (implied)"/>
    <s v=""/>
    <s v="N/A"/>
    <s v="3 x 3 meter; Termasuk listrik; Kasur; Lemari Baju; Ventilasi; Bantal; Jendela; Kipas Angin; Kloset Jongkok; K. Mandi Luar; Ember mandi; WiFi; R. Tamu; R. Jemur; Dapur; CCTV; Jemuran; TV; Parkir Motor"/>
    <x v="10"/>
    <s v="Rp750.000"/>
    <x v="3"/>
    <d v="1899-12-30T05:00:00"/>
    <x v="1"/>
    <m/>
    <m/>
  </r>
  <r>
    <s v="Kost 50 Tipe A Limo Depok"/>
    <x v="1"/>
    <s v="Limo"/>
    <n v="12"/>
    <s v="3 x 4 meter"/>
    <s v="Tidak termasuk listrik"/>
    <s v=""/>
    <s v="N/A"/>
    <s v="3 x 4 meter; Tidak termasuk listrik; AC; Kasur; Meja; Lemari Baju; Ventilasi; Kursi; Bantal; Guling; Jendela; Cermin; K. Mandi Dalam; Kloset Duduk; Ember mandi; Shower; WiFi; R. Cuci; Kulkas; R. Tamu; Mesin Cuci; Penjaga Kos; R. Makan; R. Jemur; R. Santai; Dapur; Parkir Mobil; Parkir Motor; Parkir Sepeda"/>
    <x v="11"/>
    <s v="Rp1.400.000"/>
    <x v="0"/>
    <m/>
    <x v="2"/>
    <m/>
    <m/>
  </r>
  <r>
    <s v="Kost 93 Suites Primier Tanjung Priok Jakarta Utara"/>
    <x v="4"/>
    <s v="Kecamatan Tanjung Priok"/>
    <n v="20"/>
    <s v="4 x 5 meter"/>
    <s v="Tidak termasuk listrik"/>
    <s v=""/>
    <s v="N/A"/>
    <s v="4 x 5 meter; Tidak termasuk listrik; AC; Kasur; Meja; TV; Meja Rias; Kulkas; Lemari Baju; Ventilasi; Bantal; Cermin; K. Mandi Dalam; Kloset Duduk; Wastafel; Shower; Air panas; WiFi; R. Tamu; Penjaga Kos; R. Makan; Dapur; Dispenser; CCTV; Kartu Akses; Pengurus Kos; Parkir Motor"/>
    <x v="7"/>
    <s v="Rp3.500.000"/>
    <x v="0"/>
    <m/>
    <x v="0"/>
    <m/>
    <m/>
  </r>
  <r>
    <s v="Kost 93 Suites Standart 2 Tanjung Priok Jakarta Utara"/>
    <x v="4"/>
    <s v="Kecamatan Tanjung Priok"/>
    <n v="12"/>
    <s v="3 x 4 meter"/>
    <s v="Tidak termasuk listrik"/>
    <s v=""/>
    <s v="N/A"/>
    <s v="3 x 4 meter; Tidak termasuk listrik; AC; Kasur; Meja; Lemari Baju; Bantal; Cermin; Guling; Jendela; Kursi; K. Mandi Dalam; Kloset Duduk; Wastafel; Shower; WiFi; Kulkas; R. Tamu; R. Makan; Dapur; Dispenser; CCTV; Kartu Akses; Pengurus Kos; Parkir Motor"/>
    <x v="4"/>
    <s v="Rp2.200.000"/>
    <x v="3"/>
    <d v="1899-12-30T05:00:00"/>
    <x v="0"/>
    <m/>
    <m/>
  </r>
  <r>
    <s v="Kost 99 Tipe B Pondok Aren Tangerang Selatan"/>
    <x v="2"/>
    <s v="Kecamatan Pondok Aren"/>
    <n v="10"/>
    <s v="2.5 x 4 meter"/>
    <s v="Tidak termasuk listrik"/>
    <s v=""/>
    <s v="N/A"/>
    <s v="2.5 x 4 meter; Tidak termasuk listrik; Kasur; Meja; Lemari Baju; Bantal; Jendela; Kursi; K. Mandi Dalam; Kloset Duduk; Ember mandi; WiFi; Kulkas; R. Tamu; R. Jemur; R. Makan; R. Santai; Dapur; Balcon; CCTV; Pengurus Kos; Parkir Motor"/>
    <x v="12"/>
    <s v="Rp850.000"/>
    <x v="8"/>
    <d v="1899-12-30T04:09:00"/>
    <x v="1"/>
    <m/>
    <m/>
  </r>
  <r>
    <s v="Kost A21 Pondoklabu Cinere Depok"/>
    <x v="1"/>
    <s v="Cinere"/>
    <n v="16"/>
    <s v="4 x 4 meter"/>
    <s v="Tidak termasuk listrik"/>
    <s v=""/>
    <s v="N/A"/>
    <s v="4 x 4 meter; Tidak termasuk listrik; AC; Kasur; Meja; Lemari Baju; Bantal; Guling; Jendela; Cermin; K. Mandi Dalam; Kloset Duduk; Shower; WiFi; Kulkas; R. Jemur; Dapur; Pengurus Kos; Jemuran; CCTV; Parkir Mobil; Parkir Motor; Parkir Sepeda"/>
    <x v="13"/>
    <s v="Rp1.600.000"/>
    <x v="0"/>
    <m/>
    <x v="2"/>
    <m/>
    <m/>
  </r>
  <r>
    <s v="Kost Aamodini Tipe A Bojongsari Depok"/>
    <x v="1"/>
    <s v="Bojongsari"/>
    <n v="12"/>
    <s v="3 x 4 meter"/>
    <s v="Termasuk listrik (implied)"/>
    <s v=""/>
    <s v="N/A"/>
    <s v="3 x 4 meter; Termasuk listrik; Kasur; Meja; Lemari Baju; Bantal; Cermin; Guling; Jendela; Kipas Angin; K. Mandi Dalam; Kloset Duduk; Kloset Jongkok; K. Mandi Luar; Bak mandi; WiFi; Kulkas; Mesin Cuci; R. Tamu; Mushola; R. Makan; R. Santai; Dapur; Balcon; CCTV; Parkir Mobil; Parkir Motor; Parkir Sepeda"/>
    <x v="2"/>
    <s v="Rp700.000"/>
    <x v="0"/>
    <m/>
    <x v="0"/>
    <m/>
    <m/>
  </r>
  <r>
    <s v="Kost Abah Penjaringan Jakarta Utara"/>
    <x v="4"/>
    <s v="Penjaringan"/>
    <n v="6"/>
    <s v="3 x 2 meter"/>
    <s v="Termasuk listrik (implied)"/>
    <s v=""/>
    <s v="N/A"/>
    <s v="3 x 2 meter; Termasuk listrik; Lemari Baju; Kipas Angin; Ember mandi"/>
    <x v="14"/>
    <s v="Rp800.000"/>
    <x v="9"/>
    <d v="1899-12-30T03:04:00"/>
    <x v="0"/>
    <m/>
    <m/>
  </r>
  <r>
    <s v="Kost Abas Babakan Madang Bogor"/>
    <x v="0"/>
    <s v="Babakan Madang"/>
    <n v="12"/>
    <s v="3 x 4 meter"/>
    <s v="Tidak termasuk listrik"/>
    <s v=""/>
    <s v="N/A"/>
    <s v="3 x 4 meter; Tidak termasuk listrik; AC; Kasur; Lemari Baju; Bantal; Jendela; Kloset Duduk; K. Mandi Luar; Ember mandi; Laundry; R. Jemur; Dispenser"/>
    <x v="2"/>
    <s v="Rp700.000"/>
    <x v="0"/>
    <m/>
    <x v="1"/>
    <m/>
    <m/>
  </r>
  <r>
    <s v="Kost Abdi Muwardi Residence Tipe A Grogol Petamburan Jakarta Barat"/>
    <x v="3"/>
    <s v="Grogol Petamburan"/>
    <n v="8"/>
    <s v="2 x 4 meter"/>
    <s v="Tidak termasuk listrik"/>
    <s v=""/>
    <s v="N/A"/>
    <s v="2 x 4 meter; Tidak termasuk listrik; AC; Kasur; Meja; Lemari Baju; Kursi; Cermin; Bantal; Cleaning service; Guling; Wastafel; K. Mandi Dalam; Kloset Duduk; Ember mandi; Shower; Air panas; WiFi; Kulkas; R. Tamu; Penjaga Kos; Laundry; R. Jemur; R. Makan; Dapur; Dispenser; CCTV; Parkir Motor; Parkir Sepeda"/>
    <x v="15"/>
    <s v="Rp2.180.000"/>
    <x v="6"/>
    <d v="1899-12-30T04:06:00"/>
    <x v="0"/>
    <m/>
    <s v="Diskon 113rb"/>
  </r>
  <r>
    <s v="Kost Abigail VVIP Kebon Jeruk Jakarta Barat"/>
    <x v="3"/>
    <s v="Kebon Jeruk"/>
    <n v="12"/>
    <s v="3 x 4 meter"/>
    <s v="Tidak termasuk listrik"/>
    <s v=""/>
    <s v="N/A"/>
    <s v="3 x 4 meter; Tidak termasuk listrik; Kasur; Lemari Baju; Kipas Angin; K. Mandi Dalam; Kloset Jongkok; Ember mandi; WiFi; R. Tamu; R. Jemur; R. Santai; Dapur; Jemuran; R. Keluarga; Parkir Motor"/>
    <x v="16"/>
    <s v="Rp880.000"/>
    <x v="10"/>
    <d v="1899-12-30T04:05:00"/>
    <x v="2"/>
    <m/>
    <m/>
  </r>
  <r>
    <s v="Kost Abu Beji Depok"/>
    <x v="1"/>
    <s v="Beji"/>
    <n v="9"/>
    <s v="3 x 3 meter"/>
    <s v="Termasuk listrik (implied)"/>
    <s v=""/>
    <s v="N/A"/>
    <s v="3 x 3 meter; Termasuk listrik; Kasur; Lemari Baju; Ventilasi; Bantal; Jendela; Kloset Jongkok; K. Mandi Luar; Ember mandi; WiFi; Kulkas; R. Tamu; R. Makan; R. Jemur; R. Santai; Dapur; Balcon; CCTV; Parkir Motor; Parkir Sepeda"/>
    <x v="14"/>
    <s v="Rp800.000"/>
    <x v="11"/>
    <d v="1899-12-30T03:08:00"/>
    <x v="2"/>
    <m/>
    <s v="Diskon 90rb"/>
  </r>
  <r>
    <s v="Kost Abun Tipe A Beji Depok"/>
    <x v="1"/>
    <s v="Kecamatan Beji"/>
    <n v="12"/>
    <s v="3 x 4 meter"/>
    <s v="Termasuk listrik (implied)"/>
    <s v=""/>
    <s v="N/A"/>
    <s v="3 x 4 meter; Termasuk listrik; Kasur; Lemari Baju; Ventilasi; Bantal; Jendela; K. Mandi Dalam; Kloset Jongkok; Ember mandi; WiFi; Kulkas; R. Jemur; Dapur; Balcon; Jemuran; Pengurus Kos; Parkir Motor; Parkir Sepeda"/>
    <x v="17"/>
    <s v="Rp650.000"/>
    <x v="2"/>
    <d v="1899-12-30T04:08:00"/>
    <x v="2"/>
    <m/>
    <m/>
  </r>
  <r>
    <s v="Kost Abun Tipe A Beji Depok"/>
    <x v="1"/>
    <s v="Kecamatan Beji"/>
    <n v="12"/>
    <s v="3 x 4 meter"/>
    <s v="Termasuk listrik (implied)"/>
    <s v=""/>
    <s v="N/A"/>
    <s v="3 x 4 meter; Termasuk listrik; Kasur; Lemari Baju; Ventilasi; Bantal; Jendela; K. Mandi Dalam; Kloset Jongkok; Ember mandi; Parkir Motor; Parkir Sepeda"/>
    <x v="17"/>
    <s v="Rp650.000"/>
    <x v="2"/>
    <d v="1899-12-30T04:08:00"/>
    <x v="2"/>
    <m/>
    <m/>
  </r>
  <r>
    <s v="Kost Adhiraka Tipe C Pinang Tangerang"/>
    <x v="6"/>
    <s v="Kecamatan Pinang"/>
    <n v="12"/>
    <s v="3 x 4 meter"/>
    <s v="Tidak termasuk listrik"/>
    <s v=""/>
    <s v="N/A"/>
    <s v="3 x 4 meter; Tidak termasuk listrik; AC; Kasur; Bantal; Jendela; K. Mandi Dalam; Kloset Duduk; Ember mandi; R. Jemur; Balcon; Rooftop; Parkir Motor; Parkir Motor &amp; Sepeda"/>
    <x v="18"/>
    <s v="Rp1.300.000"/>
    <x v="3"/>
    <d v="1899-12-30T05:00:00"/>
    <x v="2"/>
    <m/>
    <m/>
  </r>
  <r>
    <s v="Kost Adinda Tipe Non Ac Serpong Tangerang Selatan"/>
    <x v="2"/>
    <s v="Serpong"/>
    <n v="12"/>
    <s v="3 x 4 meter"/>
    <s v="Tidak termasuk listrik"/>
    <s v=""/>
    <s v="N/A"/>
    <s v="3 x 4 meter; Tidak termasuk listrik; Kasur; Meja; Lemari Baju; Ventilasi; Bantal; Guling; Jendela; Kursi; K. Mandi Dalam; Kloset Duduk; Shower; WiFi; Kulkas; Laundry; Penjaga Kos; R. Tamu; R. Jemur; Dapur; CCTV; Jemuran; Jual Makanan; Parkir Mobil; Parkir Motor; Parkir Sepeda; Parkir Motor &amp; Sepeda"/>
    <x v="1"/>
    <s v="Rp1.100.000"/>
    <x v="0"/>
    <m/>
    <x v="0"/>
    <m/>
    <m/>
  </r>
  <r>
    <s v="Kost Adit Aster Cikarang Barat Bekasi"/>
    <x v="7"/>
    <s v="Cikarang Barat"/>
    <n v="9"/>
    <s v="3 x 3 meter"/>
    <s v="Tidak termasuk listrik"/>
    <s v=""/>
    <s v="N/A"/>
    <s v="3 x 3 meter; Tidak termasuk listrik; AC; Kasur; Meja; Lemari Baju; Ventilasi; Bantal; Guling; Jendela; Kursi; Cermin; K. Mandi Dalam; Kloset Jongkok; Ember mandi; WiFi; Balcon; Pengurus Kos; CCTV; Jemuran; Parkir Mobil; Parkir Motor; Parkir Sepeda; Parkir Motor &amp; Sepeda"/>
    <x v="11"/>
    <s v="Rp1.400.000"/>
    <x v="0"/>
    <m/>
    <x v="1"/>
    <m/>
    <m/>
  </r>
  <r>
    <s v="Kost Aeon Bsd Tipe Executive Cisauk Tangerang"/>
    <x v="0"/>
    <s v="Cisauk"/>
    <n v="16"/>
    <s v="4 x 4 meter"/>
    <s v="Tidak termasuk listrik"/>
    <s v=""/>
    <s v="N/A"/>
    <s v="4 x 4 meter; Tidak termasuk listrik; AC; TV; Lemari Baju; Ventilasi; Wastafel; Dapur Pribadi; TV Kabel; Jendela; K. Mandi Dalam; Kloset Jongkok; Ember mandi; WiFi; R. Tamu; Mushola; R. Jemur; R. Makan; R. Santai; Dapur; CCTV; Jemuran; R. Keluarga; Parkir Mobil; Parkir Motor; Parkir Sepeda; Parkir Motor &amp; Sepeda"/>
    <x v="18"/>
    <s v="Rp1.300.000"/>
    <x v="0"/>
    <m/>
    <x v="0"/>
    <m/>
    <m/>
  </r>
  <r>
    <s v="Kost Aeon BSD Tipe Supreme Cisauk Tangerang"/>
    <x v="0"/>
    <s v="Cisauk"/>
    <n v="30"/>
    <s v="5 x 6 meter"/>
    <s v="Tidak termasuk listrik"/>
    <s v=""/>
    <s v="N/A"/>
    <s v="5 x 6 meter; Tidak termasuk listrik; AC; TV; Lemari Baju; Ventilasi; Jendela; Wastafel; Dapur Pribadi; K. Mandi Dalam; Kloset Jongkok; Ember mandi; WiFi; R. Cuci; R. Tamu; R. Jemur; R. Makan; R. Santai; CCTV; R. Keluarga; Parkir Mobil; Parkir Motor; Parkir Sepeda; Parkir Motor &amp; Sepeda"/>
    <x v="3"/>
    <s v="Rp1.500.000"/>
    <x v="0"/>
    <m/>
    <x v="0"/>
    <m/>
    <m/>
  </r>
  <r>
    <s v="Kost AF II 2 Serpong Tangerang Selatan"/>
    <x v="2"/>
    <s v="Serpong"/>
    <n v="14"/>
    <s v="4 x 3.5 meter"/>
    <s v="Tidak termasuk listrik"/>
    <s v=""/>
    <s v="N/A"/>
    <s v="4 x 3.5 meter; Tidak termasuk listrik; AC; Kasur; Meja; Meja Rias; Lemari Baju; Ventilasi; Bantal; Cermin; Cleaning service; Guling; K. Mandi Dalam; Kloset Duduk; Shower; Air panas; WiFi; Laundry; Penjaga Kos; R. Tamu; R. Jemur; Dapur; Dispenser; CCTV; Jemuran; Pengurus Kos; Parkir Mobil; Parkir Motor; Parkir Sepeda"/>
    <x v="19"/>
    <s v="Rp1.800.000"/>
    <x v="3"/>
    <d v="1899-12-30T05:00:00"/>
    <x v="2"/>
    <m/>
    <m/>
  </r>
  <r>
    <s v="Kost Agung Utara Tanjung Priok Jakarta Utara"/>
    <x v="4"/>
    <s v="Tanjung Priok"/>
    <n v="12"/>
    <s v="3 x 4 meter"/>
    <s v="Tidak termasuk listrik"/>
    <s v=""/>
    <s v="N/A"/>
    <s v="3 x 4 meter; Tidak termasuk listrik; AC; Kasur; Meja Rias; Lemari Baju; Ventilasi; Jendela; K. Mandi Dalam; Kloset Duduk; Shower; WiFi; R. Cuci; Kulkas; R. Tamu; Mesin Cuci; Penjaga Kos; Laundry; R. Makan; R. Jemur; Mushola; Parkir Motor; Parkir Sepeda"/>
    <x v="13"/>
    <s v="Rp1.600.000"/>
    <x v="4"/>
    <d v="1899-12-30T04:01:00"/>
    <x v="2"/>
    <m/>
    <m/>
  </r>
  <r>
    <s v="Kost Agustin Tipe B Kado Limo Depok"/>
    <x v="1"/>
    <s v="Limo"/>
    <n v="12"/>
    <s v="3 x 4 meter"/>
    <s v="Tidak termasuk listrik"/>
    <s v=""/>
    <s v="N/A"/>
    <s v="3 x 4 meter; Tidak termasuk listrik; AC; Kasur; Lemari Baju; Bantal; Cermin; Guling; Jendela; K. Mandi Dalam; Kloset Duduk; Ember mandi; WiFi; R. Jemur; Dapur; Taman; Balcon; Pengurus Kos; Jemuran; CCTV; Parkir Mobil; Parkir Motor; Parkir Sepeda"/>
    <x v="20"/>
    <s v="Rp1.250.000"/>
    <x v="0"/>
    <m/>
    <x v="2"/>
    <m/>
    <m/>
  </r>
  <r>
    <s v="Kost AIIIR Residence Tipe Ekonomi Serpong Tangerang Selatan"/>
    <x v="2"/>
    <s v="Serpong"/>
    <n v="12"/>
    <s v="3 x 4 meter"/>
    <s v="Tidak termasuk listrik"/>
    <s v=""/>
    <s v="N/A"/>
    <s v="3 x 4 meter; Tidak termasuk listrik; AC; Kasur; Meja; Lemari Baju; Ventilasi; Kursi; Bantal; Cermin; Jendela; K. Mandi Dalam; Kloset Duduk; Ember mandi; Shower; WiFi; Kulkas; R. Tamu; Penjaga Kos; Laundry; R. Makan; R. Jemur; Mushola; R. Santai; Dapur; Parkir Motor; Parkir Sepeda"/>
    <x v="18"/>
    <s v="Rp1.300.000"/>
    <x v="2"/>
    <d v="1899-12-30T04:08:00"/>
    <x v="2"/>
    <m/>
    <m/>
  </r>
  <r>
    <s v="Kost Aisyah 2 Setu Tangerang Selatan"/>
    <x v="2"/>
    <s v="Kecamatan Setu"/>
    <n v="6.7600000000000007"/>
    <s v="2.6 x 2.6 meter"/>
    <s v="Tidak termasuk listrik"/>
    <s v=""/>
    <s v="N/A"/>
    <s v="2.6 x 2.6 meter; Tidak termasuk listrik; Kasur; Meja; Lemari Baju; Kursi; K. Mandi Dalam; Ember mandi; Shower; WiFi; Kulkas; R. Tamu; R. Jemur; Dapur; Balcon; CCTV; Jemuran; Pengurus Kos; Rooftop; Parkir Motor"/>
    <x v="0"/>
    <s v="Rp950.000"/>
    <x v="0"/>
    <m/>
    <x v="2"/>
    <m/>
    <m/>
  </r>
  <r>
    <s v="Kost Akim Tipe C Tanjung Priok Jakarta Utara"/>
    <x v="4"/>
    <s v="Tanjung Priok"/>
    <n v="12"/>
    <s v="4 x 3 meter"/>
    <s v="Termasuk listrik (implied)"/>
    <s v=""/>
    <s v="N/A"/>
    <s v="4 x 3 meter; Termasuk listrik; AC; Kasur; Lemari Baju; Kloset Jongkok; K. Mandi Luar; Ember mandi; Shower; Kulkas; R. Tamu; Dapur; Parkir Mobil; Parkir Motor; Parkir Sepeda"/>
    <x v="21"/>
    <s v="Rp1.450.000"/>
    <x v="2"/>
    <d v="1899-12-30T04:08:00"/>
    <x v="0"/>
    <m/>
    <s v="Diskon 78rb"/>
  </r>
  <r>
    <s v="Kost Al Fazza Tangerang"/>
    <x v="6"/>
    <s v="Tangerang"/>
    <n v="16"/>
    <s v="4 x 4 meter"/>
    <s v="Tidak termasuk listrik"/>
    <s v=""/>
    <s v="N/A"/>
    <s v="4 x 4 meter; Tidak termasuk listrik; AC; Kasur; Meja; Lemari Baju; Ventilasi; Bantal; Cermin; Guling; Jendela; Cleaning service; K. Mandi Dalam; Kloset Duduk; Ember mandi; Wastafel; Shower; Bathtub; WiFi; Kulkas; R. Cuci; R. Tamu; Penjaga Kos; R. Jemur; R. Makan; R. Santai; Dapur; Jemuran; Parkir Motor; Parkir Sepeda; Parkir Motor &amp; Sepeda"/>
    <x v="18"/>
    <s v="Rp1.300.000"/>
    <x v="0"/>
    <m/>
    <x v="2"/>
    <m/>
    <m/>
  </r>
  <r>
    <s v="Kost Al Musafir Bogor Co Living VIP MEZZO Dramaga Bogor"/>
    <x v="0"/>
    <s v="Kecamatan Dramaga"/>
    <n v="18"/>
    <s v="3 x 6 meter"/>
    <s v="Tidak termasuk listrik"/>
    <s v=""/>
    <s v="N/A"/>
    <s v="3 x 6 meter; Tidak termasuk listrik; AC; Kasur; Meja; Lemari Baju; Ventilasi; Bantal; Jendela; Kursi; K. Mandi Dalam; Kloset Duduk; Ember mandi; Shower; WiFi; Kulkas; Penjaga Kos; R. Tamu; Mushola; R. Jemur; R. Makan; R. Santai; Dapur; Dispenser; Parkir Mobil; Parkir Motor; Parkir Sepeda; Parkir Motor &amp; Sepeda"/>
    <x v="22"/>
    <s v="Rp2.500.000"/>
    <x v="0"/>
    <m/>
    <x v="2"/>
    <m/>
    <m/>
  </r>
  <r>
    <s v="Kost Alam Pesona Sentul City Cluster Babakan Madang Bogor"/>
    <x v="0"/>
    <s v="Babakan Madang"/>
    <n v="9"/>
    <s v="3 x 3 meter"/>
    <s v="Tidak termasuk listrik"/>
    <s v=""/>
    <s v="N/A"/>
    <s v="3 x 3 meter; Tidak termasuk listrik; AC; Kasur; Meja; Lemari Baju; Ventilasi; Kursi; Cleaning service; Bantal; Cermin; Guling; Kloset Duduk; K. Mandi Luar; Wastafel; Ember mandi; Shower; WiFi; Kulkas; R. Tamu; R. Makan; R. Jemur; R. Santai; Dapur; TV; Taman; R. Keluarga; Parkir Mobil; Parkir Motor"/>
    <x v="23"/>
    <s v="Rp1.200.000"/>
    <x v="0"/>
    <m/>
    <x v="0"/>
    <m/>
    <m/>
  </r>
  <r>
    <s v="Kost Alam Raya Bandara Tipe C Benda Tangerang"/>
    <x v="6"/>
    <s v="Benda"/>
    <n v="9"/>
    <s v="3 x 3 meter"/>
    <s v="Termasuk listrik (implied)"/>
    <s v=""/>
    <s v="N/A"/>
    <s v="3 x 3 meter; Termasuk listrik; AC; Kasur; Meja Rias; Lemari Baju; Jendela; Kloset Duduk; K. Mandi Luar; Ember mandi; Shower; WiFi; R. Cuci; Kulkas; R. Tamu; R. Makan; R. Jemur; R. Santai; Dapur; Dispenser; TV; Parkir Mobil; Parkir Motor"/>
    <x v="3"/>
    <s v="Rp1.500.000"/>
    <x v="3"/>
    <d v="1899-12-30T05:00:00"/>
    <x v="0"/>
    <m/>
    <m/>
  </r>
  <r>
    <s v="Kost Alesha Ceger Cipayung Jakarta Timur"/>
    <x v="8"/>
    <s v="Cipayung"/>
    <n v="12"/>
    <s v="3 x 4 meter"/>
    <s v="Tidak termasuk listrik"/>
    <s v=""/>
    <s v="N/A"/>
    <s v="3 x 4 meter; Tidak termasuk listrik; AC; Kasur; Meja; Lemari Baju; Kursi; K. Mandi Dalam; Kloset Jongkok; R. Cuci; R. Jemur; Parkir Motor; Parkir Sepeda"/>
    <x v="11"/>
    <s v="Rp1.400.000"/>
    <x v="0"/>
    <m/>
    <x v="2"/>
    <m/>
    <m/>
  </r>
  <r>
    <s v="Kost Alia CBD Karang Tengah Tangerang"/>
    <x v="6"/>
    <s v="Karang Tengah"/>
    <n v="9"/>
    <s v="3 x 3 meter"/>
    <s v="Tidak termasuk listrik"/>
    <s v=""/>
    <s v="N/A"/>
    <s v="3 x 3 meter; Tidak termasuk listrik; Kasur; Meja; Lemari Baju; Bantal; Jendela; Kursi; K. Mandi Dalam; Kloset Duduk; Shower; Penjaga Kos; Balcon; Parkir Motor; Parkir Sepeda"/>
    <x v="10"/>
    <s v="Rp750.000"/>
    <x v="0"/>
    <m/>
    <x v="0"/>
    <m/>
    <m/>
  </r>
  <r>
    <s v="Kost Alinoo Cikarang Selatan Bekasi"/>
    <x v="7"/>
    <s v="Cikarang Selatan"/>
    <n v="9"/>
    <s v="3 x 3 meter"/>
    <s v="Tidak termasuk listrik"/>
    <s v=""/>
    <s v="N/A"/>
    <s v="3 x 3 meter; Tidak termasuk listrik; AC; Kasur; Meja; Lemari Baju; Bantal; Cermin; Jendela; Kursi; Sofa; K. Mandi Dalam; Kloset Duduk; Shower; WiFi; Kulkas; R. Cuci; Penjaga Kos; R. Tamu; Mesin Cuci; R. Jemur; R. Santai; Dapur; Dispenser; Parkir Mobil; Parkir Motor; Parkir Sepeda"/>
    <x v="24"/>
    <s v="Rp1.495.000"/>
    <x v="3"/>
    <d v="1899-12-30T05:00:00"/>
    <x v="0"/>
    <m/>
    <m/>
  </r>
  <r>
    <s v="Kost Alisha Executive Pasar Rebo Jakarta Timur"/>
    <x v="8"/>
    <s v="Pasar Rebo"/>
    <n v="12"/>
    <s v="3 x 4 meter"/>
    <s v="Tidak termasuk listrik"/>
    <s v=""/>
    <s v="N/A"/>
    <s v="3 x 4 meter; Tidak termasuk listrik; AC; Kasur; Meja; Kulkas; Lemari Baju; Bantal; Cermin; Cleaning service; Jendela; Kursi; K. Mandi Dalam; Kloset Duduk; Shower; Air panas; WiFi; R. Cuci; Penjaga Kos; R. Tamu; R. Jemur; R. Makan; R. Santai; Dapur; Dispenser; Parkir Motor &amp; Sepeda"/>
    <x v="25"/>
    <s v="Rp1.850.000"/>
    <x v="10"/>
    <d v="1899-12-30T04:05:00"/>
    <x v="2"/>
    <m/>
    <s v="Diskon 179rb"/>
  </r>
  <r>
    <s v="Kost Alisha Tipe A Pasar Rebo Jakarta Timur"/>
    <x v="8"/>
    <s v="Pasar Rebo"/>
    <n v="12"/>
    <s v="3 x 4 meter"/>
    <s v="Tidak termasuk listrik"/>
    <s v=""/>
    <s v="N/A"/>
    <s v="3 x 4 meter; Tidak termasuk listrik; AC; Kasur; Meja; Kulkas; Lemari Baju; Bantal; Cermin; Cleaning service; Jendela; Kursi; K. Mandi Dalam; Kloset Duduk; Shower; Air panas; WiFi; R. Cuci; Penjaga Kos; R. Tamu; R. Jemur; R. Makan; R. Santai; Dapur; Dispenser; Parkir Motor &amp; Sepeda"/>
    <x v="25"/>
    <s v="Rp1.850.000"/>
    <x v="10"/>
    <d v="1899-12-30T04:05:00"/>
    <x v="2"/>
    <m/>
    <s v="Diskon 179rb"/>
  </r>
  <r>
    <s v="Kost Alma Ceger Pondok Aren Tangerang Selatan"/>
    <x v="2"/>
    <s v="Pondok Aren"/>
    <n v="12"/>
    <s v="3 x 4 meter"/>
    <s v="Tidak termasuk listrik"/>
    <s v=""/>
    <s v="N/A"/>
    <s v="3 x 4 meter; Tidak termasuk listrik; AC; Kasur; Meja; Ventilasi; Bantal; Guling; Jendela; Kursi; K. Mandi Dalam; Kloset Duduk; Shower; Dapur; Balcon; Parkir Motor"/>
    <x v="1"/>
    <s v="Rp1.100.000"/>
    <x v="2"/>
    <d v="1899-12-30T04:08:00"/>
    <x v="0"/>
    <m/>
    <m/>
  </r>
  <r>
    <s v="Kost Almic Guesthouse Tipe S Keyless New Tanjung Priok Jakarta Utara"/>
    <x v="4"/>
    <s v="Tanjung Priok"/>
    <n v="12"/>
    <s v="3 x 4 meter"/>
    <s v="Tidak termasuk listrik"/>
    <s v=""/>
    <s v="N/A"/>
    <s v="3 x 4 meter; Tidak termasuk listrik; AC; Kasur; Meja; Lemari Baju; Bantal; Cermin; Jendela; Kursi; Wastafel; K. Mandi Dalam; Kloset Jongkok; Shower; WiFi; Penjaga Kos; R. Jemur; CCTV; Jual Makanan; Parkir Motor; Parkir Motor &amp; Sepeda"/>
    <x v="26"/>
    <s v="Rp2.100.000"/>
    <x v="0"/>
    <m/>
    <x v="0"/>
    <m/>
    <m/>
  </r>
  <r>
    <s v="Kost Almic Property Tipe A Caringin Bogor"/>
    <x v="0"/>
    <s v="Kecamatan Caringin"/>
    <n v="9"/>
    <s v="3 x 3 meter"/>
    <s v="Tidak termasuk listrik"/>
    <s v=""/>
    <s v="N/A"/>
    <s v="3 x 3 meter; Tidak termasuk listrik; Kasur; Lemari Baju; Bantal; Jendela; Kloset Duduk; K. Mandi Luar; Ember mandi; Dapur; Parkir Motor"/>
    <x v="17"/>
    <s v="Rp650.000"/>
    <x v="0"/>
    <m/>
    <x v="0"/>
    <m/>
    <m/>
  </r>
  <r>
    <s v="Kost Almic Property Tipe I Caringin Bogor"/>
    <x v="0"/>
    <s v="Kecamatan Caringin"/>
    <n v="7.5"/>
    <s v="2.5 x 3 meter"/>
    <s v="Tidak termasuk listrik"/>
    <s v=""/>
    <s v="N/A"/>
    <s v="2.5 x 3 meter; Tidak termasuk listrik; Kasur; Meja; Lemari Baju; Ventilasi; Bantal; K. Mandi Dalam; Kloset Jongkok; Ember mandi; Jemuran; Parkir Motor"/>
    <x v="14"/>
    <s v="Rp800.000"/>
    <x v="0"/>
    <m/>
    <x v="0"/>
    <m/>
    <m/>
  </r>
  <r>
    <s v="Kost Almic Property Tipe L Caringin Bogor"/>
    <x v="0"/>
    <s v="Kecamatan Caringin"/>
    <n v="12"/>
    <s v="3 x 4 meter"/>
    <s v="Tidak termasuk listrik"/>
    <s v=""/>
    <s v="N/A"/>
    <s v="3 x 4 meter; Tidak termasuk listrik; Kasur; Meja; Lemari Baju; Bantal; K. Mandi Dalam; Kloset Jongkok; Jemuran; Parkir Motor"/>
    <x v="14"/>
    <s v="Rp800.000"/>
    <x v="0"/>
    <m/>
    <x v="0"/>
    <m/>
    <m/>
  </r>
  <r>
    <s v="Kost Almic Property Tipe M Caringin Bogor"/>
    <x v="0"/>
    <s v="Kecamatan Caringin"/>
    <n v="12"/>
    <s v="3 x 4 meter"/>
    <s v="Tidak termasuk listrik"/>
    <s v=""/>
    <s v="N/A"/>
    <s v="3 x 4 meter; Tidak termasuk listrik; Kasur; Meja; Lemari Baju; Bantal; K. Mandi Dalam; Kloset Jongkok; Jemuran; Parkir Motor"/>
    <x v="14"/>
    <s v="Rp800.000"/>
    <x v="0"/>
    <m/>
    <x v="0"/>
    <m/>
    <m/>
  </r>
  <r>
    <s v="Kost Almic Property Tipe N Caringin Bogor"/>
    <x v="0"/>
    <s v="Kecamatan Caringin"/>
    <n v="12"/>
    <s v="3 x 4 meter"/>
    <s v="Tidak termasuk listrik"/>
    <s v=""/>
    <s v="N/A"/>
    <s v="3 x 4 meter; Tidak termasuk listrik; AC; Kasur; Meja; Lemari Baju; Bantal; Cermin; Jendela; Kursi; Wastafel; K. Mandi Dalam; Kloset Jongkok; Jemuran; Parkir Motor"/>
    <x v="27"/>
    <s v="Rp2.000.000"/>
    <x v="0"/>
    <m/>
    <x v="0"/>
    <m/>
    <m/>
  </r>
  <r>
    <s v="Kost Almic Tipe A Caringin Bogor"/>
    <x v="0"/>
    <s v="Kecamatan Caringin"/>
    <n v="20"/>
    <s v="4 x 5 meter"/>
    <s v="Tidak termasuk listrik"/>
    <s v=""/>
    <s v="N/A"/>
    <s v="4 x 5 meter; Tidak termasuk listrik; Kasur; Lemari Baju; Ventilasi; Bantal; Jendela; Kursi; Wastafel; K. Mandi Dalam; Kloset Jongkok; Ember mandi; Penjaga Kos; Parkir Motor"/>
    <x v="3"/>
    <s v="Rp1.500.000"/>
    <x v="0"/>
    <m/>
    <x v="0"/>
    <m/>
    <m/>
  </r>
  <r>
    <s v="Kost Almic Tipe B Caringin Bogor"/>
    <x v="0"/>
    <s v="Kecamatan Caringin"/>
    <n v="9"/>
    <s v="3 x 3 meter"/>
    <s v="Tidak termasuk listrik"/>
    <s v=""/>
    <s v="N/A"/>
    <s v="3 x 3 meter; Tidak termasuk listrik; Kasur; Lemari Baju; Bantal; Jendela; Kursi; Wastafel; K. Mandi Dalam; Kloset Jongkok; Ember mandi; Penjaga Kos; Jemuran; Parkir Motor"/>
    <x v="28"/>
    <s v="Rp1.000.000"/>
    <x v="0"/>
    <m/>
    <x v="0"/>
    <m/>
    <m/>
  </r>
  <r>
    <s v="Kost Almic Tipe M Deluxe Tanjung Priok Jakarta Utara"/>
    <x v="4"/>
    <s v="Tanjung Priok"/>
    <n v="16"/>
    <s v="4 x 4 meter"/>
    <s v="Tidak termasuk listrik"/>
    <s v=""/>
    <s v="N/A"/>
    <s v="4 x 4 meter; Tidak termasuk listrik; AC; Kasur; Meja; Lemari Baju; Bantal; Cermin; Jendela; Kursi; Wastafel; K. Mandi Dalam; Kloset Duduk; Shower; Air panas; WiFi; Penjaga Kos; CCTV; Jemuran; Jual Makanan; Pengurus Kos; Kartu Akses; Parkir Motor; Parkir Sepeda"/>
    <x v="4"/>
    <s v="Rp2.200.000"/>
    <x v="9"/>
    <d v="1899-12-30T03:04:00"/>
    <x v="0"/>
    <m/>
    <m/>
  </r>
  <r>
    <s v="Kost Almic Tipe XS Tanjung Priok Jakarta Utara"/>
    <x v="4"/>
    <s v="Tanjung Priok"/>
    <n v="9"/>
    <s v="3 x 3 meter"/>
    <s v="Tidak termasuk listrik"/>
    <s v=""/>
    <s v="N/A"/>
    <s v="3 x 3 meter; Tidak termasuk listrik; AC; Kasur; Meja; Lemari Baju; Wastafel; Bantal; Kipas Angin; Meja makan; K. Mandi Dalam; Kloset Duduk; Shower; WiFi; CCTV; Pengurus Kos; Kartu Akses; Parkir Motor; Parkir Sepeda"/>
    <x v="3"/>
    <s v="Rp1.500.000"/>
    <x v="2"/>
    <d v="1899-12-30T04:08:00"/>
    <x v="0"/>
    <m/>
    <s v="Diskon 78rb"/>
  </r>
  <r>
    <s v="Kost Amanah Cileungsi Bogor"/>
    <x v="0"/>
    <s v="Cileungsi"/>
    <n v="9"/>
    <s v="3 x 3 meter"/>
    <s v="Termasuk listrik (implied)"/>
    <s v=""/>
    <s v="N/A"/>
    <s v="3 x 3 meter; Termasuk listrik; AC; Kasur; Meja; Lemari Baju; Kloset Duduk; Ember mandi; Bak mandi; R. Cuci; R. Tamu; Mesin Cuci; Penjaga Kos; R. Makan; R. Jemur; Parkir Motor; Parkir Sepeda"/>
    <x v="29"/>
    <s v="Rp500.000"/>
    <x v="3"/>
    <d v="1899-12-30T05:00:00"/>
    <x v="2"/>
    <m/>
    <m/>
  </r>
  <r>
    <s v="Kost Amanah Pak Reza Tipe A Pulo Gadung Jakarta Timur"/>
    <x v="8"/>
    <s v="Pulo Gadung"/>
    <n v="13.5"/>
    <s v="4.5 x 3 meter"/>
    <s v="Tidak termasuk listrik"/>
    <s v=""/>
    <s v="N/A"/>
    <s v="4.5 x 3 meter; Tidak termasuk listrik; AC; Kasur; Lemari Baju; K. Mandi Dalam; Kloset Duduk; Ember mandi; Shower; R. Jemur; Dispenser; Balcon; Jemuran; Parkir Motor"/>
    <x v="4"/>
    <s v="Rp2.200.000"/>
    <x v="0"/>
    <m/>
    <x v="2"/>
    <m/>
    <m/>
  </r>
  <r>
    <s v="Kost Amanah Pak Reza Tipe B Pulo Gadung Jakarta Timur"/>
    <x v="8"/>
    <s v="Pulo Gadung"/>
    <n v="9"/>
    <s v="3 x 3 meter"/>
    <s v="Tidak termasuk listrik"/>
    <s v=""/>
    <s v="N/A"/>
    <s v="3 x 3 meter; Tidak termasuk listrik; AC; Kasur; Ventilasi; Bantal; K. Mandi Dalam; Kloset Duduk; Shower; WiFi; Penjaga Kos; R. Jemur; Balcon; Jemuran; Parkir Motor"/>
    <x v="3"/>
    <s v="Rp1.500.000"/>
    <x v="3"/>
    <d v="1899-12-30T05:00:00"/>
    <x v="2"/>
    <m/>
    <m/>
  </r>
  <r>
    <s v="Kost Amarta Merak Cikarang Utara Bekasi"/>
    <x v="7"/>
    <s v="Kecamatan Cikarang Utara"/>
    <n v="11.2"/>
    <s v="2.8 x 4 meter"/>
    <s v="Tidak termasuk listrik"/>
    <s v=""/>
    <s v="N/A"/>
    <s v="2.8 x 4 meter; Tidak termasuk listrik; AC; Kasur; Meja; Lemari Baju; Bantal; Guling; Jendela; Kursi; Wastafel; K. Mandi Dalam; Kloset Duduk; Shower; WiFi; Penjaga Kos; Dapur; Balcon; CCTV; Jemuran; Parkir Motor; Parkir Sepeda"/>
    <x v="30"/>
    <s v="Rp1.150.000"/>
    <x v="3"/>
    <d v="1899-12-30T05:00:00"/>
    <x v="0"/>
    <m/>
    <m/>
  </r>
  <r>
    <s v="Kost AMD Neglasari Tangerang"/>
    <x v="6"/>
    <s v="Kecamatan Neglasari"/>
    <n v="12"/>
    <s v="3 x 4 meter"/>
    <s v="Tidak termasuk listrik"/>
    <s v=""/>
    <s v="N/A"/>
    <s v="3 x 4 meter; Tidak termasuk listrik; Kasur; Ventilasi; Dapur Pribadi; Jendela; Kipas Angin; K. Mandi Dalam; Kloset Jongkok; Ember mandi; Wastafel; R. Tamu; R. Jemur; Dapur; Jemuran; Pengurus Kos; Parkir Motor; Parkir Sepeda"/>
    <x v="31"/>
    <s v="Rp600.000"/>
    <x v="0"/>
    <m/>
    <x v="0"/>
    <m/>
    <m/>
  </r>
  <r>
    <s v="Kost Amerta 1000 Tipe A1 Cikarang Utara Bekasi"/>
    <x v="7"/>
    <s v="Kecamatan Cikarang Utara"/>
    <n v="12"/>
    <s v="3 x 4 meter"/>
    <s v="Tidak termasuk listrik"/>
    <s v=""/>
    <s v="N/A"/>
    <s v="3 x 4 meter; Tidak termasuk listrik; AC; Kasur; Meja; Lemari Baju; Ventilasi; Bantal; Guling; Jendela; Kipas Angin; Kursi; K. Mandi Dalam; Kloset Duduk; Ember mandi; Shower; WiFi; Pengurus Kos; Parkir Motor &amp; Sepeda"/>
    <x v="1"/>
    <s v="Rp1.100.000"/>
    <x v="6"/>
    <d v="1899-12-30T04:06:00"/>
    <x v="0"/>
    <m/>
    <m/>
  </r>
  <r>
    <s v="Kost Anami Serpong Utara Tangerang Selatan"/>
    <x v="2"/>
    <s v="Kecamatan Serpong Utara"/>
    <n v="10.5"/>
    <s v="3 x 3.5 meter"/>
    <s v="Tidak termasuk listrik"/>
    <s v=""/>
    <s v="N/A"/>
    <s v="3 x 3.5 meter; Tidak termasuk listrik; AC; Kasur; Meja Rias; Lemari Baju; Bantal; Cermin; Guling; Jendela; K. Mandi Dalam; Shower; Kulkas; Laundry; Dispenser; Balcon; Jemuran; Jual Makanan; Locker; Rice Cooker; Parkir Motor; Parkir Sepeda"/>
    <x v="19"/>
    <s v="Rp1.800.000"/>
    <x v="8"/>
    <d v="1899-12-30T04:09:00"/>
    <x v="0"/>
    <m/>
    <s v="Diskon 90rb"/>
  </r>
  <r>
    <s v="Kost Andi Cibinong Bogor"/>
    <x v="0"/>
    <s v="Cibinong"/>
    <n v="12"/>
    <s v="3 x 4 meter"/>
    <s v="Tidak termasuk listrik"/>
    <s v=""/>
    <s v="N/A"/>
    <s v="3 x 4 meter; Tidak termasuk listrik; AC; Kasur; Meja; Lemari Baju; Kursi; Kloset Duduk; K. Mandi Luar; Wastafel; Shower; WiFi; Kulkas; R. Tamu; Mesin Cuci; R. Makan; R. Jemur; R. Santai; Dapur; TV; Parkir Mobil; Parkir Motor; Parkir Sepeda"/>
    <x v="3"/>
    <s v="Rp1.500.000"/>
    <x v="10"/>
    <d v="1899-12-30T04:05:00"/>
    <x v="0"/>
    <m/>
    <m/>
  </r>
  <r>
    <s v="Kost Andina Cibinong Bogor"/>
    <x v="0"/>
    <s v="Cibinong"/>
    <n v="12"/>
    <s v="3 x 4 meter"/>
    <s v="Tidak termasuk listrik"/>
    <s v=""/>
    <s v="N/A"/>
    <s v="3 x 4 meter; Tidak termasuk listrik; AC; Kasur; Lemari Baju; Ventilasi; Bantal; Dapur Pribadi; Jendela; Sofa; Wastafel; Kursi; K. Mandi Dalam; Kloset Duduk; Shower; R. Tamu; R. Makan; R. Santai; Dapur; R. Keluarga; Taman; Kartu Akses; Locker; Parkir Mobil; Parkir Motor; Parkir Sepeda"/>
    <x v="22"/>
    <s v="Rp2.500.000"/>
    <x v="0"/>
    <m/>
    <x v="0"/>
    <m/>
    <m/>
  </r>
  <r>
    <s v="Kost Angel 2 Tipe A Koja Jakarta Utara"/>
    <x v="4"/>
    <s v="Kecamatan Koja"/>
    <n v="9"/>
    <s v="3 x 3 meter"/>
    <s v="Tidak termasuk listrik"/>
    <s v=""/>
    <s v="N/A"/>
    <s v="3 x 3 meter; Tidak termasuk listrik; AC; Kasur; Meja; TV; Lemari Baju; Bantal; Guling; K. Mandi Dalam; Kloset Duduk; Ember mandi; WiFi; R. Cuci; Kulkas; R. Tamu; R. Jemur; R. Santai; Dapur; CCTV; Jemuran; Parkir Motor; Parkir Sepeda"/>
    <x v="11"/>
    <s v="Rp1.400.000"/>
    <x v="0"/>
    <m/>
    <x v="2"/>
    <m/>
    <m/>
  </r>
  <r>
    <s v="Kost Anindya Ciracas Jakarta Timur"/>
    <x v="8"/>
    <s v="Ciracas"/>
    <n v="12"/>
    <s v="3 x 4 meter"/>
    <s v="Tidak termasuk listrik"/>
    <s v=""/>
    <s v="N/A"/>
    <s v="3 x 4 meter; Tidak termasuk listrik; AC; Kasur; Meja; TV; Lemari Baju; Ventilasi; Bantal; Cermin; Guling; Jendela; K. Mandi Dalam; Kloset Duduk; Shower; WiFi; Kulkas; R. Tamu; R. Jemur; R. Santai; Balcon; CCTV; Jemuran; Parkir Motor; Parkir Sepeda"/>
    <x v="3"/>
    <s v="Rp1.500.000"/>
    <x v="0"/>
    <m/>
    <x v="2"/>
    <m/>
    <m/>
  </r>
  <r>
    <s v="Kost Anisa Regency Beji Depok"/>
    <x v="1"/>
    <s v="Beji"/>
    <n v="12"/>
    <s v="3 x 4 meter"/>
    <s v="Termasuk listrik (implied)"/>
    <s v=""/>
    <s v="N/A"/>
    <s v="3 x 4 meter; Termasuk listrik; AC; Kasur; Meja; Lemari Baju; Ventilasi; Kursi; Bantal; Jendela; K. Mandi Dalam; Kloset Duduk; Shower; WiFi; R. Cuci; Kulkas; R. Tamu; Mesin Cuci; Penjaga Kos; R. Makan; R. Jemur; R. Santai; Dapur; Parkir Motor; Parkir Sepeda"/>
    <x v="11"/>
    <s v="Rp1.400.000"/>
    <x v="6"/>
    <d v="1899-12-30T04:06:00"/>
    <x v="2"/>
    <m/>
    <m/>
  </r>
  <r>
    <s v="Kost Anisah Tipe B Beji Depok"/>
    <x v="1"/>
    <s v="Beji"/>
    <n v="16"/>
    <s v="4 x 4 meter"/>
    <s v="Tidak termasuk listrik"/>
    <s v=""/>
    <s v="N/A"/>
    <s v="4 x 4 meter; Tidak termasuk listrik; AC; Meja; TV; Meja Rias; Lemari Baju; Wastafel; Ember mandi; Shower; Air panas; Parkir Mobil; Parkir Motor; Parkir Sepeda"/>
    <x v="18"/>
    <s v="Rp1.300.000"/>
    <x v="0"/>
    <m/>
    <x v="1"/>
    <m/>
    <m/>
  </r>
  <r>
    <s v="Kost Anne AC VIP Cikarang Selatan Bekasi"/>
    <x v="7"/>
    <s v="Cikarang Selatan"/>
    <n v="17.5"/>
    <s v="3.5 x 5 meter"/>
    <s v="Tidak termasuk listrik"/>
    <s v=""/>
    <s v="N/A"/>
    <s v="3.5 x 5 meter; Tidak termasuk listrik; AC; Kasur; Lemari Baju; Ventilasi; Bantal; Jendela; Sofa; Cermin; K. Mandi Dalam; Kloset Duduk; Ember mandi; Shower; WiFi; Kulkas; R. Jemur; Dapur; Dispenser; CCTV; Balcon; Jemuran; Rooftop; Parkir Motor; Parkir Sepeda; Parkir Motor &amp; Sepeda"/>
    <x v="20"/>
    <s v="Rp1.250.000"/>
    <x v="0"/>
    <m/>
    <x v="1"/>
    <m/>
    <m/>
  </r>
  <r>
    <s v="Kost AP Tipe A Grogol Petamburan Jakarta Barat"/>
    <x v="3"/>
    <s v="Grogol Petamburan"/>
    <n v="16"/>
    <s v="4 x 4 meter"/>
    <s v="Tidak termasuk listrik"/>
    <s v=""/>
    <s v="N/A"/>
    <s v="4 x 4 meter; Tidak termasuk listrik; AC; Kasur; Meja; TV; Lemari Baju; Kulkas; Kursi; Sofa; K. Mandi Dalam; Kloset Duduk; Shower; Air panas; WiFi; R. Tamu; Penjaga Kos; Laundry; R. Jemur; R. Santai; Dapur; Balcon; K. Mandi Luar; Parkir Mobil; Parkir Motor; Parkir Sepeda"/>
    <x v="32"/>
    <s v="Rp2.600.000"/>
    <x v="6"/>
    <d v="1899-12-30T04:06:00"/>
    <x v="0"/>
    <m/>
    <m/>
  </r>
  <r>
    <s v="Kost AP Tipe B Tomang Grogol Petamburan Jakarta Barat"/>
    <x v="3"/>
    <s v="Grogol Petamburan"/>
    <n v="12"/>
    <s v="3 x 4 meter"/>
    <s v="Tidak termasuk listrik"/>
    <s v=""/>
    <s v="N/A"/>
    <s v="3 x 4 meter; Tidak termasuk listrik; AC; Kasur; Meja; TV; Lemari Baju; Kursi; Sofa; K. Mandi Dalam; Kloset Duduk; Shower; Air panas; WiFi; Kulkas; R. Tamu; Penjaga Kos; Laundry; R. Jemur; R. Santai; Dapur; Balcon; K. Mandi Luar; Parkir Mobil; Parkir Motor; Parkir Sepeda"/>
    <x v="33"/>
    <s v="Rp2.400.000"/>
    <x v="12"/>
    <d v="1899-12-30T04:04:00"/>
    <x v="0"/>
    <m/>
    <m/>
  </r>
  <r>
    <s v="Kost Apik 28 Tipe A Kemayoran Jakarta Pusat"/>
    <x v="9"/>
    <s v="Kemayoran"/>
    <n v="7.919999999999999"/>
    <s v="2.4 x 3.3 meter"/>
    <s v="Tidak termasuk listrik"/>
    <s v=""/>
    <s v="N/A"/>
    <s v="2.4 x 3.3 meter; Tidak termasuk listrik; AC; Kasur; Lemari Baju; Jendela; Bantal; Kloset Duduk; K. Mandi Luar; Shower; WiFi; R. Cuci; Penjaga Kos; R. Jemur; Dapur; CCTV; Parkir Motor &amp; Sepeda"/>
    <x v="34"/>
    <s v="Rp1.325.000"/>
    <x v="13"/>
    <d v="1899-12-30T04:03:00"/>
    <x v="2"/>
    <m/>
    <s v="Diskon 114rb"/>
  </r>
  <r>
    <s v="Kost Apik 33 Al Wustho Tipe A Duren Sawit Jakarta Timur"/>
    <x v="8"/>
    <s v="Duren Sawit"/>
    <n v="7.2900000000000009"/>
    <s v="2.7 x 2.7 meter"/>
    <s v="Termasuk listrik (implied)"/>
    <n v="950000"/>
    <s v="Rp950.000"/>
    <s v="2.7 x 2.7 meter; Termasuk listrik; Kasur; Meja; Lemari Baju; Bantal; Guling; Kloset Duduk; Kloset Jongkok; K. Mandi Luar; Ember mandi; WiFi; R. Cuci; R. Tamu; Penjaga Kos; R. Makan; R. Jemur; Dapur; Dispenser; TV; Jemuran; Parkir Mobil; Parkir Motor &amp; Sepeda"/>
    <x v="35"/>
    <s v="Rp855.000"/>
    <x v="3"/>
    <d v="1899-12-30T05:00:00"/>
    <x v="0"/>
    <m/>
    <s v="Diskon 95rb"/>
  </r>
  <r>
    <s v="Kost Apik 33 Cempaka Baru Tipe A Kemayoran Jakarta Pusat"/>
    <x v="9"/>
    <s v="Kemayoran"/>
    <n v="17.600000000000001"/>
    <s v="4.4 x 4 meter"/>
    <s v="Tidak termasuk listrik"/>
    <n v="1300000"/>
    <s v="Rp1.300.000"/>
    <s v="4.4 x 4 meter; Tidak termasuk listrik; AC; Kasur; Meja; Lemari Baju; Kursi; Kloset Duduk; K. Mandi Luar; WiFi; R. Tamu; Dapur; CCTV; Parkir Motor; Parkir Sepeda"/>
    <x v="36"/>
    <s v="Rp1.235.000"/>
    <x v="2"/>
    <d v="1899-12-30T04:08:00"/>
    <x v="1"/>
    <m/>
    <s v="Diskon 65rb"/>
  </r>
  <r>
    <s v="Kost Apik 33 Cempaka Baru Tipe B Kemayoran Jakarta Pusat"/>
    <x v="9"/>
    <s v="Kemayoran"/>
    <n v="12"/>
    <s v="3 x 4 meter"/>
    <s v="Tidak termasuk listrik"/>
    <n v="1200000"/>
    <s v="Rp1.200.000"/>
    <s v="3 x 4 meter; Tidak termasuk listrik; AC; Kasur; Meja; Lemari Baju; Kursi; Kipas Angin; Jendela; Kloset Duduk; K. Mandi Luar; WiFi; R. Tamu; R. Jemur; Dapur; CCTV; Parkir Motor; Parkir Sepeda"/>
    <x v="37"/>
    <s v="Rp1.140.000"/>
    <x v="2"/>
    <d v="1899-12-30T04:08:00"/>
    <x v="1"/>
    <m/>
    <s v="Diskon 60rb"/>
  </r>
  <r>
    <s v="Kost Apik 33 Cempaka Baru Tipe D Kemayoran Jakarta Pusat"/>
    <x v="9"/>
    <s v="Kemayoran"/>
    <n v="9"/>
    <s v="3 x 3 meter"/>
    <s v="Tidak termasuk listrik"/>
    <n v="800000"/>
    <s v="Rp800.000"/>
    <s v="3 x 3 meter; Tidak termasuk listrik; Kasur; Lemari Baju; Ventilasi; Bantal; Jendela; Kloset Duduk; Kloset Jongkok; K. Mandi Luar; Bak mandi; WiFi; R. Tamu; R. Jemur; Dapur; CCTV; Parkir Motor; Parkir Sepeda"/>
    <x v="38"/>
    <s v="Rp760.000"/>
    <x v="2"/>
    <d v="1899-12-30T04:08:00"/>
    <x v="1"/>
    <m/>
    <s v="Diskon 40rb"/>
  </r>
  <r>
    <s v="Kost Apik 49 Tipe D Jagakarsa Jakarta Selatan"/>
    <x v="5"/>
    <s v="Jagakarsa"/>
    <n v="6.4399999999999995"/>
    <s v="2.3 x 2.8 meter"/>
    <s v="Tidak termasuk listrik"/>
    <n v="975000"/>
    <s v="Rp975.000"/>
    <s v="2.3 x 2.8 meter; Tidak termasuk listrik; Kasur; Lemari Baju; Kloset Duduk; WiFi; R. Tamu; Penjaga Kos; R. Jemur; Dapur; CCTV; Parkir Mobil; Parkir Motor &amp; Sepeda"/>
    <x v="39"/>
    <s v="Rp927.500"/>
    <x v="2"/>
    <d v="1899-12-30T04:08:00"/>
    <x v="0"/>
    <m/>
    <s v="Diskon 48rb"/>
  </r>
  <r>
    <s v="Kost Apik 89G Kwitang Tipe A Senen Jakarta Pusat"/>
    <x v="9"/>
    <s v="Senen"/>
    <n v="5.6700000000000008"/>
    <s v="2.7 x 2.1 meter"/>
    <s v="Termasuk listrik (implied)"/>
    <n v="1175000"/>
    <s v="Rp1.175.000"/>
    <s v="2.7 x 2.1 meter; Termasuk listrik; Kasur; Meja; Lemari Baju; Kursi; Kipas Angin; Bantal; Jendela; Kloset Duduk; Kloset Jongkok; K. Mandi Luar; Ember mandi; Shower; Bak mandi; WiFi; Kulkas; R. Tamu; Penjaga Kos; R. Jemur; Dapur; TV; Parkir Motor; Parkir Sepeda"/>
    <x v="40"/>
    <s v="Rp1.083.000"/>
    <x v="3"/>
    <d v="1899-12-30T05:00:00"/>
    <x v="2"/>
    <m/>
    <s v="Diskon 92rb"/>
  </r>
  <r>
    <s v="Kost Apik 89G Kwitang Tipe B Senen Jakarta Pusat"/>
    <x v="9"/>
    <s v="Senen"/>
    <n v="4.41"/>
    <s v="2.1 x 2.1 meter"/>
    <s v="Termasuk listrik (implied)"/>
    <n v="1125000"/>
    <s v="Rp1.125.000"/>
    <s v="2.1 x 2.1 meter; Termasuk listrik; Kasur; Meja; Lemari Baju; Kursi; Kipas Angin; Bantal; Kloset Duduk; Kloset Jongkok; K. Mandi Luar; Ember mandi; Shower; Bak mandi; WiFi; Kulkas; R. Tamu; Penjaga Kos; R. Jemur; Dapur; TV; Parkir Motor; Parkir Sepeda"/>
    <x v="41"/>
    <s v="Rp1.037.000"/>
    <x v="2"/>
    <d v="1899-12-30T04:08:00"/>
    <x v="2"/>
    <m/>
    <s v="Diskon 88rb"/>
  </r>
  <r>
    <s v="Kost Apik 89G Kwitang Tipe C Senen Jakarta Pusat"/>
    <x v="9"/>
    <s v="Senen"/>
    <n v="5.04"/>
    <s v="2.4 x 2.1 meter"/>
    <s v="Termasuk listrik (implied)"/>
    <n v="1025000"/>
    <s v="Rp1.025.000"/>
    <s v="2.4 x 2.1 meter; Termasuk listrik; Kasur; Meja; Lemari Baju; Kursi; Kipas Angin; Bantal; Kloset Duduk; Kloset Jongkok; K. Mandi Luar; Ember mandi; Shower; Bak mandi; WiFi; Kulkas; R. Tamu; Penjaga Kos; R. Jemur; Dapur; TV; Parkir Motor; Parkir Sepeda"/>
    <x v="42"/>
    <s v="Rp975.000"/>
    <x v="2"/>
    <d v="1899-12-30T04:08:00"/>
    <x v="2"/>
    <m/>
    <s v="Diskon 50rb"/>
  </r>
  <r>
    <s v="Kost Apik 89G Kwitang Tipe D Senen Jakarta Pusat"/>
    <x v="9"/>
    <s v="Senen"/>
    <n v="4.5"/>
    <s v="3 x 1.5 meter"/>
    <s v="Termasuk listrik (implied)"/>
    <s v=""/>
    <s v="N/A"/>
    <s v="3 x 1.5 meter; Termasuk listrik; Kasur; Meja; Lemari Baju; Kursi; Kipas Angin; Bantal; Kloset Duduk; Kloset Jongkok; K. Mandi Luar; Ember mandi; Shower; Bak mandi; WiFi; Kulkas; R. Tamu; Penjaga Kos; R. Jemur; Dapur; TV; Parkir Motor; Parkir Sepeda"/>
    <x v="43"/>
    <s v="Rp925.000"/>
    <x v="10"/>
    <d v="1899-12-30T04:05:00"/>
    <x v="2"/>
    <m/>
    <s v="Diskon 50rb"/>
  </r>
  <r>
    <s v="Kost Apik Abputar Tipe A Palmerah Jakarta Barat"/>
    <x v="3"/>
    <s v="Palmerah"/>
    <n v="14.4"/>
    <s v="3.2 x 4.5 meter"/>
    <s v="Tidak termasuk listrik"/>
    <s v=""/>
    <s v="N/A"/>
    <s v="3.2 x 4.5 meter; Tidak termasuk listrik; AC; Kasur; Lemari Baju; K. Mandi Dalam; Kloset Duduk; Shower; WiFi; R. Tamu; Penjaga Kos; R. Jemur; Dapur; Rooftop; Parkir Motor &amp; Sepeda"/>
    <x v="44"/>
    <s v="Rp1.725.000"/>
    <x v="6"/>
    <d v="1899-12-30T04:06:00"/>
    <x v="0"/>
    <m/>
    <s v="Diskon 120rb"/>
  </r>
  <r>
    <s v="Kost Apik Abputar Tipe B Palmerah Jakarta Barat"/>
    <x v="3"/>
    <s v="Palmerah"/>
    <n v="9.25"/>
    <s v="3.7 x 2.5 meter"/>
    <s v="Termasuk listrik (implied)"/>
    <s v=""/>
    <s v="N/A"/>
    <s v="3.7 x 2.5 meter; Termasuk listrik; Kasur; Lemari Baju; Kloset Duduk; K. Mandi Luar; Shower; WiFi; R. Tamu; Penjaga Kos; R. Jemur; Dapur; Rooftop; Parkir Motor &amp; Sepeda"/>
    <x v="45"/>
    <s v="Rp825.000"/>
    <x v="6"/>
    <d v="1899-12-30T04:06:00"/>
    <x v="1"/>
    <m/>
    <s v="Diskon 120rb"/>
  </r>
  <r>
    <s v="Kost Apik Acp Unindra 1 Tipe C Pasar Rebo Jakarta Timur"/>
    <x v="8"/>
    <s v="Pasar Rebo"/>
    <n v="10"/>
    <s v="4 x 2.5 meter"/>
    <s v="Tidak termasuk listrik"/>
    <n v="1425000"/>
    <s v="Rp1.425.000"/>
    <s v="4 x 2.5 meter; Tidak termasuk listrik; AC; Kasur; Lemari Baju; Bantal; Cermin; Jendela; K. Mandi Dalam; Kloset Duduk; Shower; WiFi; Penjaga Kos; Parkir Motor &amp; Sepeda"/>
    <x v="46"/>
    <s v="Rp1.355.000"/>
    <x v="12"/>
    <d v="1899-12-30T04:04:00"/>
    <x v="0"/>
    <m/>
    <s v="Diskon 70rb"/>
  </r>
  <r>
    <s v="Kost Apik Afifah STAN Bintaro Tipe A Pondok Aren Tangerang Selatan"/>
    <x v="2"/>
    <s v="Pondok Aren"/>
    <n v="9"/>
    <s v="3 x 3 meter"/>
    <s v="Tidak termasuk listrik"/>
    <n v="975000"/>
    <s v="Rp975.000"/>
    <s v="3 x 3 meter; Tidak termasuk listrik; AC; Kasur; Meja; Lemari Baju; Ventilasi; Kursi; Bantal; Cermin; Guling; Jendela; Kloset Jongkok; K. Mandi Luar; Ember mandi; WiFi; R. Cuci; R. Tamu; Penjaga Kos; R. Jemur; Dapur; CCTV; Jemuran; Parkir Motor &amp; Sepeda"/>
    <x v="39"/>
    <s v="Rp927.500"/>
    <x v="3"/>
    <d v="1899-12-30T05:00:00"/>
    <x v="1"/>
    <m/>
    <s v="Diskon 48rb"/>
  </r>
  <r>
    <s v="Kost Apik Afifah STAN Bintaro Tipe B Pondok Aren Tangerang Selatan"/>
    <x v="2"/>
    <s v="Pondok Aren"/>
    <n v="9"/>
    <s v="3 x 3 meter"/>
    <s v="Tidak termasuk listrik"/>
    <n v="705000"/>
    <s v="Rp705.000"/>
    <s v="3 x 3 meter; Tidak termasuk listrik; Kasur; Meja; Lemari Baju; Ventilasi; Kursi; Kipas Angin; Bantal; Cermin; Guling; Jendela; Kloset Jongkok; K. Mandi Luar; Ember mandi; WiFi; R. Cuci; R. Tamu; Penjaga Kos; R. Jemur; Dapur; CCTV; Jemuran; Parkir Motor &amp; Sepeda"/>
    <x v="47"/>
    <s v="Rp650.600"/>
    <x v="12"/>
    <d v="1899-12-30T04:04:00"/>
    <x v="1"/>
    <m/>
    <s v="Diskon 54rb"/>
  </r>
  <r>
    <s v="Kost Apik Aipda Petamburan Tipe A Tanah Abang Jakarta Pusat"/>
    <x v="9"/>
    <s v="Tanah Abang"/>
    <n v="9"/>
    <s v="3 x 3 meter"/>
    <s v="Termasuk listrik (implied)"/>
    <n v="1500000"/>
    <s v="Rp1.500.000"/>
    <s v="3 x 3 meter; Termasuk listrik; AC; Kasur; Lemari Baju; Bantal; Kloset Jongkok; K. Mandi Luar; WiFi; Dapur; Parkir Motor; Parkir Sepeda"/>
    <x v="48"/>
    <s v="Rp1.380.000"/>
    <x v="10"/>
    <d v="1899-12-30T04:05:00"/>
    <x v="2"/>
    <m/>
    <s v="Diskon 120rb"/>
  </r>
  <r>
    <s v="Kost Apik Aipda Petamburan Tipe B Tanah Abang Jakarta Pusat"/>
    <x v="9"/>
    <s v="Tanah Abang"/>
    <n v="10.8"/>
    <s v="3.6 x 3 meter"/>
    <s v="Termasuk listrik (implied)"/>
    <n v="1300000"/>
    <s v="Rp1.300.000"/>
    <s v="3.6 x 3 meter; Termasuk listrik; Kasur; Lemari Baju; Bantal; K. Mandi Dalam; Kloset Duduk; WiFi; Dapur; Parkir Motor; Parkir Sepeda"/>
    <x v="49"/>
    <s v="Rp1.196.000"/>
    <x v="0"/>
    <m/>
    <x v="2"/>
    <m/>
    <s v="Diskon 104rb"/>
  </r>
  <r>
    <s v="Kost Apik Aipda Petamburan Tipe C Tanah Abang Jakarta Pusat"/>
    <x v="9"/>
    <s v="Tanah Abang"/>
    <n v="9"/>
    <s v="3 x 3 meter"/>
    <s v="Termasuk listrik (implied)"/>
    <s v=""/>
    <s v="N/A"/>
    <s v="3 x 3 meter; Termasuk listrik; Kasur; Lemari Baju; Bantal; K. Mandi Dalam; Kloset Duduk; WiFi; Dapur; Parkir Motor; Parkir Sepeda"/>
    <x v="18"/>
    <s v="Rp1.300.000"/>
    <x v="3"/>
    <d v="1899-12-30T05:00:00"/>
    <x v="2"/>
    <m/>
    <s v="Diskon 104rb"/>
  </r>
  <r>
    <s v="Kost Apik Aipda Petamburan Tipe D Tanah Abang Jakarta Pusat"/>
    <x v="9"/>
    <s v="Tanah Abang"/>
    <n v="9"/>
    <s v="3 x 3 meter"/>
    <s v="Termasuk listrik (implied)"/>
    <s v=""/>
    <s v="N/A"/>
    <s v="3 x 3 meter; Termasuk listrik; Kasur; Lemari Baju; Bantal; Jendela; Kloset Jongkok; K. Mandi Luar; WiFi; Dapur; Parkir Motor; Parkir Sepeda"/>
    <x v="1"/>
    <s v="Rp1.100.000"/>
    <x v="8"/>
    <d v="1899-12-30T04:09:00"/>
    <x v="2"/>
    <m/>
    <s v="Diskon 104rb"/>
  </r>
  <r>
    <s v="Kost Apik Aksata Residence Binus Anggrek Tipe D Kebon Jeruk Jakarta Barat"/>
    <x v="3"/>
    <s v="Kebon Jeruk"/>
    <n v="9"/>
    <s v="3 x 3 meter"/>
    <s v="Tidak termasuk listrik"/>
    <n v="1345000"/>
    <s v="Rp1.345.000"/>
    <s v="3 x 3 meter; Tidak termasuk listrik; Kasur; Meja; Lemari Baju; Bantal; Jendela; K. Mandi Dalam; Ember mandi; Shower; WiFi; Penjaga Kos; R. Jemur; CCTV; Parkir Motor &amp; Sepeda"/>
    <x v="50"/>
    <s v="Rp1.279.000"/>
    <x v="2"/>
    <d v="1899-12-30T04:08:00"/>
    <x v="0"/>
    <m/>
    <s v="Diskon 66rb"/>
  </r>
  <r>
    <s v="Kost Apik Amalia Tipe A Pasar Minggu Jakarta Selatan"/>
    <x v="5"/>
    <s v="Pasar Minggu"/>
    <n v="14"/>
    <s v="3.5 x 4 meter"/>
    <s v="Tidak termasuk listrik"/>
    <s v=""/>
    <s v="N/A"/>
    <s v="3.5 x 4 meter; Tidak termasuk listrik; AC; Kasur; Meja; Lemari Baju; Kursi; Jendela; Kloset Duduk; K. Mandi Luar; Shower; WiFi; R. Cuci; Kulkas; R. Tamu; Penjaga Kos; R. Makan; R. Jemur; Mushola; Dapur; TV; Parkir Motor &amp; Sepeda"/>
    <x v="51"/>
    <s v="Rp2.025.000"/>
    <x v="3"/>
    <d v="1899-12-30T05:00:00"/>
    <x v="2"/>
    <m/>
    <s v="Diskon 144rb"/>
  </r>
  <r>
    <s v="Kost Apik Amalia Tipe B Pasar Minggu Jakarta Selatan"/>
    <x v="5"/>
    <s v="Pasar Minggu"/>
    <n v="12"/>
    <s v="4 x 3 meter"/>
    <s v="Tidak termasuk listrik"/>
    <s v=""/>
    <s v="N/A"/>
    <s v="4 x 3 meter; Tidak termasuk listrik; AC; Kasur; Meja; Lemari Baju; Kursi; Jendela; Kloset Duduk; K. Mandi Luar; Shower; WiFi; R. Cuci; Kulkas; R. Tamu; Penjaga Kos; R. Makan; R. Jemur; Mushola; Dapur; TV; Parkir Motor &amp; Sepeda"/>
    <x v="52"/>
    <s v="Rp1.875.000"/>
    <x v="3"/>
    <d v="1899-12-30T05:00:00"/>
    <x v="2"/>
    <m/>
    <s v="Diskon 144rb"/>
  </r>
  <r>
    <s v="Kost Apik Amalia Tipe C Pasar Minggu Jakarta Selatan"/>
    <x v="5"/>
    <s v="Pasar Minggu"/>
    <n v="8"/>
    <s v="2 x 4 meter"/>
    <s v="Tidak termasuk listrik"/>
    <n v="1825000"/>
    <s v="Rp1.825.000"/>
    <s v="2 x 4 meter; Tidak termasuk listrik; AC; Kasur; Meja; Lemari Baju; Kursi; Jendela; K. Mandi Dalam; Kloset Duduk; Shower; WiFi; R. Cuci; Kulkas; R. Tamu; Penjaga Kos; R. Makan; R. Jemur; Mushola; Dapur; TV; Parkir Motor &amp; Sepeda"/>
    <x v="53"/>
    <s v="Rp1.681.000"/>
    <x v="3"/>
    <d v="1899-12-30T05:00:00"/>
    <x v="2"/>
    <m/>
    <s v="Diskon 144rb"/>
  </r>
  <r>
    <s v="Kost Apik Amalia Tipe D Pasar Minggu Jakarta Selatan"/>
    <x v="5"/>
    <s v="Pasar Minggu"/>
    <n v="6.8999999999999995"/>
    <s v="2.3 x 3 meter"/>
    <s v="Tidak termasuk listrik"/>
    <s v=""/>
    <s v="N/A"/>
    <s v="2.3 x 3 meter; Tidak termasuk listrik; AC; Kasur; Meja; Lemari Baju; Kursi; Jendela; Kloset Duduk; K. Mandi Luar; Shower; WiFi; R. Cuci; Kulkas; R. Tamu; Penjaga Kos; R. Makan; R. Jemur; Mushola; Dapur; TV; Parkir Motor &amp; Sepeda"/>
    <x v="44"/>
    <s v="Rp1.725.000"/>
    <x v="3"/>
    <d v="1899-12-30T05:00:00"/>
    <x v="2"/>
    <m/>
    <s v="Diskon 144rb"/>
  </r>
  <r>
    <s v="Kost Apik Anggrek 13 Tipe A Setiabudi Jakarta Selatan"/>
    <x v="5"/>
    <s v="SETIA BUDI"/>
    <n v="6"/>
    <s v="3 x 2 meter"/>
    <s v="Termasuk listrik (implied)"/>
    <s v=""/>
    <s v="N/A"/>
    <s v="3 x 2 meter; Termasuk listrik; AC; Kasur; Meja; Lemari Baju; Kursi; Bantal; Cermin; Guling; Jendela; K. Mandi Dalam; Kloset Duduk; Shower; WiFi; Kulkas; Laundry; R. Jemur; Dapur; K. Mandi Luar; Parkir Motor; Parkir Motor &amp; Sepeda"/>
    <x v="44"/>
    <s v="Rp1.725.000"/>
    <x v="6"/>
    <d v="1899-12-30T04:06:00"/>
    <x v="0"/>
    <m/>
    <m/>
  </r>
  <r>
    <s v="Kost Apik Anggrek IV Perbanas Tipe A Setiabudi Jakarta Selatan"/>
    <x v="5"/>
    <s v="Setia Budi"/>
    <n v="12"/>
    <s v="4 x 3 meter"/>
    <s v="Tidak termasuk listrik"/>
    <s v=""/>
    <s v="N/A"/>
    <s v="4 x 3 meter; Tidak termasuk listrik; AC; Kasur; Meja; Lemari Baju; Kursi; Bantal; Cermin; Guling; Jendela; Kloset Jongkok; K. Mandi Luar; Bak mandi; WiFi; R. Tamu; R. Makan; R. Jemur; Dapur; Parkir Mobil; Parkir Sepeda; Parkir Motor &amp; Sepeda"/>
    <x v="44"/>
    <s v="Rp1.725.000"/>
    <x v="2"/>
    <d v="1899-12-30T04:08:00"/>
    <x v="2"/>
    <m/>
    <m/>
  </r>
  <r>
    <s v="Kost Apik Anggrek IV Perbanas Tipe B Setiabudi Jakarta Selatan"/>
    <x v="5"/>
    <s v="SETIA BUDI"/>
    <n v="12"/>
    <s v="4 x 3 meter"/>
    <s v="Termasuk listrik (implied)"/>
    <s v=""/>
    <s v="N/A"/>
    <s v="4 x 3 meter; Termasuk listrik; Kasur; Meja; Lemari Baju; Ventilasi; Kursi; Bantal; Cermin; Guling; Jendela; Kloset Jongkok; K. Mandi Luar; Bak mandi; WiFi; R. Tamu; R. Makan; R. Jemur; Dapur; Parkir Mobil; Parkir Sepeda; Parkir Motor &amp; Sepeda"/>
    <x v="54"/>
    <s v="Rp1.375.000"/>
    <x v="2"/>
    <d v="1899-12-30T04:08:00"/>
    <x v="2"/>
    <m/>
    <m/>
  </r>
  <r>
    <s v="Kost Apik Anis Tipe A Makasar Jakarta Timur"/>
    <x v="8"/>
    <s v="Makasar"/>
    <n v="9"/>
    <s v="3 x 3 meter"/>
    <s v="Termasuk listrik (implied)"/>
    <n v="882000"/>
    <s v="Rp882.000"/>
    <s v="3 x 3 meter; Termasuk listrik; Kasur; Lemari Baju; Ventilasi; Kipas Angin; Bantal; Kloset Jongkok; K. Mandi Luar; Bak mandi; WiFi; Kulkas; R. Tamu; Mesin Cuci; R. Jemur; Dapur; Jemuran; Parkir Motor &amp; Sepeda"/>
    <x v="55"/>
    <s v="Rp811.440"/>
    <x v="3"/>
    <d v="1899-12-30T05:00:00"/>
    <x v="0"/>
    <m/>
    <s v="Diskon 71rb"/>
  </r>
  <r>
    <s v="Kost Apik Asih Tipe B Jagakarsa Jakarta Selatan"/>
    <x v="5"/>
    <s v="Jagakarsa"/>
    <n v="12"/>
    <s v="3 x 4 meter"/>
    <s v="Termasuk listrik (implied)"/>
    <s v=""/>
    <s v="N/A"/>
    <s v="3 x 4 meter; Termasuk listrik; AC; Kasur; Meja; Lemari Baju; Ventilasi; Kursi; Bantal; Guling; Jendela; K. Mandi Dalam; Kloset Jongkok; Ember mandi; WiFi; Penjaga Kos; R. Jemur; Dapur; CCTV; Jemuran; Parkir Motor; Parkir Sepeda"/>
    <x v="56"/>
    <s v="Rp1.225.000"/>
    <x v="2"/>
    <d v="1899-12-30T04:08:00"/>
    <x v="2"/>
    <m/>
    <m/>
  </r>
  <r>
    <s v="Kost Apik Aulia Tipe A Cimanggis Depok"/>
    <x v="1"/>
    <s v="Cimanggis"/>
    <n v="10.5"/>
    <s v="3 x 3.5 meter"/>
    <s v="Termasuk listrik (implied)"/>
    <n v="770000"/>
    <s v="Rp770.000"/>
    <s v="3 x 3.5 meter; Termasuk listrik; Kasur; Lemari Baju; Ventilasi; Bantal; Jendela; K. Mandi Dalam; Kloset Jongkok; Ember mandi; WiFi; Penjaga Kos; Parkir Motor &amp; Sepeda"/>
    <x v="57"/>
    <s v="Rp693.000"/>
    <x v="13"/>
    <d v="1899-12-30T04:03:00"/>
    <x v="2"/>
    <m/>
    <s v="Diskon 77rb"/>
  </r>
  <r>
    <s v="Kost Apik Aura Kwitang Tipe A Senen Jakarta Pusat"/>
    <x v="9"/>
    <s v="Senen"/>
    <n v="5"/>
    <s v="2 x 2.5 meter"/>
    <s v="Termasuk listrik (implied)"/>
    <s v=""/>
    <s v="N/A"/>
    <s v="2 x 2.5 meter; Termasuk listrik; AC; Kasur; Meja; Lemari Baju; Kursi; Bantal; Guling; Kloset Duduk; K. Mandi Luar; Ember mandi; Shower; WiFi; R. Jemur; Parkir Motor &amp; Sepeda"/>
    <x v="58"/>
    <s v="Rp1.525.000"/>
    <x v="6"/>
    <d v="1899-12-30T04:06:00"/>
    <x v="1"/>
    <m/>
    <m/>
  </r>
  <r>
    <s v="Kost Apik Ayu Kencana Tipe A Beji Depok"/>
    <x v="1"/>
    <s v="Beji"/>
    <n v="9.990000000000002"/>
    <s v="3.7 x 2.7 meter"/>
    <s v="Termasuk listrik (implied)"/>
    <n v="1075000"/>
    <s v="Rp1.075.000"/>
    <s v="3.7 x 2.7 meter; Termasuk listrik; Kasur; Meja; Lemari Baju; Ventilasi; Kursi; Bantal; Cermin; Jendela; K. Mandi Dalam; Kloset Jongkok; Ember mandi; Shower; WiFi; R. Tamu; Penjaga Kos; R. Jemur; Dapur; Jemuran; Parkir Motor &amp; Sepeda"/>
    <x v="59"/>
    <s v="Rp970.000"/>
    <x v="8"/>
    <d v="1899-12-30T04:09:00"/>
    <x v="2"/>
    <m/>
    <s v="Diskon 105rb"/>
  </r>
  <r>
    <s v="Kost Apik Ayu Kencana Tipe B Beji Depok"/>
    <x v="1"/>
    <s v="Beji"/>
    <n v="8.64"/>
    <s v="3.2 x 2.7 meter"/>
    <s v="Termasuk listrik (implied)"/>
    <n v="1025000"/>
    <s v="Rp1.025.000"/>
    <s v="3.2 x 2.7 meter; Termasuk listrik; Kasur; Meja; Lemari Baju; Ventilasi; Kursi; Bantal; Cermin; Jendela; K. Mandi Dalam; Kloset Jongkok; Ember mandi; Shower; WiFi; R. Tamu; Penjaga Kos; R. Jemur; Dapur; Jemuran; Parkir Motor &amp; Sepeda"/>
    <x v="43"/>
    <s v="Rp925.000"/>
    <x v="8"/>
    <d v="1899-12-30T04:09:00"/>
    <x v="2"/>
    <m/>
    <s v="Diskon 100rb"/>
  </r>
  <r>
    <s v="Kost Apik Ayu Kencana Tipe C Beji Depok"/>
    <x v="1"/>
    <s v="Beji"/>
    <n v="8.1000000000000014"/>
    <s v="3 x 2.7 meter"/>
    <s v="Termasuk listrik (implied)"/>
    <n v="975000"/>
    <s v="Rp975.000"/>
    <s v="3 x 2.7 meter; Termasuk listrik; Kasur; Meja; Lemari Baju; Ventilasi; Kursi; Bantal; Cermin; Jendela; K. Mandi Dalam; Kloset Jongkok; Ember mandi; Shower; WiFi; R. Tamu; Penjaga Kos; R. Jemur; Dapur; Jemuran; Parkir Motor &amp; Sepeda"/>
    <x v="16"/>
    <s v="Rp880.000"/>
    <x v="5"/>
    <d v="1899-12-30T04:00:00"/>
    <x v="2"/>
    <m/>
    <s v="Diskon 95rb"/>
  </r>
  <r>
    <s v="Kost Apik Ayu Kencana Tipe D Beji Depok"/>
    <x v="1"/>
    <s v="Beji"/>
    <n v="8.64"/>
    <s v="3.2 x 2.7 meter"/>
    <s v="Termasuk listrik (implied)"/>
    <n v="925000"/>
    <s v="Rp925.000"/>
    <s v="3.2 x 2.7 meter; Termasuk listrik; Kasur; Meja; Lemari Baju; Ventilasi; Kursi; Bantal; Cermin; Jendela; Kloset Jongkok; K. Mandi Luar; Ember mandi; Shower; WiFi; R. Tamu; Penjaga Kos; R. Jemur; Dapur; Jemuran; Parkir Motor &amp; Sepeda"/>
    <x v="60"/>
    <s v="Rp835.000"/>
    <x v="8"/>
    <d v="1899-12-30T04:09:00"/>
    <x v="2"/>
    <m/>
    <s v="Diskon 90rb"/>
  </r>
  <r>
    <s v="Kost Apik Az Zahra Tipe A Kramat Jati Jakarta Timur"/>
    <x v="8"/>
    <s v="Kramat Jati"/>
    <n v="8.8000000000000007"/>
    <s v="2.2 x 4 meter"/>
    <s v="Tidak termasuk listrik"/>
    <n v="925000"/>
    <s v="Rp925.000"/>
    <s v="2.2 x 4 meter; Tidak termasuk listrik; Kasur; Meja; Lemari Baju; Kursi; Bantal; Jendela; Kipas Angin; Kloset Duduk; K. Mandi Luar; Bak mandi; WiFi; R. Cuci; R. Tamu; Penjaga Kos; R. Jemur; Dapur; Jemuran; Parkir Motor &amp; Sepeda"/>
    <x v="61"/>
    <s v="Rp853.000"/>
    <x v="8"/>
    <d v="1899-12-30T04:09:00"/>
    <x v="2"/>
    <m/>
    <s v="Diskon 72rb"/>
  </r>
  <r>
    <s v="Kost Apik Bahari Tipe A Cakung Jakarta Timur"/>
    <x v="8"/>
    <s v="Cakung"/>
    <n v="9"/>
    <s v="3 x 3 meter"/>
    <s v="Tidak termasuk listrik"/>
    <n v="1025000"/>
    <s v="Rp1.025.000"/>
    <s v="3 x 3 meter; Tidak termasuk listrik; Kasur; Ventilasi; Bantal; Dapur Pribadi; Jendela; K. Mandi Dalam; Kloset Jongkok; WiFi; Penjaga Kos; Parkir Motor &amp; Sepeda"/>
    <x v="42"/>
    <s v="Rp975.000"/>
    <x v="13"/>
    <d v="1899-12-30T04:03:00"/>
    <x v="0"/>
    <m/>
    <s v="Diskon 50rb"/>
  </r>
  <r>
    <s v="Kost Apik Bali Kukusan Tipe A Beji Depok"/>
    <x v="1"/>
    <s v="Beji"/>
    <n v="8.9599999999999991"/>
    <s v="3.2 x 2.8 meter"/>
    <s v="Termasuk listrik (implied)"/>
    <n v="825000"/>
    <s v="Rp825.000"/>
    <s v="3.2 x 2.8 meter; Termasuk listrik; Kasur; Meja; Lemari Baju; Kursi; Kipas Angin; Bantal; Cermin; K. Mandi Dalam; Kloset Jongkok; Ember mandi; Shower; WiFi; Penjaga Kos; R. Jemur; Dapur; Jemuran; Parkir Motor; Parkir Sepeda"/>
    <x v="62"/>
    <s v="Rp745.000"/>
    <x v="2"/>
    <d v="1899-12-30T04:08:00"/>
    <x v="2"/>
    <m/>
    <s v="Diskon 80rb"/>
  </r>
  <r>
    <s v="Kost Apik Bali Kukusan Tipe B Beji Depok"/>
    <x v="1"/>
    <s v="Beji"/>
    <n v="10.8"/>
    <s v="3.6 x 3 meter"/>
    <s v="Termasuk listrik (implied)"/>
    <n v="925000"/>
    <s v="Rp925.000"/>
    <s v="3.6 x 3 meter; Termasuk listrik; AC; Kasur; Meja; Lemari Baju; Kursi; Kipas Angin; Bantal; Cermin; K. Mandi Dalam; Kloset Jongkok; Ember mandi; Shower; WiFi; Penjaga Kos; R. Jemur; Dapur; Jemuran; Parkir Motor; Parkir Sepeda"/>
    <x v="60"/>
    <s v="Rp835.000"/>
    <x v="8"/>
    <d v="1899-12-30T04:09:00"/>
    <x v="2"/>
    <m/>
    <s v="Diskon 90rb"/>
  </r>
  <r>
    <s v="Kost Apik Bangau V Tipe A Kemayoran Jakarta Pusat"/>
    <x v="9"/>
    <s v="Kemayoran"/>
    <n v="10"/>
    <s v="4.0 x 2.5 meter"/>
    <s v="Tidak termasuk listrik"/>
    <s v=""/>
    <s v="N/A"/>
    <s v="4.0 x 2.5 meter; Tidak termasuk listrik; AC; Kasur; Meja; Lemari Baju; Kursi; Bantal; Cermin; Jendela; Kloset Duduk; K. Mandi Luar; Shower; WiFi; R. Cuci; Kulkas; Mesin Cuci; R. Jemur; Dapur; CCTV; Jemuran; Parkir Motor; Parkir Sepeda"/>
    <x v="58"/>
    <s v="Rp1.525.000"/>
    <x v="6"/>
    <d v="1899-12-30T04:06:00"/>
    <x v="0"/>
    <m/>
    <m/>
  </r>
  <r>
    <s v="Kost Apik Bangau V Tipe B Kemayoran Jakarta Pusat"/>
    <x v="9"/>
    <s v="Kemayoran"/>
    <n v="10"/>
    <s v="4.0 x 2.5 meter"/>
    <s v="Tidak termasuk listrik"/>
    <s v=""/>
    <s v="N/A"/>
    <s v="4.0 x 2.5 meter; Tidak termasuk listrik; Kasur; Lemari Baju; Bantal; Cermin; Jendela; Kloset Duduk; K. Mandi Luar; Shower; WiFi; R. Cuci; Kulkas; Mesin Cuci; R. Jemur; Dapur; CCTV; Jemuran; Parkir Motor; Parkir Sepeda"/>
    <x v="63"/>
    <s v="Rp1.275.000"/>
    <x v="10"/>
    <d v="1899-12-30T04:05:00"/>
    <x v="0"/>
    <m/>
    <m/>
  </r>
  <r>
    <s v="Kost Apik Barakah Tipe A Cilincing Jakarta Utara"/>
    <x v="4"/>
    <s v="Cilincing"/>
    <n v="16.650000000000002"/>
    <s v="4.5 x 3.7 meter"/>
    <s v="Tidak termasuk listrik"/>
    <n v="1700000"/>
    <s v="Rp1.700.000"/>
    <s v="4.5 x 3.7 meter; Tidak termasuk listrik; AC; Kasur; Meja; Lemari Baju; Ventilasi; Kursi; Jendela; Kipas Angin; Bantal; Guling; K. Mandi Dalam; Kloset Jongkok; Ember mandi; Shower; WiFi; Penjaga Kos; R. Jemur; Dapur; CCTV; Rooftop; Parkir Motor &amp; Sepeda"/>
    <x v="64"/>
    <s v="Rp1.615.000"/>
    <x v="3"/>
    <d v="1899-12-30T05:00:00"/>
    <x v="0"/>
    <m/>
    <s v="Diskon 85rb"/>
  </r>
  <r>
    <s v="Kost Apik Barakah Tipe B Cilincing Jakarta Utara"/>
    <x v="4"/>
    <s v="Cilincing"/>
    <n v="12"/>
    <s v="4 x 3 meter"/>
    <s v="Tidak termasuk listrik"/>
    <n v="1200000"/>
    <s v="Rp1.200.000"/>
    <s v="4 x 3 meter; Tidak termasuk listrik; Kasur; Meja; Lemari Baju; Kursi; Jendela; Kipas Angin; Bantal; Guling; K. Mandi Dalam; Kloset Jongkok; Ember mandi; Shower; WiFi; Penjaga Kos; R. Jemur; Dapur; CCTV; Rooftop; Parkir Motor &amp; Sepeda"/>
    <x v="37"/>
    <s v="Rp1.140.000"/>
    <x v="6"/>
    <d v="1899-12-30T04:06:00"/>
    <x v="0"/>
    <m/>
    <s v="Diskon 60rb"/>
  </r>
  <r>
    <s v="Kost Apik Barakah Tipe C Cilincing Jakarta Utara"/>
    <x v="4"/>
    <s v="Cilincing"/>
    <n v="8.75"/>
    <s v="3.5 x 2.5 meter"/>
    <s v="Tidak termasuk listrik"/>
    <n v="1100000"/>
    <s v="Rp1.100.000"/>
    <s v="3.5 x 2.5 meter; Tidak termasuk listrik; Kasur; Meja; Lemari Baju; Ventilasi; Kursi; Jendela; Kipas Angin; Bantal; Guling; K. Mandi Dalam; Kloset Jongkok; Ember mandi; Shower; WiFi; Penjaga Kos; R. Jemur; Dapur; CCTV; Rooftop; Parkir Motor &amp; Sepeda"/>
    <x v="65"/>
    <s v="Rp1.012.000"/>
    <x v="6"/>
    <d v="1899-12-30T04:06:00"/>
    <x v="0"/>
    <m/>
    <s v="Diskon 88rb"/>
  </r>
  <r>
    <s v="Kost Apik Barakah Tipe D Cilincing Jakarta Utara"/>
    <x v="4"/>
    <s v="Cilincing"/>
    <n v="8.75"/>
    <s v="3.5 x 2.5 meter"/>
    <s v="Tidak termasuk listrik"/>
    <s v=""/>
    <s v="N/A"/>
    <s v="3.5 x 2.5 meter; Tidak termasuk listrik; AC; Kasur; Meja; Lemari Baju; Kursi; Jendela; Bantal; K. Mandi Dalam; Kloset Jongkok; Ember mandi; Shower; WiFi; Penjaga Kos; R. Jemur; Dapur; CCTV; Rooftop; Parkir Motor &amp; Sepeda"/>
    <x v="21"/>
    <s v="Rp1.450.000"/>
    <x v="3"/>
    <d v="1899-12-30T05:00:00"/>
    <x v="0"/>
    <m/>
    <s v="Diskon 88rb"/>
  </r>
  <r>
    <s v="Kost Apik Beringin 37 Tipe A Cipayung Jakarta Timur"/>
    <x v="8"/>
    <s v="Cipayung"/>
    <n v="80"/>
    <s v="3.2 x 25 meter"/>
    <s v="Termasuk listrik (implied)"/>
    <s v=""/>
    <s v="N/A"/>
    <s v="3.2 x 25 meter; Termasuk listrik; Kasur; Lemari Baju; Ventilasi; Bantal; Guling; Jendela; K. Mandi Dalam; Kloset Jongkok; Ember mandi; WiFi; Penjaga Kos; R. Jemur; Dapur; Jemuran; Parkir Motor &amp; Sepeda"/>
    <x v="66"/>
    <s v="Rp775.000"/>
    <x v="8"/>
    <d v="1899-12-30T04:09:00"/>
    <x v="1"/>
    <m/>
    <s v="Diskon 52rb"/>
  </r>
  <r>
    <s v="Kost Apik BINUS Anggrek 46 Tipe A Kebon Jeruk Jakarta Barat"/>
    <x v="3"/>
    <s v="Kebon Jeruk"/>
    <n v="9"/>
    <s v="3 x 3 meter"/>
    <s v="Tidak termasuk listrik"/>
    <n v="975000"/>
    <s v="Rp975.000"/>
    <s v="3 x 3 meter; Tidak termasuk listrik; Kasur; Meja; Lemari Baju; Ventilasi; Kursi; Kipas Angin; Bantal; Jendela; Kloset Jongkok; K. Mandi Luar; Ember mandi; WiFi; Penjaga Kos; R. Jemur; CCTV; Parkir Motor; Parkir Sepeda"/>
    <x v="39"/>
    <s v="Rp927.500"/>
    <x v="8"/>
    <d v="1899-12-30T04:09:00"/>
    <x v="1"/>
    <m/>
    <s v="Diskon 48rb"/>
  </r>
  <r>
    <s v="Kost Apik BINUS Anggrek Tipe B Palmerah Jakarta Barat"/>
    <x v="3"/>
    <s v="Palmerah"/>
    <n v="6"/>
    <s v="3 x 2 meter"/>
    <s v="Termasuk listrik (implied)"/>
    <n v="1125000"/>
    <s v="Rp1.125.000"/>
    <s v="3 x 2 meter; Termasuk listrik; Kasur; Meja; Lemari Baju; Ventilasi; Kursi; Bantal; Jendela; Kloset Jongkok; K. Mandi Luar; Ember mandi; Bak mandi; WiFi; R. Tamu; R. Jemur; Parkir Motor; Parkir Sepeda"/>
    <x v="67"/>
    <s v="Rp1.070.000"/>
    <x v="2"/>
    <d v="1899-12-30T04:08:00"/>
    <x v="0"/>
    <m/>
    <s v="Diskon 55rb"/>
  </r>
  <r>
    <s v="Kost Apik BINUS Anggrek Tipe C Palmerah Jakarta Barat"/>
    <x v="3"/>
    <s v="Palmerah"/>
    <n v="6"/>
    <s v="3 x 2 meter"/>
    <s v="Termasuk listrik (implied)"/>
    <n v="1375000"/>
    <s v="Rp1.375.000"/>
    <s v="3 x 2 meter; Termasuk listrik; Kasur; Meja; Lemari Baju; Ventilasi; Kursi; Bantal; Jendela; K. Mandi Dalam; Ember mandi; WiFi; R. Tamu; R. Jemur; Parkir Motor; Parkir Sepeda"/>
    <x v="68"/>
    <s v="Rp1.307.500"/>
    <x v="2"/>
    <d v="1899-12-30T04:08:00"/>
    <x v="0"/>
    <m/>
    <s v="Diskon 68rb"/>
  </r>
  <r>
    <s v="Kost Apik Bokis 1 Bintaro Tipe A Pondok Aren Tangerang Selatan"/>
    <x v="2"/>
    <s v="Pondok Aren"/>
    <n v="6"/>
    <s v="3 x 2 meter"/>
    <s v="Tidak termasuk listrik"/>
    <n v="655000"/>
    <s v="Rp655.000"/>
    <s v="3 x 2 meter; Tidak termasuk listrik; Kasur; Meja; Lemari Baju; Jendela; Kloset Duduk; K. Mandi Luar; WiFi; Kulkas; Parkir Motor &amp; Sepeda"/>
    <x v="69"/>
    <s v="Rp623.500"/>
    <x v="10"/>
    <d v="1899-12-30T04:05:00"/>
    <x v="2"/>
    <m/>
    <s v="Diskon 32rb"/>
  </r>
  <r>
    <s v="Kost Apik Bright Tipe A Johar Baru Jakarta Pusat"/>
    <x v="9"/>
    <s v="Johar Baru"/>
    <n v="9"/>
    <s v="3 x 3 meter"/>
    <s v="Tidak termasuk listrik"/>
    <n v="1425000"/>
    <s v="Rp1.425.000"/>
    <s v="3 x 3 meter; Tidak termasuk listrik; AC; Kasur; Lemari Baju; Ventilasi; Bantal; Guling; Kloset Duduk; Kloset Jongkok; K. Mandi Luar; Ember mandi; Shower"/>
    <x v="70"/>
    <s v="Rp1.313.000"/>
    <x v="6"/>
    <d v="1899-12-30T04:06:00"/>
    <x v="2"/>
    <m/>
    <s v="Diskon 112rb"/>
  </r>
  <r>
    <s v="Kost Apik Bright Tipe B Johar Baru Jakarta Pusat"/>
    <x v="9"/>
    <s v="Johar Baru"/>
    <n v="9"/>
    <s v="3 x 3 meter"/>
    <s v="Termasuk listrik (implied)"/>
    <n v="1075000"/>
    <s v="Rp1.075.000"/>
    <s v="3 x 3 meter; Termasuk listrik; Kasur; Lemari Baju; Ventilasi; Kipas Angin; Bantal; Guling; Jendela; Kloset Duduk; Kloset Jongkok; K. Mandi Luar; Ember mandi; Shower; WiFi; Penjaga Kos; R. Jemur; Parkir Sepeda; Parkir Motor &amp; Sepeda"/>
    <x v="71"/>
    <s v="Rp991.000"/>
    <x v="6"/>
    <d v="1899-12-30T04:06:00"/>
    <x v="2"/>
    <m/>
    <s v="Diskon 84rb"/>
  </r>
  <r>
    <s v="Kost Apik Bu Tomo Tipe A Makasar Jakarta Timur"/>
    <x v="8"/>
    <s v="Makasar"/>
    <n v="6.25"/>
    <s v="2.5 x 2.5 meter"/>
    <s v="Termasuk listrik (implied)"/>
    <n v="840000"/>
    <s v="Rp840.000"/>
    <s v="2.5 x 2.5 meter; Termasuk listrik; Kasur; Meja; Lemari Baju; Ventilasi; Bantal; Jendela; Kloset Jongkok; K. Mandi Luar; Ember mandi; WiFi; R. Jemur; Dapur; Parkir Motor; Parkir Sepeda"/>
    <x v="72"/>
    <s v="Rp799.250"/>
    <x v="6"/>
    <d v="1899-12-30T04:06:00"/>
    <x v="0"/>
    <m/>
    <s v="Diskon 41rb"/>
  </r>
  <r>
    <s v="Kost Apik Bugenvil Tipe B Kemayoran Jakarta Pusat"/>
    <x v="9"/>
    <s v="Kemayoran"/>
    <n v="12"/>
    <s v="3 x 4 meter"/>
    <s v="Tidak termasuk listrik"/>
    <n v="1525000"/>
    <s v="Rp1.525.000"/>
    <s v="3 x 4 meter; Tidak termasuk listrik; AC; Kasur; Meja; Lemari Baju; Jendela; Bantal; Cermin; K. Mandi Dalam; Kloset Duduk; Ember mandi; Shower; WiFi; Penjaga Kos; R. Jemur; Dapur; Rooftop; CCTV; Jemuran; Parkir Motor &amp; Sepeda"/>
    <x v="21"/>
    <s v="Rp1.450.000"/>
    <x v="12"/>
    <d v="1899-12-30T04:04:00"/>
    <x v="0"/>
    <m/>
    <s v="Diskon 75rb"/>
  </r>
  <r>
    <s v="Kost Apik Bugenvil Tipe C Kemayoran Jakarta Pusat"/>
    <x v="9"/>
    <s v="Kemayoran"/>
    <n v="9"/>
    <s v="3 x 3 meter"/>
    <s v="Tidak termasuk listrik"/>
    <n v="1425000"/>
    <s v="Rp1.425.000"/>
    <s v="3 x 3 meter; Tidak termasuk listrik; AC; Kasur; Meja; Lemari Baju; Jendela; Bantal; K. Mandi Dalam; Kloset Duduk; Ember mandi; Shower; WiFi; Penjaga Kos; R. Jemur; Dapur; Rooftop; CCTV; Jemuran; Parkir Motor &amp; Sepeda"/>
    <x v="46"/>
    <s v="Rp1.355.000"/>
    <x v="3"/>
    <d v="1899-12-30T05:00:00"/>
    <x v="0"/>
    <m/>
    <s v="Diskon 70rb"/>
  </r>
  <r>
    <s v="Kost Apik Bugenvil Tipe F Kemayoran Jakarta Pusat"/>
    <x v="9"/>
    <s v="Kemayoran"/>
    <n v="10.199999999999999"/>
    <s v="3 x 3.4 meter"/>
    <s v="Tidak termasuk listrik"/>
    <s v=""/>
    <s v="N/A"/>
    <s v="3 x 3.4 meter; Tidak termasuk listrik; AC; Kasur; Meja; Lemari Baju; Jendela; Bantal; Kloset Duduk; K. Mandi Luar; Ember mandi; Shower; WiFi; Penjaga Kos; R. Jemur; Dapur; Rooftop; TV; CCTV; Jemuran; Parkir Motor &amp; Sepeda"/>
    <x v="34"/>
    <s v="Rp1.325.000"/>
    <x v="2"/>
    <d v="1899-12-30T04:08:00"/>
    <x v="0"/>
    <m/>
    <s v="Diskon 63rb"/>
  </r>
  <r>
    <s v="Kost Apik Bugenvil Tipe G Kemayoran Jakarta Pusat"/>
    <x v="9"/>
    <s v="Kemayoran"/>
    <n v="10.5"/>
    <s v="3 x 3.5 meter"/>
    <s v="Tidak termasuk listrik"/>
    <n v="1275000"/>
    <s v="Rp1.275.000"/>
    <s v="3 x 3.5 meter; Tidak termasuk listrik; AC; Kasur; Meja; Lemari Baju; Jendela; Bantal; K. Mandi Dalam; Kloset Jongkok; Ember mandi; WiFi; Penjaga Kos; R. Jemur; Dapur; Rooftop; CCTV; Jemuran; Parkir Motor &amp; Sepeda"/>
    <x v="73"/>
    <s v="Rp1.212.500"/>
    <x v="8"/>
    <d v="1899-12-30T04:09:00"/>
    <x v="0"/>
    <m/>
    <s v="Diskon 63rb"/>
  </r>
  <r>
    <s v="Kost Apik Bugenvil Tipe H Kemayoran Jakarta Pusat"/>
    <x v="9"/>
    <s v="Kemayoran"/>
    <n v="7.5"/>
    <s v="3 x 2.5 meter"/>
    <s v="Tidak termasuk listrik"/>
    <s v=""/>
    <s v="N/A"/>
    <s v="3 x 2.5 meter; Tidak termasuk listrik; Kasur; Lemari Baju; Jendela; Bantal; Kloset Jongkok; K. Mandi Luar; Ember mandi; WiFi; Penjaga Kos; R. Jemur; Dapur; Rooftop; CCTV; Jemuran; Parkir Motor &amp; Sepeda"/>
    <x v="45"/>
    <s v="Rp825.000"/>
    <x v="3"/>
    <d v="1899-12-30T05:00:00"/>
    <x v="0"/>
    <m/>
    <s v="Diskon 63rb"/>
  </r>
  <r>
    <s v="Kost Apik Cempaka 15 Tipe A Cempaka Putih Jakarta Pusat"/>
    <x v="9"/>
    <s v="Cempaka Putih"/>
    <n v="8.4"/>
    <s v="4.2 x 2 meter"/>
    <s v="Termasuk listrik (implied)"/>
    <s v=""/>
    <s v="N/A"/>
    <s v="4.2 x 2 meter; Termasuk listrik; Kasur; Lemari Baju; Ventilasi; Bantal; Guling; Jendela; Kloset Duduk; K. Mandi Luar; Ember mandi; WiFi; R. Jemur; Jemuran; Parkir Motor &amp; Sepeda"/>
    <x v="74"/>
    <s v="Rp875.000"/>
    <x v="3"/>
    <d v="1899-12-30T05:00:00"/>
    <x v="1"/>
    <m/>
    <s v="Diskon 40rb"/>
  </r>
  <r>
    <s v="Kost Apik Cera 42 Tipe A Pondok Aren Tangerang Selatan"/>
    <x v="2"/>
    <s v="Kecamatan Pondok Aren"/>
    <n v="9"/>
    <s v="3 x 3 meter"/>
    <s v="Tidak termasuk listrik"/>
    <n v="875000"/>
    <s v="Rp875.000"/>
    <s v="3 x 3 meter; Tidak termasuk listrik; Kasur; Meja; Lemari Baju; Ventilasi; Bantal; Jendela; K. Mandi Dalam; Kloset Jongkok; WiFi; Penjaga Kos; R. Jemur; Jemuran; Parkir Motor &amp; Sepeda"/>
    <x v="75"/>
    <s v="Rp807.000"/>
    <x v="2"/>
    <d v="1899-12-30T04:08:00"/>
    <x v="2"/>
    <m/>
    <s v="Diskon 68rb"/>
  </r>
  <r>
    <s v="Kost Apik Cherry Tipe A Pondok Aren Tangerang Selatan"/>
    <x v="2"/>
    <s v="Pondok Aren"/>
    <n v="7.0200000000000005"/>
    <s v="2.7 x 2.6 meter"/>
    <s v="Tidak termasuk listrik"/>
    <n v="775000"/>
    <s v="Rp775.000"/>
    <s v="2.7 x 2.6 meter; Tidak termasuk listrik; Kasur; Meja; Lemari Baju; Ventilasi; Kursi; Bantal; Cermin; Guling; Jendela; Kloset Duduk; K. Mandi Luar; Ember mandi; Shower; Air panas; WiFi; Kulkas; R. Tamu; Penjaga Kos; R. Jemur; Dapur; TV; Jemuran; Parkir Motor &amp; Sepeda"/>
    <x v="2"/>
    <s v="Rp700.000"/>
    <x v="2"/>
    <d v="1899-12-30T04:08:00"/>
    <x v="2"/>
    <m/>
    <s v="Diskon 75rb"/>
  </r>
  <r>
    <s v="Kost Apik Cilenggang 18 Tipe A Serpong Tangerang Selatan"/>
    <x v="2"/>
    <s v="Serpong"/>
    <n v="9.6000000000000014"/>
    <s v="3.2 x 3 meter"/>
    <s v="Tidak termasuk listrik"/>
    <n v="825000"/>
    <s v="Rp825.000"/>
    <s v="3.2 x 3 meter; Tidak termasuk listrik; Kasur; Lemari Baju; Ventilasi; Jendela; Bantal; K. Mandi Dalam; Kloset Jongkok; Ember mandi; WiFi; Dapur; Parkir Motor &amp; Sepeda"/>
    <x v="76"/>
    <s v="Rp785.000"/>
    <x v="8"/>
    <d v="1899-12-30T04:09:00"/>
    <x v="2"/>
    <m/>
    <s v="Diskon 40rb"/>
  </r>
  <r>
    <s v="Kost Apik Cirendeu UMJ Tipe A Ciputat Timur Tangerang Selatan"/>
    <x v="2"/>
    <s v="Ciputat Timur"/>
    <n v="7.25"/>
    <s v="2.9 x 2.5 meter"/>
    <s v="Termasuk listrik (implied)"/>
    <s v=""/>
    <s v="N/A"/>
    <s v="2.9 x 2.5 meter; Termasuk listrik; Kasur; Meja; Lemari Baju; Ventilasi; Kursi; Bantal; Cermin; Jendela; K. Mandi Dalam; Kloset Jongkok; WiFi; Penjaga Kos; K. Mandi Luar; CCTV; Parkir Motor; Parkir Sepeda"/>
    <x v="45"/>
    <s v="Rp825.000"/>
    <x v="12"/>
    <d v="1899-12-30T04:04:00"/>
    <x v="2"/>
    <m/>
    <s v="Diskon 36rb"/>
  </r>
  <r>
    <s v="Kost Apik Cirendeu UMJ Tipe B Ciputat Timur Tangerang Selatan"/>
    <x v="2"/>
    <s v="Ciputat Timur"/>
    <n v="7.25"/>
    <s v="2.9 x 2.5 meter"/>
    <s v="Termasuk listrik (implied)"/>
    <n v="745000"/>
    <s v="Rp745.000"/>
    <s v="2.9 x 2.5 meter; Termasuk listrik; Kasur; Meja; Lemari Baju; Ventilasi; Kursi; Bantal; Jendela; Kloset Jongkok; K. Mandi Luar; WiFi; Penjaga Kos; CCTV; Parkir Motor; Parkir Sepeda"/>
    <x v="77"/>
    <s v="Rp709.000"/>
    <x v="13"/>
    <d v="1899-12-30T04:03:00"/>
    <x v="2"/>
    <m/>
    <s v="Diskon 36rb"/>
  </r>
  <r>
    <s v="Kost Apik Cuba 10 Tipe A Serpong Tangerang Selatan"/>
    <x v="2"/>
    <s v="Serpong"/>
    <n v="10.92"/>
    <s v="3.9 x 2.8 meter"/>
    <s v="Tidak termasuk listrik"/>
    <s v=""/>
    <s v="N/A"/>
    <s v="3.9 x 2.8 meter; Tidak termasuk listrik; AC; Kasur; Meja; TV; Lemari Baju; Ventilasi; Kursi; Bantal; Cermin; Guling; K. Mandi Dalam; Kloset Duduk; Shower; WiFi; Kulkas; R. Tamu; Penjaga Kos; R. Jemur; Dapur; K. Mandi Luar; CCTV; Rice Cooker; Jemuran; Parkir Motor; Parkir Sepeda"/>
    <x v="78"/>
    <s v="Rp1.625.000"/>
    <x v="8"/>
    <d v="1899-12-30T04:09:00"/>
    <x v="0"/>
    <m/>
    <m/>
  </r>
  <r>
    <s v="Kost Apik Cuba 10 Tipe B Serpong Tangerang Selatan"/>
    <x v="2"/>
    <s v="Serpong"/>
    <n v="8.91"/>
    <s v="3.3 x 2.7 meter"/>
    <s v="Tidak termasuk listrik"/>
    <s v=""/>
    <s v="N/A"/>
    <s v="3.3 x 2.7 meter; Tidak termasuk listrik; Kasur; Meja; Lemari Baju; Ventilasi; Kursi; Kipas Angin; Bantal; Guling; Jendela; Kloset Duduk; K. Mandi Luar; Ember mandi; Shower; WiFi; Kulkas; R. Tamu; Penjaga Kos; R. Jemur; Dapur; CCTV; Rice Cooker; Jemuran; Parkir Motor; Parkir Sepeda"/>
    <x v="79"/>
    <s v="Rp1.175.000"/>
    <x v="8"/>
    <d v="1899-12-30T04:09:00"/>
    <x v="0"/>
    <m/>
    <m/>
  </r>
  <r>
    <s v="Kost Apik Cuba 10 Tipe C Serpong Tangerang Selatan"/>
    <x v="2"/>
    <s v="Serpong"/>
    <n v="8.9599999999999991"/>
    <s v="3.2 x 2.8 meter"/>
    <s v="Tidak termasuk listrik"/>
    <s v=""/>
    <s v="N/A"/>
    <s v="3.2 x 2.8 meter; Tidak termasuk listrik; Kasur; Meja; Lemari Baju; Ventilasi; Kursi; Kipas Angin; Bantal; Guling; Jendela; Kloset Duduk; K. Mandi Luar; Ember mandi; Shower; WiFi; Kulkas; R. Tamu; Penjaga Kos; R. Jemur; Dapur; CCTV; Rice Cooker; Jemuran; Parkir Motor; Parkir Sepeda"/>
    <x v="80"/>
    <s v="Rp1.075.000"/>
    <x v="2"/>
    <d v="1899-12-30T04:08:00"/>
    <x v="0"/>
    <m/>
    <m/>
  </r>
  <r>
    <s v="Kost Apik Dream Sunter Jaya 5 Tipe A Tanjung Priok Jakarta Utara"/>
    <x v="4"/>
    <s v="Kecamatan Tanjung Priok"/>
    <n v="10.08"/>
    <s v="3.6 x 2.8 meter"/>
    <s v="Tidak termasuk listrik"/>
    <n v="1425000"/>
    <s v="Rp1.425.000"/>
    <s v="3.6 x 2.8 meter; Tidak termasuk listrik; Kasur; Lemari Baju; Ventilasi; Bantal; Jendela; K. Mandi Dalam; Kloset Jongkok; WiFi; Penjaga Kos; CCTV; Parkir Motor"/>
    <x v="70"/>
    <s v="Rp1.313.000"/>
    <x v="8"/>
    <d v="1899-12-30T04:09:00"/>
    <x v="0"/>
    <m/>
    <s v="Diskon 112rb"/>
  </r>
  <r>
    <s v="Kost Apik Dream Sunter Jaya 5 Tipe B Tanjung Priok Jakarta Utara"/>
    <x v="4"/>
    <s v="Kecamatan Tanjung Priok"/>
    <n v="12.96"/>
    <s v="3.6 x 3.6 meter"/>
    <s v="Tidak termasuk listrik"/>
    <n v="1325000"/>
    <s v="Rp1.325.000"/>
    <s v="3.6 x 3.6 meter; Tidak termasuk listrik; Kasur; Lemari Baju; Ventilasi; Bantal; Jendela; K. Mandi Dalam; Kloset Jongkok; WiFi; Penjaga Kos; CCTV; Parkir Motor"/>
    <x v="81"/>
    <s v="Rp1.221.000"/>
    <x v="13"/>
    <d v="1899-12-30T04:03:00"/>
    <x v="0"/>
    <m/>
    <s v="Diskon 104rb"/>
  </r>
  <r>
    <s v="Kost Apik Dream Sunter Jaya 5 Tipe C Tanjung Priok Jakarta Utara"/>
    <x v="4"/>
    <s v="Kecamatan Tanjung Priok"/>
    <n v="10.08"/>
    <s v="3.6 x 2.8 meter"/>
    <s v="Tidak termasuk listrik"/>
    <n v="1025000"/>
    <s v="Rp1.025.000"/>
    <s v="3.6 x 2.8 meter; Tidak termasuk listrik; Kasur; Lemari Baju; Ventilasi; Bantal; Jendela; Kloset Jongkok; K. Mandi Luar; WiFi; Penjaga Kos; CCTV; Parkir Motor"/>
    <x v="82"/>
    <s v="Rp945.000"/>
    <x v="3"/>
    <d v="1899-12-30T05:00:00"/>
    <x v="0"/>
    <m/>
    <s v="Diskon 80rb"/>
  </r>
  <r>
    <s v="Kost Apik Dreamwork Pluit Tipe A Penjaringan Jakarta Utara"/>
    <x v="4"/>
    <s v="Penjaringan"/>
    <n v="4.8"/>
    <s v="2 x 2.4 meter"/>
    <s v="Tidak termasuk listrik"/>
    <s v=""/>
    <s v="N/A"/>
    <s v="2 x 2.4 meter; Tidak termasuk listrik; AC; Kasur; Meja; Lemari Baju; Kursi; Bantal; Cermin; Guling; Jendela; K. Mandi Dalam; Kloset Duduk; Wastafel; Shower; Air panas; WiFi; R. Tamu; Penjaga Kos; R. Jemur; Dapur; CCTV; Jemuran; Parkir Mobil; Parkir Motor"/>
    <x v="83"/>
    <s v="Rp2.605.000"/>
    <x v="8"/>
    <d v="1899-12-30T04:09:00"/>
    <x v="0"/>
    <m/>
    <m/>
  </r>
  <r>
    <s v="Kost Apik Duri Kosambi 168 Tipe A Cengkareng Jakarta Barat"/>
    <x v="3"/>
    <s v="Cengkareng"/>
    <n v="8.1000000000000014"/>
    <s v="3 x 2.7 meter"/>
    <s v="Tidak termasuk listrik"/>
    <n v="1225000"/>
    <s v="Rp1.225.000"/>
    <s v="3 x 2.7 meter; Tidak termasuk listrik; AC; Kasur; Meja; Lemari Baju; Kursi; Kloset Duduk; K. Mandi Luar; Ember mandi; WiFi; Penjaga Kos; R. Jemur; Dapur; Parkir Mobil; Parkir Motor &amp; Sepeda"/>
    <x v="84"/>
    <s v="Rp1.129.000"/>
    <x v="2"/>
    <d v="1899-12-30T04:08:00"/>
    <x v="0"/>
    <m/>
    <s v="Diskon 96rb"/>
  </r>
  <r>
    <s v="Kost Apik Duri Kosambi 78 Tipe B Cengkareng Jakarta Barat"/>
    <x v="3"/>
    <s v="Cengkareng"/>
    <n v="10.8"/>
    <s v="3.6 x 3 meter"/>
    <s v="Tidak termasuk listrik"/>
    <s v=""/>
    <s v="N/A"/>
    <s v="3.6 x 3 meter; Tidak termasuk listrik; AC; Kasur; Meja; Lemari Baju; Bantal; Guling; Jendela; Kloset Duduk; K. Mandi Luar; Wastafel; Shower; WiFi; R. Tamu; Penjaga Kos; Dapur; Dispenser; CCTV; Jemuran; Parkir Mobil; Parkir Motor; Parkir Sepeda"/>
    <x v="85"/>
    <s v="Rp1.345.000"/>
    <x v="2"/>
    <d v="1899-12-30T04:08:00"/>
    <x v="1"/>
    <m/>
    <s v="Diskon 96rb"/>
  </r>
  <r>
    <s v="Kost Apik E 18 Tipe A Cempaka Putih Jakarta Pusat"/>
    <x v="9"/>
    <s v="Cempaka Putih"/>
    <n v="12"/>
    <s v="4 x 3 meter"/>
    <s v="Termasuk listrik (implied)"/>
    <s v=""/>
    <s v="N/A"/>
    <s v="4 x 3 meter; Termasuk listrik; Kasur; Lemari Baju; Kipas Angin; Bantal; Cermin; Guling; Jendela; K. Mandi Dalam; Kloset Duduk; Shower; WiFi; R. Tamu; Penjaga Kos; R. Jemur; Parkir Motor &amp; Sepeda"/>
    <x v="34"/>
    <s v="Rp1.325.000"/>
    <x v="6"/>
    <d v="1899-12-30T04:06:00"/>
    <x v="1"/>
    <m/>
    <s v="Diskon 38rb"/>
  </r>
  <r>
    <s v="Kost Apik E 18 Tipe B Cempaka Putih Jakarta Pusat"/>
    <x v="9"/>
    <s v="Cempaka Putih"/>
    <n v="9"/>
    <s v="3 x 3 meter"/>
    <s v="Termasuk listrik (implied)"/>
    <s v=""/>
    <s v="N/A"/>
    <s v="3 x 3 meter; Termasuk listrik; Kasur; Lemari Baju; Ventilasi; Kipas Angin; Bantal; Cermin; Guling; Jendela; Kloset Jongkok; K. Mandi Luar; Wastafel; WiFi; R. Tamu; Penjaga Kos; R. Jemur; Parkir Motor &amp; Sepeda"/>
    <x v="74"/>
    <s v="Rp875.000"/>
    <x v="3"/>
    <d v="1899-12-30T05:00:00"/>
    <x v="1"/>
    <m/>
    <s v="Diskon 38rb"/>
  </r>
  <r>
    <s v="Kost Apik Edozen Kedaung Tipe A Pamulang Tangerang Selatan"/>
    <x v="2"/>
    <s v="Pamulang"/>
    <n v="16"/>
    <s v="5 x 3.2 meter"/>
    <s v="Termasuk listrik (implied)"/>
    <s v=""/>
    <s v="N/A"/>
    <s v="5 x 3.2 meter; Termasuk listrik; Kasur; Meja; Lemari Baju; Kursi; Kipas Angin; Bantal; Cermin; Jendela; K. Mandi Dalam; Kloset Duduk; Wastafel; Shower; WiFi; R. Tamu; R. Jemur; Dapur; Dispenser; Rooftop; Parkir Mobil; Parkir Motor &amp; Sepeda"/>
    <x v="4"/>
    <s v="Rp2.200.000"/>
    <x v="0"/>
    <m/>
    <x v="2"/>
    <m/>
    <m/>
  </r>
  <r>
    <s v="Kost Apik Edozen Kedaung Tipe B Pamulang Tangerang Selatan"/>
    <x v="2"/>
    <s v="Pamulang"/>
    <n v="10.240000000000002"/>
    <s v="3.2 x 3.2 meter"/>
    <s v="Termasuk listrik (implied)"/>
    <s v=""/>
    <s v="N/A"/>
    <s v="3.2 x 3.2 meter; Termasuk listrik; Kasur; Meja; Lemari Baju; Bantal; K. Mandi Dalam; Kloset Duduk; Shower; WiFi; R. Tamu; R. Jemur; Dapur; Dispenser; Rooftop; Parkir Mobil; Parkir Motor &amp; Sepeda"/>
    <x v="27"/>
    <s v="Rp2.000.000"/>
    <x v="8"/>
    <d v="1899-12-30T04:09:00"/>
    <x v="2"/>
    <m/>
    <m/>
  </r>
  <r>
    <s v="Kost Apik Edozen Kedaung Tipe C Pamulang Tangerang Selatan"/>
    <x v="2"/>
    <s v="Pamulang"/>
    <n v="9"/>
    <s v="3 x 3 meter"/>
    <s v="Termasuk listrik (implied)"/>
    <s v=""/>
    <s v="N/A"/>
    <s v="3 x 3 meter; Termasuk listrik; Kasur; Meja; Lemari Baju; Bantal; Jendela; Kloset Duduk; K. Mandi Luar; Shower; WiFi; R. Tamu; R. Jemur; Dapur; Dispenser; Rooftop; Parkir Mobil; Parkir Motor &amp; Sepeda"/>
    <x v="3"/>
    <s v="Rp1.500.000"/>
    <x v="2"/>
    <d v="1899-12-30T04:08:00"/>
    <x v="2"/>
    <m/>
    <s v="Diskon 70rb"/>
  </r>
  <r>
    <s v="Kost Apik Edozen Kedaung Tipe D Pamulang Tangerang Selatan"/>
    <x v="2"/>
    <s v="Pamulang"/>
    <n v="9"/>
    <s v="3 x 3 meter"/>
    <s v="Termasuk listrik (implied)"/>
    <s v=""/>
    <s v="N/A"/>
    <s v="3 x 3 meter; Termasuk listrik; Kasur; Lemari Baju; Ventilasi; Bantal; Kloset Duduk; K. Mandi Luar; Shower; WiFi; R. Tamu; R. Jemur; Dapur; Dispenser; Rooftop; Parkir Mobil; Parkir Motor &amp; Sepeda"/>
    <x v="23"/>
    <s v="Rp1.200.000"/>
    <x v="3"/>
    <d v="1899-12-30T05:00:00"/>
    <x v="2"/>
    <m/>
    <s v="Diskon 65rb"/>
  </r>
  <r>
    <s v="Kost Apik Evy Kalibata Utara Tipe A Pancoran Jakarta Selatan"/>
    <x v="5"/>
    <s v="Pancoran"/>
    <n v="8.91"/>
    <s v="3.3 x 2.7 meter"/>
    <s v="Termasuk listrik (implied)"/>
    <s v=""/>
    <s v="N/A"/>
    <s v="3.3 x 2.7 meter; Termasuk listrik; Kasur; Lemari Baju; Ventilasi; Bantal; Jendela; K. Mandi Dalam; Kloset Jongkok; WiFi; Penjaga Kos; R. Jemur; Dapur; Parkir Motor; Parkir Sepeda"/>
    <x v="5"/>
    <s v="Rp1.350.000"/>
    <x v="3"/>
    <d v="1899-12-30T05:00:00"/>
    <x v="2"/>
    <m/>
    <m/>
  </r>
  <r>
    <s v="Kost Apik Fidzh Tipe A Johar Baru Jakarta Pusat"/>
    <x v="9"/>
    <s v="Johar Baru"/>
    <n v="7"/>
    <s v="2 x 3.5 meter"/>
    <s v="Tidak termasuk listrik"/>
    <n v="1425000"/>
    <s v="Rp1.425.000"/>
    <s v="2 x 3.5 meter; Tidak termasuk listrik; AC; Kasur; Meja; Lemari Baju; Ventilasi; Bantal; Jendela; Kloset Jongkok; K. Mandi Luar; Ember mandi; Shower; WiFi; Penjaga Kos; R. Jemur; Jemuran; Parkir Motor &amp; Sepeda"/>
    <x v="46"/>
    <s v="Rp1.355.000"/>
    <x v="10"/>
    <d v="1899-12-30T04:05:00"/>
    <x v="1"/>
    <m/>
    <s v="Diskon 70rb"/>
  </r>
  <r>
    <s v="Kost Apik Foryou Tipe B Duren Sawit Jakarta Timur"/>
    <x v="8"/>
    <s v="Duren Sawit"/>
    <n v="5.6700000000000008"/>
    <s v="2.1 x 2.7 meter"/>
    <s v="Termasuk listrik (implied)"/>
    <n v="975000"/>
    <s v="Rp975.000"/>
    <s v="2.1 x 2.7 meter; Termasuk listrik; Kasur; Meja; Lemari Baju; Ventilasi; Kursi; Kipas Angin; Bantal; Guling; Jendela; Kloset Jongkok; K. Mandi Luar; Ember mandi; WiFi; R. Tamu; Penjaga Kos; R. Jemur; Dapur; Parkir Mobil; Parkir Motor; Parkir Sepeda"/>
    <x v="39"/>
    <s v="Rp927.500"/>
    <x v="2"/>
    <d v="1899-12-30T04:08:00"/>
    <x v="1"/>
    <m/>
    <s v="Diskon 48rb"/>
  </r>
  <r>
    <s v="Kost Apik Foryou Tipe C Duren Sawit Jakarta Timur"/>
    <x v="8"/>
    <s v="Duren Sawit"/>
    <n v="9"/>
    <s v="3 x 3 meter"/>
    <s v="Termasuk listrik (implied)"/>
    <n v="1225000"/>
    <s v="Rp1.225.000"/>
    <s v="3 x 3 meter; Termasuk listrik; Kasur; Lemari Baju; Wastafel; Kipas Angin; Bantal; Guling; K. Mandi Dalam; Kloset Jongkok; Ember mandi; WiFi; R. Tamu; Penjaga Kos; R. Jemur; Dapur; K. Mandi Luar; CCTV; Parkir Mobil; Parkir Sepeda; Parkir Motor &amp; Sepeda"/>
    <x v="86"/>
    <s v="Rp1.165.000"/>
    <x v="3"/>
    <d v="1899-12-30T05:00:00"/>
    <x v="1"/>
    <m/>
    <s v="Diskon 60rb"/>
  </r>
  <r>
    <s v="Kost Apik Garuda Utama Tipe A Pondok Cabe Tangerang Selatan"/>
    <x v="2"/>
    <s v="Pamulang"/>
    <n v="9"/>
    <s v="3 x 3 meter"/>
    <s v="Tidak termasuk listrik"/>
    <n v="625000"/>
    <s v="Rp625.000"/>
    <s v="3 x 3 meter; Tidak termasuk listrik; Kasur; Meja; Lemari Baju; Ventilasi; Kursi; Kipas Angin; Bantal; Guling; Jendela; Kloset Jongkok; K. Mandi Luar; Ember mandi; Bak mandi; WiFi; R. Tamu; Mesin Cuci; Penjaga Kos; R. Jemur; Dapur; Dispenser; TV; CCTV; Jemuran; Parkir Motor; Parkir Sepeda"/>
    <x v="87"/>
    <s v="Rp577.000"/>
    <x v="2"/>
    <d v="1899-12-30T04:08:00"/>
    <x v="1"/>
    <m/>
    <s v="Diskon 48rb"/>
  </r>
  <r>
    <s v="Kost Apik Garuda Utama Tipe B Pondok Cabe Tangerang Selatan"/>
    <x v="2"/>
    <s v="Pamulang"/>
    <n v="6"/>
    <s v="2 x 3 meter"/>
    <s v="Tidak termasuk listrik"/>
    <n v="475000"/>
    <s v="Rp475.000"/>
    <s v="2 x 3 meter; Tidak termasuk listrik; Kasur; Meja; Lemari Baju; Ventilasi; Kursi; Kipas Angin; Bantal; Guling; Jendela; Kloset Jongkok; K. Mandi Luar; Ember mandi; Bak mandi; WiFi; R. Tamu; Mesin Cuci; Penjaga Kos; R. Jemur; Dapur; Dispenser; TV; CCTV; Jemuran; Parkir Motor; Parkir Sepeda"/>
    <x v="88"/>
    <s v="Rp439.000"/>
    <x v="3"/>
    <d v="1899-12-30T05:00:00"/>
    <x v="1"/>
    <m/>
    <s v="Diskon 36rb"/>
  </r>
  <r>
    <s v="Kost Apik GBU Houseroom Tipe A Kemayoran Jakarta Pusat"/>
    <x v="9"/>
    <s v="Kecamatan Kemayoran"/>
    <n v="12.25"/>
    <s v="3.5 x 3.5 meter"/>
    <s v="Tidak termasuk listrik"/>
    <n v="2000000"/>
    <s v="Rp2.000.000"/>
    <s v="3.5 x 3.5 meter; Tidak termasuk listrik; AC; Kasur; Meja; Lemari Baju; Kursi; Bantal; Cermin; Guling; Jendela; K. Mandi Dalam; Kloset Duduk; Wastafel; Shower; Air panas; WiFi; R. Cuci; R. Tamu; Penjaga Kos; Laundry; Dapur; Parkir Mobil; Parkir Motor; Parkir Sepeda; Parkir Motor &amp; Sepeda"/>
    <x v="89"/>
    <s v="Rp1.900.000"/>
    <x v="2"/>
    <d v="1899-12-30T04:08:00"/>
    <x v="0"/>
    <m/>
    <s v="Diskon 100rb"/>
  </r>
  <r>
    <s v="Kost Apik GBU Houseroom Tipe B Kemayoran Jakarta Pusat"/>
    <x v="9"/>
    <s v="Kecamatan Kemayoran"/>
    <n v="9"/>
    <s v="3 x 3 meter"/>
    <s v="Tidak termasuk listrik"/>
    <s v=""/>
    <s v="N/A"/>
    <s v="3 x 3 meter; Tidak termasuk listrik; AC; Kasur; Meja; Lemari Baju; Kursi; Bantal; Guling; Jendela; K. Mandi Dalam; Kloset Duduk; Kloset Jongkok; K. Mandi Luar; Wastafel; Ember mandi; Shower; Air panas; WiFi; R. Cuci; R. Tamu; Penjaga Kos; Laundry; Dapur; Parkir Mobil; Parkir Motor; Parkir Sepeda; Parkir Motor &amp; Sepeda"/>
    <x v="90"/>
    <s v="Rp1.650.000"/>
    <x v="2"/>
    <d v="1899-12-30T04:08:00"/>
    <x v="0"/>
    <m/>
    <s v="Diskon 63rb"/>
  </r>
  <r>
    <s v="Kost Apik GBU Houseroom Tipe C Kemayoran Jakarta Pusat"/>
    <x v="9"/>
    <s v="Kecamatan Kemayoran"/>
    <n v="12.25"/>
    <s v="3.5 x 3.5 meter"/>
    <s v="Tidak termasuk listrik"/>
    <n v="1250000"/>
    <s v="Rp1.250.000"/>
    <s v="3.5 x 3.5 meter; Tidak termasuk listrik; AC; Kasur; Meja; Lemari Baju; Kursi; Bantal; Dapur Pribadi; Guling; Jendela; K. Mandi Dalam; Kloset Duduk; Kloset Jongkok; K. Mandi Luar; Wastafel; Shower; Air panas; WiFi; R. Cuci; R. Tamu; Penjaga Kos; Laundry; Dapur; Parkir Mobil; Parkir Motor; Parkir Sepeda; Parkir Motor &amp; Sepeda"/>
    <x v="91"/>
    <s v="Rp1.187.500"/>
    <x v="6"/>
    <d v="1899-12-30T04:06:00"/>
    <x v="0"/>
    <m/>
    <s v="Diskon 63rb"/>
  </r>
  <r>
    <s v="Kost Apik Golfi Tipe B Kebayoran Lama Jakarta Selatan"/>
    <x v="5"/>
    <s v="Kebayoran Lama"/>
    <n v="8.5"/>
    <s v="3.4 x 2.5 meter"/>
    <s v="Tidak termasuk listrik"/>
    <n v="1525000"/>
    <s v="Rp1.525.000"/>
    <s v="3.4 x 2.5 meter; Tidak termasuk listrik; AC; Kasur; Meja; Lemari Baju; Bantal; K. Mandi Dalam; Kloset Duduk; Wastafel; Shower; WiFi; Kulkas; Dapur; Dispenser; CCTV; Parkir Motor &amp; Sepeda"/>
    <x v="92"/>
    <s v="Rp1.405.000"/>
    <x v="8"/>
    <d v="1899-12-30T04:09:00"/>
    <x v="0"/>
    <m/>
    <s v="Diskon 120rb"/>
  </r>
  <r>
    <s v="Kost Apik Griya Bona Tipe B Pancoran Jakarta Selatan"/>
    <x v="5"/>
    <s v="Pancoran"/>
    <n v="9.5699999999999985"/>
    <s v="2.9 x 3.3 meter"/>
    <s v="Tidak termasuk listrik"/>
    <n v="1225000"/>
    <s v="Rp1.225.000"/>
    <s v="2.9 x 3.3 meter; Tidak termasuk listrik; Kasur; Meja; Lemari Baju; Ventilasi; Kursi; Bantal; Jendela; Kloset Duduk; K. Mandi Luar; Ember mandi; Shower; WiFi; R. Cuci; Penjaga Kos; R. Jemur; Dapur; CCTV; Jemuran; Parkir Motor &amp; Sepeda"/>
    <x v="86"/>
    <s v="Rp1.165.000"/>
    <x v="2"/>
    <d v="1899-12-30T04:08:00"/>
    <x v="0"/>
    <m/>
    <s v="Diskon 60rb"/>
  </r>
  <r>
    <s v="Kost Apik Griya Caraka Tipe A Beji Depok"/>
    <x v="1"/>
    <s v="Beji"/>
    <n v="15"/>
    <s v="3 x 5 meter"/>
    <s v="Tidak termasuk listrik"/>
    <n v="1055000"/>
    <s v="Rp1.055.000"/>
    <s v="3 x 5 meter; Tidak termasuk listrik; Kasur; Meja; Lemari Baju; Ventilasi; Kursi; Bantal; Cermin; Jendela; K. Mandi Dalam; Kloset Jongkok; Ember mandi; Shower; WiFi; R. Tamu; Mesin Cuci; Penjaga Kos; R. Jemur; Dapur; Dispenser; CCTV; Jemuran; Parkir Mobil; Parkir Motor; Parkir Sepeda"/>
    <x v="93"/>
    <s v="Rp952.000"/>
    <x v="8"/>
    <d v="1899-12-30T04:09:00"/>
    <x v="0"/>
    <m/>
    <s v="Diskon 103rb"/>
  </r>
  <r>
    <s v="Kost Apik Griya Jasmine Tipe A Pamulang Tangerang Selatan"/>
    <x v="2"/>
    <s v="Pamulang"/>
    <n v="9.25"/>
    <s v="3.7 x 2.5 meter"/>
    <s v="Tidak termasuk listrik"/>
    <n v="925000"/>
    <s v="Rp925.000"/>
    <s v="3.7 x 2.5 meter; Tidak termasuk listrik; Kasur; Lemari Baju; Ventilasi; Kipas Angin; Bantal; Cermin; Jendela; K. Mandi Dalam; Kloset Jongkok; Ember mandi; WiFi; Kulkas; Penjaga Kos; R. Makan; R. Jemur; Dapur; K. Mandi Luar; Rice Cooker; Jemuran; Parkir Motor &amp; Sepeda"/>
    <x v="61"/>
    <s v="Rp853.000"/>
    <x v="0"/>
    <m/>
    <x v="2"/>
    <m/>
    <s v="Diskon 72rb"/>
  </r>
  <r>
    <s v="Kost Apik Griya Tentrem Bintaro Tipe A Pondok Aren Tangerang Selatan"/>
    <x v="2"/>
    <s v="Pondok Aren"/>
    <n v="6.6000000000000005"/>
    <s v="3 x 2.2 meter"/>
    <s v="Termasuk listrik (implied)"/>
    <s v=""/>
    <s v="N/A"/>
    <s v="3 x 2.2 meter; Termasuk listrik; Kasur; Meja; TV; Lemari Baju; Ventilasi; Kursi; Kipas Angin; Bantal; Jendela; Kloset Jongkok; K. Mandi Luar; Ember mandi; WiFi; R. Tamu; Penjaga Kos; R. Makan; R. Jemur; Dapur; Parkir Mobil; Parkir Motor; Parkir Sepeda"/>
    <x v="94"/>
    <s v="Rp725.000"/>
    <x v="8"/>
    <d v="1899-12-30T04:09:00"/>
    <x v="0"/>
    <m/>
    <s v="Diskon 76rb"/>
  </r>
  <r>
    <s v="Kost Apik Griya Tentrem Bintaro Tipe B Pondok Aren Tangerang Selatan"/>
    <x v="2"/>
    <s v="Pondok Aren"/>
    <n v="6.6000000000000005"/>
    <s v="3 x 2.2 meter"/>
    <s v="Termasuk listrik (implied)"/>
    <s v=""/>
    <s v="N/A"/>
    <s v="3 x 2.2 meter; Termasuk listrik; Kasur; Meja; TV; Lemari Baju; Ventilasi; Kursi; Kipas Angin; Bantal; Jendela; Kloset Jongkok; K. Mandi Luar; Ember mandi; WiFi; R. Tamu; Penjaga Kos; R. Makan; R. Jemur; Dapur; Parkir Mobil; Parkir Motor; Parkir Sepeda"/>
    <x v="74"/>
    <s v="Rp875.000"/>
    <x v="3"/>
    <d v="1899-12-30T05:00:00"/>
    <x v="0"/>
    <m/>
    <s v="Diskon 76rb"/>
  </r>
  <r>
    <s v="Kost Apik Griya Tentrem Bintaro Tipe C Pondok Aren Tangerang Selatan"/>
    <x v="2"/>
    <s v="Pondok Aren"/>
    <n v="10.319999999999999"/>
    <s v="4.3 x 2.4 meter"/>
    <s v="Termasuk listrik (implied)"/>
    <n v="975000"/>
    <s v="Rp975.000"/>
    <s v="4.3 x 2.4 meter; Termasuk listrik; Kasur; Meja; TV; Lemari Baju; Ventilasi; Kursi; Kipas Angin; Bantal; Jendela; Kloset Jongkok; K. Mandi Luar; Ember mandi; WiFi; R. Tamu; Penjaga Kos; R. Makan; R. Jemur; Dapur; Parkir Mobil; Parkir Motor; Parkir Sepeda"/>
    <x v="95"/>
    <s v="Rp899.000"/>
    <x v="8"/>
    <d v="1899-12-30T04:09:00"/>
    <x v="0"/>
    <m/>
    <s v="Diskon 76rb"/>
  </r>
  <r>
    <s v="Kost Apik Gultom Tipe A Jatinegara Jakarta Timur"/>
    <x v="8"/>
    <s v="Jatinegara"/>
    <n v="8.64"/>
    <s v="3.2 x 2.7 meter"/>
    <s v="Termasuk listrik (implied)"/>
    <n v="900000"/>
    <s v="Rp900.000"/>
    <s v="3.2 x 2.7 meter; Termasuk listrik; Kasur; Lemari Baju; Ventilasi; Jendela; Bantal; Kloset Jongkok; K. Mandi Luar; Ember mandi; WiFi; Penjaga Kos; Dapur; Parkir Motor &amp; Sepeda"/>
    <x v="35"/>
    <s v="Rp855.000"/>
    <x v="12"/>
    <d v="1899-12-30T04:04:00"/>
    <x v="0"/>
    <m/>
    <s v="Diskon 45rb"/>
  </r>
  <r>
    <s v="Kost Apik Gunung Sahari XI Tipe A Sawah Besar Jakarta Pusat"/>
    <x v="9"/>
    <s v="Sawah Besar"/>
    <n v="14"/>
    <s v="3.5 x 4 meter"/>
    <s v="Termasuk listrik (implied)"/>
    <n v="1275000"/>
    <s v="Rp1.275.000"/>
    <s v="3.5 x 4 meter; Termasuk listrik; Kasur; Lemari Baju; Ventilasi; Wastafel; Bantal; Cermin; K. Mandi Dalam; Kloset Jongkok; WiFi; Kulkas; Penjaga Kos; R. Jemur; Dapur; K. Mandi Luar; Jemuran; Parkir Motor &amp; Sepeda"/>
    <x v="73"/>
    <s v="Rp1.212.500"/>
    <x v="10"/>
    <d v="1899-12-30T04:05:00"/>
    <x v="0"/>
    <m/>
    <s v="Diskon 63rb"/>
  </r>
  <r>
    <s v="Kost Apik Gunung Sahari XI Tipe B Sawah Besar Jakarta Pusat"/>
    <x v="9"/>
    <s v="Sawah Besar"/>
    <n v="6.25"/>
    <s v="2.5 x 2.5 meter"/>
    <s v="Termasuk listrik (implied)"/>
    <s v=""/>
    <s v="N/A"/>
    <s v="2.5 x 2.5 meter; Termasuk listrik; Kasur; Lemari Baju; Ventilasi; Bantal; Cermin; Kloset Jongkok; K. Mandi Luar; Ember mandi; Bak mandi; WiFi; Kulkas; Penjaga Kos; R. Jemur; Dapur; Jemuran; Parkir Motor &amp; Sepeda"/>
    <x v="74"/>
    <s v="Rp875.000"/>
    <x v="6"/>
    <d v="1899-12-30T04:06:00"/>
    <x v="0"/>
    <m/>
    <s v="Diskon 63rb"/>
  </r>
  <r>
    <s v="Kost Apik H Norin Tipe A Cakung Jakarta Timur"/>
    <x v="8"/>
    <s v="Cakung"/>
    <n v="7.2900000000000009"/>
    <s v="2.7 x 2.7 meter"/>
    <s v="Tidak termasuk listrik"/>
    <n v="1225000"/>
    <s v="Rp1.225.000"/>
    <s v="2.7 x 2.7 meter; Tidak termasuk listrik; AC; Kasur; Lemari Baju; Bantal; Cermin; K. Mandi Luar; Ember mandi; WiFi; Dapur; Parkir Motor &amp; Sepeda"/>
    <x v="96"/>
    <s v="Rp1.105.000"/>
    <x v="0"/>
    <m/>
    <x v="0"/>
    <m/>
    <s v="Diskon 120rb"/>
  </r>
  <r>
    <s v="Kost Apik H Norin Tipe B Cakung Jakarta Timur"/>
    <x v="8"/>
    <s v="Cakung"/>
    <n v="7.2900000000000009"/>
    <s v="2.7 x 2.7 meter"/>
    <s v="Tidak termasuk listrik"/>
    <n v="925000"/>
    <s v="Rp925.000"/>
    <s v="2.7 x 2.7 meter; Tidak termasuk listrik; Kasur; Lemari Baju; Bantal; Kipas Angin; K. Mandi Luar; Ember mandi; WiFi; Dapur; Parkir Motor &amp; Sepeda"/>
    <x v="60"/>
    <s v="Rp835.000"/>
    <x v="3"/>
    <d v="1899-12-30T05:00:00"/>
    <x v="0"/>
    <m/>
    <s v="Diskon 90rb"/>
  </r>
  <r>
    <s v="Kost Apik Harapan 18E Tipe B Jagakarsa Jakarta Selatan"/>
    <x v="5"/>
    <s v="Jagakarsa"/>
    <n v="4.4000000000000004"/>
    <s v="2 x 2.2 meter"/>
    <s v="Termasuk listrik (implied)"/>
    <s v=""/>
    <s v="N/A"/>
    <s v="2 x 2.2 meter; Termasuk listrik; Kasur; Meja; Lemari Baju; Ventilasi; Kipas Angin; Bantal; Cermin; Guling; Jendela; Kloset Jongkok; K. Mandi Luar; Ember mandi; WiFi; Penjaga Kos; R. Jemur; Dapur; Jemuran; Parkir Motor; Parkir Sepeda"/>
    <x v="94"/>
    <s v="Rp725.000"/>
    <x v="8"/>
    <d v="1899-12-30T04:09:00"/>
    <x v="1"/>
    <m/>
    <s v="Diskon 80rb"/>
  </r>
  <r>
    <s v="Kost Apik Hijau Tipe A Ciputat Timur Tangerang Selatan"/>
    <x v="2"/>
    <s v="Ciputat Timur"/>
    <n v="25"/>
    <s v="5 x 5 meter"/>
    <s v="Tidak termasuk listrik"/>
    <n v="2175000"/>
    <s v="Rp2.175.000"/>
    <s v="5 x 5 meter; Tidak termasuk listrik; AC; Kasur; Meja Rias; Lemari Baju; Ventilasi; Kursi; Jendela; Bantal; Cermin; K. Mandi Dalam; Kloset Duduk; Ember mandi; Shower; Bathtub; WiFi; R. Cuci; Penjaga Kos; R. Tamu; Mesin Cuci; R. Makan; R. Jemur; Dapur; Dispenser; Parkir Motor &amp; Sepeda"/>
    <x v="97"/>
    <s v="Rp2.003.000"/>
    <x v="2"/>
    <d v="1899-12-30T04:08:00"/>
    <x v="0"/>
    <m/>
    <s v="Diskon 172rb"/>
  </r>
  <r>
    <s v="Kost Apik Hijau Tipe B Ciputat Timur Tangerang Selatan"/>
    <x v="2"/>
    <s v="Ciputat Timur"/>
    <n v="12"/>
    <s v="4 x 3 meter"/>
    <s v="Tidak termasuk listrik"/>
    <n v="1325000"/>
    <s v="Rp1.325.000"/>
    <s v="4 x 3 meter; Tidak termasuk listrik; AC; Kasur; Lemari Baju; Ventilasi; Jendela; Bantal; Guling; Kloset Duduk; K. Mandi Luar; Ember mandi; Shower; WiFi; R. Cuci; Penjaga Kos; R. Tamu; Mesin Cuci; R. Makan; R. Jemur; Dapur; Dispenser; Parkir Motor &amp; Sepeda"/>
    <x v="81"/>
    <s v="Rp1.221.000"/>
    <x v="3"/>
    <d v="1899-12-30T05:00:00"/>
    <x v="0"/>
    <m/>
    <s v="Diskon 104rb"/>
  </r>
  <r>
    <s v="Kost Apik Hijau Tipe C Ciputat Timur Tangerang Selatan"/>
    <x v="2"/>
    <s v="Ciputat Timur"/>
    <n v="8.64"/>
    <s v="3.2 x 2.7 meter"/>
    <s v="Tidak termasuk listrik"/>
    <n v="1225000"/>
    <s v="Rp1.225.000"/>
    <s v="3.2 x 2.7 meter; Tidak termasuk listrik; AC; Kasur; Lemari Baju; Ventilasi; Bantal; Cermin; Kloset Duduk; K. Mandi Luar; Ember mandi; Shower; WiFi; R. Cuci; Penjaga Kos; R. Tamu; Mesin Cuci; R. Makan; R. Jemur; Dapur; Dispenser; Parkir Motor &amp; Sepeda"/>
    <x v="84"/>
    <s v="Rp1.129.000"/>
    <x v="3"/>
    <d v="1899-12-30T05:00:00"/>
    <x v="0"/>
    <m/>
    <s v="Diskon 96rb"/>
  </r>
  <r>
    <s v="Kost Apik Hijau Tipe D Ciputat Timur Tangerang Selatan"/>
    <x v="2"/>
    <s v="Ciputat Timur"/>
    <n v="7.2900000000000009"/>
    <s v="2.7 x 2.7 meter"/>
    <s v="Tidak termasuk listrik"/>
    <n v="1025000"/>
    <s v="Rp1.025.000"/>
    <s v="2.7 x 2.7 meter; Tidak termasuk listrik; AC; Kasur; Lemari Baju; Bantal; Kloset Duduk; K. Mandi Luar; Ember mandi; Shower; WiFi; R. Cuci; Penjaga Kos; R. Tamu; Mesin Cuci; R. Makan; R. Jemur; Dapur; Dispenser; Parkir Motor &amp; Sepeda"/>
    <x v="82"/>
    <s v="Rp945.000"/>
    <x v="0"/>
    <m/>
    <x v="0"/>
    <m/>
    <s v="Diskon 80rb"/>
  </r>
  <r>
    <s v="Kost Apik Ibu Yati Tipe A Cilandak Jakarta Selatan"/>
    <x v="5"/>
    <s v="Cilandak"/>
    <n v="7.5"/>
    <s v="3 x 2.5 meter"/>
    <s v="Tidak termasuk listrik"/>
    <n v="1075000"/>
    <s v="Rp1.075.000"/>
    <s v="3 x 2.5 meter; Tidak termasuk listrik; Kasur; Lemari Baju; Kipas Angin; K. Mandi Dalam; Kloset Jongkok; WiFi; Penjaga Kos; Parkir Motor &amp; Sepeda"/>
    <x v="98"/>
    <s v="Rp1.022.500"/>
    <x v="12"/>
    <d v="1899-12-30T04:04:00"/>
    <x v="0"/>
    <m/>
    <s v="Diskon 53rb"/>
  </r>
  <r>
    <s v="Kost Apik Jasmine Tipe A Pancoran Jakarta Selatan"/>
    <x v="5"/>
    <s v="Pancoran"/>
    <n v="8.75"/>
    <s v="2.5 x 3.5 meter"/>
    <s v="Termasuk listrik (implied)"/>
    <s v=""/>
    <s v="N/A"/>
    <s v="2.5 x 3.5 meter; Termasuk listrik; Kasur; Lemari Baju; Bantal; Cermin; Jendela; Kloset Duduk; K. Mandi Luar; Shower; WiFi; R. Cuci; R. Tamu; R. Jemur; Dapur; Jemuran; Parkir Motor &amp; Sepeda"/>
    <x v="99"/>
    <s v="Rp900.000"/>
    <x v="6"/>
    <d v="1899-12-30T04:06:00"/>
    <x v="2"/>
    <m/>
    <s v="Diskon 72rb"/>
  </r>
  <r>
    <s v="Kost Apik Junt STAN Tipe A Pondok Aren Tangerang Selatan"/>
    <x v="2"/>
    <s v="Pondok Aren"/>
    <n v="9"/>
    <s v="3 x 3 meter"/>
    <s v="Tidak termasuk listrik"/>
    <s v=""/>
    <s v="N/A"/>
    <s v="3 x 3 meter; Tidak termasuk listrik; AC; Kasur; Meja; Lemari Baju; Kursi; Bantal; Kloset Duduk; Kloset Jongkok; K. Mandi Luar; Ember mandi; Shower; WiFi; R. Cuci; Kulkas; Penjaga Kos; R. Jemur; Dapur; Jemuran; Parkir Motor &amp; Sepeda"/>
    <x v="100"/>
    <s v="Rp1.025.000"/>
    <x v="3"/>
    <d v="1899-12-30T05:00:00"/>
    <x v="1"/>
    <m/>
    <s v="Diskon 56rb"/>
  </r>
  <r>
    <s v="Kost Apik Junt STAN Tipe B Pondok Aren Tangerang Selatan"/>
    <x v="2"/>
    <s v="Pondok Aren"/>
    <n v="6"/>
    <s v="3 x 2 meter"/>
    <s v="Tidak termasuk listrik"/>
    <n v="725000"/>
    <s v="Rp725.000"/>
    <s v="3 x 2 meter; Tidak termasuk listrik; Kasur; Meja; Lemari Baju; Ventilasi; Kursi; Bantal; Jendela; Kipas Angin; Kloset Duduk; Kloset Jongkok; K. Mandi Luar; Ember mandi; Shower; WiFi; R. Cuci; Kulkas; Penjaga Kos; R. Jemur; Dapur; Jemuran; Parkir Motor &amp; Sepeda"/>
    <x v="101"/>
    <s v="Rp669.000"/>
    <x v="3"/>
    <d v="1899-12-30T05:00:00"/>
    <x v="1"/>
    <m/>
    <s v="Diskon 56rb"/>
  </r>
  <r>
    <s v="Kost Apik Kebon Kacang Tipe A Tanah Abang Jakarta Pusat"/>
    <x v="9"/>
    <s v="Tanah Abang"/>
    <n v="8.9599999999999991"/>
    <s v="3.2 x 2.8 meter"/>
    <s v="Termasuk listrik (implied)"/>
    <s v=""/>
    <s v="N/A"/>
    <s v="3.2 x 2.8 meter; Termasuk listrik; Kasur; Meja; Lemari Baju; Kipas Angin; Bantal; Cermin; Guling; Jendela; Kloset Jongkok; K. Mandi Luar; Ember mandi; WiFi; R. Cuci; Kulkas; R. Tamu; R. Jemur; Dapur; Dispenser; TV; Parkir Motor; Parkir Sepeda"/>
    <x v="102"/>
    <s v="Rp1.475.000"/>
    <x v="6"/>
    <d v="1899-12-30T04:06:00"/>
    <x v="2"/>
    <m/>
    <s v="Diskon 85rb"/>
  </r>
  <r>
    <s v="Kost Apik Kebon Kacang Tipe B Tanah Abang Jakarta Pusat"/>
    <x v="9"/>
    <s v="Tanah Abang"/>
    <e v="#VALUE!"/>
    <s v="N/A"/>
    <s v="N/A"/>
    <n v="1725000"/>
    <s v="Rp1.725.000"/>
    <s v=""/>
    <x v="103"/>
    <s v="Rp1.640.000"/>
    <x v="2"/>
    <d v="1899-12-30T04:08:00"/>
    <x v="2"/>
    <m/>
    <s v="Diskon 85rb"/>
  </r>
  <r>
    <s v="Kost Apik Kebon Kacang Tipe C Tanah Abang Jakarta Pusat"/>
    <x v="9"/>
    <s v="Tanah Abang"/>
    <n v="13.5"/>
    <s v="3 x 4.5 meter"/>
    <s v="Tidak termasuk listrik"/>
    <n v="2025000"/>
    <s v="Rp2.025.000"/>
    <s v="3 x 4.5 meter; Tidak termasuk listrik; AC; Kasur; Meja; Lemari Baju; Bantal; Cermin; Guling; K. Mandi Dalam; Kloset Jongkok; Ember mandi; WiFi; R. Cuci; Kulkas; R. Tamu; R. Jemur; Dapur; Dispenser; TV; K. Mandi Luar; Parkir Motor; Parkir Sepeda"/>
    <x v="104"/>
    <s v="Rp1.865.000"/>
    <x v="2"/>
    <d v="1899-12-30T04:08:00"/>
    <x v="2"/>
    <m/>
    <s v="Diskon 160rb"/>
  </r>
  <r>
    <s v="Kost Apik Kencana 1 Tipe A Beji Depok"/>
    <x v="1"/>
    <s v="Beji"/>
    <n v="12"/>
    <s v="4 x 3 meter"/>
    <s v="Tidak termasuk listrik"/>
    <n v="1060000"/>
    <s v="Rp1.060.000"/>
    <s v="4 x 3 meter; Tidak termasuk listrik; Kasur; Meja; Lemari Baju; Ventilasi; Kursi; Bantal; Jendela; K. Mandi Dalam; Kloset Jongkok; Ember mandi; Shower; WiFi; Kulkas; R. Tamu; Penjaga Kos; R. Jemur; Dapur; Jemuran; Parkir Motor &amp; Sepeda"/>
    <x v="105"/>
    <s v="Rp954.000"/>
    <x v="10"/>
    <d v="1899-12-30T04:05:00"/>
    <x v="2"/>
    <m/>
    <s v="Diskon 106rb"/>
  </r>
  <r>
    <s v="Kost Apik Kencana 1 Tipe B Beji Depok"/>
    <x v="1"/>
    <s v="Beji"/>
    <n v="7.7000000000000011"/>
    <s v="3.5 x 2.2 meter"/>
    <s v="Tidak termasuk listrik"/>
    <n v="1000000"/>
    <s v="Rp1.000.000"/>
    <s v="3.5 x 2.2 meter; Tidak termasuk listrik; Kasur; Meja; Lemari Baju; Ventilasi; Kursi; Bantal; Jendela; K. Mandi Dalam; Kloset Jongkok; Ember mandi; Shower; WiFi; Kulkas; R. Tamu; Penjaga Kos; R. Jemur; Dapur; Jemuran; Parkir Motor &amp; Sepeda"/>
    <x v="106"/>
    <s v="Rp920.000"/>
    <x v="8"/>
    <d v="1899-12-30T04:09:00"/>
    <x v="2"/>
    <m/>
    <s v="Diskon 80rb"/>
  </r>
  <r>
    <s v="Kost Apik Kencana 1 Tipe C Beji Depok"/>
    <x v="1"/>
    <s v="Beji"/>
    <n v="12"/>
    <s v="4 x 3 meter"/>
    <s v="Tidak termasuk listrik"/>
    <n v="1050000"/>
    <s v="Rp1.050.000"/>
    <s v="4 x 3 meter; Tidak termasuk listrik; Kasur; Meja; Lemari Baju; Ventilasi; Kursi; Bantal; Jendela; K. Mandi Dalam; Kloset Jongkok; Ember mandi; Shower; WiFi; Kulkas; R. Tamu; Penjaga Kos; R. Jemur; Dapur; Jemuran; Parkir Motor &amp; Sepeda"/>
    <x v="107"/>
    <s v="Rp966.000"/>
    <x v="8"/>
    <d v="1899-12-30T04:09:00"/>
    <x v="2"/>
    <m/>
    <s v="Diskon 84rb"/>
  </r>
  <r>
    <s v="Kost Apik Keroncong Permai 8 Tipe A Tangerang"/>
    <x v="6"/>
    <s v="Jati Uwung"/>
    <n v="6"/>
    <s v="2 x 3 meter"/>
    <s v="Tidak termasuk listrik"/>
    <n v="875000"/>
    <s v="Rp875.000"/>
    <s v="2 x 3 meter; Tidak termasuk listrik; Kasur; Lemari Baju; Kipas Angin; Bantal; Cermin; Kloset Duduk; K. Mandi Luar; Wastafel; Ember mandi; Shower; WiFi; Kulkas; Penjaga Kos; R. Jemur; Dapur; CCTV; Jemuran; Parkir Motor; Parkir Sepeda; Parkir Motor &amp; Sepeda"/>
    <x v="75"/>
    <s v="Rp807.000"/>
    <x v="6"/>
    <d v="1899-12-30T04:06:00"/>
    <x v="0"/>
    <m/>
    <s v="Diskon 68rb"/>
  </r>
  <r>
    <s v="Kost Apik Keroncong Permai 8 Tipe B Tangerang"/>
    <x v="6"/>
    <s v="Jati Uwung"/>
    <n v="5.75"/>
    <s v="2.5 x 2.3 meter"/>
    <s v="Tidak termasuk listrik"/>
    <n v="1325000"/>
    <s v="Rp1.325.000"/>
    <s v="2.5 x 2.3 meter; Tidak termasuk listrik; AC; Kasur; Meja; Lemari Baju; Ventilasi; Kursi; Bantal; Kloset Duduk; K. Mandi Luar; Wastafel; Ember mandi; Shower; WiFi; Kulkas; Penjaga Kos; R. Jemur; Dapur; CCTV; Jemuran; Parkir Motor; Parkir Sepeda; Parkir Motor &amp; Sepeda"/>
    <x v="81"/>
    <s v="Rp1.221.000"/>
    <x v="2"/>
    <d v="1899-12-30T04:08:00"/>
    <x v="0"/>
    <m/>
    <s v="Diskon 104rb"/>
  </r>
  <r>
    <s v="Kost Apik Keroncong Permai 8 Tipe C Tangerang"/>
    <x v="6"/>
    <s v="Jati Uwung"/>
    <n v="7.1999999999999993"/>
    <s v="2.4 x 3 meter"/>
    <s v="Tidak termasuk listrik"/>
    <n v="1525000"/>
    <s v="Rp1.525.000"/>
    <s v="2.4 x 3 meter; Tidak termasuk listrik; AC; Kasur; Meja; Lemari Baju; Kursi; Bantal; Jendela; Kloset Duduk; K. Mandi Luar; Wastafel; Ember mandi; Shower; WiFi; Kulkas; Penjaga Kos; R. Jemur; Dapur; CCTV; Jemuran; Parkir Motor; Parkir Sepeda; Parkir Motor &amp; Sepeda"/>
    <x v="92"/>
    <s v="Rp1.405.000"/>
    <x v="6"/>
    <d v="1899-12-30T04:06:00"/>
    <x v="0"/>
    <m/>
    <s v="Diskon 120rb"/>
  </r>
  <r>
    <s v="Kost Apik Keroncong Permai 8 Tipe D Tangerang"/>
    <x v="6"/>
    <s v="Jati Uwung"/>
    <n v="20"/>
    <s v="4 x 5 meter"/>
    <s v="Tidak termasuk listrik"/>
    <n v="1575000"/>
    <s v="Rp1.575.000"/>
    <s v="4 x 5 meter; Tidak termasuk listrik; AC; Kasur; Lemari Baju; Kursi; Bantal; Cermin; Guling; K. Mandi Dalam; Kloset Duduk; Shower; WiFi; Kulkas; Penjaga Kos; R. Jemur; Dapur; CCTV; Jemuran; Parkir Mobil; Parkir Motor &amp; Sepeda"/>
    <x v="108"/>
    <s v="Rp1.451.000"/>
    <x v="10"/>
    <d v="1899-12-30T04:05:00"/>
    <x v="0"/>
    <m/>
    <s v="Diskon 124rb"/>
  </r>
  <r>
    <s v="Kost Apik Ketapang Bunga Tipe A Gajah Mada Jakarta Barat"/>
    <x v="3"/>
    <s v="Kecamatan Kebon Jeruk"/>
    <n v="5"/>
    <s v="2 x 2.5 meter"/>
    <s v="Termasuk listrik (implied)"/>
    <n v="915000"/>
    <s v="Rp915.000"/>
    <s v="2 x 2.5 meter; Termasuk listrik; Kasur; Lemari Baju; Kipas Angin; Bantal; Kloset Jongkok; K. Mandi Luar; Shower; WiFi; R. Jemur; Parkir Mobil; Parkir Sepeda"/>
    <x v="109"/>
    <s v="Rp870.500"/>
    <x v="8"/>
    <d v="1899-12-30T04:09:00"/>
    <x v="0"/>
    <m/>
    <s v="Diskon 45rb"/>
  </r>
  <r>
    <s v="Kost Apik Ketapang Bunga Tipe B Gajah Mada Jakarta Barat"/>
    <x v="3"/>
    <s v="Kecamatan Kebon Jeruk"/>
    <n v="3.2"/>
    <s v="1.6 x 2 meter"/>
    <s v="Termasuk listrik (implied)"/>
    <s v=""/>
    <s v="N/A"/>
    <s v="1.6 x 2 meter; Termasuk listrik; Kasur; Lemari Baju; Kipas Angin; Bantal; Kloset Jongkok; K. Mandi Luar; Shower; WiFi; R. Jemur; Parkir Mobil; Parkir Sepeda"/>
    <x v="110"/>
    <s v="Rp805.000"/>
    <x v="2"/>
    <d v="1899-12-30T04:08:00"/>
    <x v="0"/>
    <m/>
    <s v="Diskon 45rb"/>
  </r>
  <r>
    <s v="Kost Apik Khadijah Limo Tipe A Cinere Depok"/>
    <x v="1"/>
    <s v="Limo"/>
    <n v="15.75"/>
    <s v="4.5 x 3.5 meter"/>
    <s v="Termasuk listrik (implied)"/>
    <n v="925000"/>
    <s v="Rp925.000"/>
    <s v="4.5 x 3.5 meter; Termasuk listrik; Kasur; Meja; Lemari Baju; Ventilasi; Bantal; Kipas Angin; Cermin; Guling; Kloset Duduk; K. Mandi Luar; Shower; WiFi; R. Tamu; Penjaga Kos; R. Jemur; Dapur; CCTV; Parkir Motor &amp; Sepeda"/>
    <x v="60"/>
    <s v="Rp835.000"/>
    <x v="0"/>
    <m/>
    <x v="2"/>
    <m/>
    <s v="Diskon 90rb"/>
  </r>
  <r>
    <s v="Kost Apik Khadijah Limo Tipe B Cinere Depok"/>
    <x v="1"/>
    <s v="Limo"/>
    <n v="9"/>
    <s v="3 x 3 meter"/>
    <s v="Termasuk listrik (implied)"/>
    <n v="825000"/>
    <s v="Rp825.000"/>
    <s v="3 x 3 meter; Termasuk listrik; Kasur; Meja; Lemari Baju; Ventilasi; Bantal; Kipas Angin; Guling; Kloset Duduk; K. Mandi Luar; Shower; WiFi; R. Tamu; Penjaga Kos; R. Jemur; Dapur; CCTV; Parkir Motor &amp; Sepeda"/>
    <x v="62"/>
    <s v="Rp745.000"/>
    <x v="0"/>
    <m/>
    <x v="2"/>
    <m/>
    <s v="Diskon 80rb"/>
  </r>
  <r>
    <s v="Kost Apik Kingkit IV Tipe A Gambir Jakarta Pusat"/>
    <x v="9"/>
    <s v="Gambir"/>
    <n v="8.64"/>
    <s v="3.2 x 2.7 meter"/>
    <s v="Termasuk listrik (implied)"/>
    <s v=""/>
    <s v="N/A"/>
    <s v="3.2 x 2.7 meter; Termasuk listrik; AC; Kasur; Meja; Lemari Baju; Bantal; Jendela; Guling; Cermin; Kloset Duduk; K. Mandi Luar; Ember mandi; WiFi; R. Cuci; Kulkas; R. Tamu; Penjaga Kos; R. Makan; R. Jemur; Dispenser; Parkir Motor &amp; Sepeda"/>
    <x v="111"/>
    <s v="Rp1.975.000"/>
    <x v="2"/>
    <d v="1899-12-30T04:08:00"/>
    <x v="0"/>
    <m/>
    <s v="Diskon 152rb"/>
  </r>
  <r>
    <s v="Kost Apik Kingkit IV Tipe C Gambir Jakarta Pusat"/>
    <x v="9"/>
    <s v="Gambir"/>
    <n v="5.5"/>
    <s v="2.5 x 2.2 meter"/>
    <s v="Termasuk listrik (implied)"/>
    <s v=""/>
    <s v="N/A"/>
    <s v="2.5 x 2.2 meter; Termasuk listrik; Kasur; Meja; Lemari Baju; Ventilasi; Bantal; Jendela; Kipas Angin; Cermin; Guling; Kloset Duduk; Kloset Jongkok; K. Mandi Luar; Ember mandi; WiFi; R. Cuci; Kulkas; R. Tamu; Penjaga Kos; R. Makan; R. Jemur; Dispenser; Parkir Motor &amp; Sepeda"/>
    <x v="44"/>
    <s v="Rp1.725.000"/>
    <x v="2"/>
    <d v="1899-12-30T04:08:00"/>
    <x v="0"/>
    <m/>
    <s v="Diskon 120rb"/>
  </r>
  <r>
    <s v="Kost Apik Kramat Tipe A Johar Baru Jakarta Pusat"/>
    <x v="9"/>
    <s v="Johar Baru"/>
    <n v="20"/>
    <s v="4 x 5 meter"/>
    <s v="Tidak termasuk listrik"/>
    <n v="2075000"/>
    <s v="Rp2.075.000"/>
    <s v="4 x 5 meter; Tidak termasuk listrik; AC; Kasur; Lemari Baju; Ventilasi; Bantal; Dapur Pribadi; Guling; Jendela; K. Mandi Dalam; Kloset Jongkok; Ember mandi; WiFi; R. Tamu; R. Makan; R. Jemur; Dapur; K. Mandi Luar; Parkir Mobil; Parkir Motor; Parkir Motor &amp; Sepeda"/>
    <x v="111"/>
    <s v="Rp1.975.000"/>
    <x v="6"/>
    <d v="1899-12-30T04:06:00"/>
    <x v="0"/>
    <m/>
    <s v="Diskon 100rb"/>
  </r>
  <r>
    <s v="Kost Apik Kramat Tipe B Johar Baru Jakarta Pusat"/>
    <x v="9"/>
    <s v="Johar Baru"/>
    <n v="9"/>
    <s v="3 x 3 meter"/>
    <s v="Tidak termasuk listrik"/>
    <n v="1775000"/>
    <s v="Rp1.775.000"/>
    <s v="3 x 3 meter; Tidak termasuk listrik; AC; Kasur; Lemari Baju; Ventilasi; Bantal; Guling; Jendela; K. Mandi Dalam; K. Mandi Luar; Ember mandi; WiFi; R. Tamu; R. Makan; R. Jemur; Dapur; Parkir Mobil; Parkir Motor; Parkir Motor &amp; Sepeda"/>
    <x v="112"/>
    <s v="Rp1.690.000"/>
    <x v="2"/>
    <d v="1899-12-30T04:08:00"/>
    <x v="0"/>
    <m/>
    <s v="Diskon 85rb"/>
  </r>
  <r>
    <s v="Kost Apik Kramat Tipe C Johar Baru Jakarta Pusat"/>
    <x v="9"/>
    <s v="Johar Baru"/>
    <n v="9"/>
    <s v="3 x 3 meter"/>
    <s v="Tidak termasuk listrik"/>
    <n v="1425000"/>
    <s v="Rp1.425.000"/>
    <s v="3 x 3 meter; Tidak termasuk listrik; Kasur; Lemari Baju; Ventilasi; Bantal; Guling; Jendela; K. Mandi Dalam; Kloset Jongkok; Ember mandi; WiFi; R. Tamu; R. Makan; R. Jemur; Dapur; K. Mandi Luar; Parkir Mobil; Parkir Motor; Parkir Motor &amp; Sepeda"/>
    <x v="113"/>
    <s v="Rp1.357.500"/>
    <x v="2"/>
    <d v="1899-12-30T04:08:00"/>
    <x v="0"/>
    <m/>
    <s v="Diskon 68rb"/>
  </r>
  <r>
    <s v="Kost Apik Kramat Tipe D Johar Baru Jakarta Pusat"/>
    <x v="9"/>
    <s v="Johar Baru"/>
    <n v="9"/>
    <s v="3 x 3 meter"/>
    <s v="Tidak termasuk listrik"/>
    <n v="1075000"/>
    <s v="Rp1.075.000"/>
    <s v="3 x 3 meter; Tidak termasuk listrik; Kasur; Lemari Baju; Ventilasi; Bantal; Guling; Jendela; Kloset Jongkok; K. Mandi Luar; Ember mandi; WiFi; R. Tamu; R. Makan; R. Jemur; Dapur; Parkir Mobil; Parkir Motor; Parkir Motor &amp; Sepeda"/>
    <x v="100"/>
    <s v="Rp1.025.000"/>
    <x v="2"/>
    <d v="1899-12-30T04:08:00"/>
    <x v="0"/>
    <m/>
    <s v="Diskon 50rb"/>
  </r>
  <r>
    <s v="Kost Apik Kukusan Ahmad Dahlan Tipe A Beji Depok"/>
    <x v="1"/>
    <s v="Kecamatan Beji"/>
    <n v="10.5"/>
    <s v="3 x 3.5 meter"/>
    <s v="Termasuk listrik (implied)"/>
    <n v="915000"/>
    <s v="Rp915.000"/>
    <s v="3 x 3.5 meter; Termasuk listrik; Kasur; Meja; Lemari Baju; Kursi; Kipas Angin; Bantal; Guling; Jendela; Kloset Jongkok; K. Mandi Luar; Ember mandi; WiFi; Kulkas; R. Tamu; Penjaga Kos; R. Jemur; Dapur; Dispenser; TV; CCTV; Parkir Mobil; Parkir Motor; Parkir Sepeda"/>
    <x v="114"/>
    <s v="Rp826.000"/>
    <x v="8"/>
    <d v="1899-12-30T04:09:00"/>
    <x v="1"/>
    <m/>
    <s v="Diskon 89rb"/>
  </r>
  <r>
    <s v="Kost Apik Kukusan Ahmad Dahlan Tipe B Beji Depok"/>
    <x v="1"/>
    <s v="Kecamatan Beji"/>
    <n v="24"/>
    <s v="4 x 6 meter"/>
    <s v="Tidak termasuk listrik"/>
    <n v="1655000"/>
    <s v="Rp1.655.000"/>
    <s v="4 x 6 meter; Tidak termasuk listrik; AC; Kasur; Meja; Lemari Baju; Kursi; Bantal; Cermin; Guling; Jendela; Kloset Jongkok; K. Mandi Luar; Ember mandi; WiFi; Kulkas; R. Tamu; Penjaga Kos; R. Jemur; Dapur; Dispenser; TV; CCTV; Parkir Mobil; Parkir Motor; Parkir Sepeda"/>
    <x v="115"/>
    <s v="Rp1.492.000"/>
    <x v="3"/>
    <d v="1899-12-30T05:00:00"/>
    <x v="1"/>
    <m/>
    <s v="Diskon 163rb"/>
  </r>
  <r>
    <s v="Kost Apik Kukusan Ahmad Dahlan Tipe C Beji Depok"/>
    <x v="1"/>
    <s v="Kecamatan Beji"/>
    <n v="10.5"/>
    <s v="3 x 3.5 meter"/>
    <s v="Tidak termasuk listrik"/>
    <n v="1325000"/>
    <s v="Rp1.325.000"/>
    <s v="3 x 3.5 meter; Tidak termasuk listrik; AC; Kasur; Meja; TV; Lemari Baju; Kursi; Bantal; Guling; Jendela; Kloset Jongkok; K. Mandi Luar; Ember mandi; WiFi; Kulkas; R. Tamu; Penjaga Kos; R. Jemur; Dapur; Dispenser; CCTV; Parkir Mobil; Parkir Motor; Parkir Sepeda"/>
    <x v="116"/>
    <s v="Rp1.195.000"/>
    <x v="3"/>
    <d v="1899-12-30T05:00:00"/>
    <x v="1"/>
    <m/>
    <s v="Diskon 130rb"/>
  </r>
  <r>
    <s v="Kost Apik Lia Tipe A Sawah Besar Jakarta Pusat"/>
    <x v="9"/>
    <s v="Jakarta"/>
    <n v="9"/>
    <s v="3 x 3 meter"/>
    <s v="Termasuk listrik (implied)"/>
    <n v="1100000"/>
    <s v="Rp1.100.000"/>
    <s v="3 x 3 meter; Termasuk listrik; Kasur; Lemari Baju; Wastafel; Kipas Angin; Bantal; Guling; Jendela; Kloset Jongkok; K. Mandi Luar; Ember mandi; Shower; Bak mandi; WiFi; R. Cuci; R. Tamu; Penjaga Kos; Dapur; Parkir Mobil; Parkir Motor; Parkir Sepeda; Parkir Motor &amp; Sepeda"/>
    <x v="117"/>
    <s v="Rp1.045.000"/>
    <x v="2"/>
    <d v="1899-12-30T04:08:00"/>
    <x v="0"/>
    <m/>
    <s v="Diskon 55rb"/>
  </r>
  <r>
    <s v="Kost Apik Lia Tipe B Sawah Besar Jakarta Pusat"/>
    <x v="9"/>
    <s v="Jakarta"/>
    <n v="12"/>
    <s v="3 x 4 meter"/>
    <s v="Termasuk listrik (implied)"/>
    <n v="1200000"/>
    <s v="Rp1.200.000"/>
    <s v="3 x 4 meter; Termasuk listrik; Kasur; Lemari Baju; Wastafel; Kipas Angin; Bantal; Guling; Jendela; Kloset Jongkok; K. Mandi Luar; Ember mandi; Shower; Bak mandi; WiFi; R. Cuci; R. Tamu; Penjaga Kos; Dapur; Parkir Mobil; Parkir Motor; Parkir Sepeda; Parkir Motor &amp; Sepeda"/>
    <x v="37"/>
    <s v="Rp1.140.000"/>
    <x v="6"/>
    <d v="1899-12-30T04:06:00"/>
    <x v="0"/>
    <m/>
    <s v="Diskon 60rb"/>
  </r>
  <r>
    <s v="Kost Apik Lia Tipe C Sawah Besar Jakarta Pusat"/>
    <x v="9"/>
    <s v="Jakarta"/>
    <n v="9"/>
    <s v="3 x 3 meter"/>
    <s v="Termasuk listrik (implied)"/>
    <n v="1800000"/>
    <s v="Rp1.800.000"/>
    <s v="3 x 3 meter; Termasuk listrik; AC; Kasur; Lemari Baju; Wastafel; Bantal; Guling; Jendela; K. Mandi Dalam; Kloset Jongkok; K. Mandi Luar; Ember mandi; Shower; Bak mandi; WiFi; R. Cuci; R. Tamu; Penjaga Kos; Dapur; Parkir Mobil; Parkir Motor; Parkir Sepeda; Parkir Motor &amp; Sepeda"/>
    <x v="118"/>
    <s v="Rp1.710.000"/>
    <x v="10"/>
    <d v="1899-12-30T04:05:00"/>
    <x v="0"/>
    <m/>
    <s v="Diskon 90rb"/>
  </r>
  <r>
    <s v="Kost Apik Lia Tipe D Sawah Besar Jakarta Pusat"/>
    <x v="9"/>
    <s v="Jakarta"/>
    <n v="9"/>
    <s v="3 x 3 meter"/>
    <s v="Termasuk listrik (implied)"/>
    <n v="950000"/>
    <s v="Rp950.000"/>
    <s v="3 x 3 meter; Termasuk listrik; Kasur; Lemari Baju; Wastafel; Kipas Angin; Bantal; Guling; Kloset Jongkok; K. Mandi Luar; Ember mandi; Shower; Bak mandi; WiFi; R. Cuci; R. Tamu; Penjaga Kos; Dapur; Parkir Mobil; Parkir Motor; Parkir Sepeda; Parkir Motor &amp; Sepeda"/>
    <x v="119"/>
    <s v="Rp902.500"/>
    <x v="6"/>
    <d v="1899-12-30T04:06:00"/>
    <x v="0"/>
    <m/>
    <s v="Diskon 48rb"/>
  </r>
  <r>
    <s v="Kost Apik Lia Tipe E Sawah Besar Jakarta Pusat"/>
    <x v="9"/>
    <s v="Jakarta"/>
    <n v="12"/>
    <s v="3 x 4 meter"/>
    <s v="Termasuk listrik (implied)"/>
    <n v="1850000"/>
    <s v="Rp1.850.000"/>
    <s v="3 x 4 meter; Termasuk listrik; AC; Kasur; Lemari Baju; Wastafel; Bantal; Guling; Jendela; K. Mandi Dalam; Kloset Jongkok; K. Mandi Luar; Ember mandi; Shower; Bak mandi; WiFi; R. Cuci; R. Tamu; Penjaga Kos; Dapur; Parkir Mobil; Parkir Motor; Parkir Sepeda; Parkir Motor &amp; Sepeda"/>
    <x v="120"/>
    <s v="Rp1.757.500"/>
    <x v="6"/>
    <d v="1899-12-30T04:06:00"/>
    <x v="0"/>
    <m/>
    <s v="Diskon 93rb"/>
  </r>
  <r>
    <s v="Kost Apik Lily Tipe B Tebet Jakarta Selatan"/>
    <x v="5"/>
    <s v="Kecamatan Tebet"/>
    <n v="6.72"/>
    <s v="2.4 x 2.8 meter"/>
    <s v="Tidak termasuk listrik"/>
    <n v="1375000"/>
    <s v="Rp1.375.000"/>
    <s v="2.4 x 2.8 meter; Tidak termasuk listrik; Kasur; Lemari Baju; Ventilasi; Bantal; Cermin; Jendela; Kloset Duduk; K. Mandi Luar; WiFi; R. Cuci; Dapur; Parkir Mobil; Parkir Motor; Parkir Sepeda"/>
    <x v="68"/>
    <s v="Rp1.307.500"/>
    <x v="2"/>
    <d v="1899-12-30T04:08:00"/>
    <x v="2"/>
    <m/>
    <s v="Diskon 68rb"/>
  </r>
  <r>
    <s v="Kost Apik Lukman Syariah Tipe B Pasar Minggu Jakarta Selatan"/>
    <x v="5"/>
    <s v="Pasar Minggu"/>
    <n v="10.5"/>
    <s v="3 x 3.5 meter"/>
    <s v="Termasuk listrik (implied)"/>
    <s v=""/>
    <s v="N/A"/>
    <s v="3 x 3.5 meter; Termasuk listrik; Kasur; Meja; Lemari Baju; Kursi; Kipas Angin; Bantal; Guling; Kloset Jongkok; K. Mandi Luar; Ember mandi; WiFi; R. Tamu; R. Jemur; Dapur; Parkir Motor; Parkir Sepeda"/>
    <x v="43"/>
    <s v="Rp925.000"/>
    <x v="8"/>
    <d v="1899-12-30T04:09:00"/>
    <x v="1"/>
    <m/>
    <s v="Diskon 38rb"/>
  </r>
  <r>
    <s v="Kost Apik Madani Tipe B Pulo Gadung Jakarta Timur"/>
    <x v="8"/>
    <s v="Pulo Gadung"/>
    <n v="6.75"/>
    <s v="2.7 x 2.5 meter"/>
    <s v="Tidak termasuk listrik"/>
    <n v="900000"/>
    <s v="Rp900.000"/>
    <s v="2.7 x 2.5 meter; Tidak termasuk listrik; Kasur; Lemari Baju; Ventilasi; Jendela; Bantal; Cermin; Guling; Kloset Jongkok; K. Mandi Luar; Ember mandi; Shower; WiFi; Penjaga Kos; R. Jemur; Taman; Jemuran; Parkir Motor &amp; Sepeda"/>
    <x v="35"/>
    <s v="Rp855.000"/>
    <x v="3"/>
    <d v="1899-12-30T05:00:00"/>
    <x v="2"/>
    <m/>
    <s v="Diskon 45rb"/>
  </r>
  <r>
    <s v="Kost Apik Mahoni Tipe A Pondok Aren Tangerang Selatan"/>
    <x v="2"/>
    <s v="Pondok Aren"/>
    <n v="6.48"/>
    <s v="2.4 x 2.7 meter"/>
    <s v="Tidak termasuk listrik"/>
    <s v=""/>
    <s v="N/A"/>
    <s v="2.4 x 2.7 meter; Tidak termasuk listrik; AC; Kasur; Meja; Lemari Baju; Ventilasi; Kursi; Jendela; Bantal; K. Mandi Dalam; Kloset Jongkok; Ember mandi; WiFi; R. Tamu; R. Jemur; Dapur; CCTV; Balcon; Jemuran; Parkir Motor &amp; Sepeda"/>
    <x v="43"/>
    <s v="Rp925.000"/>
    <x v="8"/>
    <d v="1899-12-30T04:09:00"/>
    <x v="1"/>
    <m/>
    <s v="Diskon 59rb"/>
  </r>
  <r>
    <s v="Kost Apik Mahoni Tipe B Pondok Aren Tangerang Selatan"/>
    <x v="2"/>
    <s v="Pondok Aren"/>
    <n v="5.52"/>
    <s v="2.4 x 2.3 meter"/>
    <s v="Tidak termasuk listrik"/>
    <n v="768000"/>
    <s v="Rp768.000"/>
    <s v="2.4 x 2.3 meter; Tidak termasuk listrik; Kasur; Meja; Lemari Baju; Ventilasi; Kursi; Jendela; Bantal; K. Mandi Dalam; Kloset Jongkok; Ember mandi; WiFi; R. Tamu; R. Jemur; Dapur; CCTV; Balcon; Jemuran; Parkir Motor &amp; Sepeda"/>
    <x v="121"/>
    <s v="Rp708.560"/>
    <x v="8"/>
    <d v="1899-12-30T04:09:00"/>
    <x v="1"/>
    <m/>
    <s v="Diskon 59rb"/>
  </r>
  <r>
    <s v="Kost Apik Margonda 5 Tipe A Beji Depok"/>
    <x v="1"/>
    <s v="Beji"/>
    <n v="12.25"/>
    <s v="3.5 x 3.5 meter"/>
    <s v="Tidak termasuk listrik"/>
    <n v="1600000"/>
    <s v="Rp1.600.000"/>
    <s v="3.5 x 3.5 meter; Tidak termasuk listrik; AC; Kasur; Lemari Baju; Bantal; Cermin; Jendela; K. Mandi Dalam; Kloset Duduk; Ember mandi; Shower; WiFi; R. Tamu; Penjaga Kos; Dapur; Parkir Mobil; Parkir Motor &amp; Sepeda"/>
    <x v="122"/>
    <s v="Rp1.440.000"/>
    <x v="6"/>
    <d v="1899-12-30T04:06:00"/>
    <x v="0"/>
    <m/>
    <s v="Diskon 160rb"/>
  </r>
  <r>
    <s v="Kost Apik Margonda 5 Tipe B Beji Depok"/>
    <x v="1"/>
    <s v="Beji"/>
    <n v="9"/>
    <s v="3 x 3 meter"/>
    <s v="Tidak termasuk listrik"/>
    <n v="1400000"/>
    <s v="Rp1.400.000"/>
    <s v="3 x 3 meter; Tidak termasuk listrik; AC; Kasur; Lemari Baju; Bantal; Cermin; Jendela; K. Mandi Dalam; Kloset Jongkok; Ember mandi; WiFi; R. Tamu; Penjaga Kos; Dapur; Parkir Mobil; Parkir Motor &amp; Sepeda"/>
    <x v="123"/>
    <s v="Rp1.288.000"/>
    <x v="10"/>
    <d v="1899-12-30T04:05:00"/>
    <x v="0"/>
    <m/>
    <s v="Diskon 112rb"/>
  </r>
  <r>
    <s v="Kost Apik Margonda 5 Tipe C Beji Depok"/>
    <x v="1"/>
    <s v="Beji"/>
    <n v="9"/>
    <s v="3 x 3 meter"/>
    <s v="Tidak termasuk listrik"/>
    <s v=""/>
    <s v="N/A"/>
    <s v="3 x 3 meter; Tidak termasuk listrik; AC; Kasur; Lemari Baju; Bantal; Jendela; K. Mandi Dalam; Kloset Jongkok; Ember mandi; WiFi; R. Tamu; Penjaga Kos; Dapur; Parkir Mobil; Parkir Motor &amp; Sepeda"/>
    <x v="23"/>
    <s v="Rp1.200.000"/>
    <x v="10"/>
    <d v="1899-12-30T04:05:00"/>
    <x v="0"/>
    <m/>
    <s v="Diskon 100rb"/>
  </r>
  <r>
    <s v="Kost Apik Margonda 5 Tipe D Beji Depok"/>
    <x v="1"/>
    <s v="Beji"/>
    <n v="9"/>
    <s v="3 x 3 meter"/>
    <s v="Tidak termasuk listrik"/>
    <n v="1000000"/>
    <s v="Rp1.000.000"/>
    <s v="3 x 3 meter; Tidak termasuk listrik; Kasur; Lemari Baju; Bantal; Jendela; K. Mandi Dalam; Kloset Jongkok; Ember mandi; WiFi; R. Tamu; Penjaga Kos; Dapur; Parkir Mobil; Parkir Motor &amp; Sepeda"/>
    <x v="99"/>
    <s v="Rp900.000"/>
    <x v="0"/>
    <m/>
    <x v="0"/>
    <m/>
    <s v="Diskon 100rb"/>
  </r>
  <r>
    <s v="Kost Apik Matari Nagara Tipe A Ciputat Tangerang Selatan"/>
    <x v="2"/>
    <s v="Ciputat"/>
    <n v="21"/>
    <s v="7 x 3 meter"/>
    <s v="Tidak termasuk listrik"/>
    <n v="1300000"/>
    <s v="Rp1.300.000"/>
    <s v="7 x 3 meter; Tidak termasuk listrik; Kasur; Lemari Baju; Ventilasi; Dapur Pribadi; Jendela; Bantal; Wastafel; K. Mandi Dalam; Kloset Jongkok; WiFi; Penjaga Kos; R. Jemur; Parkir Motor &amp; Sepeda"/>
    <x v="124"/>
    <s v="Rp1.170.000"/>
    <x v="0"/>
    <m/>
    <x v="0"/>
    <m/>
    <s v="Diskon 130rb"/>
  </r>
  <r>
    <s v="Kost Apik Muara Tipe A Jatinegara Jakarta Timur"/>
    <x v="8"/>
    <s v="Jatinegara"/>
    <n v="5.95"/>
    <s v="3.5 x 1.7 meter"/>
    <s v="Tidak termasuk listrik"/>
    <n v="1425000"/>
    <s v="Rp1.425.000"/>
    <s v="3.5 x 1.7 meter; Tidak termasuk listrik; AC; Kasur; Lemari Baju; Jendela; Bantal; Cermin; Guling; K. Mandi Dalam; Kloset Duduk; WiFi; Penjaga Kos; R. Jemur; Dapur; CCTV; Rooftop; Balcon; Parkir Motor &amp; Sepeda"/>
    <x v="46"/>
    <s v="Rp1.355.000"/>
    <x v="10"/>
    <d v="1899-12-30T04:05:00"/>
    <x v="0"/>
    <m/>
    <s v="Diskon 70rb"/>
  </r>
  <r>
    <s v="Kost Apik Mustika Tipe A Pulo Gadung Jakarta Timur"/>
    <x v="8"/>
    <s v="Pulo Gadung"/>
    <n v="8.75"/>
    <s v="3.5 x 2.5 meter"/>
    <s v="Tidak termasuk listrik"/>
    <n v="1225000"/>
    <s v="Rp1.225.000"/>
    <s v="3.5 x 2.5 meter; Tidak termasuk listrik; Kasur; Lemari Baju; Ventilasi; Dapur Pribadi; Jendela; Bantal; Cermin; Guling; K. Mandi Dalam; Kloset Jongkok; Ember mandi; WiFi; R. Jemur; Parkir Motor &amp; Sepeda"/>
    <x v="86"/>
    <s v="Rp1.165.000"/>
    <x v="14"/>
    <d v="1899-12-30T03:05:00"/>
    <x v="0"/>
    <m/>
    <s v="Diskon 60rb"/>
  </r>
  <r>
    <s v="Kost Apik Mustika Tipe B Pulo Gadung Jakarta Timur"/>
    <x v="8"/>
    <s v="Pulo Gadung"/>
    <n v="8.75"/>
    <s v="3.5 x 2.5 meter"/>
    <s v="Tidak termasuk listrik"/>
    <s v=""/>
    <s v="N/A"/>
    <s v="3.5 x 2.5 meter; Tidak termasuk listrik; Kasur; Lemari Baju; Ventilasi; Dapur Pribadi; Jendela; Bantal; Cermin; Guling; K. Mandi Dalam; Kloset Jongkok; Ember mandi; WiFi; R. Jemur; Parkir Motor &amp; Sepeda"/>
    <x v="42"/>
    <s v="Rp975.000"/>
    <x v="8"/>
    <d v="1899-12-30T04:09:00"/>
    <x v="0"/>
    <m/>
    <s v="Diskon 60rb"/>
  </r>
  <r>
    <s v="Kost Apik Nabila Tipe A Cempaka Putih Jakarta Pusat"/>
    <x v="9"/>
    <s v="Kecamatan Cempaka Putih"/>
    <n v="10.240000000000002"/>
    <s v="3.2 x 3.2 meter"/>
    <s v="Tidak termasuk listrik"/>
    <s v=""/>
    <s v="N/A"/>
    <s v="3.2 x 3.2 meter; Tidak termasuk listrik; AC; Kasur; Lemari Baju; Ventilasi; Bantal; Jendela; K. Mandi Dalam; Kloset Jongkok; WiFi; R. Tamu; Penjaga Kos; R. Jemur; Jemuran; Parkir Motor &amp; Sepeda"/>
    <x v="78"/>
    <s v="Rp1.625.000"/>
    <x v="6"/>
    <d v="1899-12-30T04:06:00"/>
    <x v="2"/>
    <m/>
    <s v="Diskon 87rb"/>
  </r>
  <r>
    <s v="Kost Apik Nabila Tipe B Cempaka Putih Jakarta Pusat"/>
    <x v="9"/>
    <s v="Kecamatan Cempaka Putih"/>
    <n v="10.240000000000002"/>
    <s v="3.2 x 3.2 meter"/>
    <s v="Tidak termasuk listrik"/>
    <s v=""/>
    <s v="N/A"/>
    <s v="3.2 x 3.2 meter; Tidak termasuk listrik; Kasur; Lemari Baju; Ventilasi; Bantal; Jendela; K. Mandi Dalam; Kloset Jongkok; WiFi; R. Tamu; Penjaga Kos; R. Jemur; Jemuran; Parkir Motor &amp; Sepeda"/>
    <x v="125"/>
    <s v="Rp1.125.000"/>
    <x v="8"/>
    <d v="1899-12-30T04:09:00"/>
    <x v="2"/>
    <m/>
    <m/>
  </r>
  <r>
    <s v="Kost Apik Nabila Tipe C Cempaka Putih Jakarta Pusat"/>
    <x v="9"/>
    <s v="Kecamatan Cempaka Putih"/>
    <n v="6"/>
    <s v="3 x 2 meter"/>
    <s v="Tidak termasuk listrik"/>
    <s v=""/>
    <s v="N/A"/>
    <s v="3 x 2 meter; Tidak termasuk listrik; Kasur; Lemari Baju; Ventilasi; Bantal; Jendela; K. Mandi Dalam; Kloset Jongkok; WiFi; R. Tamu; Penjaga Kos; R. Jemur; Jemuran; Parkir Motor &amp; Sepeda"/>
    <x v="45"/>
    <s v="Rp825.000"/>
    <x v="3"/>
    <d v="1899-12-30T05:00:00"/>
    <x v="2"/>
    <m/>
    <m/>
  </r>
  <r>
    <s v="Kost Apik Nuansa 2 Tanjung Duren Tipe A Grogol Petamburan Jakarta Barat"/>
    <x v="3"/>
    <s v="Grogol Petamburan"/>
    <n v="4.8600000000000003"/>
    <s v="1.8 x 2.7 meter"/>
    <s v="Tidak termasuk listrik"/>
    <n v="1075000"/>
    <s v="Rp1.075.000"/>
    <s v="1.8 x 2.7 meter; Tidak termasuk listrik; Kasur; Meja; Lemari Baju; Kursi; Bantal; Guling; Jendela; Kloset Duduk; Kloset Jongkok; K. Mandi Luar; Ember mandi; WiFi; R. Cuci; R. Tamu; Parkir Motor; Parkir Sepeda; Parkir Motor &amp; Sepeda"/>
    <x v="71"/>
    <s v="Rp991.000"/>
    <x v="8"/>
    <d v="1899-12-30T04:09:00"/>
    <x v="0"/>
    <m/>
    <s v="Diskon 84rb"/>
  </r>
  <r>
    <s v="Kost Apik Nuansa 2 Tanjung Duren Tipe B Grogol Petamburan Jakarta Barat"/>
    <x v="3"/>
    <s v="Grogol Petamburan"/>
    <n v="11"/>
    <s v="2.5 x 4.4 meter"/>
    <s v="Tidak termasuk listrik"/>
    <s v=""/>
    <s v="N/A"/>
    <s v="2.5 x 4.4 meter; Tidak termasuk listrik; AC; Kasur; Meja; Lemari Baju; Kursi; Bantal; Cermin; Guling; Kloset Duduk; Kloset Jongkok; K. Mandi Luar; Ember mandi; WiFi; R. Cuci; R. Tamu; Parkir Motor; Parkir Sepeda; Parkir Motor &amp; Sepeda"/>
    <x v="126"/>
    <s v="Rp1.425.000"/>
    <x v="6"/>
    <d v="1899-12-30T04:06:00"/>
    <x v="0"/>
    <m/>
    <s v="Diskon 84rb"/>
  </r>
  <r>
    <s v="Kost Apik Pengantin Ali Tipe A Ciracas Jakarta Timur"/>
    <x v="8"/>
    <s v="Ciracas"/>
    <n v="11.47"/>
    <s v="3.1 x 3.7 meter"/>
    <s v="Termasuk listrik (implied)"/>
    <n v="1225000"/>
    <s v="Rp1.225.000"/>
    <s v="3.1 x 3.7 meter; Termasuk listrik; AC; Kasur; Lemari Baju; Ventilasi; Kursi; Jendela; Bantal; Guling; Kloset Duduk; K. Mandi Luar; Ember mandi; WiFi; Penjaga Kos; R. Jemur; CCTV; Jemuran; Parkir Motor &amp; Sepeda"/>
    <x v="86"/>
    <s v="Rp1.165.000"/>
    <x v="3"/>
    <d v="1899-12-30T05:00:00"/>
    <x v="2"/>
    <m/>
    <s v="Diskon 60rb"/>
  </r>
  <r>
    <s v="Kost Apik Pondok Ardhan Tipe A Pondok Aren Tangerang Selatan"/>
    <x v="2"/>
    <s v="Pondok Aren"/>
    <n v="9"/>
    <s v="3 x 3 meter"/>
    <s v="Tidak termasuk listrik"/>
    <s v=""/>
    <s v="N/A"/>
    <s v="3 x 3 meter; Tidak termasuk listrik; AC; Kasur; Lemari Baju; Bantal; Jendela; K. Mandi Dalam; WiFi; Kulkas; Penjaga Kos; Dapur; CCTV; TV; Parkir Motor &amp; Sepeda"/>
    <x v="127"/>
    <s v="Rp1.252.000"/>
    <x v="0"/>
    <m/>
    <x v="2"/>
    <m/>
    <s v="Diskon 59rb"/>
  </r>
  <r>
    <s v="Kost Apik Pondok Ardhan Tipe B Pondok Aren Tangerang Selatan"/>
    <x v="2"/>
    <s v="Pondok Aren"/>
    <n v="6"/>
    <s v="3 x 2 meter"/>
    <s v="Termasuk listrik (implied)"/>
    <n v="767000"/>
    <s v="Rp767.000"/>
    <s v="3 x 2 meter; Termasuk listrik; Kasur; Lemari Baju; Bantal; Jendela; Kloset Jongkok; K. Mandi Luar; Ember mandi; WiFi; Kulkas; Penjaga Kos; Dapur; CCTV; TV; Parkir Motor &amp; Sepeda"/>
    <x v="128"/>
    <s v="Rp707.640"/>
    <x v="3"/>
    <d v="1899-12-30T05:00:00"/>
    <x v="2"/>
    <m/>
    <s v="Diskon 59rb"/>
  </r>
  <r>
    <s v="Kost Apik Pondok Elba Tipe A Beji Depok"/>
    <x v="1"/>
    <s v="Kecamatan Beji"/>
    <n v="8.75"/>
    <s v="3.5 x 2.5 meter"/>
    <s v="Tidak termasuk listrik"/>
    <n v="1125000"/>
    <s v="Rp1.125.000"/>
    <s v="3.5 x 2.5 meter; Tidak termasuk listrik; AC; Kasur; Meja; Lemari Baju; Kursi; K. Mandi Dalam; Kloset Jongkok; Bak mandi; WiFi; Kulkas; R. Tamu; Penjaga Kos; R. Makan; R. Jemur; TV; Parkir Motor &amp; Sepeda"/>
    <x v="129"/>
    <s v="Rp1.015.000"/>
    <x v="6"/>
    <d v="1899-12-30T04:06:00"/>
    <x v="1"/>
    <m/>
    <s v="Diskon 110rb"/>
  </r>
  <r>
    <s v="Kost Apik Pondok Elba Tipe B Beji Depok"/>
    <x v="1"/>
    <s v="Kecamatan Beji"/>
    <n v="6"/>
    <s v="3 x 2 meter"/>
    <s v="Tidak termasuk listrik"/>
    <n v="925000"/>
    <s v="Rp925.000"/>
    <s v="3 x 2 meter; Tidak termasuk listrik; AC; Kasur; Meja; Lemari Baju; Kursi; Kloset Jongkok; K. Mandi Luar; Shower; WiFi; Kulkas; R. Tamu; Penjaga Kos; R. Makan; R. Jemur; TV; Parkir Motor &amp; Sepeda"/>
    <x v="60"/>
    <s v="Rp835.000"/>
    <x v="6"/>
    <d v="1899-12-30T04:06:00"/>
    <x v="1"/>
    <m/>
    <s v="Diskon 90rb"/>
  </r>
  <r>
    <s v="Kost Apik Pondok Elba Tipe C Beji Depok"/>
    <x v="1"/>
    <s v="Kecamatan Beji"/>
    <n v="6.25"/>
    <s v="2.5 x 2.5 meter"/>
    <s v="Tidak termasuk listrik"/>
    <n v="825000"/>
    <s v="Rp825.000"/>
    <s v="2.5 x 2.5 meter; Tidak termasuk listrik; AC; Kasur; Meja; Lemari Baju; Kursi; Kloset Jongkok; K. Mandi Luar; Shower; WiFi; Kulkas; R. Tamu; Penjaga Kos; R. Makan; R. Jemur; TV; Parkir Motor &amp; Sepeda"/>
    <x v="62"/>
    <s v="Rp745.000"/>
    <x v="2"/>
    <d v="1899-12-30T04:08:00"/>
    <x v="1"/>
    <m/>
    <s v="Diskon 80rb"/>
  </r>
  <r>
    <s v="Kost Apik Pondok Elba Tipe D Beji Depok"/>
    <x v="1"/>
    <s v="Kecamatan Beji"/>
    <n v="4"/>
    <s v="2 x 2 meter"/>
    <s v="Tidak termasuk listrik"/>
    <n v="625000"/>
    <s v="Rp625.000"/>
    <s v="2 x 2 meter; Tidak termasuk listrik; Kasur; Meja; Lemari Baju; Kursi; Kloset Jongkok; K. Mandi Luar; Shower; WiFi; Kulkas; R. Tamu; Penjaga Kos; R. Makan; R. Jemur; TV; Parkir Motor &amp; Sepeda"/>
    <x v="130"/>
    <s v="Rp565.000"/>
    <x v="10"/>
    <d v="1899-12-30T04:05:00"/>
    <x v="1"/>
    <m/>
    <s v="Diskon 60rb"/>
  </r>
  <r>
    <s v="Kost Apik Pondok Jaya VIII Tipe C Mampang Prapatan Jakarta Selatan"/>
    <x v="5"/>
    <s v="Mampang Prapatan"/>
    <n v="5.0999999999999996"/>
    <s v="3 x 1.7 meter"/>
    <s v="Termasuk listrik (implied)"/>
    <s v=""/>
    <s v="N/A"/>
    <s v="3 x 1.7 meter; Termasuk listrik; Kasur; Meja; Lemari Baju; Ventilasi; Kursi; Kipas Angin; Bantal; Cermin; Jendela; Kloset Duduk; K. Mandi Luar; Wastafel; Ember mandi; Shower; WiFi; Kulkas; R. Tamu; Penjaga Kos; R. Makan; R. Jemur; Dapur; Dispenser; TV; Taman; Parkir Mobil; Parkir Sepeda"/>
    <x v="34"/>
    <s v="Rp1.325.000"/>
    <x v="12"/>
    <d v="1899-12-30T04:04:00"/>
    <x v="1"/>
    <m/>
    <s v="Diskon 200rb"/>
  </r>
  <r>
    <s v="Kost Apik Pondok Madani Tipe A Johar Baru Jakarta Pusat"/>
    <x v="9"/>
    <s v="Johar Baru"/>
    <n v="5.6700000000000008"/>
    <s v="2.7 x 2.1 meter"/>
    <s v="Tidak termasuk listrik"/>
    <n v="1275000"/>
    <s v="Rp1.275.000"/>
    <s v="2.7 x 2.1 meter; Tidak termasuk listrik; AC; Kasur; Lemari Baju; Bantal; Cermin; Jendela; Kloset Jongkok; K. Mandi Luar; Ember mandi; WiFi; Penjaga Kos; Parkir Motor &amp; Sepeda"/>
    <x v="73"/>
    <s v="Rp1.212.500"/>
    <x v="6"/>
    <d v="1899-12-30T04:06:00"/>
    <x v="0"/>
    <m/>
    <s v="Diskon 63rb"/>
  </r>
  <r>
    <s v="Kost Apik Pondok Refasya Tipe A Beji Depok"/>
    <x v="1"/>
    <s v="Beji"/>
    <n v="14"/>
    <s v="4 x 3.5 meter"/>
    <s v="Termasuk listrik (implied)"/>
    <n v="1225000"/>
    <s v="Rp1.225.000"/>
    <s v="4 x 3.5 meter; Termasuk listrik; Kasur; Meja; Lemari Baju; Ventilasi; Kursi; Bantal; Jendela; Kloset Jongkok; K. Mandi Luar; Ember mandi; WiFi; R. Jemur; Dapur; CCTV; Jemuran; Parkir Mobil; Parkir Motor; Parkir Sepeda"/>
    <x v="96"/>
    <s v="Rp1.105.000"/>
    <x v="8"/>
    <d v="1899-12-30T04:09:00"/>
    <x v="1"/>
    <m/>
    <s v="Diskon 120rb"/>
  </r>
  <r>
    <s v="Kost Apik Pondok Refasya Tipe B Beji Depok"/>
    <x v="1"/>
    <s v="Beji"/>
    <n v="11.549999999999999"/>
    <s v="3.3 x 3.5 meter"/>
    <s v="Termasuk listrik (implied)"/>
    <n v="1175000"/>
    <s v="Rp1.175.000"/>
    <s v="3.3 x 3.5 meter; Termasuk listrik; Kasur; Meja; Lemari Baju; Ventilasi; Kursi; Bantal; Jendela; Kloset Jongkok; K. Mandi Luar; Ember mandi; WiFi; R. Jemur; Dapur; CCTV; Jemuran; Parkir Mobil; Parkir Motor; Parkir Sepeda"/>
    <x v="131"/>
    <s v="Rp1.060.000"/>
    <x v="6"/>
    <d v="1899-12-30T04:06:00"/>
    <x v="1"/>
    <m/>
    <s v="Diskon 115rb"/>
  </r>
  <r>
    <s v="Kost Apik Pondok Refasya Tipe C Beji Depok"/>
    <x v="1"/>
    <s v="Beji"/>
    <n v="9.8999999999999986"/>
    <s v="3 x 3.3 meter"/>
    <s v="Termasuk listrik (implied)"/>
    <n v="1075000"/>
    <s v="Rp1.075.000"/>
    <s v="3 x 3.3 meter; Termasuk listrik; Kasur; Meja; Lemari Baju; Ventilasi; Kursi; Bantal; Jendela; Kloset Jongkok; K. Mandi Luar; Ember mandi; WiFi; R. Jemur; Dapur; CCTV; Jemuran; Parkir Mobil; Parkir Motor; Parkir Sepeda"/>
    <x v="59"/>
    <s v="Rp970.000"/>
    <x v="8"/>
    <d v="1899-12-30T04:09:00"/>
    <x v="1"/>
    <m/>
    <s v="Diskon 105rb"/>
  </r>
  <r>
    <s v="Kost Apik Pondok Rida Tipe A Beji Depok"/>
    <x v="1"/>
    <s v="Beji"/>
    <n v="12"/>
    <s v="4 x 3 meter"/>
    <s v="Termasuk listrik (implied)"/>
    <n v="1275000"/>
    <s v="Rp1.275.000"/>
    <s v="4 x 3 meter; Termasuk listrik; Kasur; Lemari Baju; Ventilasi; Jendela; Bantal; Kloset Jongkok; K. Mandi Luar; Ember mandi; Shower; WiFi; R. Jemur; Taman; Jemuran; Parkir Mobil; Parkir Motor &amp; Sepeda"/>
    <x v="30"/>
    <s v="Rp1.150.000"/>
    <x v="6"/>
    <d v="1899-12-30T04:06:00"/>
    <x v="1"/>
    <m/>
    <s v="Diskon 125rb"/>
  </r>
  <r>
    <s v="Kost Apik Pondok Sagre Kepu Tipe A Senen Jakarta Pusat"/>
    <x v="9"/>
    <s v="Kecamatan Senen"/>
    <n v="8"/>
    <s v="2.5 x 3.2 meter"/>
    <s v="Tidak termasuk listrik"/>
    <n v="1265000"/>
    <s v="Rp1.265.000"/>
    <s v="2.5 x 3.2 meter; Tidak termasuk listrik; AC; Kasur; Lemari Baju; Ventilasi; Bantal; Jendela; Kloset Jongkok; K. Mandi Luar; Shower; WiFi; R. Jemur; Dapur; CCTV; Parkir Mobil; Parkir Motor; Parkir Sepeda"/>
    <x v="132"/>
    <s v="Rp1.203.000"/>
    <x v="2"/>
    <d v="1899-12-30T04:08:00"/>
    <x v="0"/>
    <m/>
    <s v="Diskon 62rb"/>
  </r>
  <r>
    <s v="Kost Apik Pondok Sagre Kepu Tipe B Senen Jakarta Pusat"/>
    <x v="9"/>
    <s v="Kecamatan Senen"/>
    <n v="8"/>
    <s v="2.5 x 3.2 meter"/>
    <s v="Tidak termasuk listrik"/>
    <n v="1365000"/>
    <s v="Rp1.365.000"/>
    <s v="2.5 x 3.2 meter; Tidak termasuk listrik; AC; Kasur; Lemari Baju; Ventilasi; Bantal; Jendela; Kloset Jongkok; K. Mandi Luar; Shower; WiFi; R. Jemur; Dapur; CCTV; Parkir Mobil; Parkir Motor; Parkir Sepeda"/>
    <x v="133"/>
    <s v="Rp1.298.000"/>
    <x v="8"/>
    <d v="1899-12-30T04:09:00"/>
    <x v="0"/>
    <m/>
    <s v="Diskon 67rb"/>
  </r>
  <r>
    <s v="Kost Apik Pondok Sagre Kepu Tipe C Senen Jakarta Pusat"/>
    <x v="9"/>
    <s v="Kecamatan Senen"/>
    <n v="8"/>
    <s v="2.5 x 3.2 meter"/>
    <s v="Tidak termasuk listrik"/>
    <n v="1615000"/>
    <s v="Rp1.615.000"/>
    <s v="2.5 x 3.2 meter; Tidak termasuk listrik; AC; Kasur; Lemari Baju; Ventilasi; Bantal; Jendela; Kloset Jongkok; K. Mandi Luar; Shower; WiFi; R. Jemur; Dapur; CCTV; Parkir Mobil; Parkir Motor; Parkir Sepeda"/>
    <x v="134"/>
    <s v="Rp1.535.500"/>
    <x v="2"/>
    <d v="1899-12-30T04:08:00"/>
    <x v="0"/>
    <m/>
    <s v="Diskon 80rb"/>
  </r>
  <r>
    <s v="Kost Apik Pondok Sagre Kepu Tipe D Senen Jakarta Pusat"/>
    <x v="9"/>
    <s v="Kecamatan Senen"/>
    <n v="8"/>
    <s v="2.5 x 3.2 meter"/>
    <s v="Tidak termasuk listrik"/>
    <n v="1665000"/>
    <s v="Rp1.665.000"/>
    <s v="2.5 x 3.2 meter; Tidak termasuk listrik; AC; Kasur; Lemari Baju; Ventilasi; Bantal; Jendela; Kloset Jongkok; K. Mandi Luar; Shower; WiFi; R. Jemur; Dapur; CCTV; Parkir Motor; Parkir Sepeda"/>
    <x v="135"/>
    <s v="Rp1.583.000"/>
    <x v="2"/>
    <d v="1899-12-30T04:08:00"/>
    <x v="0"/>
    <m/>
    <s v="Diskon 82rb"/>
  </r>
  <r>
    <s v="Kost Apik Pondok Sally Tipe A Beji Depok"/>
    <x v="1"/>
    <s v="Beji"/>
    <n v="13.5"/>
    <s v="4.5 x 3 meter"/>
    <s v="Termasuk listrik (implied)"/>
    <n v="900000"/>
    <s v="Rp900.000"/>
    <s v="4.5 x 3 meter; Termasuk listrik; Kasur; Meja; Lemari Baju; Kursi; Bantal; Jendela; K. Mandi Dalam; Kloset Jongkok; Ember mandi; Shower; WiFi; Kulkas; R. Tamu; R. Jemur; Dapur; Parkir Mobil; Parkir Motor; Parkir Sepeda"/>
    <x v="136"/>
    <s v="Rp810.000"/>
    <x v="8"/>
    <d v="1899-12-30T04:09:00"/>
    <x v="2"/>
    <m/>
    <s v="Diskon 90rb"/>
  </r>
  <r>
    <s v="Kost Apik Prospera Living Tipe A Senen Jakarta Pusat"/>
    <x v="9"/>
    <s v="Senen"/>
    <n v="16.200000000000003"/>
    <s v="6 x 2.7 meter"/>
    <s v="Tidak termasuk listrik"/>
    <n v="1823000"/>
    <s v="Rp1.823.000"/>
    <s v="6 x 2.7 meter; Tidak termasuk listrik; AC; Kasur; Meja; Lemari Baju; Kursi; Bantal; Kloset Duduk; K. Mandi Luar; Ember mandi; WiFi; R. Cuci; Penjaga Kos; R. Jemur; Parkir Motor &amp; Sepeda"/>
    <x v="137"/>
    <s v="Rp1.733.100"/>
    <x v="6"/>
    <d v="1899-12-30T04:06:00"/>
    <x v="0"/>
    <m/>
    <s v="Diskon 90rb"/>
  </r>
  <r>
    <s v="Kost Apik Prospera Living Tipe B Senen Jakarta Pusat"/>
    <x v="9"/>
    <s v="Senen"/>
    <n v="8.64"/>
    <s v="3.2 x 2.7 meter"/>
    <s v="Tidak termasuk listrik"/>
    <s v=""/>
    <s v="N/A"/>
    <s v="3.2 x 2.7 meter; Tidak termasuk listrik; AC; Kasur; Meja; Lemari Baju; Kursi; Kloset Duduk; K. Mandi Luar; Ember mandi; WiFi; R. Cuci; Penjaga Kos; R. Jemur; Parkir Motor &amp; Sepeda"/>
    <x v="138"/>
    <s v="Rp1.323.000"/>
    <x v="2"/>
    <d v="1899-12-30T04:08:00"/>
    <x v="0"/>
    <m/>
    <s v="Diskon 90rb"/>
  </r>
  <r>
    <s v="Kost Apik Prospera Living Tipe C Senen Jakarta Pusat"/>
    <x v="9"/>
    <s v="Senen"/>
    <n v="8.64"/>
    <s v="3.2 x 2.7 meter"/>
    <s v="Tidak termasuk listrik"/>
    <s v=""/>
    <s v="N/A"/>
    <s v="3.2 x 2.7 meter; Tidak termasuk listrik; Kasur; Meja; Lemari Baju; Bantal; Kursi; Kloset Duduk; K. Mandi Luar; Ember mandi; WiFi; R. Cuci; Penjaga Kos; R. Jemur; Parkir Motor &amp; Sepeda"/>
    <x v="139"/>
    <s v="Rp923.000"/>
    <x v="10"/>
    <d v="1899-12-30T04:05:00"/>
    <x v="0"/>
    <m/>
    <s v="Diskon 90rb"/>
  </r>
  <r>
    <s v="Kost Apik Protein Otista Tipe A Jatinegara Jakarta Timur"/>
    <x v="8"/>
    <s v="Jatinegara"/>
    <n v="7"/>
    <s v="3.5 x 2 meter"/>
    <s v="Termasuk listrik (implied)"/>
    <n v="1425000"/>
    <s v="Rp1.425.000"/>
    <s v="3.5 x 2 meter; Termasuk listrik; AC; Kasur; Lemari Baju; Bantal; Guling; Jendela; K. Mandi Dalam; Kloset Jongkok; Ember mandi; Shower; WiFi; Kulkas; R. Tamu; Penjaga Kos; R. Makan; R. Jemur; Dapur; Dispenser; TV; K. Mandi Luar; Parkir Motor; Parkir Sepeda"/>
    <x v="46"/>
    <s v="Rp1.355.000"/>
    <x v="12"/>
    <d v="1899-12-30T04:04:00"/>
    <x v="2"/>
    <m/>
    <s v="Diskon 70rb"/>
  </r>
  <r>
    <s v="Kost Apik Protein Otista Tipe B Jatinegara Jakarta Timur"/>
    <x v="8"/>
    <s v="Jatinegara"/>
    <n v="5"/>
    <s v="2 x 2.5 meter"/>
    <s v="Termasuk listrik (implied)"/>
    <n v="975000"/>
    <s v="Rp975.000"/>
    <s v="2 x 2.5 meter; Termasuk listrik; Kasur; Lemari Baju; Bantal; Guling; Jendela; K. Mandi Dalam; Kloset Jongkok; Shower; WiFi; Kulkas; R. Tamu; Penjaga Kos; R. Makan; R. Jemur; Dapur; Dispenser; TV; K. Mandi Luar; Parkir Motor; Parkir Sepeda"/>
    <x v="39"/>
    <s v="Rp927.500"/>
    <x v="2"/>
    <d v="1899-12-30T04:08:00"/>
    <x v="2"/>
    <m/>
    <s v="Diskon 48rb"/>
  </r>
  <r>
    <s v="Kost Apik Puri Gading 1 UI Tipe B Beji Depok"/>
    <x v="1"/>
    <s v="Beji"/>
    <n v="9"/>
    <s v="3 x 3 meter"/>
    <s v="Termasuk listrik (implied)"/>
    <n v="898000"/>
    <s v="Rp898.000"/>
    <s v="3 x 3 meter; Termasuk listrik; Kasur; Meja; Lemari Baju; Kursi; Bantal; Guling; Jendela; K. Mandi Dalam; Kloset Jongkok; Ember mandi; WiFi; Kulkas; R. Tamu; R. Jemur; Dapur; Dispenser; TV; CCTV; Parkir Motor; Parkir Sepeda"/>
    <x v="140"/>
    <s v="Rp810.700"/>
    <x v="2"/>
    <d v="1899-12-30T04:08:00"/>
    <x v="1"/>
    <m/>
    <s v="Diskon 87rb"/>
  </r>
  <r>
    <s v="Kost Apik Puri Rinda Tipe A Jagakarsa Jakarta Selatan"/>
    <x v="5"/>
    <s v="Kecamatan Jagakarsa"/>
    <n v="10.5"/>
    <s v="3.5 x 3 meter"/>
    <s v="Termasuk listrik (implied)"/>
    <n v="2825000"/>
    <s v="Rp2.825.000"/>
    <s v="3.5 x 3 meter; Termasuk listrik; AC; Kasur; Meja; TV; Lemari Baju; Kursi; Bantal; Cermin; Guling; K. Mandi Dalam; Kloset Duduk; Wastafel; Shower; Air panas; WiFi; Penjaga Kos; Dapur; Dispenser; K. Mandi Luar; Parkir Mobil; Parkir Motor; Parkir Sepeda"/>
    <x v="141"/>
    <s v="Rp2.685.000"/>
    <x v="3"/>
    <d v="1899-12-30T05:00:00"/>
    <x v="2"/>
    <m/>
    <s v="Diskon 140rb"/>
  </r>
  <r>
    <s v="Kost Apik Puri Rinda Tipe B Jagakarsa Jakarta Selatan"/>
    <x v="5"/>
    <s v="Kecamatan Jagakarsa"/>
    <n v="9"/>
    <s v="3 x 3 meter"/>
    <s v="Termasuk listrik (implied)"/>
    <n v="1925000"/>
    <s v="Rp1.925.000"/>
    <s v="3 x 3 meter; Termasuk listrik; AC; Kasur; Meja; TV; Lemari Baju; Kursi; Bantal; Cermin; Guling; Jendela; Kloset Duduk; K. Mandi Luar; Wastafel; Shower; Air panas; WiFi; Penjaga Kos; Dapur; Dispenser; Parkir Mobil; Parkir Motor; Parkir Sepeda"/>
    <x v="142"/>
    <s v="Rp1.830.000"/>
    <x v="8"/>
    <d v="1899-12-30T04:09:00"/>
    <x v="2"/>
    <m/>
    <s v="Diskon 95rb"/>
  </r>
  <r>
    <s v="Kost Apik Puri Rinda Tipe C Jagakarsa Jakarta Selatan"/>
    <x v="5"/>
    <s v="Kecamatan Jagakarsa"/>
    <n v="9"/>
    <s v="3 x 3 meter"/>
    <s v="Termasuk listrik (implied)"/>
    <n v="1825000"/>
    <s v="Rp1.825.000"/>
    <s v="3 x 3 meter; Termasuk listrik; AC; Kasur; Meja; TV; Lemari Baju; Kursi; Bantal; Cermin; Guling; Jendela; Kloset Duduk; K. Mandi Luar; Wastafel; Shower; Air panas; WiFi; Penjaga Kos; Dapur; Dispenser; Parkir Mobil; Parkir Motor; Parkir Sepeda"/>
    <x v="143"/>
    <s v="Rp1.735.000"/>
    <x v="3"/>
    <d v="1899-12-30T05:00:00"/>
    <x v="2"/>
    <m/>
    <s v="Diskon 90rb"/>
  </r>
  <r>
    <s v="Kost Apik R &amp; R Condet Tipe A Pasar Rebo Jakarta Timur"/>
    <x v="8"/>
    <s v="Pasar Rebo"/>
    <n v="6"/>
    <s v="3 x 2 meter"/>
    <s v="Tidak termasuk listrik"/>
    <n v="1175000"/>
    <s v="Rp1.175.000"/>
    <s v="3 x 2 meter; Tidak termasuk listrik; AC; Kasur; Lemari Baju; Bantal; Guling; Jendela; Kloset Jongkok; K. Mandi Luar; Ember mandi; WiFi; Kulkas; R. Tamu; Penjaga Kos; R. Makan; R. Jemur; Dapur; CCTV; Parkir Motor; Parkir Sepeda"/>
    <x v="144"/>
    <s v="Rp1.117.500"/>
    <x v="0"/>
    <m/>
    <x v="0"/>
    <m/>
    <s v="Diskon 58rb"/>
  </r>
  <r>
    <s v="Kost Apik R &amp; R Condet Tipe B Pasar Rebo Jakarta Timur"/>
    <x v="8"/>
    <s v="Pasar Rebo"/>
    <n v="9"/>
    <s v="3 x 3 meter"/>
    <s v="Tidak termasuk listrik"/>
    <n v="1075000"/>
    <s v="Rp1.075.000"/>
    <s v="3 x 3 meter; Tidak termasuk listrik; AC; Kasur; Lemari Baju; Bantal; Cermin; Guling; Jendela; K. Mandi Dalam; Kloset Jongkok; Ember mandi; WiFi; Kulkas; R. Tamu; Penjaga Kos; R. Makan; R. Jemur; Dapur; K. Mandi Luar; CCTV; Parkir Motor; Parkir Sepeda"/>
    <x v="98"/>
    <s v="Rp1.022.500"/>
    <x v="6"/>
    <d v="1899-12-30T04:06:00"/>
    <x v="0"/>
    <m/>
    <s v="Diskon 53rb"/>
  </r>
  <r>
    <s v="Kost Apik R &amp; R Condet Tipe C Pasar Rebo Jakarta Timur"/>
    <x v="8"/>
    <s v="Pasar Rebo"/>
    <n v="5.6"/>
    <s v="2.8 x 2 meter"/>
    <s v="Tidak termasuk listrik"/>
    <n v="925000"/>
    <s v="Rp925.000"/>
    <s v="2.8 x 2 meter; Tidak termasuk listrik; AC; Kasur; Lemari Baju; Bantal; Guling; Jendela; Kloset Jongkok; K. Mandi Luar; Ember mandi; WiFi; Kulkas; R. Tamu; Penjaga Kos; R. Makan; R. Jemur; Dapur; CCTV; Parkir Motor; Parkir Sepeda"/>
    <x v="16"/>
    <s v="Rp880.000"/>
    <x v="6"/>
    <d v="1899-12-30T04:06:00"/>
    <x v="0"/>
    <m/>
    <s v="Diskon 45rb"/>
  </r>
  <r>
    <s v="Kost Apik R Sari Tipe A Cempaka Putih Jakarta Pusat"/>
    <x v="9"/>
    <s v="Cempaka Putih"/>
    <n v="4.25"/>
    <s v="2.5 x 1.7 meter"/>
    <s v="Termasuk listrik (implied)"/>
    <n v="850000"/>
    <s v="Rp850.000"/>
    <s v="2.5 x 1.7 meter; Termasuk listrik; Kasur; Ventilasi; Bantal; Kloset Jongkok; K. Mandi Luar; Ember mandi; WiFi; Penjaga Kos; R. Jemur; CCTV; Jemuran; Parkir Motor &amp; Sepeda"/>
    <x v="145"/>
    <s v="Rp807.500"/>
    <x v="10"/>
    <d v="1899-12-30T04:05:00"/>
    <x v="0"/>
    <m/>
    <s v="Diskon 43rb"/>
  </r>
  <r>
    <s v="Kost Apik R Sari Tipe B Cempaka Putih Jakarta Pusat"/>
    <x v="9"/>
    <s v="Cempaka Putih"/>
    <n v="4.25"/>
    <s v="2.5 x 1.7 meter"/>
    <s v="Termasuk listrik (implied)"/>
    <n v="750000"/>
    <s v="Rp750.000"/>
    <s v="2.5 x 1.7 meter; Termasuk listrik; Kasur; Ventilasi; Bantal; Kloset Jongkok; K. Mandi Luar; Ember mandi; WiFi; Penjaga Kos; R. Jemur; CCTV; Jemuran; Parkir Motor &amp; Sepeda"/>
    <x v="146"/>
    <s v="Rp712.500"/>
    <x v="6"/>
    <d v="1899-12-30T04:06:00"/>
    <x v="0"/>
    <m/>
    <s v="Diskon 38rb"/>
  </r>
  <r>
    <s v="Kost Apik Rawamangun 23A Tipe A Pulo Gadung Jakarta Timur"/>
    <x v="8"/>
    <s v="Pulo Gadung"/>
    <n v="13.26"/>
    <s v="5.1 x 2.6 meter"/>
    <s v="Tidak termasuk listrik"/>
    <s v=""/>
    <s v="N/A"/>
    <s v="5.1 x 2.6 meter; Tidak termasuk listrik; Kasur; Meja; Lemari Baju; K. Mandi Dalam; Kloset Jongkok; Ember mandi; WiFi; R. Cuci; R. Jemur; Dapur; CCTV; Jemuran; Parkir Motor &amp; Sepeda"/>
    <x v="56"/>
    <s v="Rp1.225.000"/>
    <x v="3"/>
    <d v="1899-12-30T05:00:00"/>
    <x v="2"/>
    <m/>
    <m/>
  </r>
  <r>
    <s v="Kost Apik Rawamangun 23A Tipe C Pulo Gadung Jakarta Timur"/>
    <x v="8"/>
    <s v="Pulo Gadung"/>
    <n v="9"/>
    <s v="3 x 3 meter"/>
    <s v="Tidak termasuk listrik"/>
    <s v=""/>
    <s v="N/A"/>
    <s v="3 x 3 meter; Tidak termasuk listrik; Kasur; Meja; Lemari Baju; Kloset Jongkok; K. Mandi Luar; Bak mandi; WiFi; R. Cuci; R. Jemur; Dapur; CCTV; Jemuran; Parkir Motor &amp; Sepeda"/>
    <x v="43"/>
    <s v="Rp925.000"/>
    <x v="10"/>
    <d v="1899-12-30T04:05:00"/>
    <x v="2"/>
    <m/>
    <m/>
  </r>
  <r>
    <s v="Kost Apik Rawasari 29 Tipe A Cempaka Putih Jakarta Pusat"/>
    <x v="9"/>
    <s v="Cempaka Putih"/>
    <n v="8.68"/>
    <s v="3.1 x 2.8 meter"/>
    <s v="Tidak termasuk listrik"/>
    <s v=""/>
    <s v="N/A"/>
    <s v="3.1 x 2.8 meter; Tidak termasuk listrik; Kasur; Lemari Baju; Guling; Bantal; K. Mandi Dalam; Kloset Jongkok; Ember mandi; WiFi; Parkir Motor &amp; Sepeda"/>
    <x v="63"/>
    <s v="Rp1.275.000"/>
    <x v="12"/>
    <d v="1899-12-30T04:04:00"/>
    <x v="0"/>
    <m/>
    <s v="Diskon 108rb"/>
  </r>
  <r>
    <s v="Kost Apik Rayan Tipe A Cilandak Jakarta Selatan"/>
    <x v="5"/>
    <s v="Cilandak"/>
    <n v="12.25"/>
    <s v="3.5 x 3.5 meter"/>
    <s v="Termasuk listrik (implied)"/>
    <s v=""/>
    <s v="N/A"/>
    <s v="3.5 x 3.5 meter; Termasuk listrik; Kasur; Meja; Lemari Baju; Bantal; Cermin; Jendela; K. Mandi Dalam; Kloset Jongkok; Ember mandi; WiFi; Penjaga Kos; R. Santai; Balcon; Parkir Motor &amp; Sepeda"/>
    <x v="23"/>
    <s v="Rp1.200.000"/>
    <x v="10"/>
    <d v="1899-12-30T04:05:00"/>
    <x v="0"/>
    <m/>
    <m/>
  </r>
  <r>
    <s v="Kost Apik Restu Ibu Lenteng Agung Tipe E Jagakarsa Jakarta Selatan"/>
    <x v="5"/>
    <s v="Jagakarsa"/>
    <n v="7.839999999999999"/>
    <s v="2.8 x 2.8 meter"/>
    <s v="Termasuk listrik (implied)"/>
    <s v=""/>
    <s v="N/A"/>
    <s v="2.8 x 2.8 meter; Termasuk listrik; Kasur; Meja; Lemari Baju; Kursi; Bantal; Jendela; Kloset Jongkok; K. Mandi Luar; Ember mandi; Shower; WiFi; R. Cuci; R. Tamu; Penjaga Kos; Dapur; TV; CCTV; Parkir Mobil; Parkir Motor &amp; Sepeda"/>
    <x v="2"/>
    <s v="Rp700.000"/>
    <x v="8"/>
    <d v="1899-12-30T04:09:00"/>
    <x v="2"/>
    <m/>
    <s v="Diskon 40rb"/>
  </r>
  <r>
    <s v="Kost Apik Riyadus Solihin Park View Tipe A Pondok Aren Tangerang Selatan"/>
    <x v="2"/>
    <s v="Pondok Aren"/>
    <n v="9"/>
    <s v="3 x 3 meter"/>
    <s v="Termasuk listrik (implied)"/>
    <n v="1325000"/>
    <s v="Rp1.325.000"/>
    <s v="3 x 3 meter; Termasuk listrik; AC; Kasur; Lemari Baju; Ventilasi; Bantal; Jendela; K. Mandi Dalam; Kloset Jongkok; Ember mandi; WiFi; R. Cuci; Kulkas; R. Tamu; Mesin Cuci; Penjaga Kos; R. Jemur; Dapur; Parkir Motor &amp; Sepeda"/>
    <x v="147"/>
    <s v="Rp1.260.000"/>
    <x v="10"/>
    <d v="1899-12-30T04:05:00"/>
    <x v="1"/>
    <m/>
    <s v="Diskon 65rb"/>
  </r>
  <r>
    <s v="Kost Apik Riyadus Solihin Park View Tipe B Pondok Aren Tangerang Selatan"/>
    <x v="2"/>
    <s v="Pondok Aren"/>
    <n v="9"/>
    <s v="3 x 3 meter"/>
    <s v="Termasuk listrik (implied)"/>
    <n v="925000"/>
    <s v="Rp925.000"/>
    <s v="3 x 3 meter; Termasuk listrik; Kasur; Lemari Baju; Ventilasi; Bantal; Jendela; K. Mandi Dalam; Kloset Jongkok; Ember mandi; WiFi; R. Cuci; Kulkas; R. Tamu; Mesin Cuci; Penjaga Kos; R. Jemur; Dapur; Parkir Motor &amp; Sepeda"/>
    <x v="16"/>
    <s v="Rp880.000"/>
    <x v="6"/>
    <d v="1899-12-30T04:06:00"/>
    <x v="1"/>
    <m/>
    <s v="Diskon 45rb"/>
  </r>
  <r>
    <s v="Kost Apik Rumah Deka Tipe A Pondok Aren Tangerang Selatan"/>
    <x v="2"/>
    <s v="Pondok Aren"/>
    <n v="9"/>
    <s v="3 x 3 meter"/>
    <s v="Termasuk listrik (implied)"/>
    <n v="705000"/>
    <s v="Rp705.000"/>
    <s v="3 x 3 meter; Termasuk listrik; Kasur; Meja; Lemari Baju; Kursi; Kloset Jongkok; K. Mandi Luar; Bak mandi; WiFi; R. Jemur; Dapur; Parkir Motor &amp; Sepeda"/>
    <x v="47"/>
    <s v="Rp650.600"/>
    <x v="12"/>
    <d v="1899-12-30T04:04:00"/>
    <x v="1"/>
    <m/>
    <s v="Diskon 54rb"/>
  </r>
  <r>
    <s v="Kost Apik Sakura 9 Tipe A Cengkareng Jakarta Barat"/>
    <x v="3"/>
    <s v="Cengkareng"/>
    <n v="9"/>
    <s v="3 x 3 meter"/>
    <s v="Tidak termasuk listrik"/>
    <s v=""/>
    <s v="N/A"/>
    <s v="3 x 3 meter; Tidak termasuk listrik; Kasur; Jendela; Kipas Angin; Bantal; K. Mandi Dalam; Kloset Duduk; Ember mandi; WiFi; Kulkas; R. Tamu; Penjaga Kos; R. Jemur; Dapur; Taman; Rooftop; Jemuran; Parkir Motor &amp; Sepeda"/>
    <x v="148"/>
    <s v="Rp1.155.000"/>
    <x v="2"/>
    <d v="1899-12-30T04:08:00"/>
    <x v="0"/>
    <m/>
    <m/>
  </r>
  <r>
    <s v="Kost Apik Seroja 1 Tipe A Cengkareng Jakarta Barat"/>
    <x v="3"/>
    <s v="Cengkareng"/>
    <n v="6"/>
    <s v="3 x 2 meter"/>
    <s v="Termasuk listrik (implied)"/>
    <n v="825000"/>
    <s v="Rp825.000"/>
    <s v="3 x 2 meter; Termasuk listrik; Kasur; Lemari Baju; Ventilasi; Bantal; Kloset Jongkok; K. Mandi Luar; Ember mandi; WiFi; Parkir Mobil; Parkir Motor; Parkir Sepeda; Parkir Motor &amp; Sepeda"/>
    <x v="149"/>
    <s v="Rp761.000"/>
    <x v="2"/>
    <d v="1899-12-30T04:08:00"/>
    <x v="0"/>
    <m/>
    <s v="Diskon 64rb"/>
  </r>
  <r>
    <s v="Kost Apik Seroja 1 Tipe B Cengkareng Jakarta Barat"/>
    <x v="3"/>
    <s v="Cengkareng"/>
    <n v="4"/>
    <s v="2 x 2 meter"/>
    <s v="Termasuk listrik (implied)"/>
    <n v="800000"/>
    <s v="Rp800.000"/>
    <s v="2 x 2 meter; Termasuk listrik; Kasur; Lemari Baju; Ventilasi; Bantal; Kloset Jongkok; K. Mandi Luar; Ember mandi; WiFi; Parkir Mobil; Parkir Motor; Parkir Sepeda; Parkir Motor &amp; Sepeda"/>
    <x v="150"/>
    <s v="Rp738.000"/>
    <x v="6"/>
    <d v="1899-12-30T04:06:00"/>
    <x v="0"/>
    <m/>
    <s v="Diskon 62rb"/>
  </r>
  <r>
    <s v="Kost Apik Shafira Tipe A Kemayoran Jakarta Pusat"/>
    <x v="9"/>
    <s v="Kemayoran"/>
    <n v="15.75"/>
    <s v="4.5 x 3.5 meter"/>
    <s v="Tidak termasuk listrik"/>
    <s v=""/>
    <s v="N/A"/>
    <s v="4.5 x 3.5 meter; Tidak termasuk listrik; AC; Kasur; Lemari Baju; K. Mandi Dalam; Kloset Jongkok; Shower; WiFi; R. Cuci; Penjaga Kos; R. Jemur; Rooftop; Parkir Motor &amp; Sepeda"/>
    <x v="78"/>
    <s v="Rp1.625.000"/>
    <x v="6"/>
    <d v="1899-12-30T04:06:00"/>
    <x v="2"/>
    <m/>
    <s v="Diskon 87rb"/>
  </r>
  <r>
    <s v="Kost Apik Shafira Tipe A Pamulang Tangerang Selatan"/>
    <x v="2"/>
    <s v="Pamulang"/>
    <n v="5.4600000000000009"/>
    <s v="2.6 x 2.1 meter"/>
    <s v="Termasuk listrik (implied)"/>
    <n v="825000"/>
    <s v="Rp825.000"/>
    <s v="2.6 x 2.1 meter; Termasuk listrik; Kasur; Lemari Baju; Ventilasi; Kipas Angin; Bantal; Cermin; Jendela; Kloset Duduk; Kloset Jongkok; K. Mandi Luar; Ember mandi; Shower; WiFi; Kulkas; R. Tamu; Penjaga Kos; R. Jemur; Dapur; CCTV; Jemuran; Parkir Motor &amp; Sepeda"/>
    <x v="149"/>
    <s v="Rp761.000"/>
    <x v="3"/>
    <d v="1899-12-30T05:00:00"/>
    <x v="2"/>
    <m/>
    <s v="Diskon 64rb"/>
  </r>
  <r>
    <s v="Kost Apik Shafira Tipe B Kemayoran Jakarta Pusat"/>
    <x v="9"/>
    <s v="Kemayoran"/>
    <n v="15.75"/>
    <s v="4.5 x 3.5 meter"/>
    <s v="Tidak termasuk listrik"/>
    <s v=""/>
    <s v="N/A"/>
    <s v="4.5 x 3.5 meter; Tidak termasuk listrik; Kasur; Lemari Baju; K. Mandi Dalam; Kloset Jongkok; Shower; WiFi; R. Cuci; Penjaga Kos; R. Jemur; Rooftop; Parkir Motor &amp; Sepeda"/>
    <x v="126"/>
    <s v="Rp1.425.000"/>
    <x v="8"/>
    <d v="1899-12-30T04:09:00"/>
    <x v="2"/>
    <m/>
    <m/>
  </r>
  <r>
    <s v="Kost Apik Shafira Tipe B Pamulang Tangerang Selatan"/>
    <x v="2"/>
    <s v="Pamulang"/>
    <n v="5.13"/>
    <s v="1.9 x 2.7 meter"/>
    <s v="Termasuk listrik (implied)"/>
    <n v="925000"/>
    <s v="Rp925.000"/>
    <s v="1.9 x 2.7 meter; Termasuk listrik; Kasur; Lemari Baju; Ventilasi; Kipas Angin; Bantal; Cermin; Jendela; Kloset Duduk; Kloset Jongkok; K. Mandi Luar; Ember mandi; WiFi; Kulkas; R. Tamu; Penjaga Kos; R. Jemur; Dapur; CCTV; Jemuran; Parkir Motor &amp; Sepeda"/>
    <x v="61"/>
    <s v="Rp853.000"/>
    <x v="3"/>
    <d v="1899-12-30T05:00:00"/>
    <x v="2"/>
    <m/>
    <s v="Diskon 72rb"/>
  </r>
  <r>
    <s v="Kost Apik Siti Fadila UI Tipe A Beji Depok"/>
    <x v="1"/>
    <s v="Beji"/>
    <n v="10.240000000000002"/>
    <s v="3.2 x 3.2 meter"/>
    <s v="Tidak termasuk listrik"/>
    <n v="625000"/>
    <s v="Rp625.000"/>
    <s v="3.2 x 3.2 meter; Tidak termasuk listrik; Kasur; Meja; Lemari Baju; Kursi; Bantal; Jendela; Kloset Jongkok; K. Mandi Luar; Ember mandi; Shower; WiFi; Parkir Motor &amp; Sepeda"/>
    <x v="130"/>
    <s v="Rp565.000"/>
    <x v="3"/>
    <d v="1899-12-30T05:00:00"/>
    <x v="2"/>
    <m/>
    <s v="Diskon 60rb"/>
  </r>
  <r>
    <s v="Kost Apik Sulthan Tipe A Cilandak Jakarta Selatan"/>
    <x v="5"/>
    <s v="Cilandak"/>
    <n v="18"/>
    <s v="4 x 4.5 meter"/>
    <s v="Termasuk listrik (implied)"/>
    <s v=""/>
    <s v="N/A"/>
    <s v="4 x 4.5 meter; Termasuk listrik; Kasur; Meja; Lemari Baju; Jendela; Wastafel; Bantal; Cermin; Guling; K. Mandi Dalam; Kloset Jongkok; Ember mandi; WiFi; R. Cuci; R. Tamu; Penjaga Kos; R. Jemur; Rooftop; Jemuran; Parkir Motor &amp; Sepeda"/>
    <x v="126"/>
    <s v="Rp1.425.000"/>
    <x v="8"/>
    <d v="1899-12-30T04:09:00"/>
    <x v="2"/>
    <m/>
    <m/>
  </r>
  <r>
    <s v="Kost Apik Sulthan Tipe B Cilandak Jakarta Selatan"/>
    <x v="5"/>
    <s v="Cilandak"/>
    <n v="10.5"/>
    <s v="3 x 3.5 meter"/>
    <s v="Termasuk listrik (implied)"/>
    <s v=""/>
    <s v="N/A"/>
    <s v="3 x 3.5 meter; Termasuk listrik; Kasur; Meja; Lemari Baju; Jendela; Bantal; Cermin; Guling; K. Mandi Dalam; Kloset Jongkok; Ember mandi; WiFi; R. Cuci; R. Tamu; Penjaga Kos; R. Jemur; Rooftop; Jemuran; Parkir Motor &amp; Sepeda"/>
    <x v="151"/>
    <s v="Rp1.315.000"/>
    <x v="3"/>
    <d v="1899-12-30T05:00:00"/>
    <x v="2"/>
    <m/>
    <m/>
  </r>
  <r>
    <s v="Kost Apik Sulthan Tipe C Cilandak Jakarta Selatan"/>
    <x v="5"/>
    <s v="Cilandak"/>
    <n v="9"/>
    <s v="3 x 3 meter"/>
    <s v="Termasuk listrik (implied)"/>
    <s v=""/>
    <s v="N/A"/>
    <s v="3 x 3 meter; Termasuk listrik; Kasur; Meja; Lemari Baju; Jendela; Bantal; Guling; K. Mandi Dalam; Kloset Jongkok; Ember mandi; WiFi; R. Cuci; R. Tamu; Penjaga Kos; R. Jemur; Rooftop; Jemuran; Parkir Motor &amp; Sepeda"/>
    <x v="56"/>
    <s v="Rp1.225.000"/>
    <x v="2"/>
    <d v="1899-12-30T04:08:00"/>
    <x v="2"/>
    <m/>
    <m/>
  </r>
  <r>
    <s v="Kost Apik Surya Pagi Tipe A Pondok Aren Tangerang Selatan"/>
    <x v="2"/>
    <s v="Pondok Aren"/>
    <n v="12"/>
    <s v="4 x 3 meter"/>
    <s v="Tidak termasuk listrik"/>
    <n v="1775000"/>
    <s v="Rp1.775.000"/>
    <s v="4 x 3 meter; Tidak termasuk listrik; AC; Kasur; Lemari Baju; Ventilasi; Bantal; Jendela; Cermin; Guling; K. Mandi Dalam; Kloset Jongkok; Ember mandi; WiFi; Penjaga Kos; Parkir Mobil; Parkir Motor &amp; Sepeda"/>
    <x v="152"/>
    <s v="Rp1.635.000"/>
    <x v="2"/>
    <d v="1899-12-30T04:08:00"/>
    <x v="2"/>
    <m/>
    <s v="Diskon 140rb"/>
  </r>
  <r>
    <s v="Kost Apik Syarifa Tipe A Cempaka Putih Jakarta Pusat"/>
    <x v="9"/>
    <s v="Cempaka Putih"/>
    <n v="11.840000000000002"/>
    <s v="3.7 x 3.2 meter"/>
    <s v="Tidak termasuk listrik"/>
    <s v=""/>
    <s v="N/A"/>
    <s v="3.7 x 3.2 meter; Tidak termasuk listrik; AC; Kasur; Meja Rias; Lemari Baju; Ventilasi; Bantal; Cermin; Jendela; K. Mandi Dalam; Kloset Duduk; Wastafel; Shower; WiFi; Penjaga Kos; R. Jemur; Gazebo; Parkir Motor &amp; Sepeda"/>
    <x v="153"/>
    <s v="Rp2.125.000"/>
    <x v="3"/>
    <d v="1899-12-30T05:00:00"/>
    <x v="2"/>
    <m/>
    <s v="Diskon 124rb"/>
  </r>
  <r>
    <s v="Kost Apik Syarifa Tipe B Cempaka Putih Jakarta Pusat"/>
    <x v="9"/>
    <s v="Cempaka Putih"/>
    <n v="9.6000000000000014"/>
    <s v="3.2 x 3 meter"/>
    <s v="Tidak termasuk listrik"/>
    <s v=""/>
    <s v="N/A"/>
    <s v="3.2 x 3 meter; Tidak termasuk listrik; AC; Kasur; Meja Rias; Lemari Baju; Bantal; Cermin; Jendela; K. Mandi Dalam; Kloset Duduk; Wastafel; Shower; WiFi; Penjaga Kos; R. Jemur; Gazebo; Parkir Motor &amp; Sepeda"/>
    <x v="51"/>
    <s v="Rp2.025.000"/>
    <x v="8"/>
    <d v="1899-12-30T04:09:00"/>
    <x v="2"/>
    <m/>
    <s v="Diskon 124rb"/>
  </r>
  <r>
    <s v="Kost Apik Syarifa Tipe C Cempaka Putih Jakarta Pusat"/>
    <x v="9"/>
    <s v="Cempaka Putih"/>
    <n v="10.240000000000002"/>
    <s v="3.2 x 3.2 meter"/>
    <s v="Tidak termasuk listrik"/>
    <n v="1575000"/>
    <s v="Rp1.575.000"/>
    <s v="3.2 x 3.2 meter; Tidak termasuk listrik; AC; Kasur; Lemari Baju; Kloset Jongkok; K. Mandi Luar; WiFi; Penjaga Kos; R. Jemur; Gazebo; Parkir Motor &amp; Sepeda"/>
    <x v="108"/>
    <s v="Rp1.451.000"/>
    <x v="3"/>
    <d v="1899-12-30T05:00:00"/>
    <x v="2"/>
    <m/>
    <s v="Diskon 124rb"/>
  </r>
  <r>
    <s v="Kost Apik Tarigan Tipe A Setu Tangerang Selatan"/>
    <x v="2"/>
    <s v="Setu"/>
    <n v="15"/>
    <s v="5 x 3 meter"/>
    <s v="Tidak termasuk listrik"/>
    <n v="1025000"/>
    <s v="Rp1.025.000"/>
    <s v="5 x 3 meter; Tidak termasuk listrik; Kasur; Lemari Baju; Bantal; Guling; Jendela; K. Mandi Dalam; Kloset Duduk; Shower; WiFi; Penjaga Kos; Parkir Motor &amp; Sepeda"/>
    <x v="42"/>
    <s v="Rp975.000"/>
    <x v="5"/>
    <d v="1899-12-30T04:00:00"/>
    <x v="0"/>
    <m/>
    <s v="Diskon 50rb"/>
  </r>
  <r>
    <s v="Kost Apik Tarigan Tipe B Setu Tangerang Selatan"/>
    <x v="2"/>
    <s v="Setu"/>
    <n v="8.68"/>
    <s v="3.1 x 2.8 meter"/>
    <s v="Tidak termasuk listrik"/>
    <n v="825000"/>
    <s v="Rp825.000"/>
    <s v="3.1 x 2.8 meter; Tidak termasuk listrik; Kasur; Lemari Baju; Bantal; Guling; Jendela; K. Mandi Dalam; Kloset Duduk; Shower; WiFi; Penjaga Kos; Parkir Motor &amp; Sepeda"/>
    <x v="149"/>
    <s v="Rp761.000"/>
    <x v="10"/>
    <d v="1899-12-30T04:05:00"/>
    <x v="0"/>
    <m/>
    <s v="Diskon 64rb"/>
  </r>
  <r>
    <s v="Kost Apik Tarigan Tipe C Setu Tangerang Selatan"/>
    <x v="2"/>
    <s v="Setu"/>
    <n v="6"/>
    <s v="3 x 2 meter"/>
    <s v="Tidak termasuk listrik"/>
    <s v=""/>
    <s v="N/A"/>
    <s v="3 x 2 meter; Tidak termasuk listrik; Kasur; Lemari Baju; Bantal; Guling; Jendela; K. Mandi Dalam; Kloset Duduk; Shower; WiFi; Penjaga Kos; Parkir Motor &amp; Sepeda"/>
    <x v="94"/>
    <s v="Rp725.000"/>
    <x v="6"/>
    <d v="1899-12-30T04:06:00"/>
    <x v="0"/>
    <m/>
    <s v="Diskon 64rb"/>
  </r>
  <r>
    <s v="Kost Apik Thunder 2 Meruya Tipe A Kembangan Jakarta Barat"/>
    <x v="3"/>
    <s v="Kembangan"/>
    <n v="7.13"/>
    <s v="2.3 x 3.1 meter"/>
    <s v="Tidak termasuk listrik"/>
    <s v=""/>
    <s v="N/A"/>
    <s v="2.3 x 3.1 meter; Tidak termasuk listrik; AC; Kasur; Meja; Lemari Baju; Ventilasi; Bantal; Guling; Jendela; Kursi; Kloset Duduk; K. Mandi Luar; Ember mandi; Shower; WiFi; Kulkas; R. Tamu; R. Jemur; Dapur; TV; CCTV; Jemuran; Parkir Motor &amp; Sepeda"/>
    <x v="63"/>
    <s v="Rp1.275.000"/>
    <x v="2"/>
    <d v="1899-12-30T04:08:00"/>
    <x v="2"/>
    <m/>
    <s v="Diskon 38rb"/>
  </r>
  <r>
    <s v="Kost Apik Tiga Nur Tipe B Senen Jakarta Pusat"/>
    <x v="9"/>
    <s v="Senen"/>
    <n v="12"/>
    <s v="3 x 4 meter"/>
    <s v="Termasuk listrik (implied)"/>
    <s v=""/>
    <s v="N/A"/>
    <s v="3 x 4 meter; Termasuk listrik; AC; Kasur; Meja; Lemari Baju; Kursi; Bantal; Jendela; K. Mandi Dalam; Kloset Duduk; Bak mandi; WiFi; R. Tamu; Penjaga Kos; Parkir Motor &amp; Sepeda"/>
    <x v="154"/>
    <s v="Rp1.825.000"/>
    <x v="6"/>
    <d v="1899-12-30T04:06:00"/>
    <x v="0"/>
    <m/>
    <s v="Diskon 112rb"/>
  </r>
  <r>
    <s v="Kost Apik Tiga Nur Tipe C Senen Jakarta Pusat"/>
    <x v="9"/>
    <s v="Senen"/>
    <n v="9"/>
    <s v="3 x 3 meter"/>
    <s v="Termasuk listrik (implied)"/>
    <n v="1525000"/>
    <s v="Rp1.525.000"/>
    <s v="3 x 3 meter; Termasuk listrik; Kasur; Meja; Lemari Baju; Kursi; Bantal; Jendela; K. Mandi Dalam; Kloset Jongkok; WiFi; R. Tamu; Penjaga Kos; Parkir Motor &amp; Sepeda"/>
    <x v="92"/>
    <s v="Rp1.405.000"/>
    <x v="2"/>
    <d v="1899-12-30T04:08:00"/>
    <x v="0"/>
    <m/>
    <s v="Diskon 120rb"/>
  </r>
  <r>
    <s v="Kost Apik Utan Kayu 3 Tipe A Matraman Jakarta Timur"/>
    <x v="8"/>
    <s v="Matraman"/>
    <n v="7.5"/>
    <s v="2.5 x 3 meter"/>
    <s v="Tidak termasuk listrik"/>
    <s v=""/>
    <s v="N/A"/>
    <s v="2.5 x 3 meter; Tidak termasuk listrik; AC; Kasur; Meja; Lemari Baju; Ventilasi; Kursi; Bantal; Jendela; Kloset Duduk; Kloset Jongkok; K. Mandi Luar; Ember mandi; Shower; WiFi; R. Cuci; Penjaga Kos; R. Jemur; Jemuran; Parkir Mobil; Parkir Motor; Parkir Sepeda; Parkir Motor &amp; Sepeda"/>
    <x v="155"/>
    <s v="Rp1.273.000"/>
    <x v="2"/>
    <d v="1899-12-30T04:08:00"/>
    <x v="0"/>
    <m/>
    <s v="Diskon 88rb"/>
  </r>
  <r>
    <s v="Kost Apik Utan Kayu 3 Tipe B Matraman Jakarta Timur"/>
    <x v="8"/>
    <s v="Matraman"/>
    <n v="7.5"/>
    <s v="2.5 x 3 meter"/>
    <s v="Tidak termasuk listrik"/>
    <n v="1173000"/>
    <s v="Rp1.173.000"/>
    <s v="2.5 x 3 meter; Tidak termasuk listrik; AC; Kasur; Meja; Lemari Baju; Ventilasi; Kursi; Kipas Angin; Bantal; Jendela; Kloset Duduk; Kloset Jongkok; K. Mandi Luar; Ember mandi; Shower; WiFi; R. Cuci; Penjaga Kos; R. Jemur; Jemuran; Parkir Mobil; Parkir Motor; Parkir Sepeda; Parkir Motor &amp; Sepeda"/>
    <x v="156"/>
    <s v="Rp1.085.160"/>
    <x v="6"/>
    <d v="1899-12-30T04:06:00"/>
    <x v="0"/>
    <m/>
    <s v="Diskon 88rb"/>
  </r>
  <r>
    <s v="Kost Apik Utan Kayu 3 Tipe C Matraman Jakarta Timur"/>
    <x v="8"/>
    <s v="Matraman"/>
    <n v="6.25"/>
    <s v="2.5 x 2.5 meter"/>
    <s v="Tidak termasuk listrik"/>
    <s v=""/>
    <s v="N/A"/>
    <s v="2.5 x 2.5 meter; Tidak termasuk listrik; Kasur; Lemari Baju; Ventilasi; Kursi; Bantal; Jendela; Kloset Duduk; Kloset Jongkok; K. Mandi Luar; Ember mandi; Shower; WiFi; R. Cuci; Penjaga Kos; R. Jemur; Jemuran; Parkir Mobil; Parkir Motor; Parkir Sepeda; Parkir Motor &amp; Sepeda"/>
    <x v="157"/>
    <s v="Rp974.000"/>
    <x v="12"/>
    <d v="1899-12-30T04:04:00"/>
    <x v="0"/>
    <m/>
    <s v="Diskon 88rb"/>
  </r>
  <r>
    <s v="Kost Apik Utan Kayu 3 Tipe D Matraman Jakarta Timur"/>
    <x v="8"/>
    <s v="Matraman"/>
    <n v="6.25"/>
    <s v="2.5 x 2.5 meter"/>
    <s v="Tidak termasuk listrik"/>
    <s v=""/>
    <s v="N/A"/>
    <s v="2.5 x 2.5 meter; Tidak termasuk listrik; Kasur; Kursi; Kloset Duduk; Shower; WiFi; R. Cuci; Penjaga Kos; R. Jemur; Jemuran; Parkir Mobil; Parkir Sepeda; Parkir Motor &amp; Sepeda"/>
    <x v="158"/>
    <s v="Rp674.000"/>
    <x v="4"/>
    <d v="1899-12-30T04:01:00"/>
    <x v="0"/>
    <m/>
    <s v="Diskon 88rb"/>
  </r>
  <r>
    <s v="Kost Apik Vender Barus Tipe A Kembangan Jakarta Barat"/>
    <x v="3"/>
    <s v="Kembangan"/>
    <n v="10.5"/>
    <s v="3.5 x 3 meter"/>
    <s v="Tidak termasuk listrik"/>
    <s v=""/>
    <s v="N/A"/>
    <s v="3.5 x 3 meter; Tidak termasuk listrik; Kasur; Lemari Baju; Ventilasi; Bantal; Guling; Jendela; K. Mandi Dalam; Kloset Jongkok; WiFi; R. Tamu; Parkir Motor &amp; Sepeda"/>
    <x v="0"/>
    <s v="Rp950.000"/>
    <x v="2"/>
    <d v="1899-12-30T04:08:00"/>
    <x v="0"/>
    <m/>
    <m/>
  </r>
  <r>
    <s v="Kost Apik Wisma Asgard 1 Tipe A Beji Depok"/>
    <x v="1"/>
    <s v="Beji"/>
    <n v="9"/>
    <s v="3 x 3 meter"/>
    <s v="Termasuk listrik (implied)"/>
    <n v="680000"/>
    <s v="Rp680.000"/>
    <s v="3 x 3 meter; Termasuk listrik; Kasur; Meja; Lemari Baju; Kursi; Jendela; Bantal; Guling; Kipas Angin; Kloset Jongkok; K. Mandi Luar; Ember mandi; Shower; WiFi; R. Cuci; Kulkas; Penjaga Kos; R. Jemur; Dapur; Parkir Motor &amp; Sepeda"/>
    <x v="159"/>
    <s v="Rp612.000"/>
    <x v="6"/>
    <d v="1899-12-30T04:06:00"/>
    <x v="1"/>
    <m/>
    <s v="Diskon 68rb"/>
  </r>
  <r>
    <s v="Kost Apik Wisma Lamban Muli Tipe A Dramaga Bogor"/>
    <x v="0"/>
    <s v="Dramaga"/>
    <n v="9"/>
    <s v="3 x 3 meter"/>
    <s v="Termasuk listrik (implied)"/>
    <n v="675000"/>
    <s v="Rp675.000"/>
    <s v="3 x 3 meter; Termasuk listrik; Kasur; Meja; Lemari Baju; Kursi; Bantal; Jendela; Kloset Duduk; Kloset Jongkok; K. Mandi Luar; Ember mandi; WiFi; R. Cuci; Kulkas; Penjaga Kos; R. Jemur; Mushola; Dapur; Rice Cooker; Parkir Motor; Parkir Sepeda"/>
    <x v="160"/>
    <s v="Rp623.000"/>
    <x v="8"/>
    <d v="1899-12-30T04:09:00"/>
    <x v="2"/>
    <m/>
    <s v="Diskon 52rb"/>
  </r>
  <r>
    <s v="Kost Apik Wisnar Delima III Tipe A Duren Sawit Jakarta Timur"/>
    <x v="8"/>
    <s v="Duren Sawit"/>
    <n v="7.5"/>
    <s v="3 x 2.5 meter"/>
    <s v="Termasuk listrik (implied)"/>
    <n v="900000"/>
    <s v="Rp900.000"/>
    <s v="3 x 2.5 meter; Termasuk listrik; Kasur; Meja; Lemari Baju; Ventilasi; Kipas Angin; Bantal; Cermin; Jendela; Kloset Jongkok; K. Mandi Luar; Ember mandi; WiFi; Kulkas; R. Cuci; R. Jemur; Dapur; Jemuran; Parkir Motor &amp; Sepeda"/>
    <x v="35"/>
    <s v="Rp855.000"/>
    <x v="2"/>
    <d v="1899-12-30T04:08:00"/>
    <x v="1"/>
    <m/>
    <s v="Diskon 45rb"/>
  </r>
  <r>
    <s v="Kost Apik Wisnar Delima III Tipe B Duren Sawit Jakarta Timur"/>
    <x v="8"/>
    <s v="Duren Sawit"/>
    <n v="8"/>
    <s v="3.2 x 2.5 meter"/>
    <s v="Tidak termasuk listrik"/>
    <n v="1282000"/>
    <s v="Rp1.282.000"/>
    <s v="3.2 x 2.5 meter; Tidak termasuk listrik; AC; Kasur; Meja; Lemari Baju; Ventilasi; Bantal; Cermin; Jendela; Kloset Duduk; Kloset Jongkok; K. Mandi Luar; Ember mandi; WiFi; Kulkas; R. Cuci; R. Jemur; Dapur; Jemuran; Parkir Motor &amp; Sepeda"/>
    <x v="161"/>
    <s v="Rp1.217.900"/>
    <x v="3"/>
    <d v="1899-12-30T05:00:00"/>
    <x v="1"/>
    <m/>
    <s v="Diskon 64rb"/>
  </r>
  <r>
    <s v="Kost Apik Wisnar Delima III Tipe C Duren Sawit Jakarta Timur"/>
    <x v="8"/>
    <s v="Duren Sawit"/>
    <n v="8"/>
    <s v="3.2 x 2.5 meter"/>
    <s v="Tidak termasuk listrik"/>
    <n v="1327000"/>
    <s v="Rp1.327.000"/>
    <s v="3.2 x 2.5 meter; Tidak termasuk listrik; AC; Kasur; Meja; Lemari Baju; Ventilasi; Bantal; Cermin; Jendela; K. Mandi Dalam; Kloset Jongkok; Ember mandi; WiFi; Kulkas; R. Cuci; R. Jemur; Dapur; Jemuran; Parkir Motor &amp; Sepeda"/>
    <x v="162"/>
    <s v="Rp1.220.840"/>
    <x v="12"/>
    <d v="1899-12-30T04:04:00"/>
    <x v="1"/>
    <m/>
    <s v="Diskon 106rb"/>
  </r>
  <r>
    <s v="Kost Apik Zihan Tipe A Tangerang"/>
    <x v="6"/>
    <s v="Larangan"/>
    <n v="15"/>
    <s v="3 x 5 meter"/>
    <s v="Tidak termasuk listrik"/>
    <n v="1325000"/>
    <s v="Rp1.325.000"/>
    <s v="3 x 5 meter; Tidak termasuk listrik; AC; Kasur; Meja; Lemari Baju; Ventilasi; Kursi; Bantal; Cermin; Guling; Jendela; K. Mandi Dalam; Kloset Jongkok; Ember mandi; WiFi; R. Cuci; Kulkas; Mesin Cuci; Penjaga Kos; R. Jemur; Dapur; Jemuran; Parkir Motor &amp; Sepeda"/>
    <x v="147"/>
    <s v="Rp1.260.000"/>
    <x v="6"/>
    <d v="1899-12-30T04:06:00"/>
    <x v="0"/>
    <m/>
    <s v="Diskon 65rb"/>
  </r>
  <r>
    <s v="Kost Apik Zihan Tipe B Tangerang"/>
    <x v="6"/>
    <s v="Larangan"/>
    <n v="13.72"/>
    <s v="2.8 x 4.9 meter"/>
    <s v="Tidak termasuk listrik"/>
    <n v="1075000"/>
    <s v="Rp1.075.000"/>
    <s v="2.8 x 4.9 meter; Tidak termasuk listrik; Kasur; Meja; Lemari Baju; Ventilasi; Kursi; Bantal; Cermin; Guling; Jendela; K. Mandi Dalam; Kloset Jongkok; Ember mandi; WiFi; R. Cuci; Kulkas; Mesin Cuci; Penjaga Kos; R. Jemur; Dapur; Jemuran; Parkir Motor &amp; Sepeda"/>
    <x v="71"/>
    <s v="Rp991.000"/>
    <x v="10"/>
    <d v="1899-12-30T04:05:00"/>
    <x v="0"/>
    <m/>
    <s v="Diskon 84rb"/>
  </r>
  <r>
    <s v="Kost Apple Tipe A Grogol Petamburan Jakarta Barat"/>
    <x v="3"/>
    <s v="Grogol Petamburan"/>
    <n v="9"/>
    <s v="3 x 3 meter"/>
    <s v="Tidak termasuk listrik"/>
    <s v=""/>
    <s v="N/A"/>
    <s v="3 x 3 meter; Tidak termasuk listrik; AC; Kasur; Meja; Lemari Baju; Ventilasi; Jendela; Kursi; TV Kabel; Wastafel; Kloset Duduk; K. Mandi Luar; Shower; Air panas; WiFi; R. Cuci; Mesin Cuci; Penjaga Kos; R. Tamu; R. Jemur; Dapur; Balcon; CCTV; Gazebo; Parkir Motor"/>
    <x v="18"/>
    <s v="Rp1.300.000"/>
    <x v="3"/>
    <d v="1899-12-30T05:00:00"/>
    <x v="0"/>
    <m/>
    <m/>
  </r>
  <r>
    <s v="Kost April House Tipe A Cikarang Selatan Bekasi"/>
    <x v="7"/>
    <s v="Cikarang Selatan"/>
    <n v="16"/>
    <s v="4 x 4 meter"/>
    <s v="Tidak termasuk listrik"/>
    <s v=""/>
    <s v="N/A"/>
    <s v="4 x 4 meter; Tidak termasuk listrik; AC; Kasur; Meja; Dispenser; Lemari Baju; Bantal; Guling; Jendela; Kloset Duduk; Kloset Jongkok; Ember mandi; Wastafel; Shower; WiFi; R. Cuci; Kulkas; R. Jemur; R. Makan; R. Santai; Dapur; Balcon; Jemuran; TV; Parkir Mobil; Parkir Motor; Parkir Sepeda"/>
    <x v="28"/>
    <s v="Rp1.000.000"/>
    <x v="0"/>
    <m/>
    <x v="1"/>
    <m/>
    <m/>
  </r>
  <r>
    <s v="Kost Aqila Gadog Tipe Deluxe Single Ciawi Bogor"/>
    <x v="0"/>
    <s v="Kecamatan Ciawi"/>
    <n v="24"/>
    <s v="4 x 6 meter"/>
    <s v="Tidak termasuk listrik"/>
    <s v=""/>
    <s v="N/A"/>
    <s v="4 x 6 meter; Tidak termasuk listrik; AC; Kasur; Meja; TV; Lemari Baju; Ventilasi; Bantal; Cermin; Cleaning service; Dapur Pribadi; K. Mandi Dalam; Kloset Duduk; Wastafel; Shower; Air panas; WiFi; Laundry; R. Tamu; Penjaga Kos; R. Makan; R. Santai; CCTV; Jual Makanan; Balcon; K. Mandi Luar; Parkir Mobil; Parkir Motor; Parkir Sepeda; Parkir Motor &amp; Sepeda"/>
    <x v="27"/>
    <s v="Rp2.000.000"/>
    <x v="0"/>
    <m/>
    <x v="0"/>
    <m/>
    <m/>
  </r>
  <r>
    <s v="Kost Aqila Gadog Tipe Standard Single Ciawi Bogor"/>
    <x v="0"/>
    <s v="Ciawi"/>
    <n v="15"/>
    <s v="5 x 3 meter"/>
    <s v="Tidak termasuk listrik"/>
    <s v=""/>
    <s v="N/A"/>
    <s v="5 x 3 meter; Tidak termasuk listrik; AC; Kasur; TV; Lemari Baju; Ventilasi; Bantal; Cermin; Cleaning service; Jendela; Wastafel; K. Mandi Dalam; Kloset Duduk; Shower; Air panas; WiFi; Laundry; Penjaga Kos; R. Makan; R. Santai; CCTV; Balcon; Jual Makanan; Pengurus Kos; Taman; Parkir Mobil; Parkir Motor; Parkir Sepeda; Parkir Motor &amp; Sepeda"/>
    <x v="3"/>
    <s v="Rp1.500.000"/>
    <x v="5"/>
    <d v="1899-12-30T04:00:00"/>
    <x v="0"/>
    <m/>
    <m/>
  </r>
  <r>
    <s v="Kost Aquila AC Pamulang Tangerang Selatan"/>
    <x v="2"/>
    <s v="Kecamatan Pamulang"/>
    <n v="16"/>
    <s v="4 x 4 meter"/>
    <s v="Termasuk listrik (implied)"/>
    <s v=""/>
    <s v="N/A"/>
    <s v="4 x 4 meter; Termasuk listrik; AC; Kasur; Lemari Baju; Ventilasi; Bantal; Kloset Duduk; Kloset Jongkok; Ember mandi; Shower; WiFi; R. Cuci; Penjaga Kos; R. Tamu; R. Jemur; R. Makan; R. Santai; Dapur; Dispenser; CCTV; Parkir Mobil; Parkir Motor; Parkir Sepeda; Parkir Motor &amp; Sepeda"/>
    <x v="20"/>
    <s v="Rp1.250.000"/>
    <x v="0"/>
    <m/>
    <x v="2"/>
    <m/>
    <m/>
  </r>
  <r>
    <s v="Kost Ara Mahasiswa Karyawan Cikarang Utara Bekasi"/>
    <x v="7"/>
    <s v="Cikarang Utara"/>
    <n v="9"/>
    <s v="3 x 3 meter"/>
    <s v="Tidak termasuk listrik"/>
    <s v=""/>
    <s v="N/A"/>
    <s v="3 x 3 meter; Tidak termasuk listrik; AC; Kasur; Meja; Lemari Baju; Jendela; K. Mandi Dalam; Kloset Duduk; Shower; WiFi; Penjaga Kos; Parkir Motor"/>
    <x v="1"/>
    <s v="Rp1.100.000"/>
    <x v="6"/>
    <d v="1899-12-30T04:06:00"/>
    <x v="0"/>
    <m/>
    <m/>
  </r>
  <r>
    <s v="Kost Aras Lodge Standard Kelapa Gading Jakarta Utara"/>
    <x v="4"/>
    <s v="Kecamatan Kelapa Gading"/>
    <n v="9"/>
    <s v="3 x 3 meter"/>
    <s v="Tidak termasuk listrik"/>
    <s v=""/>
    <s v="N/A"/>
    <s v="3 x 3 meter; Tidak termasuk listrik; AC; Kasur; Meja; Lemari Baju; Ventilasi; Bantal; Cermin; Cleaning service; Guling; Jendela; K. Mandi Dalam; Kloset Duduk; Shower; WiFi; Kulkas; R. Cuci; Laundry; Penjaga Kos; R. Tamu; R. Jemur; R. Makan; R. Santai; Dapur; Parkir Mobil; Parkir Motor; Parkir Sepeda"/>
    <x v="25"/>
    <s v="Rp1.850.000"/>
    <x v="10"/>
    <d v="1899-12-30T04:05:00"/>
    <x v="0"/>
    <m/>
    <s v="Diskon 168rb"/>
  </r>
  <r>
    <s v="Kost Arbain Babakan Madang Bogor"/>
    <x v="0"/>
    <s v="Kecamatan Babakan Madang"/>
    <n v="16"/>
    <s v="4 x 4 meter"/>
    <s v="Tidak termasuk listrik"/>
    <s v=""/>
    <s v="N/A"/>
    <s v="4 x 4 meter; Tidak termasuk listrik; Kasur; Meja; Meja Rias; Lemari Baju; Bantal; Cermin; Wastafel; K. Mandi Dalam; Kloset Duduk; Ember mandi; Shower; WiFi; Kulkas; Penjaga Kos; R. Tamu; R. Jemur; R. Santai; Dapur; Dispenser; Jemuran; Jual Makanan; Parkir Mobil; Parkir Motor"/>
    <x v="28"/>
    <s v="Rp1.000.000"/>
    <x v="0"/>
    <m/>
    <x v="2"/>
    <m/>
    <m/>
  </r>
  <r>
    <s v="Kost Arcadia Coliving Executive Periuk Tangerang"/>
    <x v="6"/>
    <s v="Periuk"/>
    <n v="12"/>
    <s v="3 x 4 meter"/>
    <s v="Tidak termasuk listrik"/>
    <s v=""/>
    <s v="N/A"/>
    <s v="3 x 4 meter; Tidak termasuk listrik; AC; Kasur; Meja; TV; Lemari Baju; Bantal; Cermin; Guling; Jendela; TV Kabel; K. Mandi Dalam; Kloset Duduk; Shower; Air panas; WiFi; Kulkas; R. Cuci; Mesin Cuci; Penjaga Kos; R. Jemur; Dapur; Dispenser; CCTV; Jemuran; Parkir Motor"/>
    <x v="27"/>
    <s v="Rp2.000.000"/>
    <x v="6"/>
    <d v="1899-12-30T04:06:00"/>
    <x v="0"/>
    <m/>
    <m/>
  </r>
  <r>
    <s v="Kost Arcahome Tipe A Grogol Petamburan Jakarta Barat"/>
    <x v="3"/>
    <s v="Kecamatan Grogol Petamburan"/>
    <n v="9"/>
    <s v="3 x 3 meter"/>
    <s v="Tidak termasuk listrik"/>
    <s v=""/>
    <s v="N/A"/>
    <s v="3 x 3 meter; Tidak termasuk listrik; AC; Kasur; Meja; Lemari Baju; Ventilasi; Bantal; Cermin; Guling; Jendela; Kursi; K. Mandi Dalam; Kloset Duduk; Shower; Air panas; WiFi; Kulkas; Laundry; Penjaga Kos; R. Makan; Dapur; CCTV; Taman; Parkir Motor"/>
    <x v="27"/>
    <s v="Rp2.000.000"/>
    <x v="8"/>
    <d v="1899-12-30T04:09:00"/>
    <x v="2"/>
    <m/>
    <s v="Diskon 93rb"/>
  </r>
  <r>
    <s v="Kost Arga Wilis Tipe B Pondok Aren Tangerang Selatan"/>
    <x v="2"/>
    <s v="Kecamatan Pondok Aren"/>
    <n v="9"/>
    <s v="3 x 3 meter"/>
    <s v="Termasuk listrik (implied)"/>
    <s v=""/>
    <s v="N/A"/>
    <s v="3 x 3 meter; Termasuk listrik; AC; Kasur; Lemari Baju; Bantal; Jendela; K. Mandi Dalam; Kloset Duduk; Shower; WiFi; Kulkas; R. Cuci; Penjaga Kos; R. Jemur; R. Makan; R. Santai; Dapur; Jemuran; R. Keluarga; Parkir Motor &amp; Sepeda"/>
    <x v="163"/>
    <s v="Rp1.700.000"/>
    <x v="8"/>
    <d v="1899-12-30T04:09:00"/>
    <x v="0"/>
    <m/>
    <m/>
  </r>
  <r>
    <s v="Kost Arga Wilis Tipe VIP 19B Pondok Aren Tangerang Selatan"/>
    <x v="2"/>
    <s v="Kecamatan Pondok Aren"/>
    <n v="9"/>
    <s v="3 x 3 meter"/>
    <s v="Termasuk listrik (implied)"/>
    <s v=""/>
    <s v="N/A"/>
    <s v="3 x 3 meter; Termasuk listrik; AC; Meja; Lemari Baju; Kulkas; Jendela; Bantal; Kursi; K. Mandi Dalam; Kloset Duduk; Shower; WiFi; R. Cuci; R. Tamu; R. Jemur; R. Makan; Dapur; Jemuran; Pengurus Kos; Parkir Mobil; Parkir Motor"/>
    <x v="4"/>
    <s v="Rp2.200.000"/>
    <x v="0"/>
    <m/>
    <x v="0"/>
    <m/>
    <m/>
  </r>
  <r>
    <s v="Kost Ariosjo Jaya Cikarang Selatan Bekasi"/>
    <x v="7"/>
    <s v="Cikarang Selatan"/>
    <n v="9"/>
    <s v="3 x 3 meter"/>
    <s v="Tidak termasuk listrik"/>
    <s v=""/>
    <s v="N/A"/>
    <s v="3 x 3 meter; Tidak termasuk listrik; AC; Kasur; Meja; Lemari Baju; Bantal; Kloset Duduk; Ember mandi; Shower; WiFi; Kulkas; R. Cuci; Mesin Cuci; R. Jemur; Dapur; CCTV; Jemuran; Kartu Akses; Balcon; Parkir Motor; Parkir Motor &amp; Sepeda"/>
    <x v="23"/>
    <s v="Rp1.200.000"/>
    <x v="0"/>
    <m/>
    <x v="2"/>
    <m/>
    <m/>
  </r>
  <r>
    <s v="Kost Arjuna Beji Depok"/>
    <x v="1"/>
    <s v="Beji"/>
    <n v="12"/>
    <s v="3 x 4 meter"/>
    <s v="Termasuk listrik (implied)"/>
    <s v=""/>
    <s v="N/A"/>
    <s v="3 x 4 meter; Termasuk listrik; Kasur; Lemari Baju; Ventilasi; Jendela; K. Mandi Dalam; WiFi; Penjaga Kos"/>
    <x v="14"/>
    <s v="Rp800.000"/>
    <x v="6"/>
    <d v="1899-12-30T04:06:00"/>
    <x v="1"/>
    <m/>
    <s v="Diskon 90rb"/>
  </r>
  <r>
    <s v="Kost Armande Moncokerto 13 Matraman Jakarta Timur"/>
    <x v="8"/>
    <s v="Kecamatan Matraman"/>
    <n v="21"/>
    <s v="6 x 3.5 meter"/>
    <s v="Tidak termasuk listrik"/>
    <s v=""/>
    <s v="N/A"/>
    <s v="6 x 3.5 meter; Tidak termasuk listrik; Ventilasi; Dapur Pribadi; Jendela; Wastafel; K. Mandi Dalam; Kloset Jongkok; Shower; Penjaga Kos; R. Tamu; R. Jemur; Dapur; Jemuran; Pengurus Kos; R. Keluarga; Rooftop; Parkir Motor; Parkir Sepeda"/>
    <x v="26"/>
    <s v="Rp2.100.000"/>
    <x v="6"/>
    <d v="1899-12-30T04:06:00"/>
    <x v="0"/>
    <m/>
    <s v="Diskon 100rb"/>
  </r>
  <r>
    <s v="Kost Armijo Tipe B Plus Pulo Gadung Jakarta Timur"/>
    <x v="8"/>
    <s v="Pulo Gadung"/>
    <n v="12"/>
    <s v="3 x 4 meter"/>
    <s v="Tidak termasuk listrik"/>
    <s v=""/>
    <s v="N/A"/>
    <s v="3 x 4 meter; Tidak termasuk listrik; AC; Kasur; Meja; Lemari Baju; Ventilasi; Bantal; Guling; Jendela; Wastafel; Kursi; K. Mandi Dalam; Kloset Duduk; K. Mandi Luar; Shower; Air panas; WiFi; Kulkas; R. Cuci; Mesin Cuci; Penjaga Kos; R. Tamu; R. Jemur; R. Makan; R. Santai; Dapur; Parkir Motor; Parkir Motor &amp; Sepeda"/>
    <x v="164"/>
    <s v="Rp2.480.000"/>
    <x v="6"/>
    <d v="1899-12-30T04:06:00"/>
    <x v="2"/>
    <m/>
    <s v="Diskon 110rb"/>
  </r>
  <r>
    <s v="Kost Arnanda Beji Depok"/>
    <x v="1"/>
    <s v="Kecamatan Beji"/>
    <n v="20"/>
    <s v="4 x 5 meter"/>
    <s v="Termasuk listrik (implied)"/>
    <s v=""/>
    <s v="N/A"/>
    <s v="4 x 5 meter; Termasuk listrik; Kasur; Lemari Baju; K. Mandi Dalam; Kloset Jongkok; WiFi; Jemuran; Parkir Motor"/>
    <x v="94"/>
    <s v="Rp725.000"/>
    <x v="12"/>
    <d v="1899-12-30T04:04:00"/>
    <x v="1"/>
    <m/>
    <m/>
  </r>
  <r>
    <s v="Kost Arnnika House Sukmajaya Depok"/>
    <x v="1"/>
    <s v="Kecamatan Sukmajaya"/>
    <n v="14"/>
    <s v="3.5 x 4 meter"/>
    <s v="Tidak termasuk listrik"/>
    <s v=""/>
    <s v="N/A"/>
    <s v="3.5 x 4 meter; Tidak termasuk listrik; Kasur; Lemari Baju; Bantal; Guling; Jendela; K. Mandi Dalam; Kloset Duduk; Ember mandi; Bak mandi; WiFi; Penjaga Kos; CCTV; Balcon; Parkir Mobil; Parkir Motor; Parkir Sepeda; Parkir Motor &amp; Sepeda"/>
    <x v="14"/>
    <s v="Rp800.000"/>
    <x v="0"/>
    <m/>
    <x v="0"/>
    <m/>
    <m/>
  </r>
  <r>
    <s v="Kost Arrayyan Living Ciampea Bogor"/>
    <x v="0"/>
    <s v="Kecamatan Ciampea"/>
    <n v="12"/>
    <s v="3 x 4 meter"/>
    <s v="Tidak termasuk listrik"/>
    <s v=""/>
    <s v="N/A"/>
    <s v="3 x 4 meter; Tidak termasuk listrik; AC; Kasur; Meja; Lemari Baju; Kursi; Bantal; Guling; Jendela; K. Mandi Dalam; Kloset Duduk; Shower; Air panas; WiFi; Kulkas; Penjaga Kos; R. Jemur; R. Santai; Dapur; TV; Taman; CCTV; Pengurus Kos; Parkir Mobil; Parkir Motor; Parkir Sepeda"/>
    <x v="165"/>
    <s v="Rp2.150.000"/>
    <x v="3"/>
    <d v="1899-12-30T05:00:00"/>
    <x v="2"/>
    <m/>
    <m/>
  </r>
  <r>
    <s v="Kost Ashera Citraland Tipe B Grogol Petamburan Jakarta Barat"/>
    <x v="3"/>
    <s v="Kecamatan Grogol petamburan"/>
    <n v="7.5"/>
    <s v="2.5 x 3 meter"/>
    <s v="Tidak termasuk listrik"/>
    <s v=""/>
    <s v="N/A"/>
    <s v="2.5 x 3 meter; Tidak termasuk listrik; AC; Kasur; Meja; Lemari Baju; Bantal; Guling; Wastafel; Cleaning service; Kursi; Kloset Duduk; Kloset Jongkok; K. Mandi Luar; Shower; WiFi; Kulkas; Penjaga Kos; Laundry; R. Tamu; R. Makan; R. Jemur; Dapur; Dispenser; CCTV; Parkir Mobil; Parkir Motor; Parkir Sepeda"/>
    <x v="166"/>
    <s v="Rp1.750.000"/>
    <x v="6"/>
    <d v="1899-12-30T04:06:00"/>
    <x v="0"/>
    <m/>
    <s v="Diskon 83rb"/>
  </r>
  <r>
    <s v="Kost Ashri By Hutama IPB Tipe A Dramaga Bogor"/>
    <x v="0"/>
    <s v="Dramaga"/>
    <n v="9"/>
    <s v="3 x 3 meter"/>
    <s v="Tidak termasuk listrik"/>
    <s v=""/>
    <s v="N/A"/>
    <s v="3 x 3 meter; Tidak termasuk listrik; AC; Kasur; Meja; Lemari Baju; Ventilasi; Bantal; Guling; Jendela; Kursi; Kloset Duduk; K. Mandi Luar; Shower; WiFi; Kulkas; R. Cuci; Penjaga Kos; R. Jemur; Jemuran; Jual Makanan; Pengurus Kos; Parkir Motor; Parkir Sepeda; Parkir Motor &amp; Sepeda"/>
    <x v="23"/>
    <s v="Rp1.200.000"/>
    <x v="0"/>
    <m/>
    <x v="2"/>
    <m/>
    <m/>
  </r>
  <r>
    <s v="Kost Ashri By Hutama IPB Tipe B Dramaga Bogor"/>
    <x v="0"/>
    <s v="Kecamatan Dramaga"/>
    <n v="12"/>
    <s v="3 x 4 meter"/>
    <s v="Tidak termasuk listrik"/>
    <s v=""/>
    <s v="N/A"/>
    <s v="3 x 4 meter; Tidak termasuk listrik; AC; Kasur; Meja; Kulkas; Lemari Baju; Ventilasi; Bantal; Cleaning service; Guling; Jendela; K. Mandi Dalam; Kloset Duduk; Shower; WiFi; R. Cuci; Penjaga Kos; R. Jemur; Jemuran; Jual Makanan; K. Mandi Luar; Pengurus Kos; Parkir Motor; Parkir Sepeda; Parkir Motor &amp; Sepeda"/>
    <x v="18"/>
    <s v="Rp1.300.000"/>
    <x v="0"/>
    <m/>
    <x v="2"/>
    <m/>
    <m/>
  </r>
  <r>
    <s v="Kost Asrama Brigif Harja Mekar Cikarang Utara Bekasi"/>
    <x v="7"/>
    <s v="Kecamatan Cikarang Utara"/>
    <n v="9"/>
    <s v="3 x 3 meter"/>
    <s v="Tidak termasuk listrik"/>
    <s v=""/>
    <s v="N/A"/>
    <s v="3 x 3 meter; Tidak termasuk listrik; Kasur; Lemari Baju; K. Mandi Dalam; Kloset Jongkok; Ember mandi; Parkir Motor"/>
    <x v="29"/>
    <s v="Rp500.000"/>
    <x v="4"/>
    <d v="1899-12-30T04:01:00"/>
    <x v="0"/>
    <m/>
    <m/>
  </r>
  <r>
    <s v="Kost Asri Depan RSUD Tipe A Cibinong Bogor"/>
    <x v="0"/>
    <s v="Cibinong"/>
    <n v="9"/>
    <s v="3 x 3 meter"/>
    <s v="Tidak termasuk listrik"/>
    <s v=""/>
    <s v="N/A"/>
    <s v="3 x 3 meter; Tidak termasuk listrik; Kasur; Meja; Lemari Baju; Wastafel; Kipas Angin; K. Mandi Dalam; Kloset Jongkok; Bak mandi; R. Jemur; Dapur; Parkir Motor; Parkir Sepeda"/>
    <x v="11"/>
    <s v="Rp1.400.000"/>
    <x v="3"/>
    <d v="1899-12-30T05:00:00"/>
    <x v="0"/>
    <m/>
    <m/>
  </r>
  <r>
    <s v="Kost Asri Depan RSUD Tipe B Cibinong Bogor"/>
    <x v="0"/>
    <s v="Cibinong"/>
    <n v="12"/>
    <s v="3 x 4 meter"/>
    <s v="Tidak termasuk listrik"/>
    <s v=""/>
    <s v="N/A"/>
    <s v="3 x 4 meter; Tidak termasuk listrik; AC; Kasur; Meja; Lemari Baju; Wastafel; K. Mandi Dalam; Kloset Jongkok; Bak mandi; R. Jemur; Dapur; Parkir Motor; Parkir Sepeda"/>
    <x v="19"/>
    <s v="Rp1.800.000"/>
    <x v="0"/>
    <m/>
    <x v="0"/>
    <m/>
    <m/>
  </r>
  <r>
    <s v="Kost Aster Cikarang Barat"/>
    <x v="7"/>
    <s v="Cikarang Barat"/>
    <n v="9"/>
    <s v="3 x 3 meter"/>
    <s v="Termasuk listrik (implied)"/>
    <s v=""/>
    <s v="N/A"/>
    <s v="3 x 3 meter; Termasuk listrik; AC; Kasur; Kloset Duduk; K. Mandi Luar; Wastafel; Shower; Air panas; WiFi; R. Cuci; R. Tamu; R. Makan; R. Jemur; R. Santai; Dapur; Dispenser; TV; Taman; Parkir Mobil; Parkir Motor"/>
    <x v="1"/>
    <s v="Rp1.100.000"/>
    <x v="3"/>
    <d v="1899-12-30T05:00:00"/>
    <x v="1"/>
    <m/>
    <m/>
  </r>
  <r>
    <s v="Kost Asya Cikarang Utara Bekasi"/>
    <x v="7"/>
    <s v="Cikarang Utara"/>
    <n v="12"/>
    <s v="3 x 4 meter"/>
    <s v="Tidak termasuk listrik"/>
    <s v=""/>
    <s v="N/A"/>
    <s v="3 x 4 meter; Tidak termasuk listrik; AC; Kasur; Meja; Meja Rias; TV; Lemari Baju; Jendela; Kursi; K. Mandi Dalam; Kloset Duduk; Ember mandi; WiFi; Laundry; Mesin Cuci; R. Jemur; Dapur; CCTV; Jemuran; Jual Makanan; Parkir Motor &amp; Sepeda"/>
    <x v="11"/>
    <s v="Rp1.400.000"/>
    <x v="0"/>
    <m/>
    <x v="0"/>
    <m/>
    <m/>
  </r>
  <r>
    <s v="Kost Asya Tipe A Kelapa Gading Jakarta Utara"/>
    <x v="4"/>
    <s v="Kecamatan Kelapa Gading"/>
    <n v="6"/>
    <s v="2 x 3 meter"/>
    <s v="Tidak termasuk listrik"/>
    <s v=""/>
    <s v="N/A"/>
    <s v="2 x 3 meter; Tidak termasuk listrik; AC; Kasur; Meja; Lemari Baju; Bantal; Cermin; Kursi; K. Mandi Luar; Shower; Air panas; Kulkas; R. Cuci; R. Jemur; R. Makan; Dapur; Dispenser; Balcon; CCTV; Jemuran; Pengurus Kos; Parkir Motor"/>
    <x v="167"/>
    <s v="Rp1.550.000"/>
    <x v="3"/>
    <d v="1899-12-30T05:00:00"/>
    <x v="0"/>
    <m/>
    <m/>
  </r>
  <r>
    <s v="Kost Asya Tipe B Kelapa Gading Jakarta Utara"/>
    <x v="4"/>
    <s v="Kecamatan Kelapa Gading"/>
    <n v="9"/>
    <s v="3 x 3 meter"/>
    <s v="Tidak termasuk listrik"/>
    <s v=""/>
    <s v="N/A"/>
    <s v="3 x 3 meter; Tidak termasuk listrik; AC; Kasur; Meja; Lemari Baju; Bantal; Cermin; Kursi; K. Mandi Luar; Shower; Air panas; WiFi; Kulkas; R. Cuci; R. Jemur; R. Makan; Dapur; Dispenser; Balcon; CCTV; Jemuran; Parkir Motor"/>
    <x v="90"/>
    <s v="Rp1.650.000"/>
    <x v="2"/>
    <d v="1899-12-30T04:08:00"/>
    <x v="0"/>
    <m/>
    <s v="Diskon 140rb"/>
  </r>
  <r>
    <s v="Kost Asyaatun Tipe A Cibinong Bogor"/>
    <x v="0"/>
    <s v="Cibinong"/>
    <n v="20"/>
    <s v="4 x 5 meter"/>
    <s v="Tidak termasuk listrik"/>
    <s v=""/>
    <s v="N/A"/>
    <s v="4 x 5 meter; Tidak termasuk listrik; AC; Kasur; Meja; Meja Rias; Lemari Baju; Kursi; K. Mandi Dalam; Ember mandi; Shower; R. Cuci; Kulkas; R. Tamu; Penjaga Kos; Laundry; R. Makan; R. Jemur; Mushola; R. Santai; Dapur; Parkir Mobil; Parkir Motor; Parkir Sepeda"/>
    <x v="23"/>
    <s v="Rp1.200.000"/>
    <x v="3"/>
    <d v="1899-12-30T05:00:00"/>
    <x v="0"/>
    <m/>
    <m/>
  </r>
  <r>
    <s v="Kost Asyaatun Tipe C Cibinong Bogor"/>
    <x v="0"/>
    <s v="Cibinong"/>
    <n v="20"/>
    <s v="4 x 5 meter"/>
    <s v="Tidak termasuk listrik"/>
    <s v=""/>
    <s v="N/A"/>
    <s v="4 x 5 meter; Tidak termasuk listrik; Kasur; Bantal; Kloset Duduk; Ember mandi; Shower; WiFi; R. Cuci; R. Tamu; Laundry; R. Makan; R. Jemur; R. Santai; R. Keluarga; Balcon; CCTV; Parkir Mobil; Parkir Motor; Parkir Sepeda"/>
    <x v="2"/>
    <s v="Rp700.000"/>
    <x v="0"/>
    <m/>
    <x v="0"/>
    <m/>
    <m/>
  </r>
  <r>
    <s v="Kost At Taqwa 90 Jatisampurna Bekasi"/>
    <x v="0"/>
    <s v="Jatisampurna"/>
    <n v="12"/>
    <s v="3 x 4 meter"/>
    <s v="Tidak termasuk listrik"/>
    <s v=""/>
    <s v="N/A"/>
    <s v="3 x 4 meter; Tidak termasuk listrik; Kasur; Meja; Lemari Baju; Ventilasi; Dapur Pribadi; Jendela; Kursi; K. Mandi Dalam; Kloset Jongkok; Ember mandi; R. Tamu; R. Jemur; Jemuran; Pengurus Kos; Parkir Motor; Parkir Sepeda"/>
    <x v="10"/>
    <s v="Rp750.000"/>
    <x v="0"/>
    <m/>
    <x v="0"/>
    <m/>
    <m/>
  </r>
  <r>
    <s v="Kost At Thohiroh Tipe B Dramaga Bogor"/>
    <x v="0"/>
    <s v="Dramaga"/>
    <n v="20"/>
    <s v="4 x 5 meter"/>
    <s v="Tidak termasuk listrik"/>
    <s v=""/>
    <s v="N/A"/>
    <s v="4 x 5 meter; Tidak termasuk listrik; AC; Kasur; Meja; Lemari Baju; Bantal; Kursi; K. Mandi Dalam; Kloset Duduk; Shower; WiFi; Kulkas; R. Tamu; R. Jemur; Dapur; Dispenser; CCTV; Jemuran; Locker; Parkir Motor"/>
    <x v="3"/>
    <s v="Rp1.500.000"/>
    <x v="3"/>
    <d v="1899-12-30T05:00:00"/>
    <x v="2"/>
    <m/>
    <m/>
  </r>
  <r>
    <s v="Kost Athar 07 Larangan Tangerang"/>
    <x v="6"/>
    <s v="Kecamatan Larangan"/>
    <n v="12"/>
    <s v="3 x 4 meter"/>
    <s v="Tidak termasuk listrik"/>
    <s v=""/>
    <s v="N/A"/>
    <s v="3 x 4 meter; Tidak termasuk listrik; AC; Kasur; Lemari Baju; Ventilasi; Bantal; Cermin; Guling; Jendela; K. Mandi Dalam; Kloset Duduk; Shower; WiFi; Kulkas; R. Jemur; R. Makan; Dapur; Jemuran; K. Mandi Luar; Pengurus Kos; TV; Taman; Parkir Motor"/>
    <x v="11"/>
    <s v="Rp1.400.000"/>
    <x v="10"/>
    <d v="1899-12-30T04:05:00"/>
    <x v="0"/>
    <m/>
    <m/>
  </r>
  <r>
    <s v="Kost Atika Syuaib Dramaga Bogor"/>
    <x v="0"/>
    <s v="Dramaga"/>
    <n v="12"/>
    <s v="3 x 4 meter"/>
    <s v="Tidak termasuk listrik"/>
    <s v=""/>
    <s v="N/A"/>
    <s v="3 x 4 meter; Tidak termasuk listrik; Kasur; Meja; Lemari Baju; Bantal; Cermin; Guling; Jendela; Kloset Duduk; Kloset Jongkok; K. Mandi Luar; Ember mandi; Shower; WiFi; Kulkas; R. Tamu; R. Makan; R. Jemur; R. Santai; Dapur; Jemuran; Parkir Motor"/>
    <x v="17"/>
    <s v="Rp650.000"/>
    <x v="10"/>
    <d v="1899-12-30T04:05:00"/>
    <x v="2"/>
    <m/>
    <m/>
  </r>
  <r>
    <s v="Kost Aurelia 3 Tipe A Cikarang Selatan Bekasi"/>
    <x v="7"/>
    <s v="Cikarang Selatan"/>
    <n v="9"/>
    <s v="3 x 3 meter"/>
    <s v="Termasuk listrik (implied)"/>
    <s v=""/>
    <s v="N/A"/>
    <s v="3 x 3 meter; Termasuk listrik; AC; Kasur; Meja; Lemari Baju; Bantal; Jendela; Kursi; Kloset Duduk; Shower; WiFi; Kulkas; Laundry; R. Jemur; Dapur; K. Mandi Luar"/>
    <x v="166"/>
    <s v="Rp1.750.000"/>
    <x v="0"/>
    <m/>
    <x v="1"/>
    <m/>
    <m/>
  </r>
  <r>
    <s v="Kost Aurelia 5 Tipe A Cikarang Selatan Bekasi"/>
    <x v="7"/>
    <s v="Cikarang Selatan"/>
    <n v="9"/>
    <s v="3 x 3 meter"/>
    <s v="Tidak termasuk listrik"/>
    <s v=""/>
    <s v="N/A"/>
    <s v="3 x 3 meter; Tidak termasuk listrik; AC; Kasur; Meja; Lemari Baju; Ventilasi; Bantal; Jendela; Kursi; K. Mandi Dalam; Kloset Duduk; Wastafel; Shower; WiFi; Kulkas; Penjaga Kos; R. Jemur; Dapur; Parkir Mobil; Parkir Motor"/>
    <x v="13"/>
    <s v="Rp1.600.000"/>
    <x v="2"/>
    <d v="1899-12-30T04:08:00"/>
    <x v="0"/>
    <m/>
    <m/>
  </r>
  <r>
    <s v="Kost Aurelia Tipe B Cikarang Selatan Bekasi"/>
    <x v="7"/>
    <s v="Cikarang Selatan"/>
    <n v="9"/>
    <s v="3 x 3 meter"/>
    <s v="Termasuk listrik (implied)"/>
    <s v=""/>
    <s v="N/A"/>
    <s v="3 x 3 meter; Termasuk listrik; AC; Kasur; Meja; Lemari Baju; Ventilasi; Bantal; Kursi; K. Mandi Dalam; Kloset Duduk; Shower; WiFi; Kulkas; Dapur; Parkir Mobil; Parkir Motor"/>
    <x v="11"/>
    <s v="Rp1.400.000"/>
    <x v="0"/>
    <m/>
    <x v="0"/>
    <m/>
    <m/>
  </r>
  <r>
    <s v="Kost Ava Guest Ancol Pademangan Jakarta Utara"/>
    <x v="4"/>
    <s v="Pademangan"/>
    <n v="9"/>
    <s v="3 x 3 meter"/>
    <s v="Tidak termasuk listrik"/>
    <s v=""/>
    <s v="N/A"/>
    <s v="3 x 3 meter; Tidak termasuk listrik; AC; Kasur; TV; Ventilasi; Bantal; Cermin; Cleaning service; Jendela; Wastafel; K. Mandi Dalam; Kloset Duduk; Shower; Air panas; WiFi; Penjaga Kos; Dispenser; CCTV; Pengurus Kos; Kartu Akses; Parkir Mobil; Parkir Motor"/>
    <x v="18"/>
    <s v="Rp1.300.000"/>
    <x v="0"/>
    <m/>
    <x v="0"/>
    <m/>
    <m/>
  </r>
  <r>
    <s v="Kost Azalia Tipe B Gunung Putri Bogor"/>
    <x v="0"/>
    <s v="Kecamatan Gunung Putri"/>
    <n v="12"/>
    <s v="3 x 4 meter"/>
    <s v="Tidak termasuk listrik"/>
    <s v=""/>
    <s v="N/A"/>
    <s v="3 x 4 meter; Tidak termasuk listrik; AC; Kasur; Meja; Lemari Baju; Ventilasi; Bantal; Jendela; Kursi; TV Kabel; K. Mandi Dalam; Kloset Duduk; Shower; Air panas; WiFi; Kulkas; Mesin Cuci; Penjaga Kos; R. Tamu; Dapur; Dispenser; Balcon; Jemuran; K. Mandi Luar; Parkir Mobil; Parkir Motor &amp; Sepeda"/>
    <x v="3"/>
    <s v="Rp1.500.000"/>
    <x v="0"/>
    <m/>
    <x v="0"/>
    <m/>
    <m/>
  </r>
  <r>
    <s v="Kost Azzahra 1 Tipe A Dramaga Bogor"/>
    <x v="0"/>
    <s v="Kecamatan Dramaga"/>
    <n v="9"/>
    <s v="3 x 3 meter"/>
    <s v="Tidak termasuk listrik"/>
    <s v=""/>
    <s v="N/A"/>
    <s v="3 x 3 meter; Tidak termasuk listrik; AC; Kasur; Meja; Lemari Baju; Bantal; Jendela; Guling; Kipas Angin; Kursi; K. Mandi Dalam; Kloset Duduk; Kloset Jongkok; Shower; WiFi; Kulkas; Penjaga Kos; R. Tamu; R. Santai; Dapur; CCTV; Jemuran; Rice Cooker; TV; Parkir Mobil; Parkir Motor"/>
    <x v="23"/>
    <s v="Rp1.200.000"/>
    <x v="0"/>
    <m/>
    <x v="2"/>
    <m/>
    <m/>
  </r>
  <r>
    <s v="Kost Azzahra 1 Tipe Berdua Dramaga Bogor"/>
    <x v="0"/>
    <s v="Dramaga"/>
    <n v="13.5"/>
    <s v="3 x 4.5 meter"/>
    <s v="Tidak termasuk listrik"/>
    <s v=""/>
    <s v="N/A"/>
    <s v="3 x 4.5 meter; Tidak termasuk listrik; Kasur; Meja; Lemari Baju; Guling; Bantal; Kipas Angin; Kursi; K. Mandi Dalam; Kloset Duduk; Kloset Jongkok; Shower; Kulkas; Penjaga Kos; R. Tamu; R. Santai; Dapur; CCTV; Jemuran; Rice Cooker; TV; Parkir Mobil; Parkir Motor"/>
    <x v="23"/>
    <s v="Rp1.200.000"/>
    <x v="0"/>
    <m/>
    <x v="2"/>
    <m/>
    <m/>
  </r>
  <r>
    <s v="Kost B Tipe A Kebon Jeruk Jakarta Barat"/>
    <x v="3"/>
    <s v="Kecamatan Kebon Jeruk"/>
    <n v="12"/>
    <s v="3 x 4 meter"/>
    <s v="Tidak termasuk listrik"/>
    <s v=""/>
    <s v="N/A"/>
    <s v="3 x 4 meter; Tidak termasuk listrik; AC; Kasur; Meja; Lemari Baju; Kursi; Kloset Duduk; K. Mandi Luar; Wastafel; Shower; WiFi; Kulkas; R. Tamu; Penjaga Kos; Laundry; R. Santai; Dapur; Dispenser; TV; R. Keluarga; Parkir Mobil; Parkir Motor"/>
    <x v="3"/>
    <s v="Rp1.500.000"/>
    <x v="4"/>
    <d v="1899-12-30T04:01:00"/>
    <x v="0"/>
    <m/>
    <m/>
  </r>
  <r>
    <s v="Kost Bagja Cibinong Bogor"/>
    <x v="0"/>
    <s v="Cibinong"/>
    <n v="6"/>
    <s v="2 x 3 meter"/>
    <s v="Termasuk listrik (implied)"/>
    <s v=""/>
    <s v="N/A"/>
    <s v="2 x 3 meter; Termasuk listrik; AC; Kasur; Ventilasi; Jendela; Kloset Jongkok; K. Mandi Luar; Ember mandi; Bak mandi; R. Jemur; Dapur; Taman; Balcon; Parkir Mobil; Parkir Motor"/>
    <x v="99"/>
    <s v="Rp900.000"/>
    <x v="0"/>
    <m/>
    <x v="0"/>
    <m/>
    <m/>
  </r>
  <r>
    <s v="Kost Bagus 2 Bsd Tipe Executive Serpong Tangerang Selatan"/>
    <x v="2"/>
    <s v="Serpong"/>
    <n v="9"/>
    <s v="3 x 3 meter"/>
    <s v="Tidak termasuk listrik"/>
    <s v=""/>
    <s v="N/A"/>
    <s v="3 x 3 meter; Tidak termasuk listrik; AC; Kasur; Meja; Kulkas; Lemari Baju; Ventilasi; Bantal; Cermin; Guling; Jendela; K. Mandi Dalam; Kloset Duduk; Ember mandi; Shower; WiFi; R. Cuci; R. Jemur; R. Makan; R. Santai; Dapur; Jemuran; Pengurus Kos; Rooftop; Parkir Motor; Parkir Sepeda; Parkir Motor &amp; Sepeda"/>
    <x v="168"/>
    <s v="Rp1.150.001"/>
    <x v="3"/>
    <d v="1899-12-30T05:00:00"/>
    <x v="1"/>
    <m/>
    <m/>
  </r>
  <r>
    <s v="Kost Bambon Tipe 1 Beji Depok"/>
    <x v="1"/>
    <s v="Beji"/>
    <n v="16"/>
    <s v="4 x 4 meter"/>
    <s v="Tidak termasuk listrik"/>
    <s v=""/>
    <s v="N/A"/>
    <s v="4 x 4 meter; Tidak termasuk listrik; AC; Kasur; Meja; Lemari Baju; Kursi; Bantal; Guling; Jendela; K. Mandi Dalam; Kloset Duduk; Shower; WiFi; Kulkas; R. Jemur; R. Santai; Gazebo; Balcon; CCTV; Pengurus Kos; Parkir Motor; Parkir Motor &amp; Sepeda"/>
    <x v="5"/>
    <s v="Rp1.350.000"/>
    <x v="6"/>
    <d v="1899-12-30T04:06:00"/>
    <x v="2"/>
    <m/>
    <s v="Diskon 120rb"/>
  </r>
  <r>
    <s v="Kost Bandengan Tipe A Penjaringan Jakarta Utara"/>
    <x v="4"/>
    <s v="Penjaringan"/>
    <n v="6"/>
    <s v="2 x 3 meter"/>
    <s v="Tidak termasuk listrik"/>
    <s v=""/>
    <s v="N/A"/>
    <s v="2 x 3 meter; Tidak termasuk listrik; Kasur; Bantal; Kloset Jongkok; K. Mandi Luar; Ember mandi; WiFi; R. Cuci; R. Jemur; Jemuran; Parkir Motor"/>
    <x v="10"/>
    <s v="Rp750.000"/>
    <x v="9"/>
    <d v="1899-12-30T03:04:00"/>
    <x v="0"/>
    <m/>
    <m/>
  </r>
  <r>
    <s v="Kost Banding 2 Tipe A Tangerang"/>
    <x v="6"/>
    <s v="Kecamatan Tangerang"/>
    <n v="12"/>
    <s v="3 x 4 meter"/>
    <s v="Termasuk listrik (implied)"/>
    <s v=""/>
    <s v="N/A"/>
    <s v="3 x 4 meter; Termasuk listrik; AC; Kasur; Dispenser; Meja; TV; Lemari Baju; Bantal; Cermin; Guling; Jendela; K. Mandi Dalam; Kloset Duduk; Ember mandi; Shower; WiFi; Penjaga Kos; R. Tamu; R. Jemur; Balcon; Jemuran; Jual Makanan; Parkir Motor"/>
    <x v="3"/>
    <s v="Rp1.500.000"/>
    <x v="8"/>
    <d v="1899-12-30T04:09:00"/>
    <x v="2"/>
    <m/>
    <m/>
  </r>
  <r>
    <s v="Kost Bapak Maman Cikarang Timur Bekasi"/>
    <x v="7"/>
    <s v="Cikarang Timur"/>
    <n v="21"/>
    <s v="3 x 7 meter"/>
    <s v="Tidak termasuk listrik"/>
    <s v=""/>
    <s v="N/A"/>
    <s v="3 x 7 meter; Tidak termasuk listrik; Kasur; Dapur Pribadi; K. Mandi Dalam; Kloset Jongkok; Ember mandi; R. Jemur; Gazebo; Parkir Mobil; Parkir Motor; Parkir Sepeda; Parkir Motor &amp; Sepeda"/>
    <x v="31"/>
    <s v="Rp600.000"/>
    <x v="0"/>
    <m/>
    <x v="0"/>
    <m/>
    <m/>
  </r>
  <r>
    <s v="Kost Bapak Nana Juhana Cibodas Tangerang"/>
    <x v="6"/>
    <s v="Cibodas"/>
    <n v="6.25"/>
    <s v="2.5 x 2.5 meter"/>
    <s v="Tidak termasuk listrik"/>
    <s v=""/>
    <s v="N/A"/>
    <s v="2.5 x 2.5 meter; Tidak termasuk listrik; K. Mandi Dalam; Kloset Jongkok; Jual Makanan; Jemuran; Pengurus Kos; Parkir Motor"/>
    <x v="17"/>
    <s v="Rp650.000"/>
    <x v="0"/>
    <m/>
    <x v="0"/>
    <m/>
    <m/>
  </r>
  <r>
    <s v="Kost Barata AC Syariah Koja Jakarta Utara"/>
    <x v="4"/>
    <s v="Kecamatan Koja"/>
    <n v="12"/>
    <s v="3 x 4 meter"/>
    <s v="Tidak termasuk listrik"/>
    <s v=""/>
    <s v="N/A"/>
    <s v="3 x 4 meter; Tidak termasuk listrik; AC; Kasur; Meja; Lemari Baju; Bantal; Cermin; Guling; Jendela; Kursi; Kloset Duduk; K. Mandi Luar; Ember mandi; Shower; WiFi; Kulkas; R. Tamu; R. Jemur; R. Makan; R. Santai; Dapur; Balcon; CCTV; Jemuran; Parkir Mobil; Parkir Motor; Parkir Sepeda; Parkir Motor &amp; Sepeda"/>
    <x v="18"/>
    <s v="Rp1.300.000"/>
    <x v="0"/>
    <m/>
    <x v="1"/>
    <m/>
    <m/>
  </r>
  <r>
    <s v="Kost Barata Kipas Syariah Koja Jakarta Utara"/>
    <x v="4"/>
    <s v="Koja"/>
    <n v="12"/>
    <s v="3 x 4 meter"/>
    <s v="Tidak termasuk listrik"/>
    <s v=""/>
    <s v="N/A"/>
    <s v="3 x 4 meter; Tidak termasuk listrik; Kasur; Meja; Lemari Baju; Bantal; Cermin; Guling; Jendela; Kipas Angin; Kloset Duduk; K. Mandi Luar; Ember mandi; Shower; WiFi; Kulkas; R. Tamu; R. Jemur; R. Makan; R. Santai; Dapur; Balcon; CCTV; Jemuran; Parkir Mobil; Parkir Motor; Parkir Sepeda; Parkir Motor &amp; Sepeda"/>
    <x v="99"/>
    <s v="Rp900.000"/>
    <x v="0"/>
    <m/>
    <x v="1"/>
    <m/>
    <m/>
  </r>
  <r>
    <s v="Kost Barito Babakan Madang Bogor"/>
    <x v="0"/>
    <s v="Kecamatan Babakan Madang"/>
    <n v="12"/>
    <s v="3 x 4 meter"/>
    <s v="Termasuk listrik (implied)"/>
    <s v=""/>
    <s v="N/A"/>
    <s v="3 x 4 meter; Termasuk listrik; AC; Kasur; Meja; TV; Lemari Baju; Ventilasi; Bantal; Cermin; Guling; Jendela; Kloset Duduk; Ember mandi; Shower; Air panas; WiFi; Kulkas; R. Cuci; Mesin Cuci; R. Tamu; R. Jemur; R. Makan; R. Santai; Dapur; Dispenser; Parkir Mobil; Parkir Motor"/>
    <x v="5"/>
    <s v="Rp1.350.000"/>
    <x v="0"/>
    <m/>
    <x v="0"/>
    <m/>
    <m/>
  </r>
  <r>
    <s v="Kost Baru Homi Residence Benda Tangerang"/>
    <x v="6"/>
    <s v="Benda"/>
    <n v="12"/>
    <s v="3 x 4 meter"/>
    <s v="Tidak termasuk listrik"/>
    <s v=""/>
    <s v="N/A"/>
    <s v="3 x 4 meter; Tidak termasuk listrik; AC; K. Mandi Dalam; Kloset Duduk; Shower; Air panas; WiFi; Kulkas; Laundry; Dapur; Dispenser; TV; CCTV; Parkir Mobil"/>
    <x v="11"/>
    <s v="Rp1.400.000"/>
    <x v="8"/>
    <d v="1899-12-30T04:09:00"/>
    <x v="0"/>
    <m/>
    <m/>
  </r>
  <r>
    <s v="Kost Baru Tangcity Kayana Residence Tipe C Tangerang Tangerang"/>
    <x v="6"/>
    <s v="Kecamatan Tangerang"/>
    <n v="11.100000000000001"/>
    <s v="3 x 3.7 meter"/>
    <s v="Tidak termasuk listrik"/>
    <s v=""/>
    <s v="N/A"/>
    <s v="3 x 3.7 meter; Tidak termasuk listrik; AC; Kasur; Meja; TV; Lemari Baju; Ventilasi; Bantal; Cermin; Cleaning service; Guling; K. Mandi Dalam; Kloset Duduk; Shower; Air panas; WiFi; Kulkas; R. Cuci; Laundry; Mesin Cuci; Penjaga Kos; R. Tamu; R. Jemur; R. Makan; R. Santai; Parkir Motor"/>
    <x v="169"/>
    <s v="Rp2.550.000"/>
    <x v="0"/>
    <m/>
    <x v="0"/>
    <m/>
    <m/>
  </r>
  <r>
    <s v="Kost Baru Tipe A Tanjung Priok Jakarta Utara"/>
    <x v="4"/>
    <s v="Kecamatan Tanjung Priok"/>
    <n v="7"/>
    <s v="2 x 3.5 meter"/>
    <s v="Tidak termasuk listrik"/>
    <s v=""/>
    <s v="N/A"/>
    <s v="2 x 3.5 meter; Tidak termasuk listrik; AC; Kasur; Meja; Lemari Baju; Cermin; Kursi; Wastafel; K. Mandi Dalam; Kloset Duduk; Shower; WiFi; R. Santai; CCTV; Pengurus Kos; Parkir Mobil; Parkir Motor"/>
    <x v="90"/>
    <s v="Rp1.650.000"/>
    <x v="2"/>
    <d v="1899-12-30T04:08:00"/>
    <x v="0"/>
    <m/>
    <s v="Diskon 83rb"/>
  </r>
  <r>
    <s v="Kost Bawal Asri Tipe B Pulo Gadung Jakarta Timur"/>
    <x v="8"/>
    <s v="Kecamatan Pulo Gadung"/>
    <n v="3"/>
    <s v="2 x 1.5 meter"/>
    <s v="Termasuk listrik (implied)"/>
    <s v=""/>
    <s v="N/A"/>
    <s v="2 x 1.5 meter; Termasuk listrik; AC; Kasur; Meja Rias; Lemari Baju; Bantal; Cermin; Guling; Kursi; Kloset Duduk; K. Mandi Luar; Ember mandi; Wastafel; Shower; Air panas; WiFi; Kulkas; R. Cuci; Laundry; Penjaga Kos; R. Tamu; R. Jemur; R. Makan; R. Santai; Dapur; Parkir Motor; Parkir Motor &amp; Sepeda"/>
    <x v="3"/>
    <s v="Rp1.500.000"/>
    <x v="3"/>
    <d v="1899-12-30T05:00:00"/>
    <x v="2"/>
    <m/>
    <m/>
  </r>
  <r>
    <s v="Kost Bayem I Gunung Putri Bogor"/>
    <x v="0"/>
    <s v="Gunung Putri"/>
    <n v="21"/>
    <s v="3 x 7 meter"/>
    <s v="Tidak termasuk listrik"/>
    <s v=""/>
    <s v="N/A"/>
    <s v="3 x 7 meter; Tidak termasuk listrik; AC; Kasur; Meja; Lemari Baju; Ventilasi; Bantal; Cermin; Jendela; Kursi; K. Mandi Dalam; Kloset Jongkok; Ember mandi; Shower; WiFi; Laundry; R. Jemur; R. Santai; Jemuran; Joglo; Pengurus Kos; Parkir Mobil; Parkir Motor"/>
    <x v="3"/>
    <s v="Rp1.500.000"/>
    <x v="8"/>
    <d v="1899-12-30T04:09:00"/>
    <x v="0"/>
    <m/>
    <m/>
  </r>
  <r>
    <s v="Kost Behomy Suite Cibinong Bogor"/>
    <x v="0"/>
    <s v="Kecamatan Cibinong"/>
    <n v="12"/>
    <s v="3 x 4 meter"/>
    <s v="Tidak termasuk listrik"/>
    <s v=""/>
    <s v="N/A"/>
    <s v="3 x 4 meter; Tidak termasuk listrik; AC; Kasur; Meja; TV; Lemari Baju; Bantal; Cermin; Guling; Kursi; K. Mandi Dalam; Kloset Duduk; Shower; Air panas; WiFi; Kulkas; R. Cuci; Laundry; Mesin Cuci; Penjaga Kos; R. Jemur; Dapur; Dispenser; CCTV; Parkir Mobil; Parkir Motor; Parkir Sepeda"/>
    <x v="170"/>
    <s v="Rp2.250.000"/>
    <x v="0"/>
    <m/>
    <x v="0"/>
    <m/>
    <m/>
  </r>
  <r>
    <s v="Kost Belawan Tipe Standard Babakan Madang Bogor"/>
    <x v="0"/>
    <s v="Kecamatan Babakan Madang"/>
    <n v="6"/>
    <s v="2 x 3 meter"/>
    <s v="Termasuk listrik (implied)"/>
    <s v=""/>
    <s v="N/A"/>
    <s v="2 x 3 meter; Termasuk listrik; AC; Kasur; Meja; Lemari Baju; Bantal; Kursi; Kloset Duduk; K. Mandi Luar; Wastafel; Shower; WiFi; R. Makan; Dapur; Dispenser; Balcon; Taman; Parkir Motor &amp; Sepeda"/>
    <x v="3"/>
    <s v="Rp1.500.000"/>
    <x v="0"/>
    <m/>
    <x v="0"/>
    <m/>
    <m/>
  </r>
  <r>
    <s v="Kost Belimbing Beji Depok"/>
    <x v="1"/>
    <s v="Kecamatan Beji"/>
    <n v="9"/>
    <s v="3 x 3 meter"/>
    <s v="Tidak termasuk listrik"/>
    <s v=""/>
    <s v="N/A"/>
    <s v="3 x 3 meter; Tidak termasuk listrik; AC; Kasur; Meja; Lemari Baju; Ventilasi; Bantal; Guling; Jendela; K. Mandi Dalam; Kloset Duduk; K. Mandi Luar; Shower; WiFi; Kulkas; R. Cuci; Mesin Cuci; R. Jemur; R. Santai; Dapur; CCTV; Jemuran; Parkir Motor; Parkir Sepeda; Parkir Motor &amp; Sepeda"/>
    <x v="23"/>
    <s v="Rp1.200.000"/>
    <x v="0"/>
    <m/>
    <x v="2"/>
    <m/>
    <m/>
  </r>
  <r>
    <s v="Kost Bening At Cempaka Cipondoh Tangerang"/>
    <x v="6"/>
    <s v="Cipondoh"/>
    <n v="12"/>
    <s v="3 x 4 meter"/>
    <s v="Tidak termasuk listrik"/>
    <s v=""/>
    <s v="N/A"/>
    <s v="3 x 4 meter; Tidak termasuk listrik; AC; Kasur; Meja; Lemari Baju; Cermin; Jendela; K. Mandi Dalam; Kloset Duduk; K. Mandi Luar; Shower; WiFi; Kulkas; R. Makan; R. Santai; Dapur; CCTV; Parkir Motor &amp; Sepeda"/>
    <x v="90"/>
    <s v="Rp1.650.000"/>
    <x v="2"/>
    <d v="1899-12-30T04:08:00"/>
    <x v="0"/>
    <m/>
    <s v="Diskon 90rb"/>
  </r>
  <r>
    <s v="Kost Bening Executive Cipondoh Tangerang"/>
    <x v="6"/>
    <s v="Kecamatan Cipondoh"/>
    <n v="12"/>
    <s v="3 x 4 meter"/>
    <s v="Tidak termasuk listrik"/>
    <s v=""/>
    <s v="N/A"/>
    <s v="3 x 4 meter; Tidak termasuk listrik; AC; Kasur; Lemari Baju; Cermin; Jendela; Kursi; Kloset Duduk; Shower; Kulkas; R. Santai; Dapur; CCTV; Parkir Motor &amp; Sepeda"/>
    <x v="90"/>
    <s v="Rp1.650.000"/>
    <x v="2"/>
    <d v="1899-12-30T04:08:00"/>
    <x v="0"/>
    <m/>
    <s v="Diskon 90rb"/>
  </r>
  <r>
    <s v="Kost Benosa Deluxe Serpong Tangerang Selatan"/>
    <x v="2"/>
    <s v="Serpong"/>
    <n v="9"/>
    <s v="3 x 3 meter"/>
    <s v="Tidak termasuk listrik"/>
    <s v=""/>
    <s v="N/A"/>
    <s v="3 x 3 meter; Tidak termasuk listrik; AC; Kasur; Meja; Lemari Baju; Bantal; Cermin; Jendela; Kipas Angin; Kursi; Kloset Duduk; K. Mandi Luar; Wastafel; Shower; WiFi; Penjaga Kos; R. Jemur; Jemuran; R. Keluarga; Taman; Parkir Mobil; Parkir Motor; Parkir Sepeda"/>
    <x v="18"/>
    <s v="Rp1.300.000"/>
    <x v="0"/>
    <m/>
    <x v="1"/>
    <m/>
    <m/>
  </r>
  <r>
    <s v="Kost Benteng Gading Tipe B Beji Depok"/>
    <x v="1"/>
    <s v="Beji"/>
    <n v="12.5"/>
    <s v="2.5 x 5 meter"/>
    <s v="Termasuk listrik (implied)"/>
    <s v=""/>
    <s v="N/A"/>
    <s v="2.5 x 5 meter; Termasuk listrik; Kasur; Meja; Lemari Baju; K. Mandi Dalam; Kloset Duduk; Kloset Jongkok; WiFi; Kulkas; R. Cuci; Penjaga Kos; R. Tamu; R. Jemur; R. Makan; R. Santai; Dapur; Jemuran; Parkir Motor"/>
    <x v="99"/>
    <s v="Rp900.000"/>
    <x v="2"/>
    <d v="1899-12-30T04:08:00"/>
    <x v="1"/>
    <m/>
    <s v="Diskon 100rb"/>
  </r>
  <r>
    <s v="Kost Bersih Ibu Ning Standard Tapos Depok"/>
    <x v="1"/>
    <s v="Kecamatan Tapos"/>
    <n v="12"/>
    <s v="3 x 4 meter"/>
    <s v="Tidak termasuk listrik"/>
    <s v=""/>
    <s v="N/A"/>
    <s v="3 x 4 meter; Tidak termasuk listrik; AC; Kasur; Meja; Meja Rias; Lemari Baju; Bantal; Cermin; Guling; Jendela; Dapur Pribadi; K. Mandi Dalam; Kloset Duduk; Shower; Air panas; WiFi; Kulkas; Laundry; Penjaga Kos; R. Santai; Dapur; Dispenser; Balcon; CCTV; Taman; Parkir Mobil; Parkir Motor"/>
    <x v="171"/>
    <s v="Rp1.430.000"/>
    <x v="0"/>
    <m/>
    <x v="2"/>
    <m/>
    <m/>
  </r>
  <r>
    <s v="Kost Bersih Ibu Sri Tipe Standard Tapos Depok"/>
    <x v="1"/>
    <s v="Kecamatan Tapos"/>
    <n v="9"/>
    <s v="3 x 3 meter"/>
    <s v="Tidak termasuk listrik"/>
    <s v=""/>
    <s v="N/A"/>
    <s v="3 x 3 meter; Tidak termasuk listrik; Kasur; Dispenser; Meja Rias; Lemari Baju; Ventilasi; Cermin; Bantal; Guling; Jendela; Kipas Angin; Kloset Jongkok; K. Mandi Luar; Shower; R. Cuci; R. Jemur; Dapur; Balcon; Gazebo; Jemuran; Joglo; Parkir Motor; Parkir Sepeda"/>
    <x v="10"/>
    <s v="Rp750.000"/>
    <x v="0"/>
    <m/>
    <x v="0"/>
    <m/>
    <m/>
  </r>
  <r>
    <s v="Kost Bersih Nyaman Tipe A Cikarang Pusat Bekasi"/>
    <x v="7"/>
    <s v="Kecamatan Cikarang Pusat"/>
    <n v="9"/>
    <s v="3 x 3 meter"/>
    <s v="Tidak termasuk listrik"/>
    <s v=""/>
    <s v="N/A"/>
    <s v="3 x 3 meter; Tidak termasuk listrik; AC; Kasur; Meja; Kulkas; Lemari Baju; Ventilasi; Bantal; Cermin; Jendela; Kursi; K. Mandi Dalam; Kloset Duduk; Ember mandi; Wastafel; Shower; WiFi; R. Cuci; Penjaga Kos; R. Jemur; Dapur; Dispenser; Jemuran; Pengurus Kos; Parkir Mobil; Parkir Motor"/>
    <x v="28"/>
    <s v="Rp1.000.000"/>
    <x v="3"/>
    <d v="1899-12-30T05:00:00"/>
    <x v="1"/>
    <m/>
    <m/>
  </r>
  <r>
    <s v="Kost Bertus 39 Tipe AC Pulo Gadung Jakarta Timur"/>
    <x v="8"/>
    <s v="Pulo Gadung"/>
    <n v="16"/>
    <s v="4 x 4 meter"/>
    <s v="Tidak termasuk listrik"/>
    <s v=""/>
    <s v="N/A"/>
    <s v="4 x 4 meter; Tidak termasuk listrik; Kasur; Meja; Lemari Baju; Ventilasi; Kursi; Kipas Angin; Bantal; Jendela; Guling; Cleaning service; K. Mandi Dalam; Kloset Jongkok; Ember mandi; Wastafel; WiFi; R. Tamu; R. Jemur; R. Santai; Dispenser; Jemuran; Balcon; Pengurus Kos; Locker; Parkir Motor; Parkir Sepeda"/>
    <x v="5"/>
    <s v="Rp1.350.000"/>
    <x v="8"/>
    <d v="1899-12-30T04:09:00"/>
    <x v="0"/>
    <m/>
    <m/>
  </r>
  <r>
    <s v="Kost Bidan Enung Nurjanah Tipe A Tambun Selatan Bekasi"/>
    <x v="7"/>
    <s v="Kecamatan Tambun Selatan"/>
    <n v="14"/>
    <s v="3.5 x 4 meter"/>
    <s v="Termasuk listrik (implied)"/>
    <s v=""/>
    <s v="N/A"/>
    <s v="3.5 x 4 meter; Termasuk listrik; Kasur; Meja; Lemari Baju; Ventilasi; Bantal; Cermin; Guling; Jendela; Kipas Angin; Kursi; K. Mandi Dalam; Kloset Jongkok; Ember mandi; WiFi; Penjaga Kos; R. Jemur; Balcon; CCTV; Jemuran; Jual Makanan; Parkir Motor"/>
    <x v="10"/>
    <s v="Rp750.000"/>
    <x v="0"/>
    <m/>
    <x v="1"/>
    <m/>
    <m/>
  </r>
  <r>
    <s v="Kost Billabong Tipe A Bojong Gede Bogor"/>
    <x v="0"/>
    <s v="Bojong Gede"/>
    <n v="21"/>
    <s v="3 x 7 meter"/>
    <s v="Tidak termasuk listrik"/>
    <s v=""/>
    <s v="N/A"/>
    <s v="3 x 7 meter; Tidak termasuk listrik; Kasur; Meja; Dispenser; TV; Lemari Baju; Kulkas; Ventilasi; Kursi; Bantal; Cermin; K. Mandi Dalam; Kloset Jongkok; Ember mandi; WiFi; R. Cuci; Laundry; Mesin Cuci; Penjaga Kos; R. Jemur; Mushola; Dapur; Taman; Parkir Motor; Parkir Sepeda"/>
    <x v="18"/>
    <s v="Rp1.300.000"/>
    <x v="0"/>
    <m/>
    <x v="2"/>
    <m/>
    <m/>
  </r>
  <r>
    <s v="Kost Billabong Tipe Standart Bojong Gede Bogor"/>
    <x v="0"/>
    <s v="Bojong Gede"/>
    <n v="21"/>
    <s v="3 x 7 meter"/>
    <s v="Tidak termasuk listrik"/>
    <s v=""/>
    <s v="N/A"/>
    <s v="3 x 7 meter; Tidak termasuk listrik; Kasur; Meja; Dispenser; TV; Lemari Baju; Kulkas; Ventilasi; Kursi; Bantal; Cermin; K. Mandi Dalam; Kloset Jongkok; Ember mandi; WiFi; R. Cuci; Laundry; Mesin Cuci; Penjaga Kos; R. Jemur; Mushola; Dapur; Taman; Parkir Motor; Parkir Sepeda"/>
    <x v="23"/>
    <s v="Rp1.200.000"/>
    <x v="0"/>
    <m/>
    <x v="0"/>
    <m/>
    <m/>
  </r>
  <r>
    <s v="Kost Bina Berkat 1 Tipe A Tanjung Priok Jakarta Utara"/>
    <x v="4"/>
    <s v="Tanjung Priok"/>
    <n v="12"/>
    <s v="3 x 4 meter"/>
    <s v="Tidak termasuk listrik"/>
    <s v=""/>
    <s v="N/A"/>
    <s v="3 x 4 meter; Tidak termasuk listrik; AC; Kasur; Meja; Lemari Baju; Bantal; Guling; Jendela; Kursi; K. Mandi Dalam; Kloset Duduk; Ember mandi; Shower; Air panas; WiFi; Kulkas; R. Cuci; Mesin Cuci; Penjaga Kos; R. Jemur; R. Makan; Dapur; Balcon; CCTV; Parkir Motor; Parkir Sepeda"/>
    <x v="27"/>
    <s v="Rp2.000.000"/>
    <x v="12"/>
    <d v="1899-12-30T04:04:00"/>
    <x v="0"/>
    <m/>
    <m/>
  </r>
  <r>
    <s v="Kost Bintang Dramaga Bogor"/>
    <x v="0"/>
    <s v="Kecamatan Dramaga"/>
    <n v="9"/>
    <s v="3 x 3 meter"/>
    <s v="Tidak termasuk listrik"/>
    <s v=""/>
    <s v="N/A"/>
    <s v="3 x 3 meter; Tidak termasuk listrik; Kasur; Meja; Lemari Baju; Ventilasi; Bantal; Guling; Jendela; Kipas Angin; Kursi; K. Mandi Dalam; Kloset Duduk; Shower; WiFi; R. Cuci; Laundry; Penjaga Kos; R. Jemur; Dapur; Balcon; CCTV; Gazebo; Jemuran; Parkir Motor; Parkir Sepeda; Parkir Motor &amp; Sepeda"/>
    <x v="12"/>
    <s v="Rp850.000"/>
    <x v="0"/>
    <m/>
    <x v="2"/>
    <m/>
    <m/>
  </r>
  <r>
    <s v="Kost Bintang Residence Beji Depok"/>
    <x v="1"/>
    <s v="Beji"/>
    <n v="21"/>
    <s v="3 x 7 meter"/>
    <s v="Termasuk listrik (implied)"/>
    <s v=""/>
    <s v="N/A"/>
    <s v="3 x 7 meter; Termasuk listrik; AC; Kasur; Meja; TV; Lemari Baju; Kursi; Cleaning service; Bantal; Dapur Pribadi; Guling; K. Mandi Dalam; Kloset Duduk; Wastafel; Shower; WiFi; Kulkas; R. Tamu; Penjaga Kos; R. Makan; R. Jemur; R. Santai; Dapur; Taman; Gazebo; Parkir Motor; Parkir Sepeda"/>
    <x v="3"/>
    <s v="Rp1.500.000"/>
    <x v="3"/>
    <d v="1899-12-30T05:00:00"/>
    <x v="0"/>
    <m/>
    <m/>
  </r>
  <r>
    <s v="Kost Bintang Tipe A Cikarang Selatan Bekasi"/>
    <x v="7"/>
    <s v="Cikarang Selatan"/>
    <n v="12"/>
    <s v="3 x 4 meter"/>
    <s v="Termasuk listrik (implied)"/>
    <s v=""/>
    <s v="N/A"/>
    <s v="3 x 4 meter; Termasuk listrik; Kasur; Kulkas; Bantal; Kipas Angin; K. Mandi Dalam; Kloset Jongkok; Ember mandi; WiFi; R. Jemur; R. Santai; Dapur; Jemuran; Jual Makanan; Pengurus Kos; Parkir Mobil; Parkir Motor"/>
    <x v="2"/>
    <s v="Rp700.000"/>
    <x v="0"/>
    <m/>
    <x v="2"/>
    <m/>
    <m/>
  </r>
  <r>
    <s v="Kost Bintang Tipe A Sukmajaya Depok"/>
    <x v="1"/>
    <s v="Kecamatan Sukmajaya"/>
    <n v="9"/>
    <s v="3 x 3 meter"/>
    <s v="Tidak termasuk listrik"/>
    <s v=""/>
    <s v="N/A"/>
    <s v="3 x 3 meter; Tidak termasuk listrik; Kasur; Meja; Lemari Baju; Bantal; Guling; Kipas Angin; Jendela; Kloset Duduk; K. Mandi Luar; Shower; WiFi; R. Jemur; R. Santai; Balcon; Parkir Mobil; Parkir Motor"/>
    <x v="28"/>
    <s v="Rp1.000.000"/>
    <x v="0"/>
    <m/>
    <x v="2"/>
    <m/>
    <m/>
  </r>
  <r>
    <s v="Kost Bintangg Cileungsi Bogor"/>
    <x v="0"/>
    <s v="Cileungsi"/>
    <n v="12"/>
    <s v="3 x 4 meter"/>
    <s v="Tidak termasuk listrik"/>
    <s v=""/>
    <s v="N/A"/>
    <s v="3 x 4 meter; Tidak termasuk listrik; Ventilasi; Jendela; K. Mandi Dalam; Kloset Jongkok; Shower; Parkir Motor"/>
    <x v="10"/>
    <s v="Rp750.000"/>
    <x v="6"/>
    <d v="1899-12-30T04:06:00"/>
    <x v="0"/>
    <m/>
    <m/>
  </r>
  <r>
    <s v="Kost Bintaro Sektor 9 Tangerang Selatan"/>
    <x v="2"/>
    <s v="Kecamatan Ciputat"/>
    <n v="12"/>
    <s v="3 x 4 meter"/>
    <s v="Tidak termasuk listrik"/>
    <s v=""/>
    <s v="N/A"/>
    <s v="3 x 4 meter; Tidak termasuk listrik; AC; Kasur; Meja; TV; Ventilasi; Jendela; K. Mandi Dalam; Shower; Air panas; WiFi; Penjaga Kos; Dapur; CCTV; Pengurus Kos; Parkir Mobil; Parkir Motor"/>
    <x v="19"/>
    <s v="Rp1.800.000"/>
    <x v="0"/>
    <m/>
    <x v="0"/>
    <m/>
    <m/>
  </r>
  <r>
    <s v="Kost Binus Abdi Syahdan Residence Tipe C Palmerah Jakarta Barat"/>
    <x v="3"/>
    <s v="Kecamatan Palmerah"/>
    <n v="6"/>
    <s v="3 x 2 meter"/>
    <s v="Tidak termasuk listrik"/>
    <s v=""/>
    <s v="N/A"/>
    <s v="3 x 2 meter; Tidak termasuk listrik; AC; Kasur; Meja; Lemari Baju; Bantal; Cermin; Guling; Kursi; Cleaning service; K. Mandi Dalam; Kloset Duduk; Wastafel; Shower; Air panas; WiFi; Kulkas; R. Cuci; Penjaga Kos; R. Tamu; Dapur; Dispenser; CCTV; Jemuran; Locker; Parkir Motor"/>
    <x v="172"/>
    <s v="Rp1.980.000"/>
    <x v="3"/>
    <d v="1899-12-30T05:00:00"/>
    <x v="0"/>
    <m/>
    <s v="Diskon 98rb"/>
  </r>
  <r>
    <s v="Kost Binus Alam Sutera Tipe Deluxe Pinang Tangerang"/>
    <x v="6"/>
    <s v="Pinang"/>
    <n v="14"/>
    <s v="3.5 x 4 meter"/>
    <s v="Tidak termasuk listrik"/>
    <s v=""/>
    <s v="N/A"/>
    <s v="3.5 x 4 meter; Tidak termasuk listrik; AC; Kasur; Meja; Lemari Baju; Kursi; Wastafel; Cleaning service; K. Mandi Dalam; Kloset Duduk; Shower; Air panas; WiFi; R. Cuci; Kulkas; R. Tamu; Mesin Cuci; Penjaga Kos; Laundry; R. Makan; R. Jemur; R. Santai; Parkir Mobil; Parkir Motor; Parkir Sepeda"/>
    <x v="173"/>
    <s v="Rp3.400.000"/>
    <x v="4"/>
    <d v="1899-12-30T04:01:00"/>
    <x v="0"/>
    <m/>
    <s v="Diskon 170rb"/>
  </r>
  <r>
    <s v="Kost Binus Kebon Jeruk Jakarta Barat"/>
    <x v="3"/>
    <s v="Kebon Jeruk"/>
    <n v="12"/>
    <s v="3 x 4 meter"/>
    <s v="Tidak termasuk listrik"/>
    <s v=""/>
    <s v="N/A"/>
    <s v="3 x 4 meter; Tidak termasuk listrik; AC; Kasur; Meja; Dispenser; TV; Meja Rias; Kulkas; Lemari Baju; Ventilasi; Bantal; K. Mandi Dalam; Kloset Duduk; Shower; Air panas; WiFi; R. Cuci; Penjaga Kos; Laundry; Mesin Cuci; R. Jemur; Mushola; Dapur; Parkir Mobil; Parkir Sepeda; Parkir Motor; Parkir Motor &amp; Sepeda"/>
    <x v="174"/>
    <s v="Rp2.499.000"/>
    <x v="0"/>
    <m/>
    <x v="0"/>
    <m/>
    <m/>
  </r>
  <r>
    <s v="Kost Bisma Duren Sawit Jakarta Timur"/>
    <x v="8"/>
    <s v="Duren Sawit"/>
    <n v="9"/>
    <s v="3 x 3 meter"/>
    <s v="Tidak termasuk listrik"/>
    <s v=""/>
    <s v="N/A"/>
    <s v="3 x 3 meter; Tidak termasuk listrik; AC; Kasur; Meja Rias; Lemari Baju; Bantal; Cermin; Guling; K. Mandi Dalam; Kloset Duduk; Ember mandi; Shower; WiFi; Kulkas; R. Santai; Dapur; Jemuran"/>
    <x v="3"/>
    <s v="Rp1.500.000"/>
    <x v="3"/>
    <d v="1899-12-30T05:00:00"/>
    <x v="2"/>
    <m/>
    <m/>
  </r>
  <r>
    <s v="Kost Bismillah Serpong Tangerang Selatan"/>
    <x v="2"/>
    <s v="Kecamatan Serpong"/>
    <n v="12"/>
    <s v="3 x 4 meter"/>
    <s v="Tidak termasuk listrik"/>
    <s v=""/>
    <s v="N/A"/>
    <s v="3 x 4 meter; Tidak termasuk listrik; Jendela; Dapur Pribadi; K. Mandi Dalam; Kloset Jongkok; Ember mandi; Bak mandi; Mushola; Dapur; Balcon; CCTV; Parkir Motor &amp; Sepeda"/>
    <x v="28"/>
    <s v="Rp1.000.000"/>
    <x v="0"/>
    <m/>
    <x v="0"/>
    <m/>
    <m/>
  </r>
  <r>
    <s v="Kost Bless House Tipe Executive Duren Sawit Jakarta Timur"/>
    <x v="8"/>
    <s v="Duren Sawit"/>
    <n v="8.75"/>
    <s v="2.5 x 3.5 meter"/>
    <s v="Tidak termasuk listrik"/>
    <s v=""/>
    <s v="N/A"/>
    <s v="2.5 x 3.5 meter; Tidak termasuk listrik; AC; Kasur; Meja; Lemari Baju; Kulkas; Ventilasi; Bantal; Jendela; Kursi; Wastafel; Kloset Duduk; K. Mandi Luar; Shower; WiFi; R. Tamu; R. Jemur; Dapur; Balcon; Rice Cooker; Jemuran; CCTV; Parkir Mobil; Parkir Motor"/>
    <x v="19"/>
    <s v="Rp1.800.000"/>
    <x v="0"/>
    <m/>
    <x v="2"/>
    <m/>
    <m/>
  </r>
  <r>
    <s v="Kost BLI Jelita Babakan Madang Bogor"/>
    <x v="0"/>
    <s v="Babakan Madang"/>
    <n v="6.3000000000000007"/>
    <s v="3 x 2.1 meter"/>
    <s v="Termasuk listrik (implied)"/>
    <s v=""/>
    <s v="N/A"/>
    <s v="3 x 2.1 meter; Termasuk listrik; AC; Kasur; Meja; Lemari Baju; Ventilasi; Bantal; Cermin; Guling; Kloset Duduk; K. Mandi Luar; Ember mandi; Wastafel; Shower; Air panas; WiFi; Kulkas; R. Cuci; Laundry; Mesin Cuci; Penjaga Kos; R. Tamu; R. Jemur; R. Makan; R. Santai; Parkir Mobil; Parkir Motor"/>
    <x v="166"/>
    <s v="Rp1.750.000"/>
    <x v="0"/>
    <m/>
    <x v="0"/>
    <m/>
    <m/>
  </r>
  <r>
    <s v="Kost BMR Tipe C Setia Budi Cikokol Tangerang"/>
    <x v="6"/>
    <s v="Tangerang"/>
    <n v="9"/>
    <s v="3 x 3 meter"/>
    <s v="Tidak termasuk listrik"/>
    <s v=""/>
    <s v="N/A"/>
    <s v="3 x 3 meter; Tidak termasuk listrik; AC; Kasur; Meja; Lemari Baju; Kursi; Wastafel; Bantal; Guling; Jendela; K. Mandi Dalam; Kloset Duduk; Ember mandi; Shower; WiFi; R. Cuci; R. Jemur; Balcon; K. Mandi Luar; Parkir Motor"/>
    <x v="18"/>
    <s v="Rp1.300.000"/>
    <x v="3"/>
    <d v="1899-12-30T05:00:00"/>
    <x v="0"/>
    <m/>
    <m/>
  </r>
  <r>
    <s v="Kost Bojong Gede Tipe Supreme Sukaraja Bogor"/>
    <x v="0"/>
    <s v="Sukaraja"/>
    <n v="1600"/>
    <s v="40 x 40 meter"/>
    <s v="Tidak termasuk listrik"/>
    <s v=""/>
    <s v="N/A"/>
    <s v="40 x 40 meter; Tidak termasuk listrik; Jendela; K. Mandi Dalam; Bak mandi; R. Cuci; R. Tamu; R. Jemur; R. Makan; R. Santai; R. Keluarga; Taman; Parkir Mobil; Parkir Motor; Parkir Sepeda; Parkir Motor &amp; Sepeda"/>
    <x v="99"/>
    <s v="Rp900.000"/>
    <x v="0"/>
    <m/>
    <x v="0"/>
    <m/>
    <m/>
  </r>
  <r>
    <s v="Kost Bpk Boin Tipe A Cikarang Barat Bekasi"/>
    <x v="7"/>
    <s v="Cikarang Barat"/>
    <n v="18"/>
    <s v="3 x 6 meter"/>
    <s v="Tidak termasuk listrik"/>
    <s v=""/>
    <s v="N/A"/>
    <s v="3 x 6 meter; Tidak termasuk listrik; Jendela; K. Mandi Dalam; Kloset Jongkok; Ember mandi; Bak mandi; Penjaga Kos; R. Jemur; CCTV; Parkir Mobil; Parkir Motor; Parkir Sepeda"/>
    <x v="2"/>
    <s v="Rp700.000"/>
    <x v="3"/>
    <d v="1899-12-30T05:00:00"/>
    <x v="0"/>
    <m/>
    <m/>
  </r>
  <r>
    <s v="Kost Bpk Entong Tambun Selatan Bekasi"/>
    <x v="7"/>
    <s v="Kecamatan Tambun Selatan"/>
    <n v="9"/>
    <s v="3 x 3 meter"/>
    <s v="Tidak termasuk listrik"/>
    <s v=""/>
    <s v="N/A"/>
    <s v="3 x 3 meter; Tidak termasuk listrik; Dapur Pribadi; K. Mandi Dalam; Kloset Jongkok; Bak mandi; R. Tamu; R. Keluarga; Parkir Motor"/>
    <x v="175"/>
    <s v="Rp610.000"/>
    <x v="3"/>
    <d v="1899-12-30T05:00:00"/>
    <x v="0"/>
    <m/>
    <m/>
  </r>
  <r>
    <s v="Kost Braun Haus Premium Benda Tangerang"/>
    <x v="6"/>
    <s v="Benda"/>
    <n v="9"/>
    <s v="3 x 3 meter"/>
    <s v="Tidak termasuk listrik"/>
    <s v=""/>
    <s v="N/A"/>
    <s v="3 x 3 meter; Tidak termasuk listrik; AC; Kasur; Meja; Lemari Baju; Bantal; Cermin; Guling; Jendela; K. Mandi Dalam; Kloset Duduk; Shower; Air panas; WiFi; Kulkas; R. Cuci; Laundry; Penjaga Kos; Mesin Cuci; R. Tamu; R. Jemur; R. Santai; Dapur; Parkir Motor; Parkir Sepeda"/>
    <x v="13"/>
    <s v="Rp1.600.000"/>
    <x v="6"/>
    <d v="1899-12-30T04:06:00"/>
    <x v="0"/>
    <m/>
    <s v="Diskon 136rb"/>
  </r>
  <r>
    <s v="Kost Braun Haus Royal Plus Benda Tangerang"/>
    <x v="6"/>
    <s v="Benda"/>
    <n v="9"/>
    <s v="3 x 3 meter"/>
    <s v="Tidak termasuk listrik"/>
    <s v=""/>
    <s v="N/A"/>
    <s v="3 x 3 meter; Tidak termasuk listrik; AC; Kasur; Meja; TV; Lemari Baju; Bantal; Cermin; Guling; Jendela; K. Mandi Dalam; Kloset Duduk; Shower; Air panas; WiFi; Kulkas; R. Cuci; Laundry; Penjaga Kos; Mesin Cuci; R. Tamu; R. Jemur; R. Santai; Dapur; Parkir Motor; Parkir Sepeda"/>
    <x v="167"/>
    <s v="Rp1.550.000"/>
    <x v="6"/>
    <d v="1899-12-30T04:06:00"/>
    <x v="0"/>
    <m/>
    <m/>
  </r>
  <r>
    <s v="Kost Brother Tipe A Cikarang Barat Bekasi"/>
    <x v="7"/>
    <s v="Kecamatan Cikarang Barat"/>
    <n v="9"/>
    <s v="3 x 3 meter"/>
    <s v="Tidak termasuk listrik"/>
    <s v=""/>
    <s v="N/A"/>
    <s v="3 x 3 meter; Tidak termasuk listrik; AC; Kasur; Meja; Lemari Baju; Bantal; Kursi; Kloset Duduk; Ember mandi; Shower; WiFi; Kulkas; Dapur; Dispenser; CCTV; Jemuran; K. Mandi Luar; Parkir Motor"/>
    <x v="99"/>
    <s v="Rp900.000"/>
    <x v="0"/>
    <m/>
    <x v="1"/>
    <m/>
    <m/>
  </r>
  <r>
    <s v="Kost BSD Aster Serpong Tangerang"/>
    <x v="2"/>
    <s v="Serpong"/>
    <n v="9"/>
    <s v="3 x 3 meter"/>
    <s v="Tidak termasuk listrik"/>
    <s v=""/>
    <s v="N/A"/>
    <s v="3 x 3 meter; Tidak termasuk listrik; AC; Kasur; Meja; Lemari Baju; Kursi; Wastafel; K. Mandi Dalam; Kloset Duduk; Shower; Air panas; WiFi; Mesin Cuci; R. Makan; R. Jemur; Dapur; Parkir Motor"/>
    <x v="13"/>
    <s v="Rp1.600.000"/>
    <x v="8"/>
    <d v="1899-12-30T04:09:00"/>
    <x v="0"/>
    <m/>
    <m/>
  </r>
  <r>
    <s v="Kost Btari Tipe A Citeureup Bogor"/>
    <x v="0"/>
    <s v="Citeureup"/>
    <n v="12"/>
    <s v="3 x 4 meter"/>
    <s v="Tidak termasuk listrik"/>
    <s v=""/>
    <s v="N/A"/>
    <s v="3 x 4 meter; Tidak termasuk listrik; Kasur; Meja; Lemari Baju; Ventilasi; Cermin; Jendela; Kipas Angin; Kursi; K. Mandi Dalam; Kloset Duduk; Shower; WiFi; Kulkas; R. Cuci; Penjaga Kos; R. Jemur; R. Makan; R. Santai; Dapur; Balcon; CCTV; Parkir Motor &amp; Sepeda"/>
    <x v="10"/>
    <s v="Rp750.000"/>
    <x v="0"/>
    <m/>
    <x v="0"/>
    <m/>
    <m/>
  </r>
  <r>
    <s v="Kost Bu Andi Kramatjati Jakarta Timur"/>
    <x v="8"/>
    <s v="Kramat Jati"/>
    <n v="5.4"/>
    <s v="2 x 2.7 meter"/>
    <s v="Tidak termasuk listrik"/>
    <s v=""/>
    <s v="N/A"/>
    <s v="2 x 2.7 meter; Tidak termasuk listrik; AC; Kasur; Meja; Kulkas; Lemari Baju; Ventilasi; Bantal; Cermin; Guling; Jendela; Kloset Duduk; K. Mandi Luar; Shower; WiFi; R. Cuci; R. Jemur; Dapur; CCTV; Jemuran; Pengurus Kos; Parkir Motor; Parkir Motor &amp; Sepeda"/>
    <x v="3"/>
    <s v="Rp1.500.000"/>
    <x v="2"/>
    <d v="1899-12-30T04:08:00"/>
    <x v="2"/>
    <m/>
    <s v="Diskon 128rb"/>
  </r>
  <r>
    <s v="Kost Bu Bambang II Cibitung Bekasi"/>
    <x v="7"/>
    <s v="Cibitung"/>
    <n v="12"/>
    <s v="4 x 3 meter"/>
    <s v="Tidak termasuk listrik"/>
    <s v=""/>
    <s v="N/A"/>
    <s v="4 x 3 meter; Tidak termasuk listrik; Kasur; Lemari Baju; Kipas Angin; K. Mandi Dalam; Kloset Jongkok; Ember mandi; R. Jemur; Parkir Motor"/>
    <x v="10"/>
    <s v="Rp750.000"/>
    <x v="3"/>
    <d v="1899-12-30T05:00:00"/>
    <x v="1"/>
    <m/>
    <m/>
  </r>
  <r>
    <s v="Kost Bu Budi Tipe Standar Non AC Beji Depok"/>
    <x v="1"/>
    <s v="Beji"/>
    <n v="9"/>
    <s v="3 x 3 meter"/>
    <s v="Termasuk listrik (implied)"/>
    <s v=""/>
    <s v="N/A"/>
    <s v="3 x 3 meter; Termasuk listrik; Kasur; Ventilasi; Bantal; Cermin; Guling; Jendela; Kipas Angin; Wastafel; Kloset Duduk; K. Mandi Luar; Ember mandi; Shower; R. Tamu; R. Santai; Dapur; Dispenser; Balcon; CCTV; Jemuran; Gazebo; Parkir Mobil; Parkir Motor; Parkir Sepeda"/>
    <x v="31"/>
    <s v="Rp600.000"/>
    <x v="3"/>
    <d v="1899-12-30T05:00:00"/>
    <x v="1"/>
    <m/>
    <m/>
  </r>
  <r>
    <s v="Kost Bu Elis Kelapa Gading Jakarta Utara"/>
    <x v="4"/>
    <s v="Kelapa Gading"/>
    <n v="9"/>
    <s v="3 x 3 meter"/>
    <s v="Termasuk listrik (implied)"/>
    <s v=""/>
    <s v="N/A"/>
    <s v="3 x 3 meter; Termasuk listrik; AC; Kasur; Meja; Meja Rias; Lemari Baju; Kursi; Wastafel; Cleaning service; K. Mandi Dalam; Kloset Duduk; Shower; Air panas; WiFi; R. Cuci; R. Jemur"/>
    <x v="176"/>
    <s v="Rp2.300.000"/>
    <x v="2"/>
    <d v="1899-12-30T04:08:00"/>
    <x v="2"/>
    <m/>
    <s v="Diskon 110rb"/>
  </r>
  <r>
    <s v="Kost Bu Emmy Tipe I Cikarang Timur Bekasi"/>
    <x v="7"/>
    <s v="Kecamatan Cikarang Timur"/>
    <n v="10.5"/>
    <s v="3 x 3.5 meter"/>
    <s v="Termasuk listrik (implied)"/>
    <s v=""/>
    <s v="N/A"/>
    <s v="3 x 3.5 meter; Termasuk listrik; AC; Kasur; Meja; Lemari Baju; Ventilasi; Cermin; Cleaning service; Jendela; Kursi; Bantal; K. Mandi Dalam; Kloset Duduk; Wastafel; Shower; WiFi; Kulkas; R. Jemur; R. Makan; Dapur; Dispenser; Jemuran; Pengurus Kos; Taman; Parkir Mobil; Parkir Motor; Parkir Sepeda"/>
    <x v="11"/>
    <s v="Rp1.400.000"/>
    <x v="0"/>
    <m/>
    <x v="2"/>
    <m/>
    <m/>
  </r>
  <r>
    <s v="Kost Bu Fifi Pamulang Tangerang Selatan"/>
    <x v="2"/>
    <s v="Kecamatan Pamulang"/>
    <n v="9"/>
    <s v="3 x 3 meter"/>
    <s v="Termasuk listrik (implied)"/>
    <s v=""/>
    <s v="N/A"/>
    <s v="3 x 3 meter; Termasuk listrik; Kasur; Lemari Baju; Kipas Angin; Bantal; Cermin; Guling; Jendela; Kloset Duduk; Kloset Jongkok; K. Mandi Luar; Ember mandi; Shower; WiFi; R. Cuci; Mesin Cuci; R. Jemur; R. Santai; Dispenser; TV; Balcon; CCTV; Jemuran; Parkir Motor; Parkir Sepeda"/>
    <x v="14"/>
    <s v="Rp800.000"/>
    <x v="0"/>
    <m/>
    <x v="2"/>
    <m/>
    <m/>
  </r>
  <r>
    <s v="Kost Bu Haji Anshor Beji Depok"/>
    <x v="1"/>
    <s v="Beji"/>
    <n v="9"/>
    <s v="3 x 3 meter"/>
    <s v="Termasuk listrik (implied)"/>
    <s v=""/>
    <s v="N/A"/>
    <s v="3 x 3 meter; Termasuk listrik; Kasur; Meja; Lemari Baju; Ventilasi; Kipas Angin; Bantal; Cermin; Guling; Jendela; K. Mandi Dalam; Kloset Jongkok; Ember mandi; Shower; Bak mandi; R. Cuci; R. Tamu; R. Jemur; R. Santai; Pengurus Kos; Jemuran; Parkir Motor; Parkir Sepeda"/>
    <x v="10"/>
    <s v="Rp750.000"/>
    <x v="8"/>
    <d v="1899-12-30T04:09:00"/>
    <x v="2"/>
    <m/>
    <s v="Diskon 90rb"/>
  </r>
  <r>
    <s v="Kost Bu Nani Cempaka Ciawi Bogor"/>
    <x v="0"/>
    <s v="Ciawi"/>
    <n v="18"/>
    <s v="3 x 6 meter"/>
    <s v="Tidak termasuk listrik"/>
    <s v=""/>
    <s v="N/A"/>
    <s v="3 x 6 meter; Tidak termasuk listrik; Kasur; Meja; Lemari Baju; Ventilasi; Kursi; Cleaning service; Bantal; Guling; Jendela; K. Mandi Dalam; Kloset Jongkok; Ember mandi; Laundry; Penjaga Kos; Balcon; Jemuran; Jual Makanan; Pengurus Kos; Parkir Motor"/>
    <x v="99"/>
    <s v="Rp900.000"/>
    <x v="0"/>
    <m/>
    <x v="0"/>
    <m/>
    <m/>
  </r>
  <r>
    <s v="Kost Bu Nova Kramatjati Jakarta Timur"/>
    <x v="8"/>
    <s v="Kramat Jati"/>
    <n v="15.679999999999998"/>
    <s v="2.8 x 5.6 meter"/>
    <s v="Tidak termasuk listrik"/>
    <s v=""/>
    <s v="N/A"/>
    <s v="2.8 x 5.6 meter; Tidak termasuk listrik; Ventilasi; Jendela; Wastafel; K. Mandi Dalam; Kloset Jongkok; Ember mandi; Air panas; Penjaga Kos; Dapur; Balcon; Jemuran; Parkir Sepeda; Parkir Motor"/>
    <x v="5"/>
    <s v="Rp1.350.000"/>
    <x v="3"/>
    <d v="1899-12-30T05:00:00"/>
    <x v="0"/>
    <m/>
    <s v="Diskon 120rb"/>
  </r>
  <r>
    <s v="Kost Bu Purbo Bahagia 7 Larangan Tangerang"/>
    <x v="6"/>
    <s v="Kecamatan Larangan"/>
    <n v="8.75"/>
    <s v="2.5 x 3.5 meter"/>
    <s v="Termasuk listrik (implied)"/>
    <s v=""/>
    <s v="N/A"/>
    <s v="2.5 x 3.5 meter; Termasuk listrik; Kasur; Lemari Baju; Ventilasi; Bantal; Jendela; K. Mandi Dalam; Kloset Jongkok; Ember mandi; WiFi; R. Jemur; CCTV; Jemuran; Parkir Sepeda"/>
    <x v="14"/>
    <s v="Rp800.000"/>
    <x v="2"/>
    <d v="1899-12-30T04:08:00"/>
    <x v="2"/>
    <m/>
    <s v="Diskon 68rb"/>
  </r>
  <r>
    <s v="Kost Bu Rizal Beji Depok"/>
    <x v="1"/>
    <s v="Beji"/>
    <n v="12"/>
    <s v="3 x 4 meter"/>
    <s v="Tidak termasuk listrik"/>
    <s v=""/>
    <s v="N/A"/>
    <s v="3 x 4 meter; Tidak termasuk listrik; Kasur; Lemari Baju; Ventilasi; Bantal; Jendela; K. Mandi Dalam; Kloset Jongkok; Ember mandi; WiFi; R. Jemur; R. Santai; Balcon; CCTV; Jemuran; Parkir Motor"/>
    <x v="2"/>
    <s v="Rp700.000"/>
    <x v="8"/>
    <d v="1899-12-30T04:09:00"/>
    <x v="2"/>
    <m/>
    <s v="Diskon 80rb"/>
  </r>
  <r>
    <s v="Kost Bu Sabar 1 Cileungsi Bogor"/>
    <x v="0"/>
    <s v="Cileungsi"/>
    <n v="9"/>
    <s v="3 x 3 meter"/>
    <s v="Tidak termasuk listrik"/>
    <s v=""/>
    <s v="N/A"/>
    <s v="3 x 3 meter; Tidak termasuk listrik; Kasur; Lemari Baju; Ventilasi; Bantal; Guling; Jendela; Kipas Angin; Kloset Jongkok; K. Mandi Luar; Ember mandi; Kulkas; Dispenser; Jemuran; Parkir Motor; Parkir Sepeda"/>
    <x v="29"/>
    <s v="Rp500.000"/>
    <x v="3"/>
    <d v="1899-12-30T05:00:00"/>
    <x v="2"/>
    <m/>
    <m/>
  </r>
  <r>
    <s v="Kost Bu Sekar Ciputat Tangerang Selatan"/>
    <x v="2"/>
    <s v="Kecamatan Ciputat"/>
    <n v="6"/>
    <s v="2 x 3 meter"/>
    <s v="Termasuk listrik (implied)"/>
    <s v=""/>
    <s v="N/A"/>
    <s v="2 x 3 meter; Termasuk listrik; Kasur; Lemari Baju; Ventilasi; Bantal; Cermin; Jendela; Kipas Angin; Kursi; Guling; Kloset Jongkok; K. Mandi Luar; Ember mandi; Wastafel; Shower; Bak mandi; WiFi; Kulkas; R. Cuci; R. Jemur; Dapur; CCTV; Jemuran; Gazebo; Rice Cooker; Rooftop; Parkir Mobil; Parkir Motor; Parkir Sepeda; Parkir Motor &amp; Sepeda"/>
    <x v="14"/>
    <s v="Rp800.000"/>
    <x v="0"/>
    <m/>
    <x v="2"/>
    <m/>
    <m/>
  </r>
  <r>
    <s v="Kost Bu Sri Tipe B Babakan Madang Bogor"/>
    <x v="0"/>
    <s v="Babakan Madang"/>
    <n v="9"/>
    <s v="3 x 3 meter"/>
    <s v="Termasuk listrik (implied)"/>
    <s v=""/>
    <s v="N/A"/>
    <s v="3 x 3 meter; Termasuk listrik; AC; Kasur; Meja; Lemari Baju; Kursi; Wastafel; Sofa; Bantal; Guling; Kloset Duduk; K. Mandi Luar; Ember mandi; Shower; Air panas; WiFi; R. Cuci; Kulkas; R. Tamu; Mesin Cuci; R. Makan; R. Jemur; R. Santai; Dapur; Dispenser; Parkir Mobil; Parkir Motor"/>
    <x v="163"/>
    <s v="Rp1.700.000"/>
    <x v="0"/>
    <m/>
    <x v="0"/>
    <m/>
    <m/>
  </r>
  <r>
    <s v="Kost Bu Sri Tipe D Babakan Madang Bogor"/>
    <x v="0"/>
    <s v="Babakan Madang"/>
    <n v="9"/>
    <s v="3 x 3 meter"/>
    <s v="Termasuk listrik (implied)"/>
    <s v=""/>
    <s v="N/A"/>
    <s v="3 x 3 meter; Termasuk listrik; AC; Kasur; Meja; Lemari Baju; Kursi; Cleaning service; K. Mandi Dalam; Kloset Duduk; K. Mandi Luar; Wastafel; Shower; Air panas; WiFi; Parkir Mobil"/>
    <x v="19"/>
    <s v="Rp1.800.000"/>
    <x v="0"/>
    <m/>
    <x v="0"/>
    <m/>
    <m/>
  </r>
  <r>
    <s v="Kost Bu Titi Tangerang"/>
    <x v="6"/>
    <s v="Tangerang"/>
    <n v="12"/>
    <s v="3 x 4 meter"/>
    <s v="Tidak termasuk listrik"/>
    <s v=""/>
    <s v="N/A"/>
    <s v="3 x 4 meter; Tidak termasuk listrik; AC; Kasur; Meja; Lemari Baju; Kipas Angin; K. Mandi Dalam; Kloset Jongkok; Ember mandi; Shower; WiFi; Parkir Mobil"/>
    <x v="23"/>
    <s v="Rp1.200.000"/>
    <x v="0"/>
    <m/>
    <x v="0"/>
    <m/>
    <m/>
  </r>
  <r>
    <s v="Kost Bu Ulfa Tambun Selatan Bekasi"/>
    <x v="7"/>
    <s v="Tambun Selatan"/>
    <n v="15"/>
    <s v="3 x 5 meter"/>
    <s v="Tidak termasuk listrik"/>
    <s v=""/>
    <s v="N/A"/>
    <s v="3 x 5 meter; Tidak termasuk listrik; AC; Kasur; Wastafel; K. Mandi Dalam; Kloset Jongkok; Ember mandi; Penjaga Kos; R. Jemur; Taman; Parkir Mobil; Parkir Motor; Parkir Sepeda"/>
    <x v="23"/>
    <s v="Rp1.200.000"/>
    <x v="3"/>
    <d v="1899-12-30T05:00:00"/>
    <x v="0"/>
    <m/>
    <m/>
  </r>
  <r>
    <s v="Kost Bubbles 2 Tipe A Beji Depok"/>
    <x v="1"/>
    <s v="Beji"/>
    <n v="9"/>
    <s v="3 x 3 meter"/>
    <s v="Termasuk listrik (implied)"/>
    <s v=""/>
    <s v="N/A"/>
    <s v="3 x 3 meter; Termasuk listrik; AC; Kasur; Meja; Lemari Baju; Ventilasi; Bantal; Cleaning service; Guling; Kloset Jongkok; K. Mandi Luar; Ember mandi; Wastafel; Shower; WiFi; Penjaga Kos; R. Santai; CCTV; Balcon; Jual Makanan; Pengurus Kos; TV; Parkir Motor; Parkir Sepeda"/>
    <x v="0"/>
    <s v="Rp950.000"/>
    <x v="0"/>
    <m/>
    <x v="1"/>
    <m/>
    <m/>
  </r>
  <r>
    <s v="Kost Bude Tipe A Cimanggis Depok"/>
    <x v="1"/>
    <s v="Kecamatan Cimanggis"/>
    <n v="9"/>
    <s v="3 x 3 meter"/>
    <s v="Tidak termasuk listrik"/>
    <s v=""/>
    <s v="N/A"/>
    <s v="3 x 3 meter; Tidak termasuk listrik; Kasur; Kulkas; Lemari Baju; Bantal; Dapur Pribadi; Guling; TV Kabel; Kloset Duduk; Kloset Jongkok; K. Mandi Luar; Ember mandi; Wastafel; Shower; Bak mandi; WiFi; R. Cuci; Mesin Cuci; R. Tamu; Mushola; R. Jemur; R. Makan; R. Santai; Dapur; Parkir Motor; Parkir Sepeda"/>
    <x v="14"/>
    <s v="Rp800.000"/>
    <x v="0"/>
    <m/>
    <x v="0"/>
    <m/>
    <m/>
  </r>
  <r>
    <s v="Kost Bulak Raya Tipe A Duren Sawit Jakarta Timur"/>
    <x v="8"/>
    <s v="Kecamatan Duren Sawit"/>
    <n v="9"/>
    <s v="3 x 3 meter"/>
    <s v="Tidak termasuk listrik"/>
    <s v=""/>
    <s v="N/A"/>
    <s v="3 x 3 meter; Tidak termasuk listrik; AC; Kulkas; Lemari Baju; Bantal; Jendela; Kipas Angin; Kursi; Kloset Duduk; Ember mandi; Shower; R. Cuci; Penjaga Kos; R. Jemur; Dapur; Dispenser; Jemuran; K. Mandi Luar; Parkir Motor"/>
    <x v="23"/>
    <s v="Rp1.200.000"/>
    <x v="8"/>
    <d v="1899-12-30T04:09:00"/>
    <x v="1"/>
    <m/>
    <m/>
  </r>
  <r>
    <s v="Kost Bumi 2 Executive Cikarang Selatan Bekasi"/>
    <x v="7"/>
    <s v="Cikarang Selatan"/>
    <n v="12"/>
    <s v="3 x 4 meter"/>
    <s v="Tidak termasuk listrik"/>
    <s v=""/>
    <s v="N/A"/>
    <s v="3 x 4 meter; Tidak termasuk listrik; AC; Kasur; Meja; Lemari Baju; Ventilasi; Bantal; Cermin; Guling; Jendela; Kursi; K. Mandi Dalam; Kloset Duduk; Shower; WiFi; Kulkas; Penjaga Kos; R. Santai; Dapur; Balcon; CCTV; Jemuran; Parkir Mobil; Parkir Motor"/>
    <x v="3"/>
    <s v="Rp1.500.000"/>
    <x v="0"/>
    <m/>
    <x v="0"/>
    <m/>
    <m/>
  </r>
  <r>
    <s v="Kost Bumi Alam VVIP Babakan Madang Bogor"/>
    <x v="0"/>
    <s v="Babakan Madang"/>
    <n v="9"/>
    <s v="3 x 3 meter"/>
    <s v="Termasuk listrik (implied)"/>
    <s v=""/>
    <s v="N/A"/>
    <s v="3 x 3 meter; Termasuk listrik; AC; Kasur; Meja; Lemari Baju; Ventilasi; Bantal; Cermin; Guling; Jendela; Kloset Duduk; Kloset Jongkok; K. Mandi Luar; Ember mandi; Wastafel; Shower; WiFi; Kulkas; Penjaga Kos; R. Tamu; R. Santai; Dapur; Dispenser; Balcon; CCTV; Jemuran; Parkir Motor; Parkir Sepeda"/>
    <x v="23"/>
    <s v="Rp1.200.000"/>
    <x v="0"/>
    <m/>
    <x v="2"/>
    <m/>
    <m/>
  </r>
  <r>
    <s v="Kost Bumi Executive Cikarang Selatan Bekasi"/>
    <x v="7"/>
    <s v="Cikarang Selatan"/>
    <n v="12"/>
    <s v="3 x 4 meter"/>
    <s v="Tidak termasuk listrik"/>
    <s v=""/>
    <s v="N/A"/>
    <s v="3 x 4 meter; Tidak termasuk listrik; AC; Kasur; Meja; Lemari Baju; Bantal; Cermin; Guling; Jendela; Kursi; K. Mandi Dalam; Kloset Duduk; Ember mandi; Shower; WiFi; Kulkas; Penjaga Kos; R. Santai; Dapur; Balcon; CCTV; Jual Makanan; Pengurus Kos; Rooftop; Parkir Mobil; Parkir Motor"/>
    <x v="3"/>
    <s v="Rp1.500.000"/>
    <x v="2"/>
    <d v="1899-12-30T04:08:00"/>
    <x v="0"/>
    <m/>
    <m/>
  </r>
  <r>
    <s v="Kost Bumi Mas Raya Tangerang"/>
    <x v="6"/>
    <s v="Tangerang"/>
    <n v="12"/>
    <s v="3 x 4 meter"/>
    <s v="Tidak termasuk listrik"/>
    <s v=""/>
    <s v="N/A"/>
    <s v="3 x 4 meter; Tidak termasuk listrik; AC; Kasur; Meja; Kulkas; Lemari Baju; Bantal; Cermin; Guling; Jendela; Kursi; K. Mandi Dalam; Kloset Duduk; Wastafel; Shower; WiFi; R. Tamu; R. Jemur; Dapur; Dispenser; Balcon; CCTV; Jemuran; Jual Makanan; Parkir Mobil; Parkir Motor"/>
    <x v="27"/>
    <s v="Rp2.000.000"/>
    <x v="0"/>
    <m/>
    <x v="2"/>
    <m/>
    <m/>
  </r>
  <r>
    <s v="Kost Bumi Pelita Kencana Tipe B Pamulang Tangerang Selatan"/>
    <x v="2"/>
    <s v="Pamulang"/>
    <n v="9"/>
    <s v="3 x 3 meter"/>
    <s v="Tidak termasuk listrik"/>
    <s v=""/>
    <s v="N/A"/>
    <s v="3 x 3 meter; Tidak termasuk listrik; Kasur; Lemari Baju; Kloset Jongkok; K. Mandi Luar; Ember mandi; Bak mandi; WiFi; R. Cuci; Mesin Cuci; R. Jemur; Dapur; Parkir Motor; Parkir Sepeda"/>
    <x v="177"/>
    <s v="Rp550.000"/>
    <x v="2"/>
    <d v="1899-12-30T04:08:00"/>
    <x v="0"/>
    <m/>
    <m/>
  </r>
  <r>
    <s v="Kost Bumina Azzahra 1 Tipe A Bojongsari Depok"/>
    <x v="1"/>
    <s v="Bojongsari"/>
    <n v="7.5"/>
    <s v="3 x 2.5 meter"/>
    <s v="Tidak termasuk listrik"/>
    <s v=""/>
    <s v="N/A"/>
    <s v="3 x 2.5 meter; Tidak termasuk listrik; AC; Kasur; TV; Lemari Baju; Ventilasi; Bantal; Cermin; Jendela; Kursi; Guling; K. Mandi Dalam; Kloset Duduk; Ember mandi; Shower; WiFi; Kulkas; R. Tamu; Mushola; R. Makan; R. Jemur; Dapur; Dispenser; CCTV; Jemuran; Parkir Mobil; Parkir Motor; Parkir Sepeda"/>
    <x v="1"/>
    <s v="Rp1.100.000"/>
    <x v="0"/>
    <m/>
    <x v="2"/>
    <m/>
    <m/>
  </r>
  <r>
    <s v="Kost Bun&amp;Bun Tipe Reguler Kelapa Gading Jakarta Utara"/>
    <x v="4"/>
    <s v="Kelapa Gading"/>
    <n v="9"/>
    <s v="3 x 3 meter"/>
    <s v="Tidak termasuk listrik"/>
    <s v=""/>
    <s v="N/A"/>
    <s v="3 x 3 meter; Tidak termasuk listrik; AC; Kasur; Meja; Lemari Baju; Ventilasi; Bantal; Jendela; Kursi; K. Mandi Dalam; Kloset Duduk; Shower; WiFi; Kulkas; Penjaga Kos; R. Tamu; R. Jemur; Dapur; Dispenser; Balcon; Jemuran; Pengurus Kos; Parkir Mobil; Parkir Motor; Parkir Sepeda"/>
    <x v="178"/>
    <s v="Rp1.950.000"/>
    <x v="10"/>
    <d v="1899-12-30T04:05:00"/>
    <x v="0"/>
    <m/>
    <s v="Diskon 168rb"/>
  </r>
  <r>
    <s v="Kost Bunda Iin Tipe A Karawaci Tangerang"/>
    <x v="6"/>
    <s v="Karawaci"/>
    <n v="12"/>
    <s v="3 x 4 meter"/>
    <s v="Tidak termasuk listrik"/>
    <s v=""/>
    <s v="N/A"/>
    <s v="3 x 4 meter; Tidak termasuk listrik; Kasur; Lemari Baju; Ventilasi; Wastafel; Bantal; Jendela; K. Mandi Dalam; Kloset Duduk; Ember mandi; Shower; R. Jemur; Pengurus Kos; Jemuran; Parkir Motor"/>
    <x v="28"/>
    <s v="Rp1.000.000"/>
    <x v="0"/>
    <m/>
    <x v="1"/>
    <m/>
    <m/>
  </r>
  <r>
    <s v="Kost Bunda Ratu Karang Tengah Tangerang"/>
    <x v="6"/>
    <s v="Karang Tengah"/>
    <n v="12"/>
    <s v="3 x 4 meter"/>
    <s v="Termasuk listrik (implied)"/>
    <s v=""/>
    <s v="N/A"/>
    <s v="3 x 4 meter; Termasuk listrik; Kasur; Meja; Lemari Baju; Ventilasi; Bantal; Cermin; Guling; Kloset Jongkok; K. Mandi Luar; Ember mandi; WiFi; Penjaga Kos; R. Jemur; Mushola; Dapur; Balcon; Pengurus Kos; CCTV; Parkir Motor"/>
    <x v="14"/>
    <s v="Rp800.000"/>
    <x v="5"/>
    <d v="1899-12-30T04:00:00"/>
    <x v="0"/>
    <m/>
    <m/>
  </r>
  <r>
    <s v="Kost Burgundy 2 VIP Palmerah Jakarta Barat"/>
    <x v="3"/>
    <s v="Kecamatan Palmerah"/>
    <n v="10.5"/>
    <s v="3 x 3.5 meter"/>
    <s v="Tidak termasuk listrik"/>
    <s v=""/>
    <s v="N/A"/>
    <s v="3 x 3.5 meter; Tidak termasuk listrik; AC; Kasur; Meja; Dispenser; Meja Rias; TV; Lemari Baju; Kulkas; Ventilasi; Bantal; K. Mandi Dalam; Kloset Duduk; Wastafel; Ember mandi; Shower; Air panas; WiFi; R. Cuci; Laundry; Penjaga Kos; Mesin Cuci; R. Tamu; R. Jemur; R. Makan; R. Santai; Parkir Motor; Parkir Sepeda; Parkir Motor &amp; Sepeda"/>
    <x v="179"/>
    <s v="Rp2.599.999"/>
    <x v="3"/>
    <d v="1899-12-30T05:00:00"/>
    <x v="0"/>
    <m/>
    <m/>
  </r>
  <r>
    <s v="Kost Bvly Safehouse CoLiving Pet Friendly Deluxe Studio Cikarang Selatan Bekasi"/>
    <x v="7"/>
    <s v="Cikarang Selatan"/>
    <n v="16"/>
    <s v="4 x 4 meter"/>
    <s v="Tidak termasuk listrik"/>
    <s v=""/>
    <s v="N/A"/>
    <s v="4 x 4 meter; Tidak termasuk listrik; AC; Kasur; Meja; TV; Lemari Baju; Kulkas; Bantal; Cermin; Dapur Pribadi; Jendela; K. Mandi Dalam; Kloset Duduk; Shower; Air panas; WiFi; Dispenser; CCTV; Taman; Locker; Parkir Mobil; Parkir Motor; Parkir Sepeda"/>
    <x v="180"/>
    <s v="Rp2.800.000"/>
    <x v="3"/>
    <d v="1899-12-30T05:00:00"/>
    <x v="0"/>
    <m/>
    <m/>
  </r>
  <r>
    <s v="Kost Bvly Safehouse CoLiving Pet Friendly Double Bed Cikarang Selatan Bekasi"/>
    <x v="7"/>
    <s v="Cikarang Selatan"/>
    <n v="16"/>
    <s v="4 x 4 meter"/>
    <s v="Tidak termasuk listrik"/>
    <s v=""/>
    <s v="N/A"/>
    <s v="4 x 4 meter; Tidak termasuk listrik; AC; Kasur; Meja; Lemari Baju; Kulkas; Bantal; Cermin; Dapur Pribadi; Jendela; Wastafel; K. Mandi Dalam; Kloset Duduk; Shower; Air panas; WiFi; CCTV; Taman; Locker; Parkir Mobil; Parkir Motor; Parkir Sepeda"/>
    <x v="7"/>
    <s v="Rp3.500.000"/>
    <x v="3"/>
    <d v="1899-12-30T05:00:00"/>
    <x v="0"/>
    <m/>
    <m/>
  </r>
  <r>
    <s v="Kost Bvly Safehouse CoLiving Tipe Pet Friendly Compact Studio Single Cikarang Selatan Bekasi"/>
    <x v="7"/>
    <s v="Cikarang Selatan"/>
    <n v="8.8000000000000007"/>
    <s v="2.2 x 4 meter"/>
    <s v="Tidak termasuk listrik"/>
    <s v=""/>
    <s v="N/A"/>
    <s v="2.2 x 4 meter; Tidak termasuk listrik; AC; Kasur; Meja; Lemari Baju; Bantal; Dapur Pribadi; Jendela; Kursi; Cermin; K. Mandi Dalam; Kloset Duduk; Shower; Air panas; WiFi; CCTV; Taman; Locker; Parkir Motor; Parkir Sepeda"/>
    <x v="166"/>
    <s v="Rp1.750.000"/>
    <x v="2"/>
    <d v="1899-12-30T04:08:00"/>
    <x v="0"/>
    <m/>
    <m/>
  </r>
  <r>
    <s v="Kost Bvly Safehouse CoLiving Velvet Studio Cikarang Selatan Bekasi"/>
    <x v="7"/>
    <s v="Cikarang Selatan"/>
    <n v="9"/>
    <s v="3 x 3 meter"/>
    <s v="Tidak termasuk listrik"/>
    <s v=""/>
    <s v="N/A"/>
    <s v="3 x 3 meter; Tidak termasuk listrik; AC; Kasur; Meja; TV; Kulkas; Cermin; Dapur Pribadi; Wastafel; Jendela; K. Mandi Dalam; Kloset Duduk; Shower; Air panas; WiFi; Dispenser; CCTV; Taman; Locker; Parkir Mobil; Parkir Motor; Parkir Sepeda"/>
    <x v="22"/>
    <s v="Rp2.500.000"/>
    <x v="0"/>
    <m/>
    <x v="0"/>
    <m/>
    <m/>
  </r>
  <r>
    <s v="Kost By The River 01 Tipe VIP Ciampea Bogor"/>
    <x v="0"/>
    <s v="Ciampea"/>
    <n v="9"/>
    <s v="3 x 3 meter"/>
    <s v="Tidak termasuk listrik"/>
    <s v=""/>
    <s v="N/A"/>
    <s v="3 x 3 meter; Tidak termasuk listrik; AC; Kasur; Meja; Lemari Baju; Ventilasi; Bantal; Cermin; Cleaning service; Jendela; Kursi; K. Mandi Dalam; Kloset Duduk; Kloset Jongkok; Wastafel; Shower; WiFi; Kulkas; R. Cuci; Laundry; Penjaga Kos; R. Tamu; Mesin Cuci; R. Jemur; R. Makan; R. Santai; Parkir Mobil; Parkir Motor; Parkir Sepeda"/>
    <x v="167"/>
    <s v="Rp1.550.000"/>
    <x v="0"/>
    <m/>
    <x v="2"/>
    <m/>
    <m/>
  </r>
  <r>
    <s v="Kost C280 Tipe A Cikarang Selatan Bekasi"/>
    <x v="7"/>
    <s v="Cikarang Selatan"/>
    <n v="9"/>
    <s v="3 x 3 meter"/>
    <s v="Tidak termasuk listrik"/>
    <s v=""/>
    <s v="N/A"/>
    <s v="3 x 3 meter; Tidak termasuk listrik; AC; Kasur; Meja; Lemari Baju; Ventilasi; Kursi; Cleaning service; Bantal; Cermin; Guling; K. Mandi Dalam; Kloset Duduk; Ember mandi; Shower; WiFi; R. Cuci; Kulkas; R. Tamu; Laundry; Penjaga Kos; R. Makan; R. Jemur; R. Santai; Dapur; Parkir Mobil; Parkir Motor; Parkir Sepeda; Parkir Motor &amp; Sepeda"/>
    <x v="18"/>
    <s v="Rp1.300.000"/>
    <x v="8"/>
    <d v="1899-12-30T04:09:00"/>
    <x v="0"/>
    <m/>
    <m/>
  </r>
  <r>
    <s v="Kost C280 Tipe B Cikarang Selatan Bekasi"/>
    <x v="7"/>
    <s v="Cikarang Selatan"/>
    <n v="12"/>
    <s v="3 x 4 meter"/>
    <s v="Termasuk listrik (implied)"/>
    <s v=""/>
    <s v="N/A"/>
    <s v="3 x 4 meter; Termasuk listrik; AC; Kasur; Meja; TV; Lemari Baju; Ventilasi; Kursi; Cleaning service; TV Kabel; Bantal; K. Mandi Dalam; Kloset Duduk; Shower; WiFi; R. Cuci; Kulkas; R. Tamu; R. Makan; R. Jemur; R. Santai; Dapur; Dispenser; Parkir Mobil; Parkir Motor; Parkir Sepeda"/>
    <x v="163"/>
    <s v="Rp1.700.000"/>
    <x v="3"/>
    <d v="1899-12-30T05:00:00"/>
    <x v="0"/>
    <m/>
    <m/>
  </r>
  <r>
    <s v="Kost C280 Tipe C Cikarang Selatan Bekasi"/>
    <x v="7"/>
    <s v="Cikarang Selatan"/>
    <n v="20"/>
    <s v="4 x 5 meter"/>
    <s v="Tidak termasuk listrik"/>
    <s v=""/>
    <s v="N/A"/>
    <s v="4 x 5 meter; Tidak termasuk listrik; AC; Kasur; Meja; Dispenser; Lemari Baju; Ventilasi; Kursi; Cleaning service; TV Kabel; Bantal; K. Mandi Dalam; Kloset Duduk; Ember mandi; Shower; WiFi; R. Cuci; Kulkas; R. Tamu; Laundry; Penjaga Kos; R. Makan; R. Jemur; R. Santai; Dapur; Parkir Mobil; Parkir Motor; Parkir Sepeda"/>
    <x v="19"/>
    <s v="Rp1.800.000"/>
    <x v="2"/>
    <d v="1899-12-30T04:08:00"/>
    <x v="0"/>
    <m/>
    <m/>
  </r>
  <r>
    <s v="Kost C280 Tipe C Cikarang Selatan Bekasi"/>
    <x v="7"/>
    <s v="Cikarang Selatan"/>
    <n v="20"/>
    <s v="4 x 5 meter"/>
    <s v="Tidak termasuk listrik"/>
    <s v=""/>
    <s v="N/A"/>
    <s v="4 x 5 meter; Tidak termasuk listrik; AC; Kasur; Meja; Dispenser; Lemari Baju; Ventilasi; Kursi; Cleaning service; TV Kabel; Bantal; K. Mandi Dalam; Kloset Duduk; Ember mandi; Shower"/>
    <x v="19"/>
    <s v="Rp1.800.000"/>
    <x v="2"/>
    <d v="1899-12-30T04:08:00"/>
    <x v="0"/>
    <m/>
    <m/>
  </r>
  <r>
    <s v="Kost C280 Tipe D Cikarang Selatan Bekasi"/>
    <x v="7"/>
    <s v="Cikarang Selatan"/>
    <n v="9"/>
    <s v="3 x 3 meter"/>
    <s v="Tidak termasuk listrik"/>
    <s v=""/>
    <s v="N/A"/>
    <s v="3 x 3 meter; Tidak termasuk listrik; AC; Kasur; Meja; Lemari Baju; Ventilasi; Bantal; Cermin; Jendela; Kursi; K. Mandi Dalam; Kloset Duduk; Ember mandi; Shower; WiFi; Kulkas; R. Cuci; Penjaga Kos; R. Tamu; Laundry; R. Jemur; R. Makan; R. Santai; Dapur; Parkir Mobil; Parkir Motor; Parkir Sepeda; Parkir Motor &amp; Sepeda"/>
    <x v="11"/>
    <s v="Rp1.400.000"/>
    <x v="0"/>
    <m/>
    <x v="0"/>
    <m/>
    <m/>
  </r>
  <r>
    <s v="Kost C3 Adrian VVIP Cikarang Pusat Bekasi"/>
    <x v="7"/>
    <s v="Kecamatan Cikarang Pusat"/>
    <n v="12"/>
    <s v="3 x 4 meter"/>
    <s v="Tidak termasuk listrik"/>
    <s v=""/>
    <s v="N/A"/>
    <s v="3 x 4 meter; Tidak termasuk listrik; AC; Kasur; Lemari Baju; Ventilasi; Bantal; Jendela; Wastafel; K. Mandi Dalam; Kloset Duduk; Shower; Air panas; WiFi; Kulkas; R. Cuci; Mesin Cuci; Dapur; Pengurus Kos; Taman; Parkir Mobil; Parkir Motor; Parkir Sepeda; Parkir Motor &amp; Sepeda"/>
    <x v="19"/>
    <s v="Rp1.800.000"/>
    <x v="0"/>
    <m/>
    <x v="1"/>
    <m/>
    <m/>
  </r>
  <r>
    <s v="Kost C3 Aegis VVIP Executive Cikarang Selatan Bekasi"/>
    <x v="7"/>
    <s v="Cikarang Selatan"/>
    <n v="16"/>
    <s v="4 x 4 meter"/>
    <s v="Tidak termasuk listrik"/>
    <s v=""/>
    <s v="N/A"/>
    <s v="4 x 4 meter; Tidak termasuk listrik; AC; Kasur; Lemari Baju; Ventilasi; Bantal; Jendela; Wastafel; K. Mandi Dalam; Kloset Duduk; Shower; Air panas"/>
    <x v="19"/>
    <s v="Rp1.800.000"/>
    <x v="0"/>
    <m/>
    <x v="2"/>
    <m/>
    <m/>
  </r>
  <r>
    <s v="Kost C3 Beverly Cikarang Selatan Bekasi"/>
    <x v="7"/>
    <s v="Cikarang Selatan"/>
    <n v="13.5"/>
    <s v="3 x 4.5 meter"/>
    <s v="Tidak termasuk listrik"/>
    <s v=""/>
    <s v="N/A"/>
    <s v="3 x 4.5 meter; Tidak termasuk listrik; AC; Kasur; Lemari Baju; Ventilasi; Bantal; Guling; Jendela; Kloset Duduk; Kloset Jongkok; K. Mandi Luar; Shower; Air panas; WiFi; Kulkas; R. Cuci; Mesin Cuci; R. Tamu; R. Jemur; Dapur; Jemuran; Pengurus Kos; Parkir Mobil; Parkir Motor; Parkir Sepeda"/>
    <x v="23"/>
    <s v="Rp1.200.000"/>
    <x v="12"/>
    <d v="1899-12-30T04:04:00"/>
    <x v="0"/>
    <m/>
    <m/>
  </r>
  <r>
    <s v="Kost C3 Calgary Tipe A Cikarang Pusat Bekasi"/>
    <x v="7"/>
    <s v="Kecamatan Cikarang Pusat"/>
    <n v="12"/>
    <s v="3 x 4 meter"/>
    <s v="Tidak termasuk listrik"/>
    <s v=""/>
    <s v="N/A"/>
    <s v="3 x 4 meter; Tidak termasuk listrik; AC; Kasur; Lemari Baju; Ventilasi; Bantal; Cermin; Jendela; Kloset Duduk; Shower; Air panas; WiFi; Kulkas; Mesin Cuci; R. Jemur; Dapur; Dispenser; Jemuran; K. Mandi Luar; Kartu Akses; Pengurus Kos; Parkir Mobil; Parkir Motor; Parkir Sepeda"/>
    <x v="13"/>
    <s v="Rp1.600.000"/>
    <x v="0"/>
    <m/>
    <x v="2"/>
    <m/>
    <m/>
  </r>
  <r>
    <s v="Kost C3 Fei Fei Excecutive Cikarang Pusat Bekasi"/>
    <x v="7"/>
    <s v="Cikarang Pusat"/>
    <n v="12"/>
    <s v="3 x 4 meter"/>
    <s v="Tidak termasuk listrik"/>
    <s v=""/>
    <s v="N/A"/>
    <s v="3 x 4 meter; Tidak termasuk listrik; AC; Kasur; Lemari Baju; Ventilasi; Bantal; Guling; Jendela; K. Mandi Dalam; Kloset Duduk; Shower; Air panas; WiFi; Kulkas; R. Cuci; Mesin Cuci; R. Jemur; Dapur; Balcon; Jemuran; Kartu Akses; Pengurus Kos; Parkir Mobil; Parkir Motor; Parkir Sepeda; Parkir Motor &amp; Sepeda"/>
    <x v="89"/>
    <s v="Rp1.900.000"/>
    <x v="0"/>
    <m/>
    <x v="1"/>
    <m/>
    <m/>
  </r>
  <r>
    <s v="Kost C3 Greenleaf Tipe A Cikarang Pusat Bekasi"/>
    <x v="7"/>
    <s v="Kecamatan Cikarang Pusat"/>
    <n v="12"/>
    <s v="3 x 4 meter"/>
    <s v="Tidak termasuk listrik"/>
    <s v=""/>
    <s v="N/A"/>
    <s v="3 x 4 meter; Tidak termasuk listrik; AC; Kasur; Meja; Kulkas; Lemari Baju; Ventilasi; Jendela; Kloset Duduk; K. Mandi Luar; Wastafel; Shower; WiFi; Mesin Cuci; Jemuran; Pengurus Kos; Taman; Parkir Mobil; Parkir Motor; Parkir Sepeda"/>
    <x v="3"/>
    <s v="Rp1.500.000"/>
    <x v="10"/>
    <d v="1899-12-30T04:05:00"/>
    <x v="1"/>
    <m/>
    <m/>
  </r>
  <r>
    <s v="Kost C3 Himalaya VVIP Cikarang Pusat Bekasi"/>
    <x v="7"/>
    <s v="Kecamatan Cikarang Pusat"/>
    <n v="12"/>
    <s v="3 x 4 meter"/>
    <s v="Tidak termasuk listrik"/>
    <s v=""/>
    <s v="N/A"/>
    <s v="3 x 4 meter; Tidak termasuk listrik; AC; Kasur; Lemari Baju; Ventilasi; Bantal; Guling; Jendela; Wastafel; K. Mandi Dalam; Kloset Duduk; Shower; Air panas; WiFi; Kulkas; R. Cuci; Mesin Cuci; R. Tamu; R. Jemur; Dapur; CCTV; Jemuran; Jual Makanan; Parkir Mobil; Parkir Motor; Parkir Sepeda; Parkir Motor &amp; Sepeda"/>
    <x v="163"/>
    <s v="Rp1.700.000"/>
    <x v="0"/>
    <m/>
    <x v="1"/>
    <m/>
    <m/>
  </r>
  <r>
    <s v="Kost C3 Mustika Langkawi VVIP Cikarang Pusat Bekasi"/>
    <x v="7"/>
    <s v="Kecamatan Cikarang Pusat"/>
    <n v="12"/>
    <s v="3 x 4 meter"/>
    <s v="Tidak termasuk listrik"/>
    <s v=""/>
    <s v="N/A"/>
    <s v="3 x 4 meter; Tidak termasuk listrik; AC; Kasur; Lemari Baju; Ventilasi; Bantal; Guling; Jendela; Wastafel; K. Mandi Dalam; Kloset Duduk; Shower; Air panas; WiFi; Kulkas; R. Cuci; Mesin Cuci; R. Tamu; R. Jemur; R. Makan; Dapur; Jemuran; Pengurus Kos; Parkir Mobil; Parkir Motor; Parkir Sepeda"/>
    <x v="89"/>
    <s v="Rp1.900.000"/>
    <x v="0"/>
    <m/>
    <x v="2"/>
    <m/>
    <m/>
  </r>
  <r>
    <s v="Kost C3 Pipin Executive Cikarang Pusat Bekasi"/>
    <x v="7"/>
    <s v="Kecamatan Cikarang Pusat"/>
    <n v="12"/>
    <s v="3 x 4 meter"/>
    <s v="Tidak termasuk listrik"/>
    <s v=""/>
    <s v="N/A"/>
    <s v="3 x 4 meter; Tidak termasuk listrik; AC; Kasur; Lemari Baju; Ventilasi; Jendela; Wastafel; K. Mandi Dalam; Kloset Duduk; Shower; Air panas; WiFi; Kulkas; Mesin Cuci; R. Tamu; R. Jemur; R. Santai; Dapur; Balcon; Jemuran; Pengurus Kos; Parkir Mobil; Parkir Motor; Parkir Sepeda"/>
    <x v="89"/>
    <s v="Rp1.900.000"/>
    <x v="0"/>
    <m/>
    <x v="2"/>
    <m/>
    <m/>
  </r>
  <r>
    <s v="Kost C3 Rangga Langkawi VVIP Cikarang Pusat Bekasi"/>
    <x v="7"/>
    <s v="Kecamatan Cikarang Pusat"/>
    <n v="12"/>
    <s v="3 x 4 meter"/>
    <s v="Tidak termasuk listrik"/>
    <s v=""/>
    <s v="N/A"/>
    <s v="3 x 4 meter; Tidak termasuk listrik; AC; Kasur; Lemari Baju; Ventilasi; Bantal; Jendela; Wastafel; K. Mandi Dalam; Kloset Duduk; Shower; Air panas; WiFi; Kulkas; R. Cuci; Mesin Cuci; R. Tamu; R. Makan; R. Santai; Dapur; Jemuran; Pengurus Kos; Parkir Mobil; Parkir Motor; Parkir Sepeda; Parkir Motor &amp; Sepeda"/>
    <x v="19"/>
    <s v="Rp1.800.000"/>
    <x v="0"/>
    <m/>
    <x v="1"/>
    <m/>
    <m/>
  </r>
  <r>
    <s v="Kost C3 Sinar Agung VVIP Cikarang Pusat Bekasi"/>
    <x v="7"/>
    <s v="Cikarang Pusat"/>
    <n v="12"/>
    <s v="3 x 4 meter"/>
    <s v="Tidak termasuk listrik"/>
    <s v=""/>
    <s v="N/A"/>
    <s v="3 x 4 meter; Tidak termasuk listrik; AC; Kasur; Kulkas; Lemari Baju; Ventilasi; Jendela; Wastafel; K. Mandi Dalam; Kloset Duduk; Shower; Air panas; WiFi; R. Cuci; Mesin Cuci; Dapur; Jemuran; Pengurus Kos; Parkir Mobil; Parkir Motor; Parkir Motor &amp; Sepeda"/>
    <x v="163"/>
    <s v="Rp1.700.000"/>
    <x v="0"/>
    <m/>
    <x v="2"/>
    <m/>
    <m/>
  </r>
  <r>
    <s v="Kost C3 Vero VVIP Cikarang Pusat Bekasi"/>
    <x v="7"/>
    <s v="Kecamatan Cikarang Pusat"/>
    <n v="12"/>
    <s v="3 x 4 meter"/>
    <s v="Tidak termasuk listrik"/>
    <s v=""/>
    <s v="N/A"/>
    <s v="3 x 4 meter; Tidak termasuk listrik; AC; Kasur; Lemari Baju; Ventilasi; Bantal; Jendela; Wastafel; K. Mandi Dalam; Kloset Duduk; Shower; Air panas; WiFi; Kulkas; R. Cuci; Mesin Cuci; R. Jemur; Dapur; Jemuran; Pengurus Kos; R. Keluarga; Taman; Parkir Mobil; Parkir Motor; Parkir Sepeda; Parkir Motor &amp; Sepeda"/>
    <x v="163"/>
    <s v="Rp1.700.000"/>
    <x v="0"/>
    <m/>
    <x v="1"/>
    <m/>
    <m/>
  </r>
  <r>
    <s v="Kost C3 Verona VVIP Cikarang Pusat Bekasi"/>
    <x v="7"/>
    <s v="Kecamatan Cikarang Pusat"/>
    <n v="12"/>
    <s v="3 x 4 meter"/>
    <s v="Tidak termasuk listrik"/>
    <s v=""/>
    <s v="N/A"/>
    <s v="3 x 4 meter; Tidak termasuk listrik; AC; Kasur; Lemari Baju; Ventilasi; Bantal; Wastafel; K. Mandi Dalam; Kloset Duduk; Shower; Air panas; WiFi; Kulkas; Mesin Cuci; Dapur; Pengurus Kos; Parkir Mobil; Parkir Motor"/>
    <x v="163"/>
    <s v="Rp1.700.000"/>
    <x v="0"/>
    <m/>
    <x v="2"/>
    <m/>
    <m/>
  </r>
  <r>
    <s v="Kost C3 VVIP Syariah Cikarang Selatan Bekasi"/>
    <x v="7"/>
    <s v="Cikarang Selatan"/>
    <n v="18"/>
    <s v="3 x 6 meter"/>
    <s v="Tidak termasuk listrik"/>
    <s v=""/>
    <s v="N/A"/>
    <s v="3 x 6 meter; Tidak termasuk listrik; AC; Kasur; Lemari Baju; Ventilasi; Bantal; Cermin; Guling; Jendela; K. Mandi Dalam; Kloset Duduk; Shower; Air panas; WiFi; Kulkas; Mesin Cuci; Dapur; Dispenser; Parkir Mobil; Parkir Motor"/>
    <x v="163"/>
    <s v="Rp1.700.000"/>
    <x v="0"/>
    <m/>
    <x v="2"/>
    <m/>
    <m/>
  </r>
  <r>
    <s v="Kost Cabin By Don Juan Cakung Jakarta Timur"/>
    <x v="8"/>
    <s v="Kecamatan Cakung"/>
    <n v="9"/>
    <s v="3 x 3 meter"/>
    <s v="Termasuk listrik (implied)"/>
    <s v=""/>
    <s v="N/A"/>
    <s v="3 x 3 meter; Termasuk listrik; AC; Kasur; Meja; TV; Lemari Baju; Ventilasi; Bantal; Cermin; Cleaning service; Jendela; K. Mandi Dalam; Kloset Duduk; Shower; WiFi; Kulkas; Laundry; R. Tamu; R. Makan; Dapur; CCTV; Jemuran; Jual Makanan; Kartu Akses; Parkir Motor; Parkir Sepeda; Parkir Motor &amp; Sepeda"/>
    <x v="181"/>
    <s v="Rp1.399.000"/>
    <x v="3"/>
    <d v="1899-12-30T05:00:00"/>
    <x v="0"/>
    <m/>
    <m/>
  </r>
  <r>
    <s v="Kost Cahaya Dramaga Bogor"/>
    <x v="0"/>
    <s v="Kecamatan Dramaga"/>
    <n v="6"/>
    <s v="2 x 3 meter"/>
    <s v="Termasuk listrik (implied)"/>
    <s v=""/>
    <s v="N/A"/>
    <s v="2 x 3 meter; Termasuk listrik; Kasur; Lemari Baju; Kulkas; Bantal; Kipas Angin; Wastafel; Kloset Jongkok; K. Mandi Luar; Ember mandi; WiFi; R. Jemur; R. Santai; Dapur; CCTV; Jemuran; Parkir Motor"/>
    <x v="31"/>
    <s v="Rp600.000"/>
    <x v="8"/>
    <d v="1899-12-30T04:09:00"/>
    <x v="2"/>
    <m/>
    <s v="Diskon 52rb"/>
  </r>
  <r>
    <s v="Kost Cahtrin Juliana Tipe A Kelapa Gading Jakarta Utara"/>
    <x v="4"/>
    <s v="Kelapa Gading"/>
    <n v="6"/>
    <s v="2 x 3 meter"/>
    <s v="Termasuk listrik (implied)"/>
    <s v=""/>
    <s v="N/A"/>
    <s v="2 x 3 meter; Termasuk listrik; AC; Kasur; Meja; Dispenser; Lemari Baju; Kursi; Wastafel; Kipas Angin; Cleaning service; Bantal; K. Mandi Dalam; Kloset Duduk; K. Mandi Luar; Ember mandi; Shower; WiFi; R. Cuci; Kulkas; Mesin Cuci; Penjaga Kos; R. Jemur; Dapur; Balcon; Parkir Motor; Parkir Sepeda"/>
    <x v="19"/>
    <s v="Rp1.800.000"/>
    <x v="0"/>
    <m/>
    <x v="0"/>
    <m/>
    <m/>
  </r>
  <r>
    <s v="Kost Cahyani Tipe A Cibungbulang Bogor"/>
    <x v="0"/>
    <s v="Cibungbulang"/>
    <n v="27"/>
    <s v="9 x 3 meter"/>
    <s v="Termasuk listrik (implied)"/>
    <s v=""/>
    <s v="N/A"/>
    <s v="9 x 3 meter; Termasuk listrik; Kasur; Meja; Lemari Baju; Bantal; Jendela; Kursi; K. Mandi Dalam; Kloset Jongkok; Ember mandi; WiFi; R. Tamu; R. Jemur; R. Santai; Dapur; Balcon; CCTV; Jemuran; Jual Makanan; Pengurus Kos; Parkir Motor &amp; Sepeda"/>
    <x v="14"/>
    <s v="Rp800.000"/>
    <x v="0"/>
    <m/>
    <x v="2"/>
    <m/>
    <m/>
  </r>
  <r>
    <s v="Kost Cajuputi Kamar C101 Sawah Besar Jakarta Pusat"/>
    <x v="9"/>
    <s v="Sawah Besar"/>
    <n v="5.52"/>
    <s v="2.4 x 2.3 meter"/>
    <s v="Termasuk listrik (implied)"/>
    <s v=""/>
    <s v="N/A"/>
    <s v="2.4 x 2.3 meter; Termasuk listrik; Kasur; Meja; Lemari Baju; Bantal; Cermin; K. Mandi Dalam; Kloset Duduk; Wastafel; Shower; WiFi; Kulkas; Dapur; Parkir Motor"/>
    <x v="3"/>
    <s v="Rp1.500.000"/>
    <x v="2"/>
    <d v="1899-12-30T04:08:00"/>
    <x v="0"/>
    <m/>
    <s v="Diskon 68rb"/>
  </r>
  <r>
    <s v="Kost Cajuputi Kamar C102 Sawah Besar Jakarta Pusat"/>
    <x v="9"/>
    <s v="Sawah Besar"/>
    <n v="5.52"/>
    <s v="2.3 x 2.4 meter"/>
    <s v="Termasuk listrik (implied)"/>
    <s v=""/>
    <s v="N/A"/>
    <s v="2.3 x 2.4 meter; Termasuk listrik; Kasur; Meja; Lemari Baju; Bantal; Cermin; Guling; K. Mandi Dalam; Kloset Duduk; Wastafel; Shower; WiFi; Kulkas; Dapur; Parkir Motor"/>
    <x v="3"/>
    <s v="Rp1.500.000"/>
    <x v="2"/>
    <d v="1899-12-30T04:08:00"/>
    <x v="0"/>
    <m/>
    <s v="Diskon 68rb"/>
  </r>
  <r>
    <s v="Kost Cajuputi Tipe B202 Sawah Besar Jakarta Pusat"/>
    <x v="9"/>
    <s v="Sawah Besar"/>
    <n v="9"/>
    <s v="3 x 3 meter"/>
    <s v="Termasuk listrik (implied)"/>
    <s v=""/>
    <s v="N/A"/>
    <s v="3 x 3 meter; Termasuk listrik; AC; Kasur; Meja; Lemari Baju; Bantal; Cermin; Guling; Kursi; Kloset Duduk; K. Mandi Luar; Wastafel; Shower; WiFi; Kulkas; Dapur; Parkir Motor"/>
    <x v="4"/>
    <s v="Rp2.200.000"/>
    <x v="3"/>
    <d v="1899-12-30T05:00:00"/>
    <x v="0"/>
    <m/>
    <s v="Diskon 110rb"/>
  </r>
  <r>
    <s v="Kost Calla Coliving Tipe Deluxe Karang Tengah Tangerang"/>
    <x v="6"/>
    <s v="Kecamatan Karang Tengah"/>
    <n v="28"/>
    <s v="7 x 4 meter"/>
    <s v="Tidak termasuk listrik"/>
    <s v=""/>
    <s v="N/A"/>
    <s v="7 x 4 meter; Tidak termasuk listrik; AC; Kasur; Meja; Meja Rias; TV; Lemari Baju; Ventilasi; Bantal; Cermin; Cleaning service; K. Mandi Dalam; Kloset Duduk; Wastafel; Shower; Air panas; WiFi; Kulkas; Penjaga Kos; R. Tamu; R. Jemur; R. Makan; R. Santai; Dapur; Dispenser; Balcon; Parkir Mobil; Parkir Motor; Parkir Sepeda; Parkir Motor &amp; Sepeda"/>
    <x v="182"/>
    <s v="Rp2.900.000"/>
    <x v="0"/>
    <m/>
    <x v="0"/>
    <m/>
    <m/>
  </r>
  <r>
    <s v="Kost Casa 36 Tipe A1 Beji Depok"/>
    <x v="1"/>
    <s v="Beji"/>
    <n v="12"/>
    <s v="3 x 4 meter"/>
    <s v="Tidak termasuk listrik"/>
    <s v=""/>
    <s v="N/A"/>
    <s v="3 x 4 meter; Tidak termasuk listrik; AC; Kasur; Meja; Lemari Baju; Ventilasi; Bantal; Cermin; Guling; Jendela; Kursi; K. Mandi Dalam; Kloset Duduk; Wastafel; Shower; WiFi; Kulkas; Penjaga Kos; R. Tamu; R. Santai; TV; Taman; Parkir Mobil; Parkir Motor; Parkir Sepeda"/>
    <x v="11"/>
    <s v="Rp1.400.000"/>
    <x v="10"/>
    <d v="1899-12-30T04:05:00"/>
    <x v="1"/>
    <m/>
    <m/>
  </r>
  <r>
    <s v="Kost Casa 36 Tipe B2 Beji Depok"/>
    <x v="1"/>
    <s v="Beji"/>
    <n v="12"/>
    <s v="3 x 4 meter"/>
    <s v="Tidak termasuk listrik"/>
    <s v=""/>
    <s v="N/A"/>
    <s v="3 x 4 meter; Tidak termasuk listrik; AC; Kasur; Meja; Lemari Baju; Ventilasi; Bantal; Cermin; Guling; Jendela; Kursi; K. Mandi Dalam; Kloset Duduk; Wastafel; Shower; WiFi; Kulkas; Penjaga Kos; R. Tamu; R. Santai; TV; Taman; Parkir Mobil; Parkir Motor; Parkir Sepeda"/>
    <x v="18"/>
    <s v="Rp1.300.000"/>
    <x v="13"/>
    <d v="1899-12-30T04:03:00"/>
    <x v="1"/>
    <m/>
    <m/>
  </r>
  <r>
    <s v="Kost Casa De Angel Tipe Deluxe Cimanggis Depok"/>
    <x v="1"/>
    <s v="Cimanggis"/>
    <n v="12"/>
    <s v="3 x 4 meter"/>
    <s v="Tidak termasuk listrik"/>
    <s v=""/>
    <s v="N/A"/>
    <s v="3 x 4 meter; Tidak termasuk listrik; AC; Kasur; Meja Rias; TV; Lemari Baju; Ventilasi; Bantal; Cermin; Cleaning service; Jendela; K. Mandi Dalam; Kloset Duduk; Shower; Air panas; WiFi; Kulkas; R. Cuci; Mesin Cuci; Penjaga Kos; R. Tamu; R. Jemur; R. Makan; R. Santai; Dapur; Parkir Mobil; Parkir Motor; Parkir Sepeda; Parkir Motor &amp; Sepeda"/>
    <x v="13"/>
    <s v="Rp1.600.000"/>
    <x v="0"/>
    <m/>
    <x v="2"/>
    <m/>
    <m/>
  </r>
  <r>
    <s v="Kost Casa De Beverly Executive Benda Tangerang"/>
    <x v="6"/>
    <s v="Kecamatan Benda"/>
    <n v="12"/>
    <s v="3 x 4 meter"/>
    <s v="Tidak termasuk listrik"/>
    <s v=""/>
    <s v="N/A"/>
    <s v="3 x 4 meter; Tidak termasuk listrik; AC; Kasur; Dispenser; Lemari Baju; Ventilasi; Cermin; Guling; Jendela; Bantal; K. Mandi Dalam; Kloset Duduk; Shower; Air panas; WiFi; R. Cuci; Penjaga Kos; R. Jemur; Dapur; CCTV; Jemuran; Pengurus Kos; Rice Cooker; Parkir Mobil; Parkir Motor &amp; Sepeda"/>
    <x v="89"/>
    <s v="Rp1.900.000"/>
    <x v="3"/>
    <d v="1899-12-30T05:00:00"/>
    <x v="0"/>
    <m/>
    <s v="Diskon 95rb"/>
  </r>
  <r>
    <s v="Kost Casa De Louvre 9 Tipe A Cikarang Selatan Bekasi"/>
    <x v="7"/>
    <s v="Cikarang Selatan"/>
    <n v="7.5"/>
    <s v="2.5 x 3 meter"/>
    <s v="Tidak termasuk listrik"/>
    <s v=""/>
    <s v="N/A"/>
    <s v="2.5 x 3 meter; Tidak termasuk listrik; AC; Kasur; Meja; Meja Rias; TV; Lemari Baju; Ventilasi; Bantal; Cermin; Cleaning service; Kloset Duduk; K. Mandi Luar; Wastafel; Shower; Air panas; WiFi; Kulkas; Laundry; Mesin Cuci; Penjaga Kos; R. Jemur; Dapur; Dispenser; CCTV; Jemuran; Parkir Mobil; Parkir Motor; Parkir Sepeda"/>
    <x v="13"/>
    <s v="Rp1.600.000"/>
    <x v="0"/>
    <m/>
    <x v="2"/>
    <m/>
    <m/>
  </r>
  <r>
    <s v="Kost Casa De Luna Tipe B Kelapa Gading Jakarta Utara"/>
    <x v="4"/>
    <s v="Kelapa Gading"/>
    <n v="7.5"/>
    <s v="3 x 2.5 meter"/>
    <s v="Tidak termasuk listrik"/>
    <s v=""/>
    <s v="N/A"/>
    <s v="3 x 2.5 meter; Tidak termasuk listrik; AC; Kasur; Meja; Lemari Baju; Bantal; Cermin; Guling; Jendela; Kursi; K. Mandi Dalam; Kloset Duduk; Shower; Air panas; WiFi; Kulkas; R. Cuci; Mesin Cuci; Penjaga Kos; R. Jemur; Dapur; Balcon; CCTV; Jemuran; Parkir Motor"/>
    <x v="27"/>
    <s v="Rp2.000.000"/>
    <x v="5"/>
    <d v="1899-12-30T04:00:00"/>
    <x v="0"/>
    <m/>
    <s v="Diskon 105rb"/>
  </r>
  <r>
    <s v="Kost Casa De Shira 1 Tipe A Pulo Gadung Jakarta Timur"/>
    <x v="8"/>
    <s v="Pulo Gadung"/>
    <n v="12"/>
    <s v="3 x 4 meter"/>
    <s v="Tidak termasuk listrik"/>
    <s v=""/>
    <s v="N/A"/>
    <s v="3 x 4 meter; Tidak termasuk listrik; AC; Kasur; Meja Rias; Kulkas; Lemari Baju; Ventilasi; Bantal; Cermin; Guling; Jendela; K. Mandi Dalam; Kloset Duduk; Shower; WiFi; R. Cuci; Penjaga Kos; R. Jemur; R. Makan; R. Santai; Dapur; CCTV; Gazebo; Parkir Motor"/>
    <x v="170"/>
    <s v="Rp2.250.000"/>
    <x v="6"/>
    <d v="1899-12-30T04:06:00"/>
    <x v="2"/>
    <m/>
    <s v="Diskon 110rb"/>
  </r>
  <r>
    <s v="Kost Casa Living Pinang Tangerang"/>
    <x v="6"/>
    <s v="Kecamatan Pinang"/>
    <n v="18"/>
    <s v="3 x 6 meter"/>
    <s v="Tidak termasuk listrik"/>
    <s v=""/>
    <s v="N/A"/>
    <s v="3 x 6 meter; Tidak termasuk listrik; AC; Kasur; Meja; TV; Lemari Baju; Bantal; Cermin; Cleaning service; Guling; Jendela; K. Mandi Dalam; Kloset Duduk; Wastafel; Shower; Air panas; WiFi; Mesin Cuci; Penjaga Kos; Mushola; R. Santai; Dapur; CCTV; Pengurus Kos; Kartu Akses; Parkir Mobil; Parkir Motor; Parkir Sepeda"/>
    <x v="22"/>
    <s v="Rp2.500.000"/>
    <x v="0"/>
    <m/>
    <x v="0"/>
    <m/>
    <m/>
  </r>
  <r>
    <s v="Kost Casa Standart Pasar Rebo Jakarta Timur"/>
    <x v="8"/>
    <s v="Kecamatan Pasar Rebo"/>
    <n v="12"/>
    <s v="3 x 4 meter"/>
    <s v="Tidak termasuk listrik"/>
    <s v=""/>
    <s v="N/A"/>
    <s v="3 x 4 meter; Tidak termasuk listrik; AC; Kasur; Meja; Lemari Baju; Bantal; Cermin; Guling; Jendela; Kursi; K. Mandi Dalam; Kloset Duduk; Shower; WiFi; Kulkas; R. Cuci; R. Tamu; R. Jemur; Dapur; Dispenser; Balcon; CCTV; Jemuran; Parkir Motor"/>
    <x v="166"/>
    <s v="Rp1.750.000"/>
    <x v="8"/>
    <d v="1899-12-30T04:09:00"/>
    <x v="2"/>
    <m/>
    <s v="Diskon 88rb"/>
  </r>
  <r>
    <s v="Kost Cascade House Tipe B Beji Depok"/>
    <x v="1"/>
    <s v="Beji"/>
    <n v="12"/>
    <s v="3 x 4 meter"/>
    <s v="Tidak termasuk listrik"/>
    <s v=""/>
    <s v="N/A"/>
    <s v="3 x 4 meter; Tidak termasuk listrik; AC; Kasur; Meja; TV; Lemari Baju; Kursi; Cleaning service; K. Mandi Dalam; Kloset Duduk; Shower; WiFi; R. Cuci; Kulkas; R. Tamu; Mesin Cuci; Penjaga Kos; Laundry; R. Makan; R. Jemur; Mushola; Parkir Mobil; Parkir Motor; Parkir Sepeda"/>
    <x v="3"/>
    <s v="Rp1.500.000"/>
    <x v="10"/>
    <d v="1899-12-30T04:05:00"/>
    <x v="1"/>
    <m/>
    <m/>
  </r>
  <r>
    <s v="Kost Cathacost 12 Cibinong Bogor"/>
    <x v="0"/>
    <s v="Kecamatan Cibinong"/>
    <n v="12"/>
    <s v="3 x 4 meter"/>
    <s v="Tidak termasuk listrik"/>
    <s v=""/>
    <s v="N/A"/>
    <s v="3 x 4 meter; Tidak termasuk listrik; AC; Kasur; Meja; Lemari Baju; Bantal; Cermin; Jendela; K. Mandi Dalam; Kloset Duduk; Shower; WiFi; Kulkas; Penjaga Kos; R. Tamu; R. Jemur; R. Santai; Dapur; Balcon; CCTV; Jemuran; Parkir Motor"/>
    <x v="183"/>
    <s v="Rp1.230.000"/>
    <x v="6"/>
    <d v="1899-12-30T04:06:00"/>
    <x v="0"/>
    <m/>
    <m/>
  </r>
  <r>
    <s v="Kost Cazaduma Tipe A Cikarang Utara Bekasi"/>
    <x v="7"/>
    <s v="Cikarang Utara"/>
    <n v="9"/>
    <s v="3 x 3 meter"/>
    <s v="Tidak termasuk listrik"/>
    <s v=""/>
    <s v="N/A"/>
    <s v="3 x 3 meter; Tidak termasuk listrik; AC; Kasur; Lemari Baju; Jendela; Cleaning service; Cermin; K. Mandi Dalam; Kloset Jongkok; Shower; WiFi; Kulkas; R. Cuci; R. Tamu; R. Jemur; Dapur; CCTV; K. Mandi Luar; TV; Jemuran; Parkir Mobil; Parkir Motor"/>
    <x v="3"/>
    <s v="Rp1.500.000"/>
    <x v="0"/>
    <m/>
    <x v="2"/>
    <m/>
    <m/>
  </r>
  <r>
    <s v="Kost Cazaduma Tipe B Cikarang Utara Bekasi"/>
    <x v="7"/>
    <s v="Cikarang Utara"/>
    <n v="9"/>
    <s v="3 x 3 meter"/>
    <s v="Tidak termasuk listrik"/>
    <s v=""/>
    <s v="N/A"/>
    <s v="3 x 3 meter; Tidak termasuk listrik; AC; Kasur; Meja; Lemari Baju; Ventilasi; Cleaning service; Cermin; Jendela; Bantal; K. Mandi Dalam; Kloset Duduk; Ember mandi; Shower; WiFi; Kulkas; R. Cuci; R. Tamu; R. Jemur; Dapur; Dispenser; TV; Balcon; K. Mandi Luar; Parkir Motor; Parkir Sepeda"/>
    <x v="13"/>
    <s v="Rp1.600.000"/>
    <x v="0"/>
    <m/>
    <x v="2"/>
    <m/>
    <m/>
  </r>
  <r>
    <s v="Kost CBC Homestay 8 Benda Tangerang"/>
    <x v="6"/>
    <s v="Benda"/>
    <n v="15"/>
    <s v="3 x 5 meter"/>
    <s v="Tidak termasuk listrik"/>
    <s v=""/>
    <s v="N/A"/>
    <s v="3 x 5 meter; Tidak termasuk listrik; AC; Kasur; Meja; Dispenser; TV; Lemari Baju; Ventilasi; Wastafel; Cleaning service; TV Kabel; K. Mandi Dalam; Kloset Duduk; Shower; Air panas; WiFi; Kulkas; Penjaga Kos; R. Santai; Dapur; Kartu Akses; CCTV; Parkir Mobil; Parkir Motor"/>
    <x v="33"/>
    <s v="Rp2.400.000"/>
    <x v="6"/>
    <d v="1899-12-30T04:06:00"/>
    <x v="0"/>
    <m/>
    <m/>
  </r>
  <r>
    <s v="Kost Cemara 411A Standard Cikarang Selatan Bekasi"/>
    <x v="7"/>
    <s v="Cikarang Selatan"/>
    <n v="9"/>
    <s v="3 x 3 meter"/>
    <s v="Termasuk listrik (implied)"/>
    <s v=""/>
    <s v="N/A"/>
    <s v="3 x 3 meter; Termasuk listrik; Kasur; Lemari Baju; Kipas Angin; Kloset Duduk; Kloset Jongkok; K. Mandi Luar; Wastafel; Shower; WiFi; R. Cuci; Kulkas; R. Tamu; Mesin Cuci; Penjaga Kos; Laundry; R. Jemur; Dapur; Parkir Mobil; Parkir Motor; Parkir Sepeda"/>
    <x v="18"/>
    <s v="Rp1.300.000"/>
    <x v="12"/>
    <d v="1899-12-30T04:04:00"/>
    <x v="0"/>
    <m/>
    <m/>
  </r>
  <r>
    <s v="Kost Cemara Cinere Depok"/>
    <x v="1"/>
    <s v="Kecamatan Cinere"/>
    <n v="7.5"/>
    <s v="2.5 x 3 meter"/>
    <s v="Termasuk listrik (implied)"/>
    <s v=""/>
    <s v="N/A"/>
    <s v="2.5 x 3 meter; Termasuk listrik; AC; Kasur; Meja; Lemari Baju; Ventilasi; Cermin; Jendela; Kursi; Kloset Jongkok; K. Mandi Luar; Ember mandi; Wastafel; Shower; WiFi; Balcon; Jemuran; Parkir Motor; Parkir Sepeda"/>
    <x v="18"/>
    <s v="Rp1.300.000"/>
    <x v="4"/>
    <d v="1899-12-30T04:01:00"/>
    <x v="2"/>
    <m/>
    <m/>
  </r>
  <r>
    <s v="Kost Cemara Hijau 240 Tipe A Cikarang Selatan Bekasi"/>
    <x v="7"/>
    <s v="Cikarang Selatan"/>
    <n v="12"/>
    <s v="3 x 4 meter"/>
    <s v="Tidak termasuk listrik"/>
    <s v=""/>
    <s v="N/A"/>
    <s v="3 x 4 meter; Tidak termasuk listrik; AC; Kasur; Lemari Baju; Bantal; Cermin; TV Kabel; K. Mandi Dalam; Kloset Duduk; Shower; Air panas; WiFi; Kulkas; Laundry; Dapur; CCTV; Jemuran; Pengurus Kos; TV; Parkir Mobil; Parkir Motor; Parkir Motor &amp; Sepeda"/>
    <x v="163"/>
    <s v="Rp1.700.000"/>
    <x v="0"/>
    <m/>
    <x v="0"/>
    <m/>
    <m/>
  </r>
  <r>
    <s v="Kost Cemara Hijau 240 Tipe C Cikarang Selatan Bekasi"/>
    <x v="7"/>
    <s v="Cikarang Selatan"/>
    <n v="9"/>
    <s v="3 x 3 meter"/>
    <s v="Tidak termasuk listrik"/>
    <s v=""/>
    <s v="N/A"/>
    <s v="3 x 3 meter; Tidak termasuk listrik; AC; Kasur; TV; Lemari Baju; Bantal; Cermin; TV Kabel; K. Mandi Dalam; Kloset Duduk; Shower; Air panas; WiFi; Kulkas; Laundry; Mesin Cuci; Dapur; CCTV; Jemuran; Locker; Pengurus Kos; Parkir Mobil; Parkir Motor; Parkir Motor &amp; Sepeda"/>
    <x v="167"/>
    <s v="Rp1.550.000"/>
    <x v="0"/>
    <m/>
    <x v="0"/>
    <m/>
    <m/>
  </r>
  <r>
    <s v="Kost Cemara Hijau 240 Tipe F 1 Cikarang Selatan Bekasi"/>
    <x v="7"/>
    <s v="Cikarang Selatan"/>
    <n v="12"/>
    <s v="3 x 4 meter"/>
    <s v="Tidak termasuk listrik"/>
    <s v=""/>
    <s v="N/A"/>
    <s v="3 x 4 meter; Tidak termasuk listrik; AC; Kasur; TV; Lemari Baju; Ventilasi; Bantal; Jendela; TV Kabel; K. Mandi Dalam; Kloset Duduk; Shower; Air panas"/>
    <x v="13"/>
    <s v="Rp1.600.000"/>
    <x v="0"/>
    <m/>
    <x v="0"/>
    <m/>
    <m/>
  </r>
  <r>
    <s v="Kost Cemara House Kedasih Jababeka Tipe A Cikarang Utara Bekasi"/>
    <x v="7"/>
    <s v="Cikarang Utara"/>
    <n v="12"/>
    <s v="3 x 4 meter"/>
    <s v="Termasuk listrik (implied)"/>
    <s v=""/>
    <s v="N/A"/>
    <s v="3 x 4 meter; Termasuk listrik; Kasur; Lemari Baju; Jendela; K. Mandi Dalam; Kloset Jongkok; Ember mandi; Kulkas; R. Santai; Dapur; TV; Balcon; K. Mandi Luar; Pengurus Kos; Jemuran; Parkir Motor"/>
    <x v="106"/>
    <s v="Rp920.000"/>
    <x v="3"/>
    <d v="1899-12-30T05:00:00"/>
    <x v="2"/>
    <m/>
    <m/>
  </r>
  <r>
    <s v="Kost Cemara House Kedasih Jababeka Tipe B Cikarang Selatan Bekasi"/>
    <x v="7"/>
    <s v="Cikarang Selatan"/>
    <n v="9"/>
    <s v="3 x 3 meter"/>
    <s v="Termasuk listrik (implied)"/>
    <s v=""/>
    <s v="N/A"/>
    <s v="3 x 3 meter; Termasuk listrik; Kasur; Lemari Baju; K. Mandi Dalam; Kloset Jongkok; K. Mandi Luar; Ember mandi; Kulkas; R. Tamu; R. Jemur; Dapur; TV; Parkir Motor"/>
    <x v="184"/>
    <s v="Rp1.120.000"/>
    <x v="0"/>
    <m/>
    <x v="2"/>
    <m/>
    <m/>
  </r>
  <r>
    <s v="Kost Cemara House Kedasih Jababeka Tipe B Cikarang Selatan Bekasi"/>
    <x v="7"/>
    <s v="Cikarang Selatan"/>
    <n v="9"/>
    <s v="3 x 3 meter"/>
    <s v="Termasuk listrik (implied)"/>
    <s v=""/>
    <s v="N/A"/>
    <s v="3 x 3 meter; Termasuk listrik; Kasur; Lemari Baju; K. Mandi Dalam; Kloset Jongkok; K. Mandi Luar; Ember mandi"/>
    <x v="184"/>
    <s v="Rp1.120.000"/>
    <x v="0"/>
    <m/>
    <x v="2"/>
    <m/>
    <m/>
  </r>
  <r>
    <s v="Kost Cemara House Kedasih Jababeka Tipe B Cikarang Selatan Bekasi"/>
    <x v="7"/>
    <s v="Cikarang Selatan"/>
    <n v="9"/>
    <s v="3 x 3 meter"/>
    <s v="Termasuk listrik (implied)"/>
    <s v=""/>
    <s v="N/A"/>
    <s v="3 x 3 meter; Termasuk listrik; Kasur; Lemari Baju; Kulkas; R. Tamu; R. Jemur; Dapur; TV; K. Mandi Luar; Parkir Motor"/>
    <x v="184"/>
    <s v="Rp1.120.000"/>
    <x v="0"/>
    <m/>
    <x v="2"/>
    <m/>
    <m/>
  </r>
  <r>
    <s v="Kost Cemara I Komplek Meadow Green Lippo Cikarang Selatan Bekasi"/>
    <x v="7"/>
    <s v="Cikarang Selatan"/>
    <n v="12"/>
    <s v="3 x 4 meter"/>
    <s v="Termasuk listrik (implied)"/>
    <s v=""/>
    <s v="N/A"/>
    <s v="3 x 4 meter; Termasuk listrik; AC; Kasur; Meja; Meja Rias; Lemari Baju; Kulkas; Wastafel; TV Kabel; K. Mandi Dalam; Kloset Duduk; K. Mandi Luar; Shower; Air panas; WiFi; R. Cuci; R. Tamu; Mesin Cuci; Laundry; R. Makan; R. Jemur; Dapur; TV; Parkir Mobil; Parkir Motor; Parkir Sepeda"/>
    <x v="185"/>
    <s v="Rp1.880.000"/>
    <x v="0"/>
    <m/>
    <x v="0"/>
    <m/>
    <m/>
  </r>
  <r>
    <s v="Kost Cemara21A Menteng Near Gondangdia Station Jakarta Pusat"/>
    <x v="9"/>
    <s v="Menteng"/>
    <n v="12"/>
    <s v="3 x 4 meter"/>
    <s v="Termasuk listrik (implied)"/>
    <s v=""/>
    <s v="N/A"/>
    <s v="3 x 4 meter; Termasuk listrik; AC; Kasur; Meja; Lemari Baju; Kursi; Cleaning service; K. Mandi Dalam; Kloset Duduk; Shower; Bak mandi; WiFi; Kulkas; R. Tamu; Mesin Cuci; R. Jemur; R. Santai; Dapur; TV; Taman; Balcon; Parkir Mobil; Parkir Motor; Parkir Sepeda"/>
    <x v="186"/>
    <s v="Rp3.000.000"/>
    <x v="15"/>
    <d v="1899-12-30T03:01:00"/>
    <x v="0"/>
    <m/>
    <s v="Diskon 150rb"/>
  </r>
  <r>
    <s v="Kost Cemerlang 3 Dramaga Bogor"/>
    <x v="0"/>
    <s v="Dramaga"/>
    <n v="9"/>
    <s v="3 x 3 meter"/>
    <s v="Tidak termasuk listrik"/>
    <s v=""/>
    <s v="N/A"/>
    <s v="3 x 3 meter; Tidak termasuk listrik; Kasur; Meja; Bantal; Guling; Jendela; Kipas Angin; Kursi; Kloset Jongkok; Ember mandi; WiFi; Kulkas; Dapur; Pengurus Kos; TV; Parkir Mobil; Parkir Motor; Parkir Sepeda"/>
    <x v="187"/>
    <s v="Rp535.000"/>
    <x v="0"/>
    <m/>
    <x v="1"/>
    <m/>
    <m/>
  </r>
  <r>
    <s v="Kost Cemerlang Dramaga Bogor"/>
    <x v="0"/>
    <s v="Dramaga"/>
    <n v="4"/>
    <s v="2 x 2 meter"/>
    <s v="Tidak termasuk listrik"/>
    <s v=""/>
    <s v="N/A"/>
    <s v="2 x 2 meter; Tidak termasuk listrik; AC; Kasur; Meja; Lemari Baju; Bantal; Jendela; Kursi; Kloset Jongkok; Ember mandi; Wastafel; WiFi; Kulkas; R. Cuci; R. Tamu; R. Jemur; Dapur; Jemuran; K. Mandi Luar; Pengurus Kos; TV; Parkir Mobil; Parkir Motor; Parkir Sepeda"/>
    <x v="188"/>
    <s v="Rp525.000"/>
    <x v="10"/>
    <d v="1899-12-30T04:05:00"/>
    <x v="2"/>
    <m/>
    <m/>
  </r>
  <r>
    <s v="Kost Cempaka Tipe B Cipondoh Tangerang"/>
    <x v="6"/>
    <s v="Kecamatan Cipondoh"/>
    <n v="12"/>
    <s v="3 x 4 meter"/>
    <s v="Tidak termasuk listrik"/>
    <s v=""/>
    <s v="N/A"/>
    <s v="3 x 4 meter; Tidak termasuk listrik; AC; Kasur; Dispenser; Meja Rias; Lemari Baju; Bantal; Cermin; Guling; Kursi; K. Mandi Dalam; Kloset Duduk; Shower; WiFi; R. Tamu; R. Jemur; R. Makan; R. Santai; Dapur; CCTV; Jemuran; K. Mandi Luar; R. Keluarga; Parkir Mobil; Parkir Motor; Parkir Sepeda"/>
    <x v="18"/>
    <s v="Rp1.300.000"/>
    <x v="3"/>
    <d v="1899-12-30T05:00:00"/>
    <x v="2"/>
    <m/>
    <m/>
  </r>
  <r>
    <s v="Kost Cengkir Kelapa Gading Jakarta Utara"/>
    <x v="4"/>
    <s v="Kelapa Gading"/>
    <n v="9"/>
    <s v="3 x 3 meter"/>
    <s v="Tidak termasuk listrik"/>
    <s v=""/>
    <s v="N/A"/>
    <s v="3 x 3 meter; Tidak termasuk listrik; AC; Kasur; Meja; Lemari Baju; Kursi; Wastafel; Kloset Duduk; K. Mandi Luar; Shower; WiFi; Kulkas; R. Cuci; Laundry; R. Makan; R. Jemur; R. Santai; Dapur; TV; Gazebo; Parkir Mobil; Parkir Motor"/>
    <x v="13"/>
    <s v="Rp1.600.000"/>
    <x v="0"/>
    <m/>
    <x v="0"/>
    <m/>
    <m/>
  </r>
  <r>
    <s v="Kost Ceniza Astari Kelapa Gading Jakarta Utara"/>
    <x v="4"/>
    <s v="Kecamatan Kelapa Gading"/>
    <n v="9"/>
    <s v="3 x 3 meter"/>
    <s v="Tidak termasuk listrik"/>
    <s v=""/>
    <s v="N/A"/>
    <s v="3 x 3 meter; Tidak termasuk listrik; Kasur; Meja; Lemari Baju; Ventilasi; Kursi; Bantal; Jendela; K. Mandi Dalam; Kloset Duduk; Ember mandi; WiFi; Kulkas; Penjaga Kos; R. Jemur; Dapur; Dispenser; Jemuran; Pengurus Kos; Parkir Motor; Parkir Sepeda"/>
    <x v="18"/>
    <s v="Rp1.300.000"/>
    <x v="12"/>
    <d v="1899-12-30T04:04:00"/>
    <x v="2"/>
    <m/>
    <m/>
  </r>
  <r>
    <s v="Kost Chandra Kirana Pondok Aren Tangerang Selatan"/>
    <x v="2"/>
    <s v="Kecamatan Pondok Aren"/>
    <n v="9"/>
    <s v="3 x 3 meter"/>
    <s v="Tidak termasuk listrik"/>
    <s v=""/>
    <s v="N/A"/>
    <s v="3 x 3 meter; Tidak termasuk listrik; Kasur; Meja; Lemari Baju; Bantal; Cermin; Guling; Kloset Duduk; K. Mandi Luar; Ember mandi; Wastafel; Shower; WiFi; Kulkas; Penjaga Kos; Dapur; Dispenser; Balcon; CCTV; Jemuran; TV; Parkir Motor; Parkir Sepeda; Parkir Motor &amp; Sepeda"/>
    <x v="2"/>
    <s v="Rp700.000"/>
    <x v="12"/>
    <d v="1899-12-30T04:04:00"/>
    <x v="1"/>
    <m/>
    <s v="Diskon 54rb"/>
  </r>
  <r>
    <s v="Kost CherryHomeStay Tipe A Kelapa Gading Jakarta Utara"/>
    <x v="4"/>
    <s v="Kecamatan Kelapa Gading"/>
    <n v="9.1"/>
    <s v="2.6 x 3.5 meter"/>
    <s v="Termasuk listrik (implied)"/>
    <s v=""/>
    <s v="N/A"/>
    <s v="2.6 x 3.5 meter; Termasuk listrik; AC; Kasur; Meja; TV; Meja Rias; Lemari Baju; Kursi; Kloset Duduk; K. Mandi Luar; Wastafel; Ember mandi; WiFi; Kulkas; R. Tamu; Laundry; R. Makan; Dapur; R. Keluarga"/>
    <x v="169"/>
    <s v="Rp2.550.000"/>
    <x v="15"/>
    <d v="1899-12-30T03:01:00"/>
    <x v="2"/>
    <m/>
    <m/>
  </r>
  <r>
    <s v="Kost CherryHomeStay Tipe B Kelapa Gading Jakarta Utara"/>
    <x v="4"/>
    <s v="Kelapa Gading"/>
    <n v="14.43"/>
    <s v="3.7 x 3.9 meter"/>
    <s v="Tidak termasuk listrik"/>
    <s v=""/>
    <s v="N/A"/>
    <s v="3.7 x 3.9 meter; Tidak termasuk listrik; AC; Kasur; Meja; TV; Meja Rias; Lemari Baju; Kursi; Jendela; Kloset Duduk; K. Mandi Luar; Wastafel; Shower; WiFi; Kulkas; R. Tamu; Laundry; R. Makan; R. Jemur; R. Santai; Dapur; Dispenser"/>
    <x v="189"/>
    <s v="Rp2.350.000"/>
    <x v="0"/>
    <m/>
    <x v="2"/>
    <m/>
    <m/>
  </r>
  <r>
    <s v="Kost Chintia Janson 5 Tipe A Grogol Petamburan Jakarta Barat"/>
    <x v="3"/>
    <s v="Grogol Petamburan"/>
    <n v="9"/>
    <s v="3 x 3 meter"/>
    <s v="Tidak termasuk listrik"/>
    <s v=""/>
    <s v="N/A"/>
    <s v="3 x 3 meter; Tidak termasuk listrik; AC; Kasur; Meja; TV; Lemari Baju; Bantal; Guling; Kursi; K. Mandi Dalam; Kloset Duduk; Shower; WiFi; Kulkas; R. Cuci; Laundry; Mesin Cuci; Penjaga Kos; R. Tamu; R. Jemur; Dapur; CCTV; Parkir Motor; Parkir Sepeda"/>
    <x v="3"/>
    <s v="Rp1.500.000"/>
    <x v="0"/>
    <m/>
    <x v="2"/>
    <m/>
    <m/>
  </r>
  <r>
    <s v="Kost Christine Cipinang Melayu Executive Makasar Jakarta Timur"/>
    <x v="8"/>
    <s v="Makasar"/>
    <n v="12"/>
    <s v="3 x 4 meter"/>
    <s v="Tidak termasuk listrik"/>
    <s v=""/>
    <s v="N/A"/>
    <s v="3 x 4 meter; Tidak termasuk listrik; AC; Kasur; Meja; Lemari Baju; Bantal; Guling; Jendela; Kursi; K. Mandi Dalam; Kloset Duduk; Ember mandi; WiFi; Kulkas; Penjaga Kos; R. Jemur; Dapur; Dispenser; CCTV; Jemuran; Parkir Motor"/>
    <x v="23"/>
    <s v="Rp1.200.000"/>
    <x v="0"/>
    <m/>
    <x v="0"/>
    <m/>
    <m/>
  </r>
  <r>
    <s v="Kost Chrysant Home BQ Tipe B1 Kelapa Gading Jakarta Utara"/>
    <x v="4"/>
    <s v="Kecamatan Kelapa Gading"/>
    <n v="6.25"/>
    <s v="2.5 x 2.5 meter"/>
    <s v="Tidak termasuk listrik"/>
    <s v=""/>
    <s v="N/A"/>
    <s v="2.5 x 2.5 meter; Tidak termasuk listrik; AC; Kasur; Meja; Lemari Baju; Ventilasi; Bantal; Guling; Jendela; Cleaning service; Kloset Duduk; K. Mandi Luar; Wastafel; Shower; WiFi; R. Cuci; Kulkas; Mesin Cuci; Penjaga Kos; Laundry; R. Jemur; Dapur; CCTV; Parkir Motor; Parkir Sepeda; Parkir Motor &amp; Sepeda"/>
    <x v="190"/>
    <s v="Rp1.050.000"/>
    <x v="5"/>
    <d v="1899-12-30T04:00:00"/>
    <x v="0"/>
    <m/>
    <s v="Diskon 84rb"/>
  </r>
  <r>
    <s v="Kost Chrysant Home Tipe A Kelapa Gading Jakarta Utara"/>
    <x v="4"/>
    <s v="Kelapa Gading"/>
    <n v="4"/>
    <s v="2 x 2 meter"/>
    <s v="Tidak termasuk listrik"/>
    <s v=""/>
    <s v="N/A"/>
    <s v="2 x 2 meter; Tidak termasuk listrik; AC; Kasur; Meja; Lemari Baju; Ventilasi; Cleaning service; Meja makan; Bantal; Guling; Jendela; Kloset Duduk; K. Mandi Luar; Wastafel; Shower; WiFi; R. Cuci; Kulkas; Mesin Cuci; Penjaga Kos; Laundry; R. Jemur; Mushola; Dapur; Parkir Motor; Parkir Sepeda; Parkir Motor &amp; Sepeda"/>
    <x v="95"/>
    <s v="Rp899.000"/>
    <x v="13"/>
    <d v="1899-12-30T04:03:00"/>
    <x v="0"/>
    <m/>
    <m/>
  </r>
  <r>
    <s v="Kost Chrystal Hauz Kelapa Gading Jakarta Utara"/>
    <x v="4"/>
    <s v="Kelapa Gading"/>
    <n v="8.75"/>
    <s v="2.5 x 3.5 meter"/>
    <s v="Tidak termasuk listrik"/>
    <s v=""/>
    <s v="N/A"/>
    <s v="2.5 x 3.5 meter; Tidak termasuk listrik; AC; Kasur; Meja; Lemari Baju; Ventilasi; Bantal; Cermin; Jendela; Kursi; Wastafel; K. Mandi Dalam; Kloset Duduk; Shower; Air panas; WiFi; Dapur; Dispenser; CCTV; Locker; Parkir Motor; Parkir Sepeda; Parkir Motor &amp; Sepeda"/>
    <x v="178"/>
    <s v="Rp1.950.000"/>
    <x v="5"/>
    <d v="1899-12-30T04:00:00"/>
    <x v="0"/>
    <m/>
    <s v="Diskon 105rb"/>
  </r>
  <r>
    <s v="Kost Ciangsana Wiss Tipe Studio Gunung Putri Bogor"/>
    <x v="0"/>
    <s v="Kecamatan Gunung Putri"/>
    <n v="12"/>
    <s v="3 x 4 meter"/>
    <s v="Tidak termasuk listrik"/>
    <s v=""/>
    <s v="N/A"/>
    <s v="3 x 4 meter; Tidak termasuk listrik; AC; Kasur; Lemari Baju; Jendela; Wastafel; Bantal; Dapur Pribadi; Guling; K. Mandi Dalam; Kloset Duduk; Shower; WiFi; R. Jemur; Dapur; Balcon; CCTV; Jemuran; Pengurus Kos; Rooftop; Parkir Mobil; Parkir Motor; Parkir Sepeda; Parkir Motor &amp; Sepeda"/>
    <x v="191"/>
    <s v="Rp1.435.000"/>
    <x v="0"/>
    <m/>
    <x v="0"/>
    <m/>
    <m/>
  </r>
  <r>
    <s v="Kost Cibanteng Raya Koja Jakarta Utara"/>
    <x v="4"/>
    <s v="Koja"/>
    <n v="21"/>
    <s v="3 x 7 meter"/>
    <s v="Tidak termasuk listrik"/>
    <s v=""/>
    <s v="N/A"/>
    <s v="3 x 7 meter; Tidak termasuk listrik; AC; Kasur; Lemari Baju; Bantal; Jendela; Kloset Duduk; Shower; Penjaga Kos; K. Mandi Luar; CCTV; Jemuran; Parkir Motor; Parkir Sepeda"/>
    <x v="23"/>
    <s v="Rp1.200.000"/>
    <x v="0"/>
    <m/>
    <x v="0"/>
    <m/>
    <m/>
  </r>
  <r>
    <s v="Kost Ciberem Tipe A Dramaga Bogor"/>
    <x v="0"/>
    <s v="Kecamatan Dramaga"/>
    <n v="36"/>
    <s v="4 x 9 meter"/>
    <s v="Tidak termasuk listrik"/>
    <s v=""/>
    <s v="N/A"/>
    <s v="4 x 9 meter; Tidak termasuk listrik; Dapur Pribadi; Kloset Jongkok; Ember mandi; Balcon; Jemuran; Parkir Mobil; Parkir Motor; Parkir Sepeda; Parkir Motor &amp; Sepeda"/>
    <x v="17"/>
    <s v="Rp650.000"/>
    <x v="8"/>
    <d v="1899-12-30T04:09:00"/>
    <x v="0"/>
    <m/>
    <m/>
  </r>
  <r>
    <s v="Kost Cibiru Cikarang Selatan Bekasi"/>
    <x v="7"/>
    <s v="Cikarang Selatan"/>
    <n v="9"/>
    <s v="3 x 3 meter"/>
    <s v="Termasuk listrik (implied)"/>
    <s v=""/>
    <s v="N/A"/>
    <s v="3 x 3 meter; Termasuk listrik; Kasur; Meja; Lemari Baju; Bantal; Cermin; Guling; Jendela; Kloset Jongkok; K. Mandi Luar; Ember mandi; Shower; WiFi; Penjaga Kos; R. Jemur; Dapur; Jemuran; Parkir Mobil; Parkir Motor; Parkir Sepeda"/>
    <x v="14"/>
    <s v="Rp800.000"/>
    <x v="0"/>
    <m/>
    <x v="1"/>
    <m/>
    <m/>
  </r>
  <r>
    <s v="Kost Cibubur Tipe B Gunung Putri Bogor"/>
    <x v="0"/>
    <s v="Gunung Putri"/>
    <n v="18"/>
    <s v="3 x 6 meter"/>
    <s v="Tidak termasuk listrik"/>
    <s v=""/>
    <s v="N/A"/>
    <s v="3 x 6 meter; Tidak termasuk listrik; AC; Kasur; Meja; Lemari Baju; Kursi; Wastafel; K. Mandi Dalam; Kloset Duduk; Shower; R. Cuci; Kulkas; Laundry; R. Jemur; Dapur; Parkir Mobil; Parkir Motor; Parkir Sepeda"/>
    <x v="3"/>
    <s v="Rp1.500.000"/>
    <x v="8"/>
    <d v="1899-12-30T04:09:00"/>
    <x v="0"/>
    <m/>
    <m/>
  </r>
  <r>
    <s v="Kost Cibubur Tipe C Gunung Putri Bogor"/>
    <x v="0"/>
    <s v="Gunung Putri"/>
    <n v="15"/>
    <s v="3 x 5 meter"/>
    <s v="Tidak termasuk listrik"/>
    <s v=""/>
    <s v="N/A"/>
    <s v="3 x 5 meter; Tidak termasuk listrik; AC; Kasur; TV; Lemari Baju; Wastafel; K. Mandi Dalam; Kloset Duduk; Shower; Air panas; WiFi; Kulkas; Dapur; Taman; Parkir Mobil; Parkir Motor; Parkir Sepeda"/>
    <x v="163"/>
    <s v="Rp1.700.000"/>
    <x v="8"/>
    <d v="1899-12-30T04:09:00"/>
    <x v="0"/>
    <m/>
    <m/>
  </r>
  <r>
    <s v="Kost Cidokom Tipe A Gunung Sindur Bogor"/>
    <x v="0"/>
    <s v="Kecamatan Gunung Sindur"/>
    <n v="9"/>
    <s v="3 x 3 meter"/>
    <s v="Termasuk listrik (implied)"/>
    <s v=""/>
    <s v="N/A"/>
    <s v="3 x 3 meter; Termasuk listrik; Kasur; Meja; Lemari Baju; Bantal; Jendela; Kursi; Kloset Jongkok; K. Mandi Luar; Ember mandi; R. Jemur; R. Santai; Dapur; Dispenser; Jemuran; Parkir Motor; Parkir Sepeda; Parkir Motor &amp; Sepeda"/>
    <x v="29"/>
    <s v="Rp500.000"/>
    <x v="0"/>
    <m/>
    <x v="1"/>
    <m/>
    <m/>
  </r>
  <r>
    <s v="Kost Ciganjur Jagakarsa Jakarta Selatan"/>
    <x v="5"/>
    <s v="Jagakarsa"/>
    <n v="12"/>
    <s v="3 x 4 meter"/>
    <s v="Termasuk listrik (implied)"/>
    <s v=""/>
    <s v="N/A"/>
    <s v="3 x 4 meter; Termasuk listrik; AC; Kasur; Meja; TV; Lemari Baju; Ventilasi; Bantal; Cermin; Dapur Pribadi; Guling; K. Mandi Dalam; Kloset Duduk; Kloset Jongkok; K. Mandi Luar; Ember mandi; Wastafel; Shower; Bak mandi; WiFi; Penjaga Kos; R. Jemur; Mushola; R. Santai; Dapur; Balcon; CCTV; Gazebo; Jemuran; Parkir Mobil; Parkir Motor; Parkir Sepeda; Parkir Motor &amp; Sepeda"/>
    <x v="23"/>
    <s v="Rp1.200.000"/>
    <x v="0"/>
    <m/>
    <x v="0"/>
    <m/>
    <m/>
  </r>
  <r>
    <s v="Kost Cikini Cozy Coliving Deluxe Menteng Jakarta Pusat"/>
    <x v="9"/>
    <s v="Kecamatan Menteng"/>
    <n v="12"/>
    <s v="3 x 4 meter"/>
    <s v="Tidak termasuk listrik"/>
    <s v=""/>
    <s v="N/A"/>
    <s v="3 x 4 meter; Tidak termasuk listrik; AC; Kasur; Meja; TV; Lemari Baju; Kulkas; Ventilasi; Bantal; Cermin; Cleaning service; K. Mandi Dalam; Kloset Duduk; Wastafel; Shower; Air panas; WiFi; R. Cuci; Laundry; Penjaga Kos; R. Tamu; R. Jemur; R. Makan; R. Santai; Dapur; Parkir Mobil; Parkir Motor"/>
    <x v="192"/>
    <s v="Rp3.750.000"/>
    <x v="2"/>
    <d v="1899-12-30T04:08:00"/>
    <x v="0"/>
    <m/>
    <s v="Diskon 288rb"/>
  </r>
  <r>
    <s v="Kost Cikini Cozy Coliving Deluxe Window Menteng Jakarta Pusat"/>
    <x v="9"/>
    <s v="Kecamatan Menteng"/>
    <n v="12"/>
    <s v="3 x 4 meter"/>
    <s v="Tidak termasuk listrik"/>
    <s v=""/>
    <s v="N/A"/>
    <s v="3 x 4 meter; Tidak termasuk listrik; AC; Kasur; Meja; TV; Kulkas; Lemari Baju; Bantal; Cermin; Cleaning service; Jendela; K. Mandi Dalam; Kloset Duduk; Wastafel; Shower; Air panas; WiFi; R. Cuci; Laundry; Penjaga Kos; R. Tamu; R. Jemur; R. Makan; R. Santai; Dapur; Parkir Mobil; Parkir Motor"/>
    <x v="9"/>
    <s v="Rp4.000.000"/>
    <x v="6"/>
    <d v="1899-12-30T04:06:00"/>
    <x v="0"/>
    <m/>
    <m/>
  </r>
  <r>
    <s v="Kost Cikini Cozy Coliving Exclusive Menteng Jakarta Pusat"/>
    <x v="9"/>
    <s v="Kecamatan Menteng"/>
    <n v="12"/>
    <s v="3 x 4 meter"/>
    <s v="Tidak termasuk listrik"/>
    <s v=""/>
    <s v="N/A"/>
    <s v="3 x 4 meter; Tidak termasuk listrik; AC; Kasur; Dispenser; Meja; Meja Rias; TV; Kulkas; Lemari Baju; Ventilasi; Bantal; K. Mandi Dalam; Kloset Duduk; Wastafel; Shower; Air panas; WiFi; R. Cuci; Laundry; Penjaga Kos; R. Tamu; R. Jemur; R. Makan; R. Santai; Dapur; Parkir Mobil; Parkir Motor"/>
    <x v="193"/>
    <s v="Rp4.250.000"/>
    <x v="3"/>
    <d v="1899-12-30T05:00:00"/>
    <x v="0"/>
    <m/>
    <m/>
  </r>
  <r>
    <s v="Kost Cileungsi 1 Cileungsi Bogor"/>
    <x v="0"/>
    <s v="Kecamatan Cileungsi"/>
    <n v="12"/>
    <s v="3 x 4 meter"/>
    <s v="Tidak termasuk listrik"/>
    <s v=""/>
    <s v="N/A"/>
    <s v="3 x 4 meter; Tidak termasuk listrik; Lemari Baju; Kipas Angin; K. Mandi Dalam; Kloset Jongkok; Parkir Mobil; Parkir Motor; Parkir Sepeda"/>
    <x v="10"/>
    <s v="Rp750.000"/>
    <x v="16"/>
    <d v="1899-12-30T02:05:00"/>
    <x v="0"/>
    <m/>
    <m/>
  </r>
  <r>
    <s v="Kost Cilincing Top Cilincing Jakarta Utara"/>
    <x v="4"/>
    <s v="Cilincing"/>
    <n v="9"/>
    <s v="3 x 3 meter"/>
    <s v="Tidak termasuk listrik"/>
    <s v=""/>
    <s v="N/A"/>
    <s v="3 x 3 meter; Tidak termasuk listrik; AC; Kasur; Meja; Lemari Baju; Cermin; Jendela; Kursi; K. Mandi Dalam; Kloset Duduk; Shower; WiFi; Penjaga Kos; R. Jemur; Balcon; CCTV; Jemuran; Parkir Motor"/>
    <x v="3"/>
    <s v="Rp1.500.000"/>
    <x v="3"/>
    <d v="1899-12-30T05:00:00"/>
    <x v="0"/>
    <m/>
    <s v="Diskon 85rb"/>
  </r>
  <r>
    <s v="Kost Cilobak Mansion Tipe Standart Cinere Depok"/>
    <x v="1"/>
    <s v="Cinere"/>
    <n v="12"/>
    <s v="3 x 4 meter"/>
    <s v="Tidak termasuk listrik"/>
    <s v=""/>
    <s v="N/A"/>
    <s v="3 x 4 meter; Tidak termasuk listrik; AC; Kasur; Meja; TV; Lemari Baju; Ventilasi; Kursi; Bantal; Cermin; Guling; K. Mandi Dalam; Kloset Duduk; Wastafel; Shower; Bathtub; WiFi; R. Tamu; Penjaga Kos; Laundry; R. Makan; R. Jemur; R. Santai; R. Keluarga; K. Mandi Luar; Parkir Mobil; Parkir Motor; Parkir Sepeda"/>
    <x v="19"/>
    <s v="Rp1.800.000"/>
    <x v="0"/>
    <m/>
    <x v="2"/>
    <m/>
    <m/>
  </r>
  <r>
    <s v="Kost Cimone Alam Permai 1 Putri Tipe Premium Cibodas Tangerang"/>
    <x v="6"/>
    <s v="Cibodas"/>
    <n v="3.2"/>
    <s v="2 x 1.6 meter"/>
    <s v="Termasuk listrik (implied)"/>
    <s v=""/>
    <s v="N/A"/>
    <s v="2 x 1.6 meter; Termasuk listrik; AC; Kasur; Lemari Baju; Bantal; Guling; Kloset Duduk; K. Mandi Luar; Shower; WiFi; Kulkas; R. Cuci; Laundry; Mesin Cuci; Penjaga Kos; R. Jemur; R. Santai; Dapur; Dispenser; Parkir Motor; Parkir Sepeda"/>
    <x v="1"/>
    <s v="Rp1.100.000"/>
    <x v="0"/>
    <m/>
    <x v="2"/>
    <m/>
    <m/>
  </r>
  <r>
    <s v="Kost Cimone Alam Permai 1 Tipe Royal Cibodas Tangerang"/>
    <x v="6"/>
    <s v="Kecamatan Cibodas"/>
    <n v="4"/>
    <s v="2 x 2 meter"/>
    <s v="Termasuk listrik (implied)"/>
    <s v=""/>
    <s v="N/A"/>
    <s v="2 x 2 meter; Termasuk listrik; Kasur; Lemari Baju; Ventilasi; Bantal; Guling; Jendela; Kipas Angin; Kloset Duduk; K. Mandi Luar; Shower; WiFi; Kulkas; R. Cuci; Laundry; Mesin Cuci; Penjaga Kos; R. Jemur; R. Santai; Dapur; Dispenser; Parkir Motor; Parkir Sepeda"/>
    <x v="10"/>
    <s v="Rp750.000"/>
    <x v="3"/>
    <d v="1899-12-30T05:00:00"/>
    <x v="2"/>
    <m/>
    <m/>
  </r>
  <r>
    <s v="Kost Cinta Single B With Bed Cikarang Barat Bekasi"/>
    <x v="7"/>
    <s v="Cikarang Barat"/>
    <n v="9"/>
    <s v="3 x 3 meter"/>
    <s v="Tidak termasuk listrik"/>
    <s v=""/>
    <s v="N/A"/>
    <s v="3 x 3 meter; Tidak termasuk listrik; Kasur; Bantal; Guling; Jendela; K. Mandi Dalam; Kloset Jongkok; Ember mandi; WiFi; R. Jemur; CCTV; Jemuran; Parkir Motor; Parkir Sepeda"/>
    <x v="17"/>
    <s v="Rp650.000"/>
    <x v="0"/>
    <m/>
    <x v="0"/>
    <m/>
    <m/>
  </r>
  <r>
    <s v="Kost Citra Garden 2 Tipe A Kalideres Jakarta Barat"/>
    <x v="3"/>
    <s v="Kalideres"/>
    <n v="8.3999999999999986"/>
    <s v="2.8 x 3 meter"/>
    <s v="Tidak termasuk listrik"/>
    <s v=""/>
    <s v="N/A"/>
    <s v="2.8 x 3 meter; Tidak termasuk listrik; AC; Kasur; Meja; TV; Lemari Baju; K. Mandi Dalam; Kloset Duduk; Ember mandi; WiFi; Kulkas; Laundry; Dapur; Dispenser; K. Mandi Luar"/>
    <x v="11"/>
    <s v="Rp1.400.000"/>
    <x v="6"/>
    <d v="1899-12-30T04:06:00"/>
    <x v="0"/>
    <m/>
    <m/>
  </r>
  <r>
    <s v="Kost Citra Garden 2 Tipe B Kalideres Jakarta Barat"/>
    <x v="3"/>
    <s v="Kecamatan Kalideres"/>
    <n v="10.5"/>
    <s v="3 x 3.5 meter"/>
    <s v="Tidak termasuk listrik"/>
    <s v=""/>
    <s v="N/A"/>
    <s v="3 x 3.5 meter; Tidak termasuk listrik; AC; Kasur; Meja; TV; Lemari Baju; Kursi; Wastafel; K. Mandi Dalam; Kloset Duduk; Ember mandi; WiFi; Kulkas; R. Tamu; Laundry; R. Santai; Dapur; Dispenser; K. Mandi Luar"/>
    <x v="18"/>
    <s v="Rp1.300.000"/>
    <x v="0"/>
    <m/>
    <x v="2"/>
    <m/>
    <m/>
  </r>
  <r>
    <s v="Kost Cluster Setu Baru VVIP Sukmajaya Depok"/>
    <x v="1"/>
    <s v="Sukma Jaya"/>
    <n v="12"/>
    <s v="3 x 4 meter"/>
    <s v="Tidak termasuk listrik"/>
    <s v=""/>
    <s v="N/A"/>
    <s v="3 x 4 meter; Tidak termasuk listrik; AC; Kasur; Lemari Baju; Cermin; K. Mandi Dalam; Kloset Duduk; Shower; WiFi; Kulkas; R. Tamu; Dapur; Dispenser; Pengurus Kos; TV; Taman; Parkir Mobil; Parkir Motor"/>
    <x v="18"/>
    <s v="Rp1.300.000"/>
    <x v="10"/>
    <d v="1899-12-30T04:05:00"/>
    <x v="0"/>
    <m/>
    <s v="Diskon 112rb"/>
  </r>
  <r>
    <s v="Kost Co Living Flamboyan Residences Kembangan Jakarta Barat"/>
    <x v="3"/>
    <s v="Kecamatan Kembangan"/>
    <n v="14"/>
    <s v="3.5 x 4 meter"/>
    <s v="Tidak termasuk listrik"/>
    <s v=""/>
    <s v="N/A"/>
    <s v="3.5 x 4 meter; Tidak termasuk listrik; AC; Kasur; Meja; TV; Lemari Baju; Bantal; Cleaning service; Guling; Cermin; Jendela; K. Mandi Dalam; Kloset Duduk; Wastafel; Shower; Air panas; WiFi; R. Cuci; Kulkas; R. Tamu; Penjaga Kos; Laundry; R. Makan; R. Jemur; R. Santai; Dapur; Parkir Mobil; Parkir Motor; Parkir Sepeda"/>
    <x v="170"/>
    <s v="Rp2.250.000"/>
    <x v="4"/>
    <d v="1899-12-30T04:01:00"/>
    <x v="0"/>
    <m/>
    <m/>
  </r>
  <r>
    <s v="Kost Co Living Rustanto Residence Susilo Tipe A Grogol Petamburan Jakarta Barat"/>
    <x v="3"/>
    <s v="Grogol Petamburan"/>
    <n v="12"/>
    <s v="3 x 4 meter"/>
    <s v="Tidak termasuk listrik"/>
    <s v=""/>
    <s v="N/A"/>
    <s v="3 x 4 meter; Tidak termasuk listrik; AC; Kasur; Meja; Lemari Baju; Ventilasi; Kursi; Wastafel; Cleaning service; Bantal; Cermin; K. Mandi Dalam; Kloset Duduk; Shower; Air panas; WiFi; R. Cuci; Kulkas; R. Tamu; Penjaga Kos; Laundry; R. Makan; R. Jemur; R. Santai; Dapur; Parkir Mobil; Parkir Motor; Parkir Sepeda"/>
    <x v="189"/>
    <s v="Rp2.350.000"/>
    <x v="2"/>
    <d v="1899-12-30T04:08:00"/>
    <x v="2"/>
    <m/>
    <s v="Diskon 115rb"/>
  </r>
  <r>
    <s v="Kost Cordelia Standard Room Karangtengah Tangerang"/>
    <x v="6"/>
    <s v="Karangtengah"/>
    <n v="9"/>
    <s v="3 x 3 meter"/>
    <s v="Termasuk listrik (implied)"/>
    <s v=""/>
    <s v="N/A"/>
    <s v="3 x 3 meter; Termasuk listrik; Kasur; Lemari Baju; Ventilasi; Bantal; Cermin; Jendela; Kloset Duduk; Kloset Jongkok; K. Mandi Luar; Wastafel; Ember mandi; Shower; WiFi; Kulkas; R. Cuci; R. Tamu; R. Jemur; R. Makan; R. Santai; Dapur; Balcon; CCTV; Parkir Mobil; Parkir Motor; Parkir Sepeda"/>
    <x v="12"/>
    <s v="Rp850.000"/>
    <x v="0"/>
    <m/>
    <x v="2"/>
    <m/>
    <m/>
  </r>
  <r>
    <s v="Kost Cortes Tipe Atas Cikarang Utara Bekasi"/>
    <x v="7"/>
    <s v="Cikarang Utara"/>
    <n v="9"/>
    <s v="3 x 3 meter"/>
    <s v="Tidak termasuk listrik"/>
    <s v=""/>
    <s v="N/A"/>
    <s v="3 x 3 meter; Tidak termasuk listrik; AC; Kasur; Meja; Lemari Baju; Ventilasi; Bantal; Cermin; Jendela; Kursi; Kloset Duduk; K. Mandi Luar; Shower; WiFi; R. Cuci; R. Jemur; Jual Makanan; Jemuran; Balcon; Parkir Mobil; Parkir Motor; Parkir Sepeda; Parkir Motor &amp; Sepeda"/>
    <x v="23"/>
    <s v="Rp1.200.000"/>
    <x v="0"/>
    <m/>
    <x v="1"/>
    <m/>
    <m/>
  </r>
  <r>
    <s v="Kost Cosmo Home 2 Tipe A Cikarang Selatan Bekasi"/>
    <x v="7"/>
    <s v="Cikarang Selatan"/>
    <n v="7.5"/>
    <s v="2.5 x 3 meter"/>
    <s v="Tidak termasuk listrik"/>
    <s v=""/>
    <s v="N/A"/>
    <s v="2.5 x 3 meter; Tidak termasuk listrik; AC; Kasur; Meja; Meja Rias; Kulkas; Lemari Baju; Ventilasi; Bantal; Cleaning service; Guling; K. Mandi Dalam; Kloset Duduk; Wastafel; Shower; Air panas; WiFi; R. Cuci; Laundry; Mesin Cuci; Penjaga Kos; R. Tamu; R. Jemur; Dapur; Dispenser; Parkir Mobil; Parkir Motor; Parkir Sepeda; Parkir Motor &amp; Sepeda"/>
    <x v="163"/>
    <s v="Rp1.700.000"/>
    <x v="2"/>
    <d v="1899-12-30T04:08:00"/>
    <x v="0"/>
    <m/>
    <m/>
  </r>
  <r>
    <s v="Kost Costco Coliving Tipe Deluxe Karawaci Tangerang"/>
    <x v="6"/>
    <s v="Karawaci"/>
    <n v="9"/>
    <s v="3 x 3 meter"/>
    <s v="Tidak termasuk listrik"/>
    <s v=""/>
    <s v="N/A"/>
    <s v="3 x 3 meter; Tidak termasuk listrik; AC; Kasur; Meja; TV; Lemari Baju; Ventilasi; Bantal; Cermin; Guling; Jendela; K. Mandi Dalam; Kloset Jongkok; Shower; Air panas; WiFi; Kulkas; R. Cuci; Mesin Cuci; Penjaga Kos; R. Tamu; Dapur; Dispenser; Balcon; CCTV; Parkir Motor &amp; Sepeda"/>
    <x v="13"/>
    <s v="Rp1.600.000"/>
    <x v="0"/>
    <m/>
    <x v="2"/>
    <m/>
    <m/>
  </r>
  <r>
    <s v="Kost Cozy Binus Kemanggisan Averio Palmerah Jakarta Barat"/>
    <x v="3"/>
    <s v="Kecamatan Palmerah"/>
    <n v="12"/>
    <s v="3 x 4 meter"/>
    <s v="Tidak termasuk listrik"/>
    <s v=""/>
    <s v="N/A"/>
    <s v="3 x 4 meter; Tidak termasuk listrik; AC; Kasur; Dispenser; Meja; Meja Rias; TV; Lemari Baju; Ventilasi; Bantal; Cermin; K. Mandi Dalam; Kloset Duduk; Shower; Air panas; WiFi; Kulkas; R. Cuci; Laundry; Penjaga Kos; R. Tamu; R. Jemur; R. Makan; R. Santai; Dapur; Parkir Mobil; Parkir Motor"/>
    <x v="194"/>
    <s v="Rp2.750.000"/>
    <x v="6"/>
    <d v="1899-12-30T04:06:00"/>
    <x v="0"/>
    <m/>
    <m/>
  </r>
  <r>
    <s v="Kost Cozy Coliving Averio Binus Anggrek Exclusive Kebon Jeruk Jakarta Barat"/>
    <x v="3"/>
    <s v="Kecamatan Kebon Jeruk"/>
    <n v="15"/>
    <s v="5 x 3 meter"/>
    <s v="Tidak termasuk listrik"/>
    <s v=""/>
    <s v="N/A"/>
    <s v="5 x 3 meter; Tidak termasuk listrik; AC; Kasur; Meja; TV; Lemari Baju; Bantal; Cermin; Cleaning service; Jendela; Kursi; K. Mandi Dalam; Kloset Duduk; Shower; Air panas; WiFi; Kulkas; Laundry; R. Tamu; R. Jemur; R. Makan; R. Santai; Dapur; Dispenser; CCTV; Parkir Mobil; Parkir Motor; Parkir Sepeda"/>
    <x v="195"/>
    <s v="Rp4.500.000"/>
    <x v="0"/>
    <m/>
    <x v="0"/>
    <m/>
    <m/>
  </r>
  <r>
    <s v="Kost Cozy Coliving Averio Kebon Jeruk Jakarta Barat"/>
    <x v="3"/>
    <s v="Kebon Jeruk"/>
    <n v="12"/>
    <s v="3 x 4 meter"/>
    <s v="Tidak termasuk listrik"/>
    <s v=""/>
    <s v="N/A"/>
    <s v="3 x 4 meter; Tidak termasuk listrik; AC; Kasur; Meja; TV; Lemari Baju; Kulkas; Kursi; Bantal; Cermin; K. Mandi Dalam; Kloset Duduk; Wastafel; Air panas; WiFi; R. Tamu; Mesin Cuci; Penjaga Kos; Dapur; Taman; Balcon; CCTV; Rice Cooker; Parkir Mobil; Parkir Motor; Parkir Sepeda"/>
    <x v="194"/>
    <s v="Rp2.750.000"/>
    <x v="6"/>
    <d v="1899-12-30T04:06:00"/>
    <x v="0"/>
    <m/>
    <m/>
  </r>
  <r>
    <s v="Kost Cozy Coliving Binus 2 Deluxe Plus Palmerah Jakarta Barat"/>
    <x v="3"/>
    <s v="Kecamatan Palmerah"/>
    <n v="15.75"/>
    <s v="3.5 x 4.5 meter"/>
    <s v="Tidak termasuk listrik"/>
    <s v=""/>
    <s v="N/A"/>
    <s v="3.5 x 4.5 meter; Tidak termasuk listrik; AC; Kasur; Dispenser; Meja; TV; Lemari Baju; Ventilasi; Bantal; Cermin; Cleaning service; K. Mandi Dalam; Kloset Duduk; Wastafel; Shower; Air panas; WiFi; Kulkas; Laundry; Penjaga Kos; R. Tamu; R. Jemur; R. Makan; R. Santai; Dapur; Parkir Mobil; Parkir Motor; Parkir Sepeda"/>
    <x v="196"/>
    <s v="Rp4.400.000"/>
    <x v="0"/>
    <m/>
    <x v="0"/>
    <m/>
    <m/>
  </r>
  <r>
    <s v="Kost Cozy Coliving Binus 3 Kemanggisan Deluxe Palmerah Jakarta Barat"/>
    <x v="3"/>
    <s v="Palmerah"/>
    <n v="12"/>
    <s v="3 x 4 meter"/>
    <s v="Tidak termasuk listrik"/>
    <s v=""/>
    <s v="N/A"/>
    <s v="3 x 4 meter; Tidak termasuk listrik; AC; Kasur; Dispenser; Meja; Meja Rias; TV; Kulkas; Lemari Baju; Ventilasi; Bantal; K. Mandi Dalam; Kloset Jongkok; Wastafel; Shower; Air panas; WiFi; R. Cuci; Laundry; Mesin Cuci; Penjaga Kos; R. Tamu; R. Jemur; R. Makan; R. Santai; Parkir Mobil; Parkir Motor"/>
    <x v="197"/>
    <s v="Rp3.250.000"/>
    <x v="3"/>
    <d v="1899-12-30T05:00:00"/>
    <x v="0"/>
    <m/>
    <m/>
  </r>
  <r>
    <s v="Kost Cozy Coliving Binus Kijang Kemanggisan Palmerah Jakarta Barat Palmerah Jakarta Barat"/>
    <x v="3"/>
    <s v="Kecamatan Palmerah"/>
    <n v="12"/>
    <s v="3 x 4 meter"/>
    <s v="Tidak termasuk listrik"/>
    <s v=""/>
    <s v="N/A"/>
    <s v="3 x 4 meter; Tidak termasuk listrik; AC; Kasur; Dispenser; Meja; Meja Rias; TV; Kulkas; Lemari Baju; Bantal; Cermin; K. Mandi Dalam; Kloset Duduk; Wastafel; Shower; Air panas; WiFi; Laundry; Mesin Cuci; Penjaga Kos; R. Tamu; R. Jemur; R. Makan; R. Santai; Dapur; Parkir Mobil; Parkir Motor"/>
    <x v="197"/>
    <s v="Rp3.250.000"/>
    <x v="3"/>
    <d v="1899-12-30T05:00:00"/>
    <x v="0"/>
    <m/>
    <m/>
  </r>
  <r>
    <s v="Kost Cozy Coliving Cideng Deluxe Plus Gambir Jakarta Pusat"/>
    <x v="9"/>
    <s v="Kecamatan Gambir"/>
    <n v="12"/>
    <s v="3 x 4 meter"/>
    <s v="Tidak termasuk listrik"/>
    <s v=""/>
    <s v="N/A"/>
    <s v="3 x 4 meter; Tidak termasuk listrik; AC; Kasur; Dispenser; Meja; Meja Rias; TV; Kulkas; Lemari Baju; Bantal; Cermin; K. Mandi Dalam; Kloset Duduk; Wastafel; Shower; Air panas; WiFi; Penjaga Kos; R. Tamu; R. Jemur; R. Makan; R. Santai; Dapur; CCTV; Parkir Motor"/>
    <x v="7"/>
    <s v="Rp3.500.000"/>
    <x v="3"/>
    <d v="1899-12-30T05:00:00"/>
    <x v="0"/>
    <m/>
    <s v="Diskon 288rb"/>
  </r>
  <r>
    <s v="Kost Cozy Coliving Cideng Exclusive Gambir Jakarta Pusat"/>
    <x v="9"/>
    <s v="Gambir"/>
    <n v="12"/>
    <s v="3 x 4 meter"/>
    <s v="Tidak termasuk listrik"/>
    <s v=""/>
    <s v="N/A"/>
    <s v="3 x 4 meter; Tidak termasuk listrik; AC; Kasur; Dispenser; Meja; Meja Rias; TV; Kulkas; Lemari Baju; Bantal; Cermin; K. Mandi Dalam; Kloset Duduk; Wastafel; Shower; Air panas; WiFi; Penjaga Kos; R. Tamu; R. Jemur; R. Makan; R. Santai; Dapur; CCTV; Parkir Motor"/>
    <x v="7"/>
    <s v="Rp3.500.000"/>
    <x v="3"/>
    <d v="1899-12-30T05:00:00"/>
    <x v="0"/>
    <m/>
    <s v="Diskon 288rb"/>
  </r>
  <r>
    <s v="Kost Cozy coliving Deluxe Palmerah Jakarta Barat"/>
    <x v="3"/>
    <s v="Kecamatan Palmerah"/>
    <n v="13.5"/>
    <s v="3 x 4.5 meter"/>
    <s v="Tidak termasuk listrik"/>
    <s v=""/>
    <s v="N/A"/>
    <s v="3 x 4.5 meter; Tidak termasuk listrik; AC; Kasur; Meja; TV; Lemari Baju; Bantal; Cermin; Cleaning service; Jendela; Kursi; K. Mandi Dalam; Kloset Duduk; Wastafel; Shower; Air panas; WiFi; Kulkas; Laundry; Penjaga Kos; R. Tamu; R. Jemur; R. Makan; R. Santai; Dapur; Dispenser; Parkir Mobil; Parkir Motor; Parkir Sepeda"/>
    <x v="198"/>
    <s v="Rp4.100.000"/>
    <x v="0"/>
    <m/>
    <x v="0"/>
    <m/>
    <m/>
  </r>
  <r>
    <s v="Kost Cozy Coliving Fatmawati Deluxe Plus Cilandak Jakarta Selatan"/>
    <x v="5"/>
    <s v="Cilandak"/>
    <n v="14.399999999999999"/>
    <s v="4.8 x 3 meter"/>
    <s v="Tidak termasuk listrik"/>
    <s v=""/>
    <s v="N/A"/>
    <s v="4.8 x 3 meter; Tidak termasuk listrik; AC; Kasur; Dispenser; Meja; Meja Rias; TV; Kulkas; Lemari Baju; Ventilasi; Bantal; K. Mandi Dalam; Kloset Duduk; Wastafel; Shower; Air panas; WiFi; R. Cuci; Laundry; Penjaga Kos; R. Tamu; R. Jemur; R. Makan; R. Santai; Dapur; Parkir Mobil; Parkir Motor; Parkir Sepeda"/>
    <x v="192"/>
    <s v="Rp3.750.000"/>
    <x v="2"/>
    <d v="1899-12-30T04:08:00"/>
    <x v="0"/>
    <m/>
    <s v="Diskon 193rb"/>
  </r>
  <r>
    <s v="Kost Cozy Coliving Fatmawati Exclusive Cilandak Jakarta Selatan"/>
    <x v="5"/>
    <s v="Cilandak"/>
    <n v="16.5"/>
    <s v="5.5 x 3 meter"/>
    <s v="Tidak termasuk listrik"/>
    <s v=""/>
    <s v="N/A"/>
    <s v="5.5 x 3 meter; Tidak termasuk listrik; AC; Kasur; Dispenser; Meja; Meja Rias; TV; Kulkas; Lemari Baju; Ventilasi; Bantal; K. Mandi Dalam; Kloset Duduk; Wastafel; Shower; Air panas; WiFi; R. Cuci; Laundry; Penjaga Kos; R. Tamu; R. Jemur; R. Makan; R. Santai; Dapur; Parkir Mobil; Parkir Motor; Parkir Sepeda"/>
    <x v="9"/>
    <s v="Rp4.000.000"/>
    <x v="2"/>
    <d v="1899-12-30T04:08:00"/>
    <x v="0"/>
    <m/>
    <s v="Diskon 193rb"/>
  </r>
  <r>
    <s v="Kost Cozy Coliving Grogol Muwardi Deluxe Grogol petamburan Jakarta Barat"/>
    <x v="3"/>
    <s v="Kecamatan Grogol petamburan"/>
    <n v="12"/>
    <s v="3 x 4 meter"/>
    <s v="Tidak termasuk listrik"/>
    <s v=""/>
    <s v="N/A"/>
    <s v="3 x 4 meter; Tidak termasuk listrik; AC; Kasur; Dispenser; Meja; Meja Rias; TV; Kulkas; Lemari Baju; Bantal; Cermin; K. Mandi Dalam; Kloset Duduk; Wastafel; Shower; Air panas; WiFi; Laundry; Penjaga Kos; R. Tamu; R. Makan; R. Santai; Dapur; CCTV; Parkir Motor"/>
    <x v="194"/>
    <s v="Rp2.750.000"/>
    <x v="0"/>
    <m/>
    <x v="2"/>
    <m/>
    <m/>
  </r>
  <r>
    <s v="Kost Cozy Coliving Grogol Muwardi Deluxe Plus Grogol Petamburan Jakarta Barat"/>
    <x v="3"/>
    <s v="Kecamatan Grogol petamburan"/>
    <n v="12"/>
    <s v="3 x 4 meter"/>
    <s v="Tidak termasuk listrik"/>
    <s v=""/>
    <s v="N/A"/>
    <s v="3 x 4 meter; Tidak termasuk listrik; AC; Kasur; Dispenser; Meja; Meja Rias; TV; Lemari Baju; Kulkas; Bantal; Cermin; K. Mandi Dalam; Kloset Duduk; Wastafel; Shower; Air panas; WiFi; Laundry; Penjaga Kos; R. Tamu; R. Makan; R. Santai; Dapur; CCTV; Parkir Motor"/>
    <x v="186"/>
    <s v="Rp3.000.000"/>
    <x v="10"/>
    <d v="1899-12-30T04:05:00"/>
    <x v="2"/>
    <m/>
    <m/>
  </r>
  <r>
    <s v="Kost Cozy Coliving Mangga Besar Tipe Deluxe Taman Sari Jakarta Barat"/>
    <x v="3"/>
    <s v="Kecamatan Taman Sari"/>
    <n v="16"/>
    <s v="4 x 4 meter"/>
    <s v="Tidak termasuk listrik"/>
    <s v=""/>
    <s v="N/A"/>
    <s v="4 x 4 meter; Tidak termasuk listrik; AC; Kasur; Meja; Dispenser; TV; Meja Rias; Lemari Baju; Ventilasi; Kursi; Wastafel; K. Mandi Dalam; Kloset Duduk; Shower; Air panas; WiFi; R. Cuci; Kulkas; R. Tamu; Mesin Cuci; Penjaga Kos; Laundry; R. Makan; R. Jemur; R. Santai; Parkir Mobil; Parkir Motor; Parkir Sepeda"/>
    <x v="199"/>
    <s v="Rp2.700.000"/>
    <x v="8"/>
    <d v="1899-12-30T04:09:00"/>
    <x v="0"/>
    <m/>
    <m/>
  </r>
  <r>
    <s v="Kost Cozy Coliving Pangeran Jayakarta Tipe Deluxe Plus Sawah Besar Jakarta Pusat"/>
    <x v="9"/>
    <s v="Sawah Besar"/>
    <n v="16"/>
    <s v="4 x 4 meter"/>
    <s v="Tidak termasuk listrik"/>
    <s v=""/>
    <s v="N/A"/>
    <s v="4 x 4 meter; Tidak termasuk listrik; AC; Kasur; Meja; TV; Lemari Baju; Kursi; Wastafel; Cleaning service; Bantal; Cermin; K. Mandi Dalam; Kloset Duduk; Shower; Air panas; WiFi; Kulkas; R. Tamu; Penjaga Kos; Laundry; R. Santai; Dapur; CCTV; Jual Makanan; Parkir Motor; Parkir Sepeda"/>
    <x v="33"/>
    <s v="Rp2.400.000"/>
    <x v="3"/>
    <d v="1899-12-30T05:00:00"/>
    <x v="0"/>
    <m/>
    <s v="Diskon 118rb"/>
  </r>
  <r>
    <s v="Kost Cozy Coliving Pangeran Jayakarta Tipe Deluxe Sawah Besar Jakarta Pusat"/>
    <x v="9"/>
    <s v="Sawah Besar"/>
    <n v="12"/>
    <s v="3 x 4 meter"/>
    <s v="Tidak termasuk listrik"/>
    <s v=""/>
    <s v="N/A"/>
    <s v="3 x 4 meter; Tidak termasuk listrik; AC; Kasur; Meja; TV; Lemari Baju; Ventilasi; Kursi; Wastafel; Cleaning service; Bantal; K. Mandi Dalam; Kloset Duduk; Shower; Air panas; WiFi; Kulkas; R. Tamu; Penjaga Kos; Laundry; R. Santai; Dapur; Dispenser; CCTV; Parkir Motor; Parkir Sepeda"/>
    <x v="27"/>
    <s v="Rp2.000.000"/>
    <x v="6"/>
    <d v="1899-12-30T04:06:00"/>
    <x v="0"/>
    <m/>
    <s v="Diskon 100rb"/>
  </r>
  <r>
    <s v="Kost Cozy Coliving Raden Saleh Deluxe Menteng Jakarta Pusat"/>
    <x v="9"/>
    <s v="Menteng"/>
    <n v="12"/>
    <s v="3 x 4 meter"/>
    <s v="Tidak termasuk listrik"/>
    <s v=""/>
    <s v="N/A"/>
    <s v="3 x 4 meter; Tidak termasuk listrik; AC; Kasur; Meja; TV; Kursi; K. Mandi Dalam; Kloset Duduk; Air panas; Kulkas; R. Santai; Dapur"/>
    <x v="192"/>
    <s v="Rp3.750.000"/>
    <x v="2"/>
    <d v="1899-12-30T04:08:00"/>
    <x v="0"/>
    <m/>
    <s v="Diskon 288rb"/>
  </r>
  <r>
    <s v="Kost Cozy Coliving Raden Saleh Deluxe Window Menteng Jakarta Pusat"/>
    <x v="9"/>
    <s v="Menteng"/>
    <n v="12"/>
    <s v="3 x 4 meter"/>
    <s v="Tidak termasuk listrik"/>
    <s v=""/>
    <s v="N/A"/>
    <s v="3 x 4 meter; Tidak termasuk listrik; AC; Kasur; Meja; TV; Kursi; K. Mandi Dalam; Kloset Duduk; Air panas; Kulkas; R. Santai; Dapur"/>
    <x v="9"/>
    <s v="Rp4.000.000"/>
    <x v="6"/>
    <d v="1899-12-30T04:06:00"/>
    <x v="0"/>
    <m/>
    <m/>
  </r>
  <r>
    <s v="Kost Cozy Coliving Raden Saleh Exclusive Hook Menteng Jakarta Pusat"/>
    <x v="9"/>
    <s v="Menteng"/>
    <n v="12"/>
    <s v="3 x 4 meter"/>
    <s v="Tidak termasuk listrik"/>
    <s v=""/>
    <s v="N/A"/>
    <s v="3 x 4 meter; Tidak termasuk listrik; AC; Kasur; Meja; TV; Kursi; K. Mandi Dalam; Kloset Duduk; Air panas; Kulkas; R. Santai; Dapur"/>
    <x v="195"/>
    <s v="Rp4.500.000"/>
    <x v="3"/>
    <d v="1899-12-30T05:00:00"/>
    <x v="0"/>
    <m/>
    <m/>
  </r>
  <r>
    <s v="Kost Cozy Coliving Raden Saleh Exclusive Menteng Jakarta Pusat"/>
    <x v="9"/>
    <s v="Menteng"/>
    <n v="12"/>
    <s v="3 x 4 meter"/>
    <s v="Tidak termasuk listrik"/>
    <s v=""/>
    <s v="N/A"/>
    <s v="3 x 4 meter; Tidak termasuk listrik; AC; Kasur; Meja; TV; Kursi; K. Mandi Dalam; Kloset Duduk; Air panas; Kulkas; R. Santai; Dapur"/>
    <x v="193"/>
    <s v="Rp4.250.000"/>
    <x v="3"/>
    <d v="1899-12-30T05:00:00"/>
    <x v="0"/>
    <m/>
    <m/>
  </r>
  <r>
    <s v="Kost Cozy Coliving Roxy Jembatan Lima Tipe Deluxe Plus Window Gambir Jakarta Pusat"/>
    <x v="9"/>
    <s v="Kecamatan Gambir"/>
    <n v="12"/>
    <s v="3 x 4 meter"/>
    <s v="Tidak termasuk listrik"/>
    <s v=""/>
    <s v="N/A"/>
    <s v="3 x 4 meter; Tidak termasuk listrik; AC; Kasur; Dispenser; Meja; TV; Lemari Baju; Bantal; Cermin; Cleaning service; Jendela; K. Mandi Dalam; Kloset Duduk; Wastafel; Shower; Air panas; WiFi; Kulkas; R. Cuci; Laundry; Penjaga Kos; R. Tamu; R. Jemur; R. Makan; R. Santai; Dapur; Parkir Motor"/>
    <x v="7"/>
    <s v="Rp3.500.000"/>
    <x v="3"/>
    <d v="1899-12-30T05:00:00"/>
    <x v="0"/>
    <m/>
    <s v="Diskon 288rb"/>
  </r>
  <r>
    <s v="Kost Cozy Coliving Roxy Jembatan Lima Tipe Exclusive Gambir Jakarta Pusat"/>
    <x v="9"/>
    <s v="Gambir"/>
    <n v="13.5"/>
    <s v="3 x 4.5 meter"/>
    <s v="Tidak termasuk listrik"/>
    <s v=""/>
    <s v="N/A"/>
    <s v="3 x 4.5 meter; Tidak termasuk listrik; AC; Kasur; Dispenser; Meja; TV; Lemari Baju; Bantal; Cermin; Cleaning service; Jendela; K. Mandi Dalam; Kloset Duduk; Wastafel; Shower; Air panas; WiFi; Kulkas; R. Cuci; Laundry; Penjaga Kos; R. Tamu; R. Jemur; R. Makan; R. Santai; Dapur; Parkir Motor"/>
    <x v="7"/>
    <s v="Rp3.500.000"/>
    <x v="3"/>
    <d v="1899-12-30T05:00:00"/>
    <x v="0"/>
    <m/>
    <s v="Diskon 288rb"/>
  </r>
  <r>
    <s v="Kost Cozy Coliving Roxy Jembatan Lima Tipe Exclusive Hook Gambir Jakarta Pusat"/>
    <x v="9"/>
    <s v="Gambir"/>
    <n v="10.5"/>
    <s v="3 x 3.5 meter"/>
    <s v="Tidak termasuk listrik"/>
    <s v=""/>
    <s v="N/A"/>
    <s v="3 x 3.5 meter; Tidak termasuk listrik; AC; Kasur; Dispenser; Meja; TV; Lemari Baju; Bantal; Cermin; Cleaning service; Jendela; K. Mandi Dalam; Kloset Duduk; Wastafel; Shower; Air panas; WiFi; Kulkas; R. Cuci; Laundry; Penjaga Kos; R. Tamu; R. Jemur; R. Makan; R. Santai; Dapur; Parkir Motor"/>
    <x v="186"/>
    <s v="Rp3.000.000"/>
    <x v="8"/>
    <d v="1899-12-30T04:09:00"/>
    <x v="0"/>
    <m/>
    <s v="Diskon 150rb"/>
  </r>
  <r>
    <s v="Kost Cozy Coliving Roxy Jembatan Lima Tipe Exclusive Window Gambir Jakarta Pusat"/>
    <x v="9"/>
    <s v="Gambir"/>
    <n v="13.5"/>
    <s v="3 x 4.5 meter"/>
    <s v="Tidak termasuk listrik"/>
    <s v=""/>
    <s v="N/A"/>
    <s v="3 x 4.5 meter; Tidak termasuk listrik; AC; Kasur; Dispenser; Meja; TV; Lemari Baju; Bantal; Cermin; Cleaning service; Jendela; K. Mandi Dalam; Kloset Duduk; Wastafel; Shower; Air panas; WiFi; Kulkas; R. Cuci; Laundry; Penjaga Kos; R. Tamu; R. Jemur; R. Makan; R. Santai; Dapur; Parkir Motor"/>
    <x v="200"/>
    <s v="Rp3.700.000"/>
    <x v="2"/>
    <d v="1899-12-30T04:08:00"/>
    <x v="0"/>
    <m/>
    <s v="Diskon 288rb"/>
  </r>
  <r>
    <s v="Kost Cozy Coliving Sunter Papanggo Tipe A Tanjung Priok Jakarta Utara"/>
    <x v="4"/>
    <s v="Tanjung Priok"/>
    <n v="9"/>
    <s v="3 x 3 meter"/>
    <s v="Tidak termasuk listrik"/>
    <s v=""/>
    <s v="N/A"/>
    <s v="3 x 3 meter; Tidak termasuk listrik; AC; Kasur; Meja; Lemari Baju; Kursi; Cermin; Jendela; K. Mandi Dalam; Kloset Duduk; Air panas; WiFi; Kulkas; R. Tamu; Laundry; R. Makan; R. Jemur; Mushola; Dapur; Dispenser; CCTV; Parkir Motor"/>
    <x v="163"/>
    <s v="Rp1.700.000"/>
    <x v="2"/>
    <d v="1899-12-30T04:08:00"/>
    <x v="0"/>
    <m/>
    <s v="Diskon 83rb"/>
  </r>
  <r>
    <s v="Kost Cozy Coliving Sunter Papanggo Tipe B Tanjung Priok Jakarta Utara"/>
    <x v="4"/>
    <s v="Tanjung Priok"/>
    <n v="16"/>
    <s v="4 x 4 meter"/>
    <s v="Tidak termasuk listrik"/>
    <s v=""/>
    <s v="N/A"/>
    <s v="4 x 4 meter; Tidak termasuk listrik; AC; Kasur; Meja; Lemari Baju; Kulkas; Kursi; Wastafel; Meja makan; microwave; Bantal; K. Mandi Dalam; Kloset Duduk; Air panas; WiFi; Laundry; Mushola; Dapur; Dispenser; Kartu Akses; Parkir Mobil; Parkir Motor"/>
    <x v="199"/>
    <s v="Rp2.700.000"/>
    <x v="0"/>
    <m/>
    <x v="0"/>
    <m/>
    <m/>
  </r>
  <r>
    <s v="Kost Cozy Coliving Sunter Papanggo Tipe C Tanjung Priok Jakarta Utara"/>
    <x v="4"/>
    <s v="Tanjung Priok"/>
    <n v="16"/>
    <s v="4 x 4 meter"/>
    <s v="Tidak termasuk listrik"/>
    <s v=""/>
    <s v="N/A"/>
    <s v="4 x 4 meter; Tidak termasuk listrik; AC; Kasur; Meja; Lemari Baju; Kulkas; Ventilasi; microwave; Bantal; Cermin; Jendela; K. Mandi Dalam; Kloset Duduk; Shower; Air panas; WiFi; Penjaga Kos; Laundry; R. Makan; Mushola; R. Santai; Dapur; Dispenser; Kartu Akses; Parkir Mobil; Parkir Motor; Parkir Sepeda"/>
    <x v="4"/>
    <s v="Rp2.200.000"/>
    <x v="8"/>
    <d v="1899-12-30T04:09:00"/>
    <x v="0"/>
    <m/>
    <m/>
  </r>
  <r>
    <s v="Kost Cozy Coliving Tomang Palmerah Jakarta Barat"/>
    <x v="3"/>
    <s v="Palmerah"/>
    <n v="12"/>
    <s v="3 x 4 meter"/>
    <s v="Tidak termasuk listrik"/>
    <s v=""/>
    <s v="N/A"/>
    <s v="3 x 4 meter; Tidak termasuk listrik; AC; Kasur; Meja; Dispenser; Lemari Baju; Kulkas; Kursi; Wastafel; Cleaning service; TV Kabel; K. Mandi Dalam; Kloset Duduk; Shower; Air panas; WiFi; R. Cuci; R. Tamu; Mesin Cuci; Penjaga Kos; Laundry; R. Makan; R. Jemur; Mushola; Parkir Sepeda; Parkir Motor"/>
    <x v="199"/>
    <s v="Rp2.700.000"/>
    <x v="6"/>
    <d v="1899-12-30T04:06:00"/>
    <x v="0"/>
    <m/>
    <s v="Diskon 138rb"/>
  </r>
  <r>
    <s v="Kost Cozy Coliving Wijaya Kusuma Jelambar Deluxe Grogol Petamburan Jakarta Barat"/>
    <x v="3"/>
    <s v="Kecamatan Grogol petamburan"/>
    <n v="12"/>
    <s v="3 x 4 meter"/>
    <s v="Tidak termasuk listrik"/>
    <s v=""/>
    <s v="N/A"/>
    <s v="3 x 4 meter; Tidak termasuk listrik; Kasur; Meja; TV; Lemari Baju; Kursi; Bantal; K. Mandi Dalam; Wastafel; Air panas; R. Jemur; CCTV"/>
    <x v="186"/>
    <s v="Rp3.000.000"/>
    <x v="6"/>
    <d v="1899-12-30T04:06:00"/>
    <x v="0"/>
    <m/>
    <s v="Diskon 150rb"/>
  </r>
  <r>
    <s v="Kost Cozy Living Patambran Kemang Bogor"/>
    <x v="0"/>
    <s v="Kemang"/>
    <n v="22.5"/>
    <s v="5 x 4.5 meter"/>
    <s v="Tidak termasuk listrik"/>
    <s v=""/>
    <s v="N/A"/>
    <s v="5 x 4.5 meter; Tidak termasuk listrik; Dapur Pribadi; Jendela; Kloset Jongkok; Ember mandi; Wastafel; Penjaga Kos; Dapur; CCTV; Jemuran; Parkir Mobil; Parkir Motor"/>
    <x v="28"/>
    <s v="Rp1.000.000"/>
    <x v="0"/>
    <m/>
    <x v="0"/>
    <m/>
    <m/>
  </r>
  <r>
    <s v="Kost Curug Executive Gunung Sindur Bogor"/>
    <x v="0"/>
    <s v="Kecamatan Gunung Sindur"/>
    <n v="20"/>
    <s v="4 x 5 meter"/>
    <s v="Termasuk listrik (implied)"/>
    <s v=""/>
    <s v="N/A"/>
    <s v="4 x 5 meter; Termasuk listrik; Kasur; Meja; Lemari Baju; Ventilasi; Bantal; Cermin; Jendela; Kursi; Wastafel; Kloset Duduk; Kloset Jongkok; K. Mandi Luar; Ember mandi; Penjaga Kos; R. Jemur; R. Santai; Dapur; Balcon; Jemuran; Jual Makanan; Pengurus Kos; Taman; Parkir Mobil; Parkir Motor &amp; Sepeda"/>
    <x v="10"/>
    <s v="Rp750.000"/>
    <x v="0"/>
    <m/>
    <x v="1"/>
    <m/>
    <m/>
  </r>
  <r>
    <s v="Kost Cynfel 1 Tipe C Tanjung Priok Jakarta Utara"/>
    <x v="4"/>
    <s v="Tanjung Priok"/>
    <n v="9"/>
    <s v="3 x 3 meter"/>
    <s v="Tidak termasuk listrik"/>
    <s v=""/>
    <s v="N/A"/>
    <s v="3 x 3 meter; Tidak termasuk listrik; AC; Kasur; Meja; Lemari Baju; Ventilasi; Cermin; Jendela; Kursi; Bantal; K. Mandi Dalam; Kloset Duduk; Shower; WiFi; Kulkas; R. Jemur; R. Makan; Dapur; Balcon; CCTV; Rooftop; Jemuran; Parkir Motor"/>
    <x v="90"/>
    <s v="Rp1.650.000"/>
    <x v="2"/>
    <d v="1899-12-30T04:08:00"/>
    <x v="0"/>
    <m/>
    <s v="Diskon 78rb"/>
  </r>
  <r>
    <s v="Kost Cynfel 2 Tipe Standar Tanjung Priok Jakarta Utara"/>
    <x v="4"/>
    <s v="Tanjung Priok"/>
    <n v="16"/>
    <s v="4 x 4 meter"/>
    <s v="Tidak termasuk listrik"/>
    <s v=""/>
    <s v="N/A"/>
    <s v="4 x 4 meter; Tidak termasuk listrik; AC; Kasur; Meja; Lemari Baju; Ventilasi; Bantal; Cermin; Jendela; Kursi; K. Mandi Dalam; Kloset Duduk; Shower; WiFi; CCTV; Parkir Motor; Parkir Sepeda"/>
    <x v="25"/>
    <s v="Rp1.850.000"/>
    <x v="0"/>
    <m/>
    <x v="0"/>
    <m/>
    <m/>
  </r>
  <r>
    <s v="Kost D Amour Exclusive Ciputat Timur Tangerang Selatan"/>
    <x v="2"/>
    <s v="Kecamatan Ciputat Timur"/>
    <n v="16"/>
    <s v="4 x 4 meter"/>
    <s v="Tidak termasuk listrik"/>
    <s v=""/>
    <s v="N/A"/>
    <s v="4 x 4 meter; Tidak termasuk listrik; AC; Kasur; Meja; Meja Rias; Lemari Baju; Ventilasi; Bantal; Cermin; Guling; Jendela; K. Mandi Dalam; Kloset Duduk; Wastafel; Shower; Kulkas; R. Tamu; R. Jemur; R. Makan; Dapur; Taman; Jemuran; Parkir Mobil; Parkir Motor"/>
    <x v="178"/>
    <s v="Rp1.950.000"/>
    <x v="0"/>
    <m/>
    <x v="2"/>
    <m/>
    <m/>
  </r>
  <r>
    <s v="Kost D Orenji Cikarang Utara Bekasi"/>
    <x v="7"/>
    <s v="Cikarang Utara"/>
    <n v="9"/>
    <s v="3 x 3 meter"/>
    <s v="Tidak termasuk listrik"/>
    <s v=""/>
    <s v="N/A"/>
    <s v="3 x 3 meter; Tidak termasuk listrik; AC; Kasur; Meja; Lemari Baju; Ventilasi; Bantal; Cermin; Jendela; Kursi; K. Mandi Dalam; Kloset Jongkok; Shower; WiFi; Kulkas; R. Jemur; R. Makan; R. Santai; Dapur; Balcon; CCTV; Jemuran; Pengurus Kos; Parkir Motor; Parkir Sepeda"/>
    <x v="5"/>
    <s v="Rp1.350.000"/>
    <x v="0"/>
    <m/>
    <x v="2"/>
    <m/>
    <m/>
  </r>
  <r>
    <s v="Kost D Orenji Jababeka Cikarang Utara Bekasi"/>
    <x v="7"/>
    <s v="Cikarang Utara"/>
    <n v="9"/>
    <s v="3 x 3 meter"/>
    <s v="Tidak termasuk listrik"/>
    <s v=""/>
    <s v="N/A"/>
    <s v="3 x 3 meter; Tidak termasuk listrik; AC; Kasur; Lemari Baju; K. Mandi Dalam; Kloset Duduk; Shower; WiFi; Kulkas; Mesin Cuci; R. Jemur; R. Santai; Dapur; Jemuran; CCTV; Parkir Motor"/>
    <x v="20"/>
    <s v="Rp1.250.000"/>
    <x v="3"/>
    <d v="1899-12-30T05:00:00"/>
    <x v="2"/>
    <m/>
    <m/>
  </r>
  <r>
    <s v="Kost D Tipe Executive Limo Depok"/>
    <x v="1"/>
    <s v="Kecamatan Limo"/>
    <n v="12"/>
    <s v="3 x 4 meter"/>
    <s v="Tidak termasuk listrik"/>
    <s v=""/>
    <s v="N/A"/>
    <s v="3 x 4 meter; Tidak termasuk listrik; AC; Kasur; Meja; Lemari Baju; Ventilasi; Bantal; Cermin; Guling; Jendela; Kursi; K. Mandi Dalam; Kloset Duduk; Shower; WiFi; R. Cuci; R. Tamu; R. Jemur; R. Makan; R. Santai; Dapur; Dispenser; Balcon; CCTV; Parkir Mobil; Parkir Motor; Parkir Sepeda; Parkir Motor &amp; Sepeda"/>
    <x v="11"/>
    <s v="Rp1.400.000"/>
    <x v="0"/>
    <m/>
    <x v="2"/>
    <m/>
    <m/>
  </r>
  <r>
    <s v="Kost D3 Sudimara Tipe B Pinang Tangerang"/>
    <x v="6"/>
    <s v="Pinang"/>
    <n v="9"/>
    <s v="3 x 3 meter"/>
    <s v="Tidak termasuk listrik"/>
    <s v=""/>
    <s v="N/A"/>
    <s v="3 x 3 meter; Tidak termasuk listrik; AC; Kasur; Meja; Lemari Baju; Kursi; K. Mandi Dalam; Kloset Jongkok; Ember mandi; WiFi; R. Cuci; Kulkas; R. Tamu; Penjaga Kos; R. Makan; R. Jemur; R. Santai; Dapur; Dispenser; Parkir Mobil; Parkir Motor; Parkir Sepeda"/>
    <x v="18"/>
    <s v="Rp1.300.000"/>
    <x v="3"/>
    <d v="1899-12-30T05:00:00"/>
    <x v="0"/>
    <m/>
    <m/>
  </r>
  <r>
    <s v="Kost Daan Mogot Le Paris Syariah Residence Tipe A Tangerang"/>
    <x v="6"/>
    <s v="Kecamatan Tangerang"/>
    <n v="9"/>
    <s v="3 x 3 meter"/>
    <s v="Tidak termasuk listrik"/>
    <s v=""/>
    <s v="N/A"/>
    <s v="3 x 3 meter; Tidak termasuk listrik; AC; Kasur; Meja; TV; Lemari Baju; Ventilasi; Bantal; Cermin; Cleaning service; Guling; K. Mandi Dalam; Kloset Duduk; Shower; Air panas; WiFi; Penjaga Kos; R. Tamu; R. Jemur; R. Santai; Dispenser; CCTV; Pengurus Kos; Parkir Motor; Parkir Sepeda"/>
    <x v="201"/>
    <s v="Rp2.070.000"/>
    <x v="13"/>
    <d v="1899-12-30T04:03:00"/>
    <x v="0"/>
    <m/>
    <s v="Diskon 95rb"/>
  </r>
  <r>
    <s v="Kost Daan Mogot Le Paris Syariah Residence Tipe B Tangerang"/>
    <x v="6"/>
    <s v="Kecamatan Tangerang"/>
    <n v="9"/>
    <s v="3 x 3 meter"/>
    <s v="Tidak termasuk listrik"/>
    <s v=""/>
    <s v="N/A"/>
    <s v="3 x 3 meter; Tidak termasuk listrik; AC; Kasur; TV; Lemari Baju; Ventilasi; Bantal; Cermin; Cleaning service; Guling; Jendela; K. Mandi Dalam; Kloset Duduk; Air panas; WiFi; Kulkas; Penjaga Kos; R. Tamu; Mushola; R. Jemur; Dispenser; Dapur; Balcon; Parkir Motor"/>
    <x v="202"/>
    <s v="Rp1.760.000"/>
    <x v="12"/>
    <d v="1899-12-30T04:04:00"/>
    <x v="0"/>
    <m/>
    <s v="Diskon 90rb"/>
  </r>
  <r>
    <s v="Kost Daan Mogot Le Paris Syariah Residence Tipe C Tangerang"/>
    <x v="6"/>
    <s v="Kecamatan Tangerang"/>
    <n v="9"/>
    <s v="3 x 3 meter"/>
    <s v="Tidak termasuk listrik"/>
    <s v=""/>
    <s v="N/A"/>
    <s v="3 x 3 meter; Tidak termasuk listrik; AC; Kasur; Meja; TV; Lemari Baju; Bantal; Cermin; Kloset Duduk; K. Mandi Luar; Air panas; WiFi; Kulkas; Penjaga Kos; R. Tamu; Mushola; R. Makan; R. Santai; Dapur; Dispenser; Parkir Motor"/>
    <x v="90"/>
    <s v="Rp1.650.000"/>
    <x v="2"/>
    <d v="1899-12-30T04:08:00"/>
    <x v="0"/>
    <m/>
    <s v="Diskon 90rb"/>
  </r>
  <r>
    <s v="Kost Daan Mogot Le Paris Syariah Residence Tipe D Tangerang"/>
    <x v="6"/>
    <s v="Tangerang"/>
    <n v="9"/>
    <s v="3 x 3 meter"/>
    <s v="Tidak termasuk listrik"/>
    <s v=""/>
    <s v="N/A"/>
    <s v="3 x 3 meter; Tidak termasuk listrik; AC; Kasur; Meja; TV; Lemari Baju; Ventilasi; Bantal; Cermin; Cleaning service; Jendela; K. Mandi Dalam; Kloset Duduk; Shower; Air panas; WiFi; Penjaga Kos; R. Tamu; R. Jemur; R. Santai; Dispenser; CCTV; Pengurus Kos; Parkir Motor; Parkir Sepeda"/>
    <x v="203"/>
    <s v="Rp1.960.000"/>
    <x v="5"/>
    <d v="1899-12-30T04:00:00"/>
    <x v="0"/>
    <m/>
    <s v="Diskon 90rb"/>
  </r>
  <r>
    <s v="Kost Daan Mogot Le Paris Syariah Residence Tipe E Tangerang Tangerang"/>
    <x v="6"/>
    <s v="Kecamatan Tangerang"/>
    <n v="9"/>
    <s v="3 x 3 meter"/>
    <s v="Tidak termasuk listrik"/>
    <s v=""/>
    <s v="N/A"/>
    <s v="3 x 3 meter; Tidak termasuk listrik; AC; Kasur; Meja; TV; Lemari Baju; Ventilasi; Bantal; Cermin; Cleaning service; Kursi; K. Mandi Dalam; Kloset Duduk; Shower; Air panas; WiFi; Kulkas; Penjaga Kos; R. Tamu; R. Jemur; Mushola; R. Santai; Dispenser; Dapur; Parkir Motor; Parkir Sepeda"/>
    <x v="25"/>
    <s v="Rp1.850.000"/>
    <x v="2"/>
    <d v="1899-12-30T04:08:00"/>
    <x v="0"/>
    <m/>
    <s v="Diskon 90rb"/>
  </r>
  <r>
    <s v="Kost Dahlia Tipe A Cikarang Utara Bekasi"/>
    <x v="7"/>
    <s v="Cikarang Utara"/>
    <n v="13.5"/>
    <s v="3 x 4.5 meter"/>
    <s v="Tidak termasuk listrik"/>
    <s v=""/>
    <s v="N/A"/>
    <s v="3 x 4.5 meter; Tidak termasuk listrik; AC; Kasur; Meja; Lemari Baju; Bantal; Jendela; Kursi; Wastafel; K. Mandi Dalam; Kloset Duduk; Ember mandi; Shower; WiFi; Dapur; CCTV; Pengurus Kos; Parkir Motor &amp; Sepeda"/>
    <x v="23"/>
    <s v="Rp1.200.000"/>
    <x v="6"/>
    <d v="1899-12-30T04:06:00"/>
    <x v="0"/>
    <m/>
    <m/>
  </r>
  <r>
    <s v="Kost Daily Margonda Beji Depok"/>
    <x v="1"/>
    <s v="Beji"/>
    <n v="18"/>
    <s v="3 x 6 meter"/>
    <s v="Tidak termasuk listrik"/>
    <s v=""/>
    <s v="N/A"/>
    <s v="3 x 6 meter; Tidak termasuk listrik; AC; Kasur; Meja; Lemari Baju; Ventilasi; Bantal; Jendela; Kursi; K. Mandi Dalam; Kloset Duduk; Ember mandi; Shower; WiFi; Kulkas; R. Jemur; Dapur; Balcon; Jemuran; Pengurus Kos; CCTV; Parkir Mobil; Parkir Motor"/>
    <x v="163"/>
    <s v="Rp1.700.000"/>
    <x v="3"/>
    <d v="1899-12-30T05:00:00"/>
    <x v="0"/>
    <m/>
    <s v="Diskon 151rb"/>
  </r>
  <r>
    <s v="Kost Damai 51 Tipe Exhaust Fan Tangerang"/>
    <x v="6"/>
    <s v="Kecamatan Tangerang"/>
    <n v="12"/>
    <s v="3 x 4 meter"/>
    <s v="Tidak termasuk listrik"/>
    <s v=""/>
    <s v="N/A"/>
    <s v="3 x 4 meter; Tidak termasuk listrik; Kasur; Lemari Baju; Ventilasi; Bantal; Guling; Jendela; Kipas Angin; K. Mandi Dalam; Kloset Jongkok; Ember mandi; Shower; WiFi; Kulkas; Penjaga Kos; R. Tamu; Mushola; R. Jemur; R. Makan; R. Santai; Dapur; CCTV; Parkir Mobil; Parkir Motor"/>
    <x v="190"/>
    <s v="Rp1.050.000"/>
    <x v="0"/>
    <m/>
    <x v="0"/>
    <m/>
    <m/>
  </r>
  <r>
    <s v="Kost Damarsari 27 Pasar Minggu Jakarta Selatan"/>
    <x v="5"/>
    <s v="Pasar Minggu"/>
    <n v="9"/>
    <s v="3 x 3 meter"/>
    <s v="Tidak termasuk listrik"/>
    <s v=""/>
    <s v="N/A"/>
    <s v="3 x 3 meter; Tidak termasuk listrik; AC; Kasur; Meja; Meja Rias; Lemari Baju; Kursi; K. Mandi Dalam; Kloset Duduk; Wastafel; Shower; Air panas; WiFi; R. Cuci; Kulkas; R. Tamu; Penjaga Kos; R. Makan; R. Jemur; R. Santai; Dapur; TV; Parkir Mobil; Parkir Motor; Parkir Sepeda"/>
    <x v="27"/>
    <s v="Rp2.000.000"/>
    <x v="5"/>
    <d v="1899-12-30T04:00:00"/>
    <x v="2"/>
    <m/>
    <s v="Diskon 104rb"/>
  </r>
  <r>
    <s v="Kost Danyshom Backpaker Lippo Cikarang Selatan Bekasi"/>
    <x v="7"/>
    <s v="Cikarang Selatan"/>
    <n v="8.75"/>
    <s v="2.5 x 3.5 meter"/>
    <s v="Termasuk listrik (implied)"/>
    <s v=""/>
    <s v="N/A"/>
    <s v="2.5 x 3.5 meter; Termasuk listrik; AC; Kasur; Meja; TV; Lemari Baju; Kursi; Bantal; Cermin; Guling; Jendela; K. Mandi Dalam; Kloset Duduk; Wastafel; Shower; WiFi; Kulkas; R. Tamu; Mesin Cuci; R. Jemur; Dapur; Dispenser; Balcon; CCTV; Jemuran"/>
    <x v="13"/>
    <s v="Rp1.600.000"/>
    <x v="0"/>
    <m/>
    <x v="1"/>
    <m/>
    <m/>
  </r>
  <r>
    <s v="Kost Dary Sirkuit Sentul Citeureup Bogor"/>
    <x v="0"/>
    <s v="Citeureup"/>
    <n v="12"/>
    <s v="3 x 4 meter"/>
    <s v="Termasuk listrik (implied)"/>
    <s v=""/>
    <s v="N/A"/>
    <s v="3 x 4 meter; Termasuk listrik; Kasur; Meja; Lemari Baju; Ventilasi; Kursi; Bantal; Cermin; Guling; Jendela; K. Mandi Dalam; Kloset Jongkok; Ember mandi; WiFi; R. Jemur; R. Santai; Balcon; Pengurus Kos; Jemuran; Parkir Mobil; Parkir Motor; Parkir Sepeda"/>
    <x v="23"/>
    <s v="Rp1.200.000"/>
    <x v="0"/>
    <m/>
    <x v="1"/>
    <m/>
    <m/>
  </r>
  <r>
    <s v="Kost Days Standard Non AC Pinang Tangerang"/>
    <x v="6"/>
    <s v="Kecamatan Pinang"/>
    <n v="12"/>
    <s v="3 x 4 meter"/>
    <s v="Tidak termasuk listrik"/>
    <s v=""/>
    <s v="N/A"/>
    <s v="3 x 4 meter; Tidak termasuk listrik; Kasur; Lemari Baju; Ventilasi; Bantal; Cermin; Jendela; Kipas Angin; K. Mandi Dalam; Kloset Jongkok; Ember mandi; Shower; WiFi; Penjaga Kos; R. Tamu; R. Jemur; Balcon; CCTV; Jemuran; Jual Makanan; Parkir Motor"/>
    <x v="12"/>
    <s v="Rp850.000"/>
    <x v="3"/>
    <d v="1899-12-30T05:00:00"/>
    <x v="0"/>
    <m/>
    <m/>
  </r>
  <r>
    <s v="Kost Days Tipe Non AC Pinang Tangerang"/>
    <x v="6"/>
    <s v="Kecamatan Pinang"/>
    <n v="9"/>
    <s v="3 x 3 meter"/>
    <s v="Tidak termasuk listrik"/>
    <s v=""/>
    <s v="N/A"/>
    <s v="3 x 3 meter; Tidak termasuk listrik; AC; Kasur; Lemari Baju; Ventilasi; Cermin; Jendela; K. Mandi Dalam; Kloset Jongkok; Ember mandi; Shower; WiFi; Penjaga Kos; R. Tamu; R. Jemur; Balcon; CCTV; Jemuran; Jual Makanan; Parkir Motor"/>
    <x v="18"/>
    <s v="Rp1.300.000"/>
    <x v="10"/>
    <d v="1899-12-30T04:05:00"/>
    <x v="0"/>
    <m/>
    <m/>
  </r>
  <r>
    <s v="Kost Days Tipe Standard AC Pinang Tangerang"/>
    <x v="6"/>
    <s v="Kecamatan Pinang"/>
    <n v="9"/>
    <s v="3 x 3 meter"/>
    <s v="Tidak termasuk listrik"/>
    <s v=""/>
    <s v="N/A"/>
    <s v="3 x 3 meter; Tidak termasuk listrik; Kasur; Lemari Baju; Ventilasi; Cermin; Jendela; Bantal; Kipas Angin; K. Mandi Dalam; Kloset Jongkok; Ember mandi; Shower; WiFi; Penjaga Kos; R. Tamu; R. Jemur; Balcon; CCTV; Jemuran; Jual Makanan; Parkir Motor"/>
    <x v="18"/>
    <s v="Rp1.300.000"/>
    <x v="10"/>
    <d v="1899-12-30T04:05:00"/>
    <x v="0"/>
    <m/>
    <m/>
  </r>
  <r>
    <s v="Kost De Alcatraz 3 Tipe Hayden Kelapa Gading Jakarta Utara"/>
    <x v="4"/>
    <s v="Kelapa Gading"/>
    <n v="8.5"/>
    <s v="3.4 x 2.5 meter"/>
    <s v="Tidak termasuk listrik"/>
    <s v=""/>
    <s v="N/A"/>
    <s v="3.4 x 2.5 meter; Tidak termasuk listrik; AC; Kasur; Meja; Lemari Baju; Bantal; Cermin; Kursi; Wastafel; K. Mandi Dalam; Kloset Duduk; Shower; Air panas; WiFi; Kulkas; Penjaga Kos; R. Jemur; Dapur; Dispenser; CCTV; Jemuran; K. Mandi Luar; Kartu Akses; Parkir Mobil; Parkir Motor &amp; Sepeda"/>
    <x v="176"/>
    <s v="Rp2.300.000"/>
    <x v="10"/>
    <d v="1899-12-30T04:05:00"/>
    <x v="0"/>
    <m/>
    <s v="Diskon 105rb"/>
  </r>
  <r>
    <s v="Kost De Breeze Mansion Beji Depok"/>
    <x v="1"/>
    <s v="Kecamatan Beji"/>
    <n v="20.25"/>
    <s v="4.5 x 4.5 meter"/>
    <s v="Termasuk listrik (implied)"/>
    <s v=""/>
    <s v="N/A"/>
    <s v="4.5 x 4.5 meter; Termasuk listrik; AC; Kasur; Meja; TV; Meja Rias; Lemari Baju; Kursi; Wastafel; Cleaning service; K. Mandi Dalam; Kloset Duduk; Shower; WiFi; R. Tamu; Penjaga Kos; R. Makan; Kartu Akses; Parkir Mobil; Parkir Motor; Parkir Sepeda"/>
    <x v="22"/>
    <s v="Rp2.500.000"/>
    <x v="0"/>
    <m/>
    <x v="0"/>
    <m/>
    <m/>
  </r>
  <r>
    <s v="Kost De Raincity Dramaga Bogor"/>
    <x v="0"/>
    <s v="Dramaga"/>
    <n v="12"/>
    <s v="3 x 4 meter"/>
    <s v="Tidak termasuk listrik"/>
    <s v=""/>
    <s v="N/A"/>
    <s v="3 x 4 meter; Tidak termasuk listrik; AC; Kasur; Meja; TV; Lemari Baju; Ventilasi; Bantal; Cermin; Jendela; K. Mandi Dalam; Kloset Duduk; Ember mandi; Shower; WiFi; Penjaga Kos; Dispenser; Taman; Parkir Mobil; Parkir Motor; Parkir Sepeda"/>
    <x v="90"/>
    <s v="Rp1.650.000"/>
    <x v="0"/>
    <m/>
    <x v="0"/>
    <m/>
    <m/>
  </r>
  <r>
    <s v="Kost De Ruci 1 Senen Jakarta Pusat"/>
    <x v="9"/>
    <s v="Kecamatan Senen"/>
    <n v="9"/>
    <s v="3 x 3 meter"/>
    <s v="Tidak termasuk listrik"/>
    <s v=""/>
    <s v="N/A"/>
    <s v="3 x 3 meter; Tidak termasuk listrik; Ventilasi; K. Mandi Dalam; Kloset Duduk; Shower"/>
    <x v="30"/>
    <s v="Rp1.150.000"/>
    <x v="3"/>
    <d v="1899-12-30T05:00:00"/>
    <x v="0"/>
    <m/>
    <m/>
  </r>
  <r>
    <s v="Kost De Saari 21 Tipe Non Ac Tanjung Priok Jakarta Utara"/>
    <x v="4"/>
    <s v="Kecamatan Tanjung Priok"/>
    <n v="9"/>
    <s v="3 x 3 meter"/>
    <s v="Termasuk listrik (implied)"/>
    <s v=""/>
    <s v="N/A"/>
    <s v="3 x 3 meter; Termasuk listrik; Kasur; Lemari Baju; Kulkas; Ventilasi; Cleaning service; Jendela; Kipas Angin; Bantal; Kloset Duduk; Kloset Jongkok; K. Mandi Luar; Shower; WiFi; R. Cuci; Penjaga Kos; R. Tamu; R. Jemur; R. Santai; Dispenser; Balcon; CCTV; Parkir Motor; Parkir Sepeda"/>
    <x v="190"/>
    <s v="Rp1.050.000"/>
    <x v="3"/>
    <d v="1899-12-30T05:00:00"/>
    <x v="0"/>
    <m/>
    <s v="Diskon 50rb"/>
  </r>
  <r>
    <s v="Kost Dea Tipe B Parung Panjang Bogor"/>
    <x v="0"/>
    <s v="Kecamatan Parung Panjang"/>
    <n v="9"/>
    <s v="3 x 3 meter"/>
    <s v="Tidak termasuk listrik"/>
    <s v=""/>
    <s v="N/A"/>
    <s v="3 x 3 meter; Tidak termasuk listrik; Kasur; Lemari Baju; Bantal; Guling; Jendela; Kipas Angin; Sofa; K. Mandi Dalam; Kloset Duduk; Shower; R. Tamu; Dapur; CCTV; Parkir Mobil"/>
    <x v="23"/>
    <s v="Rp1.200.000"/>
    <x v="0"/>
    <m/>
    <x v="0"/>
    <m/>
    <m/>
  </r>
  <r>
    <s v="Kost Dean 2 Dramaga Bogor"/>
    <x v="0"/>
    <s v="Dramaga"/>
    <n v="12.25"/>
    <s v="3.5 x 3.5 meter"/>
    <s v="Tidak termasuk listrik"/>
    <s v=""/>
    <s v="N/A"/>
    <s v="3.5 x 3.5 meter; Tidak termasuk listrik; AC; Kasur; Meja; Meja Rias; TV; Kulkas; Lemari Baju; Ventilasi; Bantal; Cermin; K. Mandi Dalam; Kloset Duduk; Wastafel; Shower; WiFi; Penjaga Kos; Dapur; CCTV; Kartu Akses; Pengurus Kos; Rooftop; Taman; Parkir Mobil; Parkir Motor; Parkir Sepeda; Parkir Motor &amp; Sepeda"/>
    <x v="163"/>
    <s v="Rp1.700.000"/>
    <x v="0"/>
    <m/>
    <x v="2"/>
    <m/>
    <m/>
  </r>
  <r>
    <s v="Kost Dean Dramaga Bogor"/>
    <x v="0"/>
    <s v="Kecamatan Dramaga"/>
    <n v="9"/>
    <s v="3 x 3 meter"/>
    <s v="Tidak termasuk listrik"/>
    <s v=""/>
    <s v="N/A"/>
    <s v="3 x 3 meter; Tidak termasuk listrik; AC; Kasur; Meja; Meja Rias; TV; Kulkas; Lemari Baju; Ventilasi; Bantal; Cermin; K. Mandi Dalam; Kloset Duduk; Wastafel; Shower; Air panas; WiFi; Penjaga Kos; Mushola; Dapur; Dispenser; Balcon; CCTV; Gazebo; Jemuran; Parkir Mobil; Parkir Motor"/>
    <x v="163"/>
    <s v="Rp1.700.000"/>
    <x v="0"/>
    <m/>
    <x v="2"/>
    <m/>
    <m/>
  </r>
  <r>
    <s v="Kost Dean Residence 10 Tipe Deluxe Karang Tengah Tangerang"/>
    <x v="6"/>
    <s v="Kecamatan Karang Tengah"/>
    <n v="28"/>
    <s v="7 x 4 meter"/>
    <s v="Tidak termasuk listrik"/>
    <s v=""/>
    <s v="N/A"/>
    <s v="7 x 4 meter; Tidak termasuk listrik; AC; Kasur; Meja; Dispenser; TV; Meja Rias; Kulkas; Lemari Baju; Ventilasi; Bantal; K. Mandi Dalam; Kloset Duduk; Wastafel; Shower; Air panas; WiFi; Laundry; Penjaga Kos; R. Makan; R. Santai; Dapur; Balcon; CCTV; Parkir Mobil; Parkir Motor; Parkir Sepeda"/>
    <x v="22"/>
    <s v="Rp2.500.000"/>
    <x v="0"/>
    <m/>
    <x v="0"/>
    <m/>
    <m/>
  </r>
  <r>
    <s v="Kost Dekat Stadion JIS Tanjung Priok Jakarta Utara"/>
    <x v="4"/>
    <s v="Kecamatan Tanjung Priok"/>
    <n v="12"/>
    <s v="3 x 4 meter"/>
    <s v="Tidak termasuk listrik"/>
    <s v=""/>
    <s v="N/A"/>
    <s v="3 x 4 meter; Tidak termasuk listrik; AC; Kasur; Meja; Lemari Baju; Ventilasi; Bantal; Cermin; Jendela; Kursi; Wastafel; K. Mandi Dalam; Kloset Duduk; Shower; WiFi; Kulkas; R. Jemur; Dapur; Balcon; CCTV; Taman; Parkir Motor &amp; Sepeda"/>
    <x v="23"/>
    <s v="Rp1.200.000"/>
    <x v="0"/>
    <m/>
    <x v="0"/>
    <m/>
    <m/>
  </r>
  <r>
    <s v="Kost Delan Tipe A Tapos Depok"/>
    <x v="1"/>
    <s v="Kecamatan Tapos"/>
    <n v="24"/>
    <s v="4 x 6 meter"/>
    <s v="Termasuk listrik (implied)"/>
    <s v=""/>
    <s v="N/A"/>
    <s v="4 x 6 meter; Termasuk listrik; AC; Kasur; Meja; Ventilasi; Bantal; Cermin; Dapur Pribadi; Guling; Jendela; Kipas Angin; K. Mandi Dalam; Kloset Duduk; Wastafel; Shower; WiFi; Kulkas; Penjaga Kos; R. Tamu; R. Jemur; R. Makan; R. Santai; Dapur; Balcon; CCTV; Parkir Mobil; Parkir Motor; Parkir Sepeda"/>
    <x v="3"/>
    <s v="Rp1.500.000"/>
    <x v="0"/>
    <m/>
    <x v="0"/>
    <m/>
    <m/>
  </r>
  <r>
    <s v="Kost Delima Tipe Diamond Grogol Petamburan Jakarta Barat"/>
    <x v="3"/>
    <s v="Kecamatan Grogol Petamburan"/>
    <n v="10.5"/>
    <s v="3 x 3.5 meter"/>
    <s v="Tidak termasuk listrik"/>
    <s v=""/>
    <s v="N/A"/>
    <s v="3 x 3.5 meter; Tidak termasuk listrik; AC; Kasur; Dispenser; Meja; TV; Kulkas; Lemari Baju; Ventilasi; Bantal; Cermin; K. Mandi Dalam; Kloset Duduk; Wastafel; Shower; Air panas"/>
    <x v="170"/>
    <s v="Rp2.250.000"/>
    <x v="0"/>
    <m/>
    <x v="0"/>
    <m/>
    <m/>
  </r>
  <r>
    <s v="Kost Delta Murah Tipe Eco Cikarang Selatan Bekasi"/>
    <x v="7"/>
    <s v="Cikarang Selatan"/>
    <n v="9"/>
    <s v="3 x 3 meter"/>
    <s v="Termasuk listrik (implied)"/>
    <s v=""/>
    <s v="N/A"/>
    <s v="3 x 3 meter; Termasuk listrik; Kloset Duduk; Kloset Jongkok; K. Mandi Luar; Ember mandi; Shower; R. Cuci; R. Tamu; R. Jemur; R. Makan; R. Santai; Dapur; Dispenser; CCTV; Jemuran; Joglo; Parkir Mobil; Parkir Motor; Parkir Sepeda; Parkir Motor &amp; Sepeda"/>
    <x v="29"/>
    <s v="Rp500.000"/>
    <x v="0"/>
    <m/>
    <x v="0"/>
    <m/>
    <m/>
  </r>
  <r>
    <s v="Kost DENLI Residence Thamrin Tanah Abang Jakarta Pusat Tipe A Tanah Abang Jakarta Pusat"/>
    <x v="9"/>
    <s v="Tanah Abang"/>
    <n v="9"/>
    <s v="3 x 3 meter"/>
    <s v="Termasuk listrik (implied)"/>
    <s v=""/>
    <s v="N/A"/>
    <s v="3 x 3 meter; Termasuk listrik; AC; Kasur; Meja; TV; Meja Rias; Lemari Baju; Kulkas; Ventilasi; Kursi; Cleaning service; K. Mandi Dalam; Kloset Duduk; Wastafel; Shower; Air panas; WiFi; R. Cuci; R. Tamu; Mesin Cuci; Penjaga Kos; R. Makan; R. Jemur; R. Santai; Dapur; Parkir Mobil; Parkir Motor"/>
    <x v="204"/>
    <s v="Rp2.650.000"/>
    <x v="6"/>
    <d v="1899-12-30T04:06:00"/>
    <x v="0"/>
    <m/>
    <m/>
  </r>
  <r>
    <s v="Kost Desty Tipe D Daisy Grogol Petamburan Jakarta Barat"/>
    <x v="3"/>
    <s v="Grogol Petamburan"/>
    <n v="16"/>
    <s v="4 x 4 meter"/>
    <s v="Termasuk listrik (implied)"/>
    <s v=""/>
    <s v="N/A"/>
    <s v="4 x 4 meter; Termasuk listrik; AC; Kasur; Lemari Baju; Bantal; Jendela; K. Mandi Dalam; Kloset Duduk; Ember mandi; Shower; WiFi; R. Jemur; Jemuran; CCTV; Parkir Sepeda; Parkir Motor; Parkir Motor &amp; Sepeda"/>
    <x v="89"/>
    <s v="Rp1.900.000"/>
    <x v="8"/>
    <d v="1899-12-30T04:09:00"/>
    <x v="0"/>
    <m/>
    <s v="Diskon 160rb"/>
  </r>
  <r>
    <s v="Kost Dewa Ruci Business D6 Cikarang Utara Bekasi"/>
    <x v="7"/>
    <s v="Kecamatan Cikarang Utara"/>
    <n v="12"/>
    <s v="3 x 4 meter"/>
    <s v="Tidak termasuk listrik"/>
    <s v=""/>
    <s v="N/A"/>
    <s v="3 x 4 meter; Tidak termasuk listrik; AC; Kasur; Meja; TV; Lemari Baju; Cermin; Jendela; Wastafel; K. Mandi Dalam; Kloset Duduk; WiFi; Penjaga Kos; Mushola; CCTV; Jemuran; Jual Makanan; K. Mandi Luar; Pengurus Kos; Parkir Mobil; Parkir Motor"/>
    <x v="3"/>
    <s v="Rp1.500.000"/>
    <x v="0"/>
    <m/>
    <x v="0"/>
    <m/>
    <m/>
  </r>
  <r>
    <s v="Kost Dewa Ruci Business D6 Cikarang Utara Bekasi"/>
    <x v="7"/>
    <s v="Kecamatan Cikarang Utara"/>
    <n v="12"/>
    <s v="3 x 4 meter"/>
    <s v="Tidak termasuk listrik"/>
    <s v=""/>
    <s v="N/A"/>
    <s v="3 x 4 meter; Tidak termasuk listrik; AC; Kasur; Meja; TV; Lemari Baju; Cermin; Jendela; Wastafel; K. Mandi Dalam; Kloset Duduk; WiFi; Penjaga Kos; Mushola; CCTV; Jemuran; Jual Makanan; K. Mandi Luar; Pengurus Kos"/>
    <x v="3"/>
    <s v="Rp1.500.000"/>
    <x v="0"/>
    <m/>
    <x v="0"/>
    <m/>
    <m/>
  </r>
  <r>
    <s v="Kost Dewa Ruci TIpe Business D Cikarang Utara Bekasi"/>
    <x v="7"/>
    <s v="Kecamatan Cikarang Utara"/>
    <n v="15"/>
    <s v="3 x 5 meter"/>
    <s v="Tidak termasuk listrik"/>
    <s v=""/>
    <s v="N/A"/>
    <s v="3 x 5 meter; Tidak termasuk listrik; AC; Kasur; Dispenser; Meja; TV; Lemari Baju; Ventilasi; Bantal; Guling; Jendela; K. Mandi Dalam; Kloset Duduk; Wastafel; Shower; WiFi; Penjaga Kos; Mushola; CCTV; Jemuran; Jual Makanan; K. Mandi Luar; Pengurus Kos; Parkir Mobil; Parkir Motor"/>
    <x v="11"/>
    <s v="Rp1.400.000"/>
    <x v="0"/>
    <m/>
    <x v="0"/>
    <m/>
    <m/>
  </r>
  <r>
    <s v="Kost Dewi J1 Cipondoh Tangerang"/>
    <x v="6"/>
    <s v="Kecamatan Cipondoh"/>
    <n v="12"/>
    <s v="3 x 4 meter"/>
    <s v="Tidak termasuk listrik"/>
    <s v=""/>
    <s v="N/A"/>
    <s v="3 x 4 meter; Tidak termasuk listrik; AC; Kasur; Lemari Baju; Ventilasi; Bantal; Guling; Jendela; K. Mandi Dalam; Kloset Duduk; Ember mandi; Shower; WiFi; R. Cuci; Penjaga Kos; R. Tamu; R. Jemur; Dapur; Dispenser; Jemuran; Pengurus Kos; Parkir Motor; Parkir Sepeda"/>
    <x v="18"/>
    <s v="Rp1.300.000"/>
    <x v="2"/>
    <d v="1899-12-30T04:08:00"/>
    <x v="2"/>
    <m/>
    <s v="Diskon 125rb"/>
  </r>
  <r>
    <s v="Kost D'Green House Tipe C Tangerang Tangerang"/>
    <x v="6"/>
    <s v="Kecamatan Tangerang"/>
    <n v="12"/>
    <s v="3 x 4 meter"/>
    <s v="Tidak termasuk listrik"/>
    <s v=""/>
    <s v="N/A"/>
    <s v="3 x 4 meter; Tidak termasuk listrik; AC; Kasur; Meja; Dispenser; TV; Lemari Baju; Ventilasi; Kursi; Bantal; Guling; K. Mandi Dalam; Kloset Duduk; Shower; WiFi; R. Cuci; R. Tamu; R. Santai; Dapur; Taman; CCTV; Jemuran; Parkir Mobil; Parkir Motor; Parkir Sepeda"/>
    <x v="11"/>
    <s v="Rp1.400.000"/>
    <x v="8"/>
    <d v="1899-12-30T04:09:00"/>
    <x v="2"/>
    <m/>
    <m/>
  </r>
  <r>
    <s v="Kost DGreen Tipe A Beji Depok"/>
    <x v="1"/>
    <s v="Beji"/>
    <n v="12"/>
    <s v="3 x 4 meter"/>
    <s v="Termasuk listrik (implied)"/>
    <s v=""/>
    <s v="N/A"/>
    <s v="3 x 4 meter; Termasuk listrik; AC; Kasur; Meja; Lemari Baju; Kursi; Cleaning service; K. Mandi Dalam; Kloset Duduk; Ember mandi; Shower; WiFi; R. Cuci; R. Tamu; Mesin Cuci; Penjaga Kos; R. Makan; R. Jemur; R. Santai; Dapur; Taman; Parkir Motor; Parkir Sepeda"/>
    <x v="19"/>
    <s v="Rp1.800.000"/>
    <x v="3"/>
    <d v="1899-12-30T05:00:00"/>
    <x v="2"/>
    <m/>
    <s v="Diskon 160rb"/>
  </r>
  <r>
    <s v="Kost D'Green Tipe C Beji Depok"/>
    <x v="1"/>
    <s v="Beji"/>
    <n v="10.8"/>
    <s v="2.7 x 4 meter"/>
    <s v="Termasuk listrik (implied)"/>
    <s v=""/>
    <s v="N/A"/>
    <s v="2.7 x 4 meter; Termasuk listrik; AC; Kasur; Meja; Dispenser; Lemari Baju; Kursi; Cleaning service; K. Mandi Dalam; Kloset Duduk; Ember mandi; Shower; WiFi; R. Cuci; Kulkas; R. Tamu; Mesin Cuci; Penjaga Kos; R. Makan; R. Jemur; R. Santai; Dapur; Parkir Motor; Parkir Sepeda"/>
    <x v="3"/>
    <s v="Rp1.500.000"/>
    <x v="8"/>
    <d v="1899-12-30T04:09:00"/>
    <x v="2"/>
    <m/>
    <s v="Diskon 160rb"/>
  </r>
  <r>
    <s v="Kost Dhea Nia Cikarang Pusat Bekasi"/>
    <x v="7"/>
    <s v="Kecamatan Cikarang Pusat"/>
    <n v="9"/>
    <s v="3 x 3 meter"/>
    <s v="Tidak termasuk listrik"/>
    <s v=""/>
    <s v="N/A"/>
    <s v="3 x 3 meter; Tidak termasuk listrik; AC; Kasur; Meja; TV; Lemari Baju; Ventilasi; Bantal; Cermin; Guling; Jendela; Kloset Duduk; Shower; Air panas; WiFi; Kulkas; Laundry; Dapur; Dispenser; CCTV; Kartu Akses; Rice Cooker; Parkir Mobil; Parkir Motor; Parkir Sepeda; Parkir Motor &amp; Sepeda"/>
    <x v="3"/>
    <s v="Rp1.500.000"/>
    <x v="0"/>
    <m/>
    <x v="1"/>
    <m/>
    <m/>
  </r>
  <r>
    <s v="Kost Dhio Dhea Ciledug Tangerang"/>
    <x v="6"/>
    <s v="Kecamatan Ciledug"/>
    <n v="9"/>
    <s v="3 x 3 meter"/>
    <s v="Tidak termasuk listrik"/>
    <s v=""/>
    <s v="N/A"/>
    <s v="3 x 3 meter; Tidak termasuk listrik; Kasur; Meja; Lemari Baju; Ventilasi; Bantal; Guling; Jendela; Kipas Angin; K. Mandi Dalam; Kloset Jongkok; Ember mandi; WiFi; Kulkas; Dapur; Balcon; Jemuran; Parkir Motor; Parkir Motor &amp; Sepeda"/>
    <x v="14"/>
    <s v="Rp800.000"/>
    <x v="0"/>
    <m/>
    <x v="0"/>
    <m/>
    <m/>
  </r>
  <r>
    <s v="Kost Dhome Tipe A Cikarang Utara Bekasi"/>
    <x v="7"/>
    <s v="Kecamatan Cikarang Utara"/>
    <n v="9"/>
    <s v="3 x 3 meter"/>
    <s v="Tidak termasuk listrik"/>
    <s v=""/>
    <s v="N/A"/>
    <s v="3 x 3 meter; Tidak termasuk listrik; AC; Kasur; Bantal; Cermin; Jendela; K. Mandi Dalam; Kloset Jongkok; Ember mandi; Shower; WiFi; Kulkas; R. Jemur; Dapur; Balcon; Jemuran; Pengurus Kos; Parkir Motor"/>
    <x v="18"/>
    <s v="Rp1.300.000"/>
    <x v="0"/>
    <m/>
    <x v="2"/>
    <m/>
    <m/>
  </r>
  <r>
    <s v="Kost Dhome Tipe A Cikarang Utara Bekasi"/>
    <x v="7"/>
    <s v="Kecamatan Cikarang Utara"/>
    <n v="9"/>
    <s v="3 x 3 meter"/>
    <s v="Tidak termasuk listrik"/>
    <s v=""/>
    <s v="N/A"/>
    <s v="3 x 3 meter; Tidak termasuk listrik; AC; Kasur; Bantal; Cermin; Jendela; K. Mandi Dalam; Kloset Jongkok; Ember mandi; Shower; WiFi; Kulkas; R. Jemur; Dapur; Balcon; Jemuran; Pengurus Kos"/>
    <x v="18"/>
    <s v="Rp1.300.000"/>
    <x v="0"/>
    <m/>
    <x v="2"/>
    <m/>
    <m/>
  </r>
  <r>
    <s v="Kost Dhome Tipe A Cikarang Utara Bekasi"/>
    <x v="7"/>
    <s v="Kecamatan Cikarang Utara"/>
    <n v="9"/>
    <s v="3 x 3 meter"/>
    <s v="Tidak termasuk listrik"/>
    <s v=""/>
    <s v="N/A"/>
    <s v="3 x 3 meter; Tidak termasuk listrik; AC; Kasur; Bantal; Cermin; Jendela; K. Mandi Dalam; Kloset Jongkok; Ember mandi; Shower; Parkir Motor"/>
    <x v="18"/>
    <s v="Rp1.300.000"/>
    <x v="0"/>
    <m/>
    <x v="2"/>
    <m/>
    <m/>
  </r>
  <r>
    <s v="Kost Dhome Tipe A Cikarang Utara Bekasi"/>
    <x v="7"/>
    <s v="Kecamatan Cikarang Utara"/>
    <n v="9"/>
    <s v="3 x 3 meter"/>
    <s v="Tidak termasuk listrik"/>
    <s v=""/>
    <s v="N/A"/>
    <s v="3 x 3 meter; Tidak termasuk listrik; AC; Kasur; Bantal; Cermin; Jendela; K. Mandi Dalam; Kloset Jongkok; Ember mandi; Shower"/>
    <x v="18"/>
    <s v="Rp1.300.000"/>
    <x v="0"/>
    <m/>
    <x v="2"/>
    <m/>
    <m/>
  </r>
  <r>
    <s v="Kost Dhome Tipe B Cikarang Utara Bekasi"/>
    <x v="7"/>
    <s v="Cikarang Utara"/>
    <n v="9"/>
    <s v="3 x 3 meter"/>
    <s v="Tidak termasuk listrik"/>
    <s v=""/>
    <s v="N/A"/>
    <s v="3 x 3 meter; Tidak termasuk listrik; Kasur; Lemari Baju; Ventilasi; Bantal; Cermin; Jendela; Kipas Angin; Kloset Jongkok; K. Mandi Luar; Wastafel; Shower; WiFi; Kulkas; R. Jemur; Dapur; Balcon; Jemuran; Parkir Motor; Parkir Sepeda"/>
    <x v="205"/>
    <s v="Rp780.000"/>
    <x v="4"/>
    <d v="1899-12-30T04:01:00"/>
    <x v="2"/>
    <m/>
    <m/>
  </r>
  <r>
    <s v="Kost Dian Tipe A Tangerang"/>
    <x v="6"/>
    <s v="Tangerang"/>
    <n v="4.5999999999999996"/>
    <s v="2 x 2.3 meter"/>
    <s v="Tidak termasuk listrik"/>
    <s v=""/>
    <s v="N/A"/>
    <s v="2 x 2.3 meter; Tidak termasuk listrik; AC; Kasur; Meja; Dispenser; Lemari Baju; Kulkas; Kursi; Kloset Duduk; K. Mandi Luar; Shower; WiFi; R. Cuci; R. Tamu; R. Makan; R. Jemur; Mushola; R. Santai; Dapur; Taman; Parkir Mobil; Parkir Motor; Parkir Sepeda"/>
    <x v="18"/>
    <s v="Rp1.300.000"/>
    <x v="6"/>
    <d v="1899-12-30T04:06:00"/>
    <x v="0"/>
    <m/>
    <s v="Diskon 112rb"/>
  </r>
  <r>
    <s v="Kost Dion 2 Gunung Sindur Bogor"/>
    <x v="0"/>
    <s v="Kecamatan Gunung Sindur"/>
    <n v="15"/>
    <s v="5 x 3 meter"/>
    <s v="Tidak termasuk listrik"/>
    <s v=""/>
    <s v="N/A"/>
    <s v="5 x 3 meter; Tidak termasuk listrik; Kasur; K. Mandi Dalam; Kloset Jongkok; Dapur; Jemuran; Parkir Motor"/>
    <x v="29"/>
    <s v="Rp500.000"/>
    <x v="0"/>
    <m/>
    <x v="0"/>
    <m/>
    <m/>
  </r>
  <r>
    <s v="Kost Diva Perum 2 Tipe A1 Cibodas Tangerang"/>
    <x v="6"/>
    <s v="Kecamatan Cibodas"/>
    <n v="12"/>
    <s v="3 x 4 meter"/>
    <s v="Tidak termasuk listrik"/>
    <s v=""/>
    <s v="N/A"/>
    <s v="3 x 4 meter; Tidak termasuk listrik; AC; Kasur; Lemari Baju; Ventilasi; Bantal; Cermin; Jendela; K. Mandi Dalam; Kloset Jongkok; WiFi; Kulkas; R. Tamu; R. Makan; R. Jemur; R. Santai; Dapur; CCTV; Jemuran; Pengurus Kos; Parkir Motor; Parkir Sepeda; Parkir Motor &amp; Sepeda"/>
    <x v="1"/>
    <s v="Rp1.100.000"/>
    <x v="0"/>
    <m/>
    <x v="0"/>
    <m/>
    <m/>
  </r>
  <r>
    <s v="Kost Diva Perum 2 Tipe Executive Cibodas Tangerang"/>
    <x v="6"/>
    <s v="Kecamatan Cibodas"/>
    <n v="15"/>
    <s v="3 x 5 meter"/>
    <s v="Tidak termasuk listrik"/>
    <s v=""/>
    <s v="N/A"/>
    <s v="3 x 5 meter; Tidak termasuk listrik; AC; Kasur; Lemari Baju; Bantal; Cermin; Jendela; K. Mandi Dalam; Kloset Duduk; Shower; WiFi; Kulkas; R. Jemur; R. Makan; R. Santai; CCTV; Balcon; Jemuran; Jual Makanan; Parkir Mobil; Parkir Motor"/>
    <x v="18"/>
    <s v="Rp1.300.000"/>
    <x v="0"/>
    <m/>
    <x v="0"/>
    <m/>
    <m/>
  </r>
  <r>
    <s v="Kost DKos Eklusive Tipe A Tambun Selatan Bekasi"/>
    <x v="7"/>
    <s v="Kecamatan Tambun Selatan"/>
    <n v="12.5"/>
    <s v="2.5 x 5 meter"/>
    <s v="Tidak termasuk listrik"/>
    <s v=""/>
    <s v="N/A"/>
    <s v="2.5 x 5 meter; Tidak termasuk listrik; AC; Kasur; Lemari Baju; Ventilasi; Bantal; Jendela; Wastafel; K. Mandi Dalam; Kloset Jongkok; Ember mandi; WiFi; Kulkas; R. Jemur; Dapur; Balcon; CCTV; Jemuran; TV; Parkir Motor"/>
    <x v="14"/>
    <s v="Rp800.000"/>
    <x v="0"/>
    <m/>
    <x v="2"/>
    <m/>
    <m/>
  </r>
  <r>
    <s v="Kost Don Juan 1 Tipe A Cakung Jakarta Timur"/>
    <x v="8"/>
    <s v="Kecamatan Cakung"/>
    <n v="9"/>
    <s v="3 x 3 meter"/>
    <s v="Tidak termasuk listrik"/>
    <s v=""/>
    <s v="N/A"/>
    <s v="3 x 3 meter; Tidak termasuk listrik; AC; Kasur; Meja; TV; Lemari Baju; Ventilasi; Bantal; Cermin; Cleaning service; Kursi; K. Mandi Dalam; Kloset Duduk; Wastafel; Shower; WiFi; Kulkas; Laundry; Penjaga Kos; R. Tamu; R. Makan; R. Santai; Dapur; CCTV; Balcon; Parkir Motor"/>
    <x v="163"/>
    <s v="Rp1.700.000"/>
    <x v="3"/>
    <d v="1899-12-30T05:00:00"/>
    <x v="0"/>
    <m/>
    <m/>
  </r>
  <r>
    <s v="Kost Dona I Karawaci Tangerang"/>
    <x v="6"/>
    <s v="Kecamatan Karawaci"/>
    <n v="12"/>
    <s v="3 x 4 meter"/>
    <s v="Tidak termasuk listrik"/>
    <s v=""/>
    <s v="N/A"/>
    <s v="3 x 4 meter; Tidak termasuk listrik; Kasur; Meja; Lemari Baju; Ventilasi; Bantal; Cermin; Guling; Kipas Angin; Kursi; K. Mandi Dalam; Kloset Jongkok; Ember mandi; WiFi; R. Tamu; R. Santai; Dapur; Dispenser; CCTV; Jemuran; Pengurus Kos; Parkir Motor; Parkir Sepeda"/>
    <x v="2"/>
    <s v="Rp700.000"/>
    <x v="0"/>
    <m/>
    <x v="2"/>
    <m/>
    <m/>
  </r>
  <r>
    <s v="Kost Dorayon Tipe Medium Cakung Jakarta Timur"/>
    <x v="8"/>
    <s v="Cakung"/>
    <n v="9"/>
    <s v="3 x 3 meter"/>
    <s v="Termasuk listrik (implied)"/>
    <s v=""/>
    <s v="N/A"/>
    <s v="3 x 3 meter; Termasuk listrik; Kasur; Lemari Baju; Ventilasi; Bantal; Guling; Jendela; Kipas Angin; K. Mandi Dalam; Kloset Jongkok; WiFi; R. Cuci; Penjaga Kos; R. Jemur; CCTV; Jemuran; Parkir Motor; Parkir Sepeda; Parkir Motor &amp; Sepeda"/>
    <x v="99"/>
    <s v="Rp900.000"/>
    <x v="0"/>
    <m/>
    <x v="0"/>
    <m/>
    <m/>
  </r>
  <r>
    <s v="Kost Dpeak Cikarang Utara Bekasi"/>
    <x v="7"/>
    <s v="Kecamatan Cikarang Utara"/>
    <n v="9"/>
    <s v="3 x 3 meter"/>
    <s v="Tidak termasuk listrik"/>
    <s v=""/>
    <s v="N/A"/>
    <s v="3 x 3 meter; Tidak termasuk listrik; AC; Kasur; Lemari Baju; Ventilasi; Bantal; Cermin; Jendela; K. Mandi Dalam; Kloset Jongkok; Shower; WiFi; Kulkas; R. Cuci; R. Jemur; Dapur; Balcon; CCTV; Jemuran; Pengurus Kos; Parkir Motor; Parkir Sepeda"/>
    <x v="23"/>
    <s v="Rp1.200.000"/>
    <x v="0"/>
    <m/>
    <x v="2"/>
    <m/>
    <m/>
  </r>
  <r>
    <s v="Kost Dramaga F17 Dramaga Bogor"/>
    <x v="0"/>
    <s v="Dramaga"/>
    <n v="12"/>
    <s v="3 x 4 meter"/>
    <s v="Tidak termasuk listrik"/>
    <s v=""/>
    <s v="N/A"/>
    <s v="3 x 4 meter; Tidak termasuk listrik; Jendela; Kloset Jongkok; Ember mandi; Dapur; Parkir Mobil; Parkir Motor"/>
    <x v="31"/>
    <s v="Rp600.000"/>
    <x v="0"/>
    <m/>
    <x v="1"/>
    <m/>
    <m/>
  </r>
  <r>
    <s v="Kost Dramaga Tipe A Dramaga Bogor"/>
    <x v="0"/>
    <s v="Dramaga"/>
    <n v="12"/>
    <s v="3 x 4 meter"/>
    <s v="Tidak termasuk listrik"/>
    <s v=""/>
    <s v="N/A"/>
    <s v="3 x 4 meter; Tidak termasuk listrik; Kasur; Meja; Lemari Baju; Ventilasi; Bantal; Cermin; Cleaning service; Dapur Pribadi; Guling; Jendela; K. Mandi Dalam; Kloset Duduk; Ember mandi; Wastafel; Shower; Bak mandi; Laundry; Penjaga Kos; Balcon; Jual Makanan; Pengurus Kos; Parkir Mobil; Parkir Motor; Parkir Sepeda; Parkir Motor &amp; Sepeda"/>
    <x v="14"/>
    <s v="Rp800.000"/>
    <x v="3"/>
    <d v="1899-12-30T05:00:00"/>
    <x v="0"/>
    <m/>
    <m/>
  </r>
  <r>
    <s v="Kost Dream House Tipe A Dramaga Bogor"/>
    <x v="0"/>
    <s v="Kecamatan Dramaga"/>
    <n v="12"/>
    <s v="3 x 4 meter"/>
    <s v="Tidak termasuk listrik"/>
    <s v=""/>
    <s v="N/A"/>
    <s v="3 x 4 meter; Tidak termasuk listrik; AC; Kasur; Meja; Lemari Baju; Bantal; Cermin; Jendela; Kursi; K. Mandi Dalam; Kloset Duduk; Shower; Air panas; WiFi; Kulkas; R. Cuci; R. Tamu; R. Jemur; R. Makan; R. Santai; Dapur; Balcon; CCTV; Parkir Mobil; Parkir Motor"/>
    <x v="167"/>
    <s v="Rp1.550.000"/>
    <x v="0"/>
    <m/>
    <x v="2"/>
    <m/>
    <m/>
  </r>
  <r>
    <s v="Kost Dreamland Cipondoh Tangerang"/>
    <x v="6"/>
    <s v="Cipondoh"/>
    <n v="12"/>
    <s v="3 x 4 meter"/>
    <s v="Termasuk listrik (implied)"/>
    <s v=""/>
    <s v="N/A"/>
    <s v="3 x 4 meter; Termasuk listrik; Kasur; Meja; Lemari Baju; Cermin; Jendela; Kipas Angin; Kursi; K. Mandi Dalam; Kloset Duduk; Ember mandi; Shower; WiFi; Kulkas; R. Tamu; R. Makan; Dapur; Dispenser; Balcon; Jemuran; Pengurus Kos; Parkir Motor; Parkir Sepeda; Parkir Motor &amp; Sepeda"/>
    <x v="23"/>
    <s v="Rp1.200.000"/>
    <x v="8"/>
    <d v="1899-12-30T04:09:00"/>
    <x v="2"/>
    <m/>
    <m/>
  </r>
  <r>
    <s v="Kost Dslipi Palmerah Jakarta Barat"/>
    <x v="3"/>
    <s v="Kecamatan Palmerah"/>
    <n v="12"/>
    <s v="3 x 4 meter"/>
    <s v="Tidak termasuk listrik"/>
    <s v=""/>
    <s v="N/A"/>
    <s v="3 x 4 meter; Tidak termasuk listrik; AC; Kasur; Meja; TV; Lemari Baju; Cermin; Jendela; Kursi; K. Mandi Dalam; Kloset Duduk; Wastafel; Shower; Air panas; WiFi; Kulkas; R. Cuci; Laundry; Penjaga Kos; R. Tamu; R. Jemur; R. Makan; R. Santai; Dapur; Parkir Mobil; Parkir Motor; Parkir Sepeda"/>
    <x v="186"/>
    <s v="Rp3.000.000"/>
    <x v="8"/>
    <d v="1899-12-30T04:09:00"/>
    <x v="0"/>
    <m/>
    <m/>
  </r>
  <r>
    <s v="Kost Durian 35 Tipe B Tambun Selatan Bekasi"/>
    <x v="7"/>
    <s v="Tambun Selatan"/>
    <n v="9"/>
    <s v="3 x 3 meter"/>
    <s v="Tidak termasuk listrik"/>
    <s v=""/>
    <s v="N/A"/>
    <s v="3 x 3 meter; Tidak termasuk listrik; AC; Kasur; Dispenser; Lemari Baju; Kulkas; Cleaning service; Kloset Duduk; Kloset Jongkok; Wastafel; Ember mandi; Shower; Bak mandi; WiFi; R. Cuci; Laundry; R. Jemur; Dapur; Taman; K. Mandi Luar; Parkir Mobil; Parkir Motor"/>
    <x v="12"/>
    <s v="Rp850.000"/>
    <x v="0"/>
    <m/>
    <x v="2"/>
    <m/>
    <m/>
  </r>
  <r>
    <s v="Kost Duta Cileungsi Bogor"/>
    <x v="0"/>
    <s v="Cileungsi"/>
    <n v="9"/>
    <s v="3 x 3 meter"/>
    <s v="Termasuk listrik (implied)"/>
    <s v=""/>
    <s v="N/A"/>
    <s v="3 x 3 meter; Termasuk listrik; AC; Kasur; Meja; Lemari Baju; Kulkas; Ventilasi; Kursi; Kipas Angin; Sofa; Bantal; Kloset Jongkok; K. Mandi Luar; Ember mandi; Bak mandi; R. Tamu; Penjaga Kos; R. Jemur; Dapur; Taman; Jemuran; Pengurus Kos; Parkir Mobil; Parkir Motor; Parkir Sepeda"/>
    <x v="31"/>
    <s v="Rp600.000"/>
    <x v="3"/>
    <d v="1899-12-30T05:00:00"/>
    <x v="2"/>
    <m/>
    <m/>
  </r>
  <r>
    <s v="Kost Duta Garden Benda Tangerang"/>
    <x v="6"/>
    <s v="Kecamatan Benda"/>
    <n v="16"/>
    <s v="4 x 4 meter"/>
    <s v="Tidak termasuk listrik"/>
    <s v=""/>
    <s v="N/A"/>
    <s v="4 x 4 meter; Tidak termasuk listrik; AC; Kasur; Meja; Lemari Baju; Ventilasi; Bantal; Cermin; Guling; Jendela; Kursi; K. Mandi Dalam; Kloset Duduk; Wastafel; Shower; WiFi; R. Jemur; Dapur; Balcon; CCTV; Jemuran; Parkir Mobil; Parkir Motor"/>
    <x v="89"/>
    <s v="Rp1.900.000"/>
    <x v="6"/>
    <d v="1899-12-30T04:06:00"/>
    <x v="0"/>
    <m/>
    <s v="Diskon 95rb"/>
  </r>
  <r>
    <s v="Kost Dyta Ciomas Bogor"/>
    <x v="0"/>
    <s v="Ciomas"/>
    <n v="15"/>
    <s v="3 x 5 meter"/>
    <s v="Termasuk listrik (implied)"/>
    <s v=""/>
    <s v="N/A"/>
    <s v="3 x 5 meter; Termasuk listrik; Kasur; Meja; Lemari Baju; Kursi; TV Kabel; K. Mandi Dalam; Kloset Duduk; Shower; R. Tamu; Penjaga Kos; Parkir Motor"/>
    <x v="14"/>
    <s v="Rp800.000"/>
    <x v="0"/>
    <m/>
    <x v="2"/>
    <m/>
    <m/>
  </r>
  <r>
    <s v="Kost Dzahline Larangan Tangerang"/>
    <x v="6"/>
    <s v="Kecamatan Larangan"/>
    <n v="9"/>
    <s v="3 x 3 meter"/>
    <s v="Tidak termasuk listrik"/>
    <s v=""/>
    <s v="N/A"/>
    <s v="3 x 3 meter; Tidak termasuk listrik; Kasur; Lemari Baju; Ventilasi; Bantal; Guling; Jendela; Kloset Jongkok; K. Mandi Luar; Ember mandi; Kulkas; R. Cuci; Laundry; Mushola; R. Jemur; Jemuran; Jual Makanan; Pengurus Kos; Parkir Motor; Parkir Sepeda"/>
    <x v="31"/>
    <s v="Rp600.000"/>
    <x v="2"/>
    <d v="1899-12-30T04:08:00"/>
    <x v="2"/>
    <m/>
    <m/>
  </r>
  <r>
    <s v="Kost East 99 Residence Cakung Jakarta Timur"/>
    <x v="8"/>
    <s v="Kecamatan Cakung"/>
    <n v="21"/>
    <s v="3.5 x 6 meter"/>
    <s v="Tidak termasuk listrik"/>
    <s v=""/>
    <s v="N/A"/>
    <s v="3.5 x 6 meter; Tidak termasuk listrik; AC; Kasur; TV; Wastafel; Bantal; Cermin; Jendela; K. Mandi Dalam; Kloset Duduk; Shower; Air panas; WiFi; Penjaga Kos; Dapur; K. Mandi Luar; Kartu Akses; CCTV; Pengurus Kos; Parkir Mobil; Parkir Motor"/>
    <x v="26"/>
    <s v="Rp2.100.000"/>
    <x v="10"/>
    <d v="1899-12-30T04:05:00"/>
    <x v="0"/>
    <m/>
    <m/>
  </r>
  <r>
    <s v="Kost Edelweis Tipe A Cibinong Bogor"/>
    <x v="0"/>
    <s v="Cibinong"/>
    <n v="6.25"/>
    <s v="2.5 x 2.5 meter"/>
    <s v="Tidak termasuk listrik"/>
    <s v=""/>
    <s v="N/A"/>
    <s v="2.5 x 2.5 meter; Tidak termasuk listrik; AC; Kasur; Lemari Baju; Bantal; Cermin; Guling; K. Mandi Dalam; Kloset Duduk; Ember mandi; Shower; WiFi; R. Cuci; Kulkas; R. Tamu; Penjaga Kos; R. Jemur; Dapur; CCTV; Rice Cooker; Parkir Motor; Parkir Sepeda"/>
    <x v="99"/>
    <s v="Rp900.000"/>
    <x v="4"/>
    <d v="1899-12-30T04:01:00"/>
    <x v="2"/>
    <m/>
    <m/>
  </r>
  <r>
    <s v="Kost Edi Non AC Pulogadung Jakarta Timur"/>
    <x v="8"/>
    <s v="Pulo Gadung"/>
    <n v="12"/>
    <s v="3 x 4 meter"/>
    <s v="Tidak termasuk listrik"/>
    <s v=""/>
    <s v="N/A"/>
    <s v="3 x 4 meter; Tidak termasuk listrik; Kasur; Meja; Lemari Baju; Ventilasi; Kipas Angin; Jendela; Bantal; K. Mandi Dalam; Shower; WiFi; Laundry; Penjaga Kos; R. Tamu; Mushola; R. Jemur; R. Makan; R. Santai; Dapur; CCTV; Parkir Mobil; Parkir Motor; Parkir Sepeda"/>
    <x v="1"/>
    <s v="Rp1.100.000"/>
    <x v="3"/>
    <d v="1899-12-30T05:00:00"/>
    <x v="0"/>
    <m/>
    <m/>
  </r>
  <r>
    <s v="Kost Editha Cibitung Bekasi"/>
    <x v="7"/>
    <s v="Cibitung"/>
    <n v="12"/>
    <s v="3 x 4 meter"/>
    <s v="Tidak termasuk listrik"/>
    <s v=""/>
    <s v="N/A"/>
    <s v="3 x 4 meter; Tidak termasuk listrik; Kasur; Lemari Baju; Bantal; K. Mandi Dalam; Kloset Jongkok; Ember mandi; Shower; WiFi; Balcon; CCTV; Jemuran; Jual Makanan; Pengurus Kos; Parkir Motor"/>
    <x v="10"/>
    <s v="Rp750.000"/>
    <x v="3"/>
    <d v="1899-12-30T05:00:00"/>
    <x v="1"/>
    <m/>
    <m/>
  </r>
  <r>
    <s v="Kost EHA Tipe B Palmerah Jakarta Barat"/>
    <x v="3"/>
    <s v="Kecamatan Palmerah"/>
    <n v="9"/>
    <s v="3 x 3 meter"/>
    <s v="Termasuk listrik (implied)"/>
    <s v=""/>
    <s v="N/A"/>
    <s v="3 x 3 meter; Termasuk listrik; Kasur; Meja; Lemari Baju; Ventilasi; Jendela; K. Mandi Dalam; Kloset Jongkok; Ember mandi; Shower; WiFi; R. Tamu; Jemuran; Parkir Motor; Parkir Motor &amp; Sepeda"/>
    <x v="99"/>
    <s v="Rp900.000"/>
    <x v="0"/>
    <m/>
    <x v="0"/>
    <m/>
    <m/>
  </r>
  <r>
    <s v="Kost Eka Jombang Tipe B Ciputat Tangerang Selatan"/>
    <x v="2"/>
    <s v="Kecamatan Ciputat"/>
    <n v="12"/>
    <s v="3 x 4 meter"/>
    <s v="Tidak termasuk listrik"/>
    <s v=""/>
    <s v="N/A"/>
    <s v="3 x 4 meter; Tidak termasuk listrik; Kasur; Meja; Lemari Baju; Bantal; Cermin; Dapur Pribadi; Jendela; Kipas Angin; Kursi; K. Mandi Dalam; Shower; Bak mandi; R. Cuci; Laundry; Penjaga Kos; R. Tamu; R. Jemur; R. Makan; R. Santai; Dapur; Dispenser; Balcon; Parkir Mobil; Parkir Motor; Parkir Sepeda"/>
    <x v="206"/>
    <s v="Rp1.004.999"/>
    <x v="0"/>
    <m/>
    <x v="0"/>
    <m/>
    <m/>
  </r>
  <r>
    <s v="Kost Eka Tipe S Ciputat Tangerang Selatan"/>
    <x v="2"/>
    <s v="Ciputat"/>
    <n v="12"/>
    <s v="3 x 4 meter"/>
    <s v="Tidak termasuk listrik"/>
    <s v=""/>
    <s v="N/A"/>
    <s v="3 x 4 meter; Tidak termasuk listrik; Kasur; Bantal; Jendela; Kipas Angin; Kloset Jongkok; K. Mandi Luar; Ember mandi; R. Cuci; Penjaga Kos; R. Tamu; R. Jemur; R. Santai; Dapur; Dispenser; CCTV; Jemuran; Jual Makanan; Parkir Mobil; Parkir Motor; Parkir Sepeda"/>
    <x v="23"/>
    <s v="Rp1.200.000"/>
    <x v="0"/>
    <m/>
    <x v="0"/>
    <m/>
    <m/>
  </r>
  <r>
    <s v="Kost Eksekutif Boulevard Kelapa Gading Jakarta Utara"/>
    <x v="4"/>
    <s v="Kecamatan Kelapa Gading"/>
    <n v="16"/>
    <s v="4 x 4 meter"/>
    <s v="Termasuk listrik (implied)"/>
    <s v=""/>
    <s v="N/A"/>
    <s v="4 x 4 meter; Termasuk listrik; AC; Kasur; Meja; Dispenser; TV; Meja Rias; Lemari Baju; Kulkas; Ventilasi; Kursi; K. Mandi Dalam; Kloset Duduk; Wastafel; Shower; Air panas; WiFi; R. Cuci; R. Tamu; Mesin Cuci; Penjaga Kos; Laundry; R. Makan; R. Santai; Parkir Mobil; Parkir Motor; Parkir Sepeda"/>
    <x v="207"/>
    <s v="Rp3.001.500"/>
    <x v="0"/>
    <m/>
    <x v="0"/>
    <m/>
    <m/>
  </r>
  <r>
    <s v="Kost Eksekutif Duren Sawit Jakarta Timur"/>
    <x v="8"/>
    <s v="Duren Sawit"/>
    <n v="12"/>
    <s v="3 x 4 meter"/>
    <s v="Termasuk listrik (implied)"/>
    <s v=""/>
    <s v="N/A"/>
    <s v="3 x 4 meter; Termasuk listrik; AC; Kasur; Meja; Lemari Baju; Ventilasi; Kursi; Bantal; Jendela; Kloset Duduk; Kloset Jongkok; Wastafel; Shower; Air panas; WiFi; R. Cuci; Kulkas; R. Tamu; Mesin Cuci; R. Makan; R. Jemur; R. Santai; Dapur; Dispenser; Parkir Mobil; Parkir Motor; Parkir Sepeda"/>
    <x v="18"/>
    <s v="Rp1.300.000"/>
    <x v="3"/>
    <d v="1899-12-30T05:00:00"/>
    <x v="2"/>
    <m/>
    <s v="Diskon 65rb"/>
  </r>
  <r>
    <s v="Kost Eksekutif MGD Tipe Single Babakan Madang Bogor"/>
    <x v="0"/>
    <s v="Babakan Madang"/>
    <n v="12"/>
    <s v="3 x 4 meter"/>
    <s v="Tidak termasuk listrik"/>
    <s v=""/>
    <s v="N/A"/>
    <s v="3 x 4 meter; Tidak termasuk listrik; AC; Kasur; Meja; TV; Meja Rias; Lemari Baju; Kursi; Cleaning service; TV Kabel; K. Mandi Dalam; Kloset Duduk; Ember mandi; Shower; Air panas; WiFi; Kulkas; R. Tamu; Laundry; R. Makan; R. Jemur; R. Santai; Dapur; R. Keluarga; Parkir Mobil; Parkir Motor"/>
    <x v="19"/>
    <s v="Rp1.800.000"/>
    <x v="0"/>
    <m/>
    <x v="0"/>
    <m/>
    <m/>
  </r>
  <r>
    <s v="Kost Eksklusif AC Pasar Minggu Jakarta Selatan"/>
    <x v="5"/>
    <s v="Pasar Minggu"/>
    <n v="12"/>
    <s v="3 x 4 meter"/>
    <s v="Termasuk listrik (implied)"/>
    <s v=""/>
    <s v="N/A"/>
    <s v="3 x 4 meter; Termasuk listrik; AC; Kasur; Lemari Baju; Ventilasi; Bantal; Kipas Angin; K. Mandi Dalam; Ember mandi; WiFi; Kulkas; Penjaga Kos; R. Jemur; Dapur; Jemuran; Parkir Motor; Parkir Sepeda"/>
    <x v="28"/>
    <s v="Rp1.000.000"/>
    <x v="0"/>
    <m/>
    <x v="0"/>
    <m/>
    <m/>
  </r>
  <r>
    <s v="Kost Eksklusif Bidan Nurjanah Tambun Selatan Bekasi"/>
    <x v="7"/>
    <s v="Kecamatan Tambun Selatan"/>
    <n v="21.6"/>
    <s v="3.6 x 6 meter"/>
    <s v="Termasuk listrik (implied)"/>
    <s v=""/>
    <s v="N/A"/>
    <s v="3.6 x 6 meter; Termasuk listrik; AC; Kasur; Meja; Meja Rias; Lemari Baju; Ventilasi; Bantal; Cermin; Guling; Jendela; K. Mandi Dalam; Ember mandi; WiFi; Penjaga Kos; R. Jemur; CCTV; Gazebo; Jemuran; Jual Makanan; Taman; Parkir Motor"/>
    <x v="18"/>
    <s v="Rp1.300.000"/>
    <x v="0"/>
    <m/>
    <x v="1"/>
    <m/>
    <m/>
  </r>
  <r>
    <s v="Kost Eksklusif In Meadow Green Lippo Tipe A Cikarang Selatan Bekasi"/>
    <x v="7"/>
    <s v="Cikarang Selatan"/>
    <n v="9"/>
    <s v="3 x 3 meter"/>
    <s v="Tidak termasuk listrik"/>
    <s v=""/>
    <s v="N/A"/>
    <s v="3 x 3 meter; Tidak termasuk listrik; AC; Kasur; Meja; Dispenser; Lemari Baju; Ventilasi; Bantal; Cermin; Guling; Jendela; K. Mandi Dalam; Kloset Duduk; Shower; Air panas; WiFi; Kulkas; Penjaga Kos; Dapur; CCTV; Pengurus Kos; Parkir Mobil; Parkir Motor; Parkir Sepeda; Parkir Motor &amp; Sepeda"/>
    <x v="3"/>
    <s v="Rp1.500.000"/>
    <x v="2"/>
    <d v="1899-12-30T04:08:00"/>
    <x v="0"/>
    <m/>
    <m/>
  </r>
  <r>
    <s v="Kost Eksklusif M25 Residence Benda Tangerang"/>
    <x v="6"/>
    <s v="Benda"/>
    <n v="12"/>
    <s v="3 x 4 meter"/>
    <s v="Tidak termasuk listrik"/>
    <s v=""/>
    <s v="N/A"/>
    <s v="3 x 4 meter; Tidak termasuk listrik; AC; Kasur; Meja; Dispenser; TV; Lemari Baju; Kulkas; Kursi; Wastafel; Cleaning service; K. Mandi Dalam; Kloset Duduk; Shower; Air panas; WiFi; R. Tamu; Penjaga Kos; R. Makan; Mushola; R. Santai; Dapur; Parkir Mobil; Parkir Motor; Parkir Sepeda"/>
    <x v="33"/>
    <s v="Rp2.400.000"/>
    <x v="0"/>
    <m/>
    <x v="0"/>
    <m/>
    <m/>
  </r>
  <r>
    <s v="Kost Eksklusif M25 Tipe A Benda Tangerang"/>
    <x v="6"/>
    <s v="Benda"/>
    <n v="8"/>
    <s v="2 x 4 meter"/>
    <s v="Tidak termasuk listrik"/>
    <s v=""/>
    <s v="N/A"/>
    <s v="2 x 4 meter; Tidak termasuk listrik; AC; Kasur; Meja; TV; Meja Rias; Lemari Baju; Kulkas; Kursi; Wastafel; Cleaning service; K. Mandi Dalam; Kloset Duduk; Shower; Air panas; WiFi; R. Tamu; R. Makan; R. Santai; Dapur; Dispenser; Locker; R. Keluarga; Parkir Mobil; Parkir Motor; Parkir Sepeda"/>
    <x v="176"/>
    <s v="Rp2.300.000"/>
    <x v="5"/>
    <d v="1899-12-30T04:00:00"/>
    <x v="0"/>
    <m/>
    <m/>
  </r>
  <r>
    <s v="Kost Eksklusif M25 Tipe E Benda Tangerang"/>
    <x v="6"/>
    <s v="Benda"/>
    <n v="18"/>
    <s v="3 x 6 meter"/>
    <s v="Tidak termasuk listrik"/>
    <s v=""/>
    <s v="N/A"/>
    <s v="3 x 6 meter; Tidak termasuk listrik; AC; Kasur; Meja; Dispenser; TV; Meja Rias; Lemari Baju; Kulkas; Kursi; Wastafel; K. Mandi Dalam; Kloset Duduk; Shower; Air panas; WiFi; R. Tamu; Penjaga Kos; R. Makan; Mushola; R. Santai; Dapur; Parkir Mobil; Parkir Motor; Parkir Sepeda"/>
    <x v="7"/>
    <s v="Rp3.500.000"/>
    <x v="0"/>
    <m/>
    <x v="0"/>
    <m/>
    <m/>
  </r>
  <r>
    <s v="Kost Eksklusif Mara Juara Tipe Large Bedroom Beji Depok"/>
    <x v="1"/>
    <s v="Sukmajaya"/>
    <n v="16"/>
    <s v="4 x 4 meter"/>
    <s v="Tidak termasuk listrik"/>
    <s v=""/>
    <s v="N/A"/>
    <s v="4 x 4 meter; Tidak termasuk listrik; AC; Kasur; Meja; TV; Lemari Baju; Ventilasi; Kursi; Cleaning service; Bantal; Cermin; K. Mandi Dalam; Kloset Duduk; Wastafel; Shower; Air panas; WiFi; R. Cuci; Kulkas; R. Tamu; Mesin Cuci; Penjaga Kos; Laundry; R. Makan; R. Jemur; R. Santai; Parkir Mobil; Parkir Motor; Parkir Sepeda"/>
    <x v="208"/>
    <s v="Rp2.399.000"/>
    <x v="0"/>
    <m/>
    <x v="0"/>
    <m/>
    <m/>
  </r>
  <r>
    <s v="Kost Eksklusif Mara Juara Tipe Reguler Bedroom Beji Depok"/>
    <x v="1"/>
    <s v="Sukmajaya"/>
    <n v="9"/>
    <s v="3 x 3 meter"/>
    <s v="Tidak termasuk listrik"/>
    <s v=""/>
    <s v="N/A"/>
    <s v="3 x 3 meter; Tidak termasuk listrik; AC; Kasur; Meja; TV; Lemari Baju; Ventilasi; Kursi; Cleaning service; Bantal; Cermin; K. Mandi Dalam; Kloset Duduk; Wastafel; Shower; Air panas; WiFi; R. Cuci; Kulkas; R. Tamu; Mesin Cuci; Penjaga Kos; Laundry; R. Makan; R. Jemur; R. Santai; Parkir Mobil; Parkir Motor; Parkir Sepeda"/>
    <x v="209"/>
    <s v="Rp1.699.000"/>
    <x v="8"/>
    <d v="1899-12-30T04:09:00"/>
    <x v="0"/>
    <m/>
    <s v="Diskon 90rb"/>
  </r>
  <r>
    <s v="Kost Eksklusif Tipe Ekonomis Kelapa Gading Jakarta Utara"/>
    <x v="4"/>
    <s v="Kelapa Gading"/>
    <n v="12"/>
    <s v="3 x 4 meter"/>
    <s v="Tidak termasuk listrik"/>
    <s v=""/>
    <s v="N/A"/>
    <s v="3 x 4 meter; Tidak termasuk listrik; AC; Kasur; Meja; TV; Lemari Baju; Ventilasi; Kursi; Cleaning service; Bantal; Cermin; K. Mandi Dalam; Kloset Duduk; Ember mandi; Shower; WiFi; R. Cuci; Kulkas; R. Tamu; Penjaga Kos; Laundry; R. Makan; R. Jemur; R. Santai; Dapur; Parkir Mobil; Parkir Motor; Parkir Sepeda"/>
    <x v="89"/>
    <s v="Rp1.900.000"/>
    <x v="5"/>
    <d v="1899-12-30T04:00:00"/>
    <x v="0"/>
    <m/>
    <m/>
  </r>
  <r>
    <s v="Kost Eksklusif Wisma Rosa II VVIP Cempaka Putih Jakarta Pusat"/>
    <x v="9"/>
    <s v="Kecamatan Cempaka Putih"/>
    <n v="20"/>
    <s v="4 x 5 meter"/>
    <s v="Tidak termasuk listrik"/>
    <s v=""/>
    <s v="N/A"/>
    <s v="4 x 5 meter; Tidak termasuk listrik; AC; Kasur; Meja; Dispenser; Lemari Baju; Ventilasi; Bantal; Cermin; Guling; Jendela; K. Mandi Dalam; Kloset Duduk; Ember mandi; Shower; WiFi; Kulkas; Penjaga Kos; R. Tamu; R. Jemur; R. Makan; Dapur; CCTV; Jemuran; Parkir Mobil; Parkir Motor; Parkir Sepeda; Parkir Motor &amp; Sepeda"/>
    <x v="176"/>
    <s v="Rp2.300.000"/>
    <x v="6"/>
    <d v="1899-12-30T04:06:00"/>
    <x v="0"/>
    <m/>
    <s v="Diskon 115rb"/>
  </r>
  <r>
    <s v="Kost Ekslusif Bandaramas Tipe Vvip Neglasari Tangerang"/>
    <x v="6"/>
    <s v="Neglasari"/>
    <n v="16"/>
    <s v="4 x 4 meter"/>
    <s v="Tidak termasuk listrik"/>
    <s v=""/>
    <s v="N/A"/>
    <s v="4 x 4 meter; Tidak termasuk listrik; AC; Kasur; Meja; Dispenser; TV; Meja Rias; Lemari Baju; Kulkas; Ventilasi; Kursi; K. Mandi Dalam; Kloset Duduk; Wastafel; Ember mandi; Shower; Air panas; WiFi; R. Cuci; R. Tamu; Penjaga Kos; R. Makan; R. Jemur; R. Santai; Dapur; Parkir Mobil; Parkir Motor; Parkir Sepeda"/>
    <x v="3"/>
    <s v="Rp1.500.000"/>
    <x v="3"/>
    <d v="1899-12-30T05:00:00"/>
    <x v="0"/>
    <m/>
    <m/>
  </r>
  <r>
    <s v="Kost Elements Tipe Deluxe Grogol Petamburan Jakarta Barat"/>
    <x v="3"/>
    <s v="Kecamatan Grogol petamburan"/>
    <n v="9"/>
    <s v="3 x 3 meter"/>
    <s v="Tidak termasuk listrik"/>
    <s v=""/>
    <s v="N/A"/>
    <s v="3 x 3 meter; Tidak termasuk listrik; AC; Kasur; Meja; TV; Lemari Baju; Ventilasi; Bantal; Cermin; Guling; Jendela; K. Mandi Dalam; Kloset Duduk; Shower; Air panas; WiFi; Kulkas; Laundry; Penjaga Kos; R. Tamu; R. Jemur; R. Makan; R. Santai; Dapur; Dispenser; Parkir Motor; Parkir Sepeda; Parkir Motor &amp; Sepeda"/>
    <x v="22"/>
    <s v="Rp2.500.000"/>
    <x v="6"/>
    <d v="1899-12-30T04:06:00"/>
    <x v="0"/>
    <m/>
    <s v="Diskon 184rb"/>
  </r>
  <r>
    <s v="Kost Elisabet Cikarang Selatan Bekasi"/>
    <x v="7"/>
    <s v="Cikarang Selatan"/>
    <n v="7.5"/>
    <s v="3 x 2.5 meter"/>
    <s v="Tidak termasuk listrik"/>
    <s v=""/>
    <s v="N/A"/>
    <s v="3 x 2.5 meter; Tidak termasuk listrik; AC; Kasur; Meja; TV; Lemari Baju; Ventilasi; Bantal; Cermin; Cleaning service; Guling; K. Mandi Dalam; Kloset Duduk; Wastafel; Shower; Air panas; WiFi; Kulkas; R. Cuci; Laundry; Penjaga Kos; R. Tamu; R. Jemur; R. Makan; R. Santai; Dapur; Parkir Mobil; Parkir Motor; Parkir Sepeda; Parkir Motor &amp; Sepeda"/>
    <x v="23"/>
    <s v="Rp1.200.000"/>
    <x v="0"/>
    <m/>
    <x v="0"/>
    <m/>
    <m/>
  </r>
  <r>
    <s v="Kost Ellisabeth Tipe A Pulo Gadung Jakarta Timur"/>
    <x v="8"/>
    <s v="Pulo Gadung"/>
    <n v="10.5"/>
    <s v="3.5 x 3 meter"/>
    <s v="Termasuk listrik (implied)"/>
    <s v=""/>
    <s v="N/A"/>
    <s v="3.5 x 3 meter; Termasuk listrik; Kasur; Lemari Baju; Ventilasi; Bantal; Kipas Angin; Guling; Kloset Jongkok; K. Mandi Luar; Ember mandi; R. Cuci; R. Tamu; R. Jemur; R. Santai; Jemuran; Balcon; Pengurus Kos; Jual Makanan; Parkir Motor; Parkir Sepeda"/>
    <x v="2"/>
    <s v="Rp700.000"/>
    <x v="17"/>
    <d v="1899-12-30T03:09:00"/>
    <x v="1"/>
    <m/>
    <s v="Diskon 81rb"/>
  </r>
  <r>
    <s v="Kost Ellok Tipe A Kelapa Gading Jakarta Utara"/>
    <x v="4"/>
    <s v="Kelapa Gading"/>
    <n v="9"/>
    <s v="3 x 3 meter"/>
    <s v="Tidak termasuk listrik"/>
    <s v=""/>
    <s v="N/A"/>
    <s v="3 x 3 meter; Tidak termasuk listrik; AC; Kasur; Meja; TV; Lemari Baju; Ventilasi; Bantal; Cermin; Cleaning service; Jendela; K. Mandi Dalam; Kloset Jongkok; Wastafel; Shower; Air panas; WiFi; Kulkas; Penjaga Kos; R. Tamu; R. Santai; Dispenser; CCTV; Pengurus Kos"/>
    <x v="210"/>
    <s v="Rp2.450.000"/>
    <x v="2"/>
    <d v="1899-12-30T04:08:00"/>
    <x v="2"/>
    <m/>
    <s v="Diskon 110rb"/>
  </r>
  <r>
    <s v="Kost Elok Pavilion Tipe A Jatinegara Jakarta Timur"/>
    <x v="8"/>
    <s v="Jatinegara"/>
    <n v="18"/>
    <s v="3 x 6 meter"/>
    <s v="Tidak termasuk listrik"/>
    <s v=""/>
    <s v="N/A"/>
    <s v="3 x 6 meter; Tidak termasuk listrik; AC; Kasur; Meja; TV; Lemari Baju; Kulkas; Ventilasi; Kursi; Wastafel; Cermin; K. Mandi Dalam; Kloset Duduk; Shower; Air panas; WiFi; R. Cuci; R. Tamu; Penjaga Kos; R. Makan; R. Jemur; R. Santai; Dapur; Taman; Parkir Mobil; Parkir Motor; Parkir Sepeda"/>
    <x v="7"/>
    <s v="Rp3.500.000"/>
    <x v="0"/>
    <m/>
    <x v="0"/>
    <m/>
    <m/>
  </r>
  <r>
    <s v="Kost Emerald Dramaga Bogor"/>
    <x v="0"/>
    <s v="Dramaga"/>
    <n v="12"/>
    <s v="3 x 4 meter"/>
    <s v="Tidak termasuk listrik"/>
    <s v=""/>
    <s v="N/A"/>
    <s v="3 x 4 meter; Tidak termasuk listrik; AC; Kasur; Meja Rias; Lemari Baju; Bantal; Jendela; Kursi; K. Mandi Dalam; Kloset Duduk; Shower; WiFi; Kulkas; R. Cuci; Mesin Cuci; Penjaga Kos; R. Jemur; R. Santai; Dapur; Dispenser; Jemuran; Parkir Motor &amp; Sepeda"/>
    <x v="90"/>
    <s v="Rp1.650.000"/>
    <x v="3"/>
    <d v="1899-12-30T05:00:00"/>
    <x v="2"/>
    <m/>
    <m/>
  </r>
  <r>
    <s v="Kost Emir 3 Tipe A Gunung Sindur Bogor"/>
    <x v="0"/>
    <s v="Kecamatan Gunung Sindur"/>
    <n v="9"/>
    <s v="3 x 3 meter"/>
    <s v="Tidak termasuk listrik"/>
    <s v=""/>
    <s v="N/A"/>
    <s v="3 x 3 meter; Tidak termasuk listrik; AC; Kasur; Meja; Lemari Baju; Ventilasi; Bantal; Cermin; Jendela; Kursi; Kipas Angin; Kloset Duduk; Kloset Jongkok; K. Mandi Luar; Ember mandi; Shower; Air panas; WiFi; R. Tamu; R. Jemur; R. Makan; Dapur; CCTV; Taman; Parkir Mobil; Parkir Motor; Parkir Sepeda"/>
    <x v="28"/>
    <s v="Rp1.000.000"/>
    <x v="0"/>
    <m/>
    <x v="2"/>
    <m/>
    <m/>
  </r>
  <r>
    <s v="Kost Emir Viktor Setu Tangerang Selatan"/>
    <x v="2"/>
    <s v="Kecamatan Setu"/>
    <n v="12"/>
    <s v="3 x 4 meter"/>
    <s v="Tidak termasuk listrik"/>
    <s v=""/>
    <s v="N/A"/>
    <s v="3 x 4 meter; Tidak termasuk listrik; AC; Kasur; Meja; Lemari Baju; Bantal; Jendela; Kursi; K. Mandi Dalam; Kloset Duduk; Shower; WiFi; Kulkas; R. Cuci; R. Jemur; R. Santai; Dapur; CCTV; Jemuran; K. Mandi Luar; Parkir Mobil; Parkir Motor; Parkir Sepeda"/>
    <x v="23"/>
    <s v="Rp1.200.000"/>
    <x v="0"/>
    <m/>
    <x v="2"/>
    <m/>
    <m/>
  </r>
  <r>
    <s v="Kost Emmy Tipe A Duren Sawit Jakarta Timur"/>
    <x v="8"/>
    <s v="Kecamatan Duren Sawit"/>
    <n v="12"/>
    <s v="3 x 4 meter"/>
    <s v="Tidak termasuk listrik"/>
    <s v=""/>
    <s v="N/A"/>
    <s v="3 x 4 meter; Tidak termasuk listrik; Ventilasi; Jendela; K. Mandi Dalam; Kloset Jongkok; WiFi; Penjaga Kos; R. Jemur; Taman; Parkir Mobil; Parkir Motor; Parkir Sepeda"/>
    <x v="2"/>
    <s v="Rp700.000"/>
    <x v="0"/>
    <m/>
    <x v="0"/>
    <m/>
    <m/>
  </r>
  <r>
    <s v="Kost Eno Tipe A Benda Tangerang"/>
    <x v="6"/>
    <s v="Kecamatan Benda"/>
    <n v="12"/>
    <s v="3 x 4 meter"/>
    <s v="Tidak termasuk listrik"/>
    <s v=""/>
    <s v="N/A"/>
    <s v="3 x 4 meter; Tidak termasuk listrik; AC; Kasur; Dispenser; Meja; TV; Lemari Baju; Kulkas; Ventilasi; Wastafel; Cleaning service; K. Mandi Dalam; Kloset Duduk; Ember mandi; Shower; Air panas; WiFi; R. Cuci; R. Tamu; Penjaga Kos; R. Makan; R. Jemur; R. Santai; Dapur; Parkir Mobil; Parkir Motor; Parkir Sepeda; Parkir Motor &amp; Sepeda"/>
    <x v="4"/>
    <s v="Rp2.200.000"/>
    <x v="0"/>
    <m/>
    <x v="0"/>
    <m/>
    <m/>
  </r>
  <r>
    <s v="Kost Erisa House Beji Depok"/>
    <x v="1"/>
    <s v="Beji"/>
    <e v="#VALUE!"/>
    <s v="N/A"/>
    <s v="Tidak termasuk listrik"/>
    <s v=""/>
    <s v="N/A"/>
    <s v="3 x 3,6 meter; Tidak termasuk listrik; AC; Kasur; Meja; Lemari Baju; Kursi; Bantal; Guling; Jendela; K. Mandi Dalam; Kloset Duduk; Ember mandi; Shower; WiFi; R. Cuci; Kulkas; Penjaga Kos; Laundry; R. Jemur; Dapur; Dispenser; TV; K. Mandi Luar; Parkir Motor; Parkir Sepeda"/>
    <x v="3"/>
    <s v="Rp1.500.000"/>
    <x v="2"/>
    <d v="1899-12-30T04:08:00"/>
    <x v="2"/>
    <m/>
    <s v="Diskon 160rb"/>
  </r>
  <r>
    <s v="Kost Ero Residence Ciputat Timur Tangerang Selatan"/>
    <x v="2"/>
    <s v="Ciputat Timur"/>
    <n v="9"/>
    <s v="3 x 3 meter"/>
    <s v="Tidak termasuk listrik"/>
    <s v=""/>
    <s v="N/A"/>
    <s v="3 x 3 meter; Tidak termasuk listrik; AC; Kasur; Meja; Dispenser; TV; Meja Rias; Lemari Baju; Kulkas; Ventilasi; Kursi; K. Mandi Dalam; Kloset Duduk; Shower; Air panas; WiFi; R. Cuci; R. Tamu; Mesin Cuci; R. Makan; R. Jemur; R. Santai; Dapur; Parkir Motor; Parkir Sepeda"/>
    <x v="163"/>
    <s v="Rp1.700.000"/>
    <x v="3"/>
    <d v="1899-12-30T05:00:00"/>
    <x v="2"/>
    <m/>
    <m/>
  </r>
  <r>
    <s v="Kost Ethan Cikarang Utara Bekasi"/>
    <x v="7"/>
    <s v="Kecamatan Cikarang Utara"/>
    <n v="9"/>
    <s v="3 x 3 meter"/>
    <s v="Termasuk listrik (implied)"/>
    <s v=""/>
    <s v="N/A"/>
    <s v="3 x 3 meter; Termasuk listrik; Kasur; Lemari Baju; Bantal; Jendela; Kloset Jongkok; K. Mandi Luar; Ember mandi; WiFi; R. Jemur; Jemuran; Pengurus Kos; Parkir Motor; Parkir Sepeda; Parkir Motor &amp; Sepeda"/>
    <x v="17"/>
    <s v="Rp650.000"/>
    <x v="0"/>
    <m/>
    <x v="1"/>
    <m/>
    <m/>
  </r>
  <r>
    <s v="Kost Exclusive 96 Joglo Residence Kembangan Jakarta Barat"/>
    <x v="3"/>
    <s v="Kembangan"/>
    <n v="18"/>
    <s v="3 x 6 meter"/>
    <s v="Tidak termasuk listrik"/>
    <s v=""/>
    <s v="N/A"/>
    <s v="3 x 6 meter; Tidak termasuk listrik; AC; Kasur; Meja; Lemari Baju; Bantal; Cermin; Dapur Pribadi; Wastafel; K. Mandi Dalam; Kloset Duduk; Shower; WiFi; Kulkas; Penjaga Kos; R. Tamu; Dapur; Dispenser; Balcon; CCTV; Kartu Akses; Pengurus Kos; Parkir Mobil; Parkir Motor; Parkir Sepeda"/>
    <x v="6"/>
    <s v="Rp3.100.000"/>
    <x v="0"/>
    <m/>
    <x v="0"/>
    <m/>
    <m/>
  </r>
  <r>
    <s v="Kost Exclusive Jl Serayu Raya Semper Cilincing Jakarta Utara"/>
    <x v="4"/>
    <s v="Kecamatan Cilincing"/>
    <n v="12"/>
    <s v="3 x 4 meter"/>
    <s v="Tidak termasuk listrik"/>
    <s v=""/>
    <s v="N/A"/>
    <s v="3 x 4 meter; Tidak termasuk listrik; AC; K. Mandi Dalam; Kloset Duduk; Shower; Air panas; TV; Parkir Mobil"/>
    <x v="3"/>
    <s v="Rp1.500.000"/>
    <x v="0"/>
    <m/>
    <x v="0"/>
    <m/>
    <m/>
  </r>
  <r>
    <s v="Kost Exclusive Mumtaz Sufya 16F Matraman Jakarta Timur"/>
    <x v="8"/>
    <s v="Kecamatan Matraman"/>
    <n v="30"/>
    <s v="6 x 5 meter"/>
    <s v="Tidak termasuk listrik"/>
    <s v=""/>
    <s v="N/A"/>
    <s v="6 x 5 meter; Tidak termasuk listrik; AC; Kasur; Dispenser; Meja; TV; Kulkas; Lemari Baju; Ventilasi; Bantal; Cermin; K. Mandi Dalam; Kloset Duduk; Wastafel; Shower; Air panas; WiFi; Penjaga Kos; R. Tamu; R. Makan; R. Santai; Dapur; Balcon; CCTV; Parkir Mobil; Parkir Motor; Parkir Sepeda"/>
    <x v="7"/>
    <s v="Rp3.500.000"/>
    <x v="8"/>
    <d v="1899-12-30T04:09:00"/>
    <x v="0"/>
    <m/>
    <s v="Diskon 272rb"/>
  </r>
  <r>
    <s v="Kost Exclusive Mumtaz Sufya 16F Matraman Jakarta Timur"/>
    <x v="8"/>
    <s v="Kecamatan Matraman"/>
    <n v="30"/>
    <s v="6 x 5 meter"/>
    <s v="Tidak termasuk listrik"/>
    <s v=""/>
    <s v="N/A"/>
    <s v="6 x 5 meter; Tidak termasuk listrik; AC; Kasur; Dispenser; Meja; TV; Kulkas; Lemari Baju; Ventilasi; Bantal; Cermin; K. Mandi Dalam; Kloset Duduk; Wastafel; Shower; Air panas; WiFi; Penjaga Kos; R. Tamu; R. Makan; R. Santai; Dapur; Balcon; CCTV; Parkir Mobil; Parkir Motor; Parkir Sepeda"/>
    <x v="7"/>
    <s v="Rp3.500.000"/>
    <x v="2"/>
    <d v="1899-12-30T04:08:00"/>
    <x v="0"/>
    <m/>
    <s v="Diskon 272rb"/>
  </r>
  <r>
    <s v="Kost Exclusive Pavilion Tipe A Cikarang Utara Bekasi"/>
    <x v="7"/>
    <s v="Kecamatan Cikarang Utara"/>
    <n v="9"/>
    <s v="3 x 3 meter"/>
    <s v="Tidak termasuk listrik"/>
    <s v=""/>
    <s v="N/A"/>
    <s v="3 x 3 meter; Tidak termasuk listrik; AC; Kasur; Meja; TV; Lemari Baju; Bantal; Cermin; Guling; Kursi; Wastafel; K. Mandi Dalam; Kloset Duduk; Air panas; WiFi; Kulkas; Penjaga Kos; R. Tamu; R. Makan; R. Santai; Dispenser; Dapur; Jemuran; Parkir Mobil; Parkir Motor"/>
    <x v="163"/>
    <s v="Rp1.700.000"/>
    <x v="0"/>
    <m/>
    <x v="2"/>
    <m/>
    <m/>
  </r>
  <r>
    <s v="Kost Exclusive Tipe A Babakan Madang Bogor"/>
    <x v="0"/>
    <s v="Kecamatan Babakan Madang"/>
    <n v="20"/>
    <s v="4 x 5 meter"/>
    <s v="Termasuk listrik (implied)"/>
    <s v=""/>
    <s v="N/A"/>
    <s v="4 x 5 meter; Termasuk listrik; AC; Kasur; Meja; Bantal; Cermin; Guling; Jendela; K. Mandi Dalam; Kloset Duduk; Wastafel; Shower; Kulkas; R. Tamu; R. Jemur; R. Makan; R. Santai; Dapur; Dispenser; Jemuran; K. Mandi Luar; R. Keluarga; Parkir Mobil; Parkir Motor; Parkir Sepeda"/>
    <x v="163"/>
    <s v="Rp1.700.000"/>
    <x v="3"/>
    <d v="1899-12-30T05:00:00"/>
    <x v="2"/>
    <m/>
    <m/>
  </r>
  <r>
    <s v="Kost Exclusive Tipe A Gunung Putri Bogor"/>
    <x v="0"/>
    <s v="Gunung Putri"/>
    <n v="9"/>
    <s v="3 x 3 meter"/>
    <s v="Termasuk listrik (implied)"/>
    <s v=""/>
    <s v="N/A"/>
    <s v="3 x 3 meter; Termasuk listrik; AC; Kasur; Lemari Baju; Kloset Duduk; K. Mandi Luar; Shower; R. Tamu; R. Santai; Dapur; R. Keluarga; Parkir Mobil; Parkir Motor; Parkir Sepeda"/>
    <x v="90"/>
    <s v="Rp1.650.000"/>
    <x v="8"/>
    <d v="1899-12-30T04:09:00"/>
    <x v="0"/>
    <m/>
    <m/>
  </r>
  <r>
    <s v="Kost Exclusive Tipe D Gunung Putri Bogor"/>
    <x v="0"/>
    <s v="Gunung Putri"/>
    <n v="12"/>
    <s v="3 x 4 meter"/>
    <s v="Tidak termasuk listrik"/>
    <s v=""/>
    <s v="N/A"/>
    <s v="3 x 4 meter; Tidak termasuk listrik; AC; Kasur; K. Mandi Dalam; Kloset Duduk; Shower; R. Tamu; R. Santai; Dapur; R. Keluarga; Parkir Mobil; Parkir Motor; Parkir Sepeda"/>
    <x v="170"/>
    <s v="Rp2.250.000"/>
    <x v="0"/>
    <m/>
    <x v="0"/>
    <m/>
    <m/>
  </r>
  <r>
    <s v="Kost Executive Wahy Tipe A Pedurungan Semarang"/>
    <x v="6"/>
    <s v="Pedurungan"/>
    <n v="12"/>
    <s v="3 x 4 meter"/>
    <s v="Tidak termasuk listrik"/>
    <s v=""/>
    <s v="N/A"/>
    <s v="3 x 4 meter; Tidak termasuk listrik; AC; Kasur; Meja; TV; Lemari Baju; Ventilasi; Bantal; Cermin; Cleaning service; Guling; K. Mandi Dalam; Kloset Jongkok; Ember mandi; Shower; WiFi; R. Cuci; Penjaga Kos; R. Tamu; R. Jemur; R. Makan; R. Santai; Dapur; Balcon; CCTV; Parkir Mobil; Parkir Motor; Parkir Motor &amp; Sepeda"/>
    <x v="42"/>
    <s v="Rp975.000"/>
    <x v="0"/>
    <m/>
    <x v="1"/>
    <m/>
    <m/>
  </r>
  <r>
    <s v="Kost Fadilah 1 Beji Depok"/>
    <x v="1"/>
    <s v="Beji"/>
    <n v="12"/>
    <s v="3 x 4 meter"/>
    <s v="Termasuk listrik (implied)"/>
    <s v=""/>
    <s v="N/A"/>
    <s v="3 x 4 meter; Termasuk listrik; Kasur; Meja; Lemari Baju; Ventilasi; Kursi; K. Mandi Dalam; Kloset Jongkok; Ember mandi; WiFi; Kulkas; R. Tamu; R. Jemur; Dapur; Jemuran; Pengurus Kos"/>
    <x v="99"/>
    <s v="Rp900.000"/>
    <x v="8"/>
    <d v="1899-12-30T04:09:00"/>
    <x v="2"/>
    <m/>
    <s v="Diskon 90rb"/>
  </r>
  <r>
    <s v="Kost Fadilah 1 Beji Depok"/>
    <x v="1"/>
    <s v="Beji"/>
    <n v="12"/>
    <s v="3 x 4 meter"/>
    <s v="Termasuk listrik (implied)"/>
    <s v=""/>
    <s v="N/A"/>
    <s v="3 x 4 meter; Termasuk listrik; Kasur; Meja; Lemari Baju; Ventilasi; Kursi; K. Mandi Dalam; Kloset Jongkok; Ember mandi; WiFi; Kulkas; R. Tamu; R. Jemur; Dapur; Jemuran; Pengurus Kos"/>
    <x v="99"/>
    <s v="Rp900.000"/>
    <x v="6"/>
    <d v="1899-12-30T04:06:00"/>
    <x v="2"/>
    <m/>
    <s v="Diskon 90rb"/>
  </r>
  <r>
    <s v="Kost Fahrani Ciputat Tangerang Selatan"/>
    <x v="2"/>
    <s v="Ciputat Timur"/>
    <n v="9"/>
    <s v="3 x 3 meter"/>
    <s v="Tidak termasuk listrik"/>
    <s v=""/>
    <s v="N/A"/>
    <s v="3 x 3 meter; Tidak termasuk listrik; AC; Kipas Angin; K. Mandi Dalam; WiFi; TV"/>
    <x v="3"/>
    <s v="Rp1.500.000"/>
    <x v="8"/>
    <d v="1899-12-30T04:09:00"/>
    <x v="2"/>
    <m/>
    <s v="Diskon 75rb"/>
  </r>
  <r>
    <s v="Kost Fajar Tipe A Kebayoran Baru Jakarta Selatan"/>
    <x v="6"/>
    <s v="Kebayoran Baru"/>
    <n v="9"/>
    <s v="3 x 3 meter"/>
    <s v="Tidak termasuk listrik"/>
    <s v=""/>
    <s v="N/A"/>
    <s v="3 x 3 meter; Tidak termasuk listrik; AC; Kasur; Lemari Baju; K. Mandi Dalam; WiFi; Dapur; Parkir Mobil; Parkir Motor"/>
    <x v="13"/>
    <s v="Rp1.600.000"/>
    <x v="10"/>
    <d v="1899-12-30T04:05:00"/>
    <x v="0"/>
    <m/>
    <m/>
  </r>
  <r>
    <s v="Kost Familly 701 Cipondoh Tangerang"/>
    <x v="6"/>
    <s v="Kecamatan Cipondoh"/>
    <n v="9"/>
    <s v="3 x 3 meter"/>
    <s v="Tidak termasuk listrik"/>
    <s v=""/>
    <s v="N/A"/>
    <s v="3 x 3 meter; Tidak termasuk listrik; Kasur; Kulkas; Lemari Baju; Ventilasi; Bantal; Guling; Jendela; Kursi; Wastafel; K. Mandi Dalam; Kloset Jongkok; K. Mandi Luar; Ember mandi; Shower; R. Cuci; R. Jemur; R. Santai; Dapur; Balcon; CCTV; Jemuran; Jual Makanan; Pengurus Kos; Parkir Motor; Parkir Sepeda; Parkir Motor &amp; Sepeda"/>
    <x v="17"/>
    <s v="Rp650.000"/>
    <x v="0"/>
    <m/>
    <x v="2"/>
    <m/>
    <m/>
  </r>
  <r>
    <s v="Kost Family Tipe A Cikarang Pusat Bekasi"/>
    <x v="7"/>
    <s v="Cikarang Pusat"/>
    <n v="12"/>
    <s v="3 x 4 meter"/>
    <s v="Tidak termasuk listrik"/>
    <s v=""/>
    <s v="N/A"/>
    <s v="3 x 4 meter; Tidak termasuk listrik; AC; Kasur; Lemari Baju; Ventilasi; Bantal; Jendela; Kipas Angin; K. Mandi Dalam; Kloset Jongkok; Ember mandi; Penjaga Kos; R. Jemur; Balcon; Jemuran; Pengurus Kos; CCTV; Parkir Motor; Parkir Sepeda; Parkir Motor &amp; Sepeda"/>
    <x v="23"/>
    <s v="Rp1.200.000"/>
    <x v="5"/>
    <d v="1899-12-30T04:00:00"/>
    <x v="0"/>
    <m/>
    <m/>
  </r>
  <r>
    <s v="Kost Fantasy Kelapa Gading Jakarta Utara"/>
    <x v="4"/>
    <s v="Kecamatan Kelapa Gading"/>
    <n v="6"/>
    <s v="2 x 3 meter"/>
    <s v="Termasuk listrik (implied)"/>
    <s v=""/>
    <s v="N/A"/>
    <s v="2 x 3 meter; Termasuk listrik; AC; Kasur; Meja; Lemari Baju; Ventilasi; Bantal; Cermin; Kloset Duduk; K. Mandi Luar; Wastafel; Shower; WiFi; R. Cuci; Kulkas; Mesin Cuci; R. Jemur; Dapur; Dispenser; Balcon; CCTV; Jemuran; Parkir Motor; Parkir Sepeda"/>
    <x v="167"/>
    <s v="Rp1.550.000"/>
    <x v="8"/>
    <d v="1899-12-30T04:09:00"/>
    <x v="2"/>
    <m/>
    <m/>
  </r>
  <r>
    <s v="Kost Farandole Tipe A Serpong Tangerang Selatan"/>
    <x v="2"/>
    <s v="Kecamatan Serpong"/>
    <n v="6"/>
    <s v="2 x 3 meter"/>
    <s v="Tidak termasuk listrik"/>
    <s v=""/>
    <s v="N/A"/>
    <s v="2 x 3 meter; Tidak termasuk listrik; AC; Kasur; Meja; TV; Lemari Baju; Ventilasi; Bantal; Cermin; Guling; Jendela; K. Mandi Dalam; Kloset Duduk; Shower; Air panas; WiFi; Kulkas; R. Cuci; Laundry; Mesin Cuci; Penjaga Kos; R. Jemur; Dapur; Dispenser; CCTV; Parkir Motor; Parkir Motor &amp; Sepeda"/>
    <x v="13"/>
    <s v="Rp1.600.000"/>
    <x v="3"/>
    <d v="1899-12-30T05:00:00"/>
    <x v="0"/>
    <m/>
    <m/>
  </r>
  <r>
    <s v="Kost Fatih Resort Dramaga Bogor"/>
    <x v="0"/>
    <s v="Kecamatan Dramaga"/>
    <n v="9"/>
    <s v="3 x 3 meter"/>
    <s v="Tidak termasuk listrik"/>
    <s v=""/>
    <s v="N/A"/>
    <s v="3 x 3 meter; Tidak termasuk listrik; AC; Kasur; Dispenser; Meja; Meja Rias; Lemari Baju; Ventilasi; Bantal; Cermin; Cleaning service; K. Mandi Dalam; Kloset Duduk; Ember mandi; Shower; WiFi; Kulkas; Penjaga Kos; Dapur; CCTV; Pengurus Kos; Parkir Mobil; Parkir Motor; Parkir Sepeda; Parkir Motor &amp; Sepeda"/>
    <x v="3"/>
    <s v="Rp1.500.000"/>
    <x v="0"/>
    <m/>
    <x v="0"/>
    <m/>
    <m/>
  </r>
  <r>
    <s v="Kost Fatmawati Deluxe + Cilandak Jakarta Selatan"/>
    <x v="5"/>
    <s v="Cilandak"/>
    <n v="15"/>
    <s v="3 x 5 meter"/>
    <s v="Tidak termasuk listrik"/>
    <s v=""/>
    <s v="N/A"/>
    <s v="3 x 5 meter; Tidak termasuk listrik; AC; Kasur; Dispenser; Meja; Meja Rias; TV; Kulkas; Lemari Baju; Ventilasi; Bantal; K. Mandi Dalam; Kloset Duduk; Kloset Jongkok; K. Mandi Luar; Ember mandi; Wastafel; Shower; Air panas; Bathtub; WiFi; R. Cuci; Laundry; Mesin Cuci; Penjaga Kos; R. Tamu; Mushola; R. Jemur; R. Makan; Parkir Mobil; Parkir Motor; Parkir Sepeda"/>
    <x v="192"/>
    <s v="Rp3.750.000"/>
    <x v="6"/>
    <d v="1899-12-30T04:06:00"/>
    <x v="0"/>
    <m/>
    <s v="Diskon 193rb"/>
  </r>
  <r>
    <s v="Kost Fatmawati Excecutive Cilandak Jakarta Selatan"/>
    <x v="5"/>
    <s v="Cilandak"/>
    <n v="13.5"/>
    <s v="3 x 4.5 meter"/>
    <s v="Tidak termasuk listrik"/>
    <s v=""/>
    <s v="N/A"/>
    <s v="3 x 4.5 meter; Tidak termasuk listrik; AC; Kasur; Dispenser; Meja; Meja Rias; TV; Kulkas; Lemari Baju; Ventilasi; Bantal; K. Mandi Dalam; Kloset Duduk; Kloset Jongkok; K. Mandi Luar; Ember mandi; Wastafel; Shower; Air panas; Bathtub; WiFi; R. Cuci; Laundry; Mesin Cuci; Penjaga Kos; R. Tamu; Mushola; R. Jemur; R. Makan; Parkir Mobil; Parkir Motor; Parkir Sepeda"/>
    <x v="9"/>
    <s v="Rp4.000.000"/>
    <x v="6"/>
    <d v="1899-12-30T04:06:00"/>
    <x v="0"/>
    <m/>
    <s v="Diskon 193rb"/>
  </r>
  <r>
    <s v="Kost Fatmawati Executive 2 Cilandak Jakarta Selatan"/>
    <x v="5"/>
    <s v="Cilandak"/>
    <n v="16.5"/>
    <s v="3 x 5.5 meter"/>
    <s v="Tidak termasuk listrik"/>
    <s v=""/>
    <s v="N/A"/>
    <s v="3 x 5.5 meter; Tidak termasuk listrik; AC; Kasur; Dispenser; Meja; Meja Rias; TV; Kulkas; Lemari Baju; Ventilasi; Bantal; K. Mandi Dalam; Kloset Duduk; Kloset Jongkok; K. Mandi Luar; Ember mandi; Wastafel; Shower; Air panas; Bathtub; WiFi; R. Cuci; Laundry; Mesin Cuci; Penjaga Kos; R. Tamu; Mushola; R. Jemur; R. Makan; Parkir Mobil; Parkir Motor; Parkir Sepeda"/>
    <x v="9"/>
    <s v="Rp4.000.000"/>
    <x v="6"/>
    <d v="1899-12-30T04:06:00"/>
    <x v="0"/>
    <m/>
    <s v="Diskon 193rb"/>
  </r>
  <r>
    <s v="Kost Finch Deluxe Ciledug Tangerang"/>
    <x v="6"/>
    <s v="Ciledug"/>
    <n v="9"/>
    <s v="3 x 3 meter"/>
    <s v="Tidak termasuk listrik"/>
    <s v=""/>
    <s v="N/A"/>
    <s v="3 x 3 meter; Tidak termasuk listrik; AC; Kasur; Dispenser; Meja; TV; Kulkas; Lemari Baju; Bantal; Cermin; Cleaning service; Kloset Duduk; K. Mandi Luar; Shower; WiFi; Laundry; Penjaga Kos; R. Tamu; R. Makan; R. Santai; Dapur; Balcon; Parkir Mobil; Parkir Motor; Parkir Sepeda; Parkir Motor &amp; Sepeda"/>
    <x v="3"/>
    <s v="Rp1.500.000"/>
    <x v="0"/>
    <m/>
    <x v="2"/>
    <m/>
    <m/>
  </r>
  <r>
    <s v="Kost Finch Tipe Executive Ciledug Tangerang"/>
    <x v="6"/>
    <s v="Kecamatan Ciledug"/>
    <n v="18"/>
    <s v="3 x 6 meter"/>
    <s v="Tidak termasuk listrik"/>
    <s v=""/>
    <s v="N/A"/>
    <s v="3 x 6 meter; Tidak termasuk listrik; AC; Kasur; Meja; TV; Bantal; Cermin; Dapur Pribadi; Jendela; Kursi; K. Mandi Dalam; Kloset Duduk; Shower; Penjaga Kos; R. Makan; Dapur; Pengurus Kos; Parkir Mobil; Parkir Motor; Parkir Sepeda; Parkir Motor &amp; Sepeda"/>
    <x v="176"/>
    <s v="Rp2.300.000"/>
    <x v="0"/>
    <m/>
    <x v="0"/>
    <m/>
    <m/>
  </r>
  <r>
    <s v="Kost Flamboyan A One Ciputat Timur Tangerang Selatan"/>
    <x v="2"/>
    <s v="Kecamatan Ciputat Timur"/>
    <n v="9"/>
    <s v="3 x 3 meter"/>
    <s v="Tidak termasuk listrik"/>
    <s v=""/>
    <s v="N/A"/>
    <s v="3 x 3 meter; Tidak termasuk listrik; AC; Kasur; Meja; Meja Rias; Lemari Baju; Ventilasi; Kursi; Cleaning service; Bantal; Cermin; K. Mandi Dalam; Kloset Duduk; Shower; Air panas; WiFi; Kulkas; R. Tamu; Penjaga Kos; Laundry; R. Makan; R. Jemur; R. Santai; Dapur; CCTV; Parkir Motor"/>
    <x v="3"/>
    <s v="Rp1.500.000"/>
    <x v="3"/>
    <d v="1899-12-30T05:00:00"/>
    <x v="0"/>
    <m/>
    <m/>
  </r>
  <r>
    <s v="Kost Flower Tipe B Tambun Selatan Bekasi"/>
    <x v="7"/>
    <s v="Tambun Selatan"/>
    <n v="12"/>
    <s v="3 x 4 meter"/>
    <s v="Tidak termasuk listrik"/>
    <s v=""/>
    <s v="N/A"/>
    <s v="3 x 4 meter; Tidak termasuk listrik; AC; Kasur; Meja; TV; Lemari Baju; Ventilasi; Kursi; Wastafel; Sofa; Bantal; K. Mandi Dalam; Kloset Jongkok; Ember mandi; WiFi; R. Cuci; R. Tamu; R. Jemur; Dapur; R. Keluarga; CCTV; Pengurus Kos; Jemuran; Parkir Motor; Parkir Sepeda"/>
    <x v="23"/>
    <s v="Rp1.200.000"/>
    <x v="0"/>
    <m/>
    <x v="0"/>
    <m/>
    <m/>
  </r>
  <r>
    <s v="Kost FMO Tipe B Karawaci Tangerang"/>
    <x v="6"/>
    <s v="Kecamatan Karawaci"/>
    <n v="8.75"/>
    <s v="3.5 x 2.5 meter"/>
    <s v="Tidak termasuk listrik"/>
    <s v=""/>
    <s v="N/A"/>
    <s v="3.5 x 2.5 meter; Tidak termasuk listrik; Kasur; Lemari Baju; Bantal; Cermin; Guling; Jendela; K. Mandi Dalam; Kloset Duduk; Shower; WiFi; Kulkas; Mesin Cuci; R. Jemur; Dapur; Balcon; CCTV; Jemuran; Parkir Motor; Parkir Sepeda"/>
    <x v="190"/>
    <s v="Rp1.050.000"/>
    <x v="8"/>
    <d v="1899-12-30T04:09:00"/>
    <x v="2"/>
    <m/>
    <m/>
  </r>
  <r>
    <s v="Kost G2 Grogol Petamburan Jakarta Barat"/>
    <x v="3"/>
    <s v="Grogol Petamburan"/>
    <n v="9"/>
    <s v="3 x 3 meter"/>
    <s v="Tidak termasuk listrik"/>
    <s v=""/>
    <s v="N/A"/>
    <s v="3 x 3 meter; Tidak termasuk listrik; AC; Kasur; Meja; TV; Lemari Baju; Ventilasi; Bantal; Cermin; Cleaning service; Jendela; K. Mandi Dalam; Kloset Duduk; Shower; WiFi; Kulkas; Penjaga Kos; R. Tamu; R. Jemur; R. Makan; R. Santai; Dapur; Dispenser; Balcon; Parkir Mobil; Parkir Motor"/>
    <x v="32"/>
    <s v="Rp2.600.000"/>
    <x v="6"/>
    <d v="1899-12-30T04:06:00"/>
    <x v="0"/>
    <m/>
    <m/>
  </r>
  <r>
    <s v="Kost Gabriela Tipe L Cikarang Selatan Bekasi"/>
    <x v="7"/>
    <s v="Cikarang Selatan"/>
    <n v="12"/>
    <s v="3 x 4 meter"/>
    <s v="Tidak termasuk listrik"/>
    <s v=""/>
    <s v="N/A"/>
    <s v="3 x 4 meter; Tidak termasuk listrik; AC; Kasur; Meja; Lemari Baju; Ventilasi; Bantal; Cermin; Guling; Kursi; Cleaning service; K. Mandi Dalam; Kloset Duduk; Shower; Air panas"/>
    <x v="90"/>
    <s v="Rp1.650.000"/>
    <x v="2"/>
    <d v="1899-12-30T04:08:00"/>
    <x v="0"/>
    <m/>
    <m/>
  </r>
  <r>
    <s v="Kost Gading Elok Kelapa Gading Jakarta Utara"/>
    <x v="4"/>
    <s v="Kecamatan Kelapa Gading"/>
    <n v="7.5"/>
    <s v="2.5 x 3 meter"/>
    <s v="Tidak termasuk listrik"/>
    <s v=""/>
    <s v="N/A"/>
    <s v="2.5 x 3 meter; Tidak termasuk listrik; AC; Kasur; Meja; Dispenser; Lemari Baju; Kulkas; Ventilasi; Kursi; Wastafel; Bantal; Kloset Duduk; K. Mandi Luar; Ember mandi; Shower; WiFi; R. Cuci; Mesin Cuci; R. Jemur; Dapur; Balcon; CCTV; Parkir Motor; Parkir Sepeda"/>
    <x v="11"/>
    <s v="Rp1.400.000"/>
    <x v="0"/>
    <m/>
    <x v="0"/>
    <m/>
    <m/>
  </r>
  <r>
    <s v="Kost Gading Elok Residence II Queensize Bedroom Kelapa Gading Jakarta Utara"/>
    <x v="4"/>
    <s v="Kecamatan Kelapa Gading"/>
    <n v="10.240000000000002"/>
    <s v="3.2 x 3.2 meter"/>
    <s v="Tidak termasuk listrik"/>
    <s v=""/>
    <s v="N/A"/>
    <s v="3.2 x 3.2 meter; Tidak termasuk listrik; AC; Kasur; Dispenser; TV; Lemari Baju; Kulkas; Ventilasi; Meja makan; Cermin; Jendela; K. Mandi Dalam; Kloset Duduk; Shower; Air panas; WiFi; R. Cuci; Mesin Cuci; Penjaga Kos; R. Tamu; R. Makan; R. Jemur; R. Santai; Dapur; Parkir Mobil; Parkir Motor; Parkir Sepeda"/>
    <x v="182"/>
    <s v="Rp2.900.000"/>
    <x v="10"/>
    <d v="1899-12-30T04:05:00"/>
    <x v="0"/>
    <m/>
    <s v="Diskon 236rb"/>
  </r>
  <r>
    <s v="Kost Gading Elok Residence II Single Bedroom Kelapa Gading Jakarta Utara"/>
    <x v="4"/>
    <s v="Kecamatan Kelapa Gading"/>
    <n v="9"/>
    <s v="3 x 3 meter"/>
    <s v="Tidak termasuk listrik"/>
    <s v=""/>
    <s v="N/A"/>
    <s v="3 x 3 meter; Tidak termasuk listrik; AC; Kasur; Dispenser; TV; Lemari Baju; Kulkas; Ventilasi; Meja makan; Bantal; Cermin; K. Mandi Dalam; Kloset Duduk; Shower; Air panas; WiFi; R. Cuci; Mesin Cuci; Penjaga Kos; R. Tamu; R. Makan; R. Jemur; R. Santai; Dapur; Parkir Mobil; Parkir Motor; Parkir Sepeda"/>
    <x v="4"/>
    <s v="Rp2.200.000"/>
    <x v="8"/>
    <d v="1899-12-30T04:09:00"/>
    <x v="0"/>
    <m/>
    <m/>
  </r>
  <r>
    <s v="Kost Gading Pavillion Tipe A Kelapa Gading Jakarta Utara"/>
    <x v="4"/>
    <s v="Kecamatan Kelapa Gading"/>
    <n v="12"/>
    <s v="3 x 4 meter"/>
    <s v="Tidak termasuk listrik"/>
    <s v=""/>
    <s v="N/A"/>
    <s v="3 x 4 meter; Tidak termasuk listrik; AC; Kasur; Meja; TV; Lemari Baju; Kulkas; Ventilasi; Kursi; Wastafel; Cleaning service; K. Mandi Dalam; Kloset Duduk; Shower; Air panas; WiFi; R. Tamu; Penjaga Kos; R. Makan; R. Jemur; R. Santai; Dapur; Balcon; Parkir Motor"/>
    <x v="26"/>
    <s v="Rp2.100.000"/>
    <x v="3"/>
    <d v="1899-12-30T05:00:00"/>
    <x v="2"/>
    <m/>
    <m/>
  </r>
  <r>
    <s v="Kost Gading Surya Tipe E Kelapa Gading Jakarta Utara"/>
    <x v="4"/>
    <s v="Kecamatan Kelapa Gading"/>
    <n v="4"/>
    <s v="2 x 2 meter"/>
    <s v="Termasuk listrik (implied)"/>
    <s v=""/>
    <s v="N/A"/>
    <s v="2 x 2 meter; Termasuk listrik; Kasur; Lemari Baju; Ventilasi; Bantal; Kipas Angin; Kloset Duduk; K. Mandi Luar; Wastafel; Shower; WiFi; R. Cuci; Kulkas; R. Tamu; Penjaga Kos; R. Makan; R. Jemur; R. Santai; Dapur; Dispenser; Parkir Motor; Parkir Sepeda"/>
    <x v="10"/>
    <s v="Rp750.000"/>
    <x v="13"/>
    <d v="1899-12-30T04:03:00"/>
    <x v="0"/>
    <m/>
    <m/>
  </r>
  <r>
    <s v="Kost Gading Surya Tipe E Kelapa Gading Jakarta Utara"/>
    <x v="4"/>
    <s v="Kecamatan Kelapa Gading"/>
    <n v="4"/>
    <s v="2 x 2 meter"/>
    <s v="Termasuk listrik (implied)"/>
    <s v=""/>
    <s v="N/A"/>
    <s v="2 x 2 meter; Termasuk listrik; Kasur; Lemari Baju; Ventilasi; Bantal; Kipas Angin; Kloset Duduk; K. Mandi Luar; Wastafel; Shower; WiFi; R. Cuci; Kulkas; R. Tamu; Penjaga Kos; R. Makan; R. Jemur; R. Santai; Dapur; Dispenser; Parkir Motor; Parkir Sepeda"/>
    <x v="10"/>
    <s v="Rp750.000"/>
    <x v="10"/>
    <d v="1899-12-30T04:05:00"/>
    <x v="0"/>
    <m/>
    <m/>
  </r>
  <r>
    <s v="Kost Gading Surya Tipe G Kelapa Gading Jakarta Utara"/>
    <x v="4"/>
    <s v="Kecamatan Kelapa Gading"/>
    <n v="5"/>
    <s v="2.5 x 2 meter"/>
    <s v="Termasuk listrik (implied)"/>
    <s v=""/>
    <s v="N/A"/>
    <s v="2.5 x 2 meter; Termasuk listrik; Kasur; Meja; Meja Rias; Lemari Baju; Ventilasi; Kursi; Bantal; Cermin; Guling; Jendela; Kloset Duduk; K. Mandi Luar; Wastafel; Ember mandi; Shower; WiFi; R. Cuci; Kulkas; R. Tamu; Penjaga Kos; R. Makan; R. Jemur; R. Santai; Dapur; Dispenser; Parkir Motor; Parkir Sepeda"/>
    <x v="0"/>
    <s v="Rp950.000"/>
    <x v="0"/>
    <m/>
    <x v="0"/>
    <m/>
    <m/>
  </r>
  <r>
    <s v="Kost Gading Surya Tipe H Kelapa Gading Jakarta Utara"/>
    <x v="4"/>
    <s v="Kecamatan Kelapa Gading"/>
    <n v="9"/>
    <s v="3 x 3 meter"/>
    <s v="Termasuk listrik (implied)"/>
    <s v=""/>
    <s v="N/A"/>
    <s v="3 x 3 meter; Termasuk listrik; Kasur; Lemari Baju; Ventilasi; Bantal; Guling; Kipas Angin; Kloset Duduk; K. Mandi Luar; Wastafel; Shower; WiFi; R. Cuci; Kulkas; R. Tamu; Penjaga Kos; R. Makan; R. Jemur; R. Santai; Dapur; Dispenser; Parkir Motor; Parkir Sepeda"/>
    <x v="0"/>
    <s v="Rp950.000"/>
    <x v="6"/>
    <d v="1899-12-30T04:06:00"/>
    <x v="0"/>
    <m/>
    <s v="Diskon 84rb"/>
  </r>
  <r>
    <s v="Kost Gajahmada Icon Residence Royal Taman Sari Jakarta Barat"/>
    <x v="3"/>
    <s v="Kecamatan Taman Sari"/>
    <n v="9"/>
    <s v="3 x 3 meter"/>
    <s v="Tidak termasuk listrik"/>
    <s v=""/>
    <s v="N/A"/>
    <s v="3 x 3 meter; Tidak termasuk listrik; AC; Kasur; Meja; TV; Lemari Baju; Ventilasi; Bantal; Cermin; Guling; Jendela; K. Mandi Dalam; Kloset Duduk; Shower; Air panas; WiFi; Kulkas; R. Cuci; Laundry; Mesin Cuci; Penjaga Kos; R. Tamu; R. Jemur; R. Makan; R. Santai; Parkir Motor; Parkir Sepeda"/>
    <x v="176"/>
    <s v="Rp2.300.000"/>
    <x v="3"/>
    <d v="1899-12-30T05:00:00"/>
    <x v="0"/>
    <m/>
    <s v="Diskon 118rb"/>
  </r>
  <r>
    <s v="Kost Galunggung Limo Depok"/>
    <x v="1"/>
    <s v="Limo"/>
    <n v="12"/>
    <s v="3 x 4 meter"/>
    <s v="Tidak termasuk listrik"/>
    <s v=""/>
    <s v="N/A"/>
    <s v="3 x 4 meter; Tidak termasuk listrik; AC; Kasur; Meja; Lemari Baju; Bantal; Guling; Kursi; K. Mandi Dalam; Kloset Duduk; Ember mandi; Shower; WiFi; Penjaga Kos; Mushola; CCTV; Parkir Mobil; Parkir Motor; Parkir Sepeda"/>
    <x v="167"/>
    <s v="Rp1.550.000"/>
    <x v="3"/>
    <d v="1899-12-30T05:00:00"/>
    <x v="0"/>
    <m/>
    <m/>
  </r>
  <r>
    <s v="Kost Gambyong Tipe A Kelapa Gading Jakarta Utara"/>
    <x v="4"/>
    <s v="Kecamatan Kelapa Gading"/>
    <n v="9"/>
    <s v="3 x 3 meter"/>
    <s v="Tidak termasuk listrik"/>
    <s v=""/>
    <s v="N/A"/>
    <s v="3 x 3 meter; Tidak termasuk listrik; AC; Kasur; Meja; TV; Lemari Baju; Bantal; Cermin; Guling; Kursi; K. Mandi Dalam; Kloset Jongkok; K. Mandi Luar; Ember mandi; Shower; WiFi; Kulkas; R. Tamu; R. Jemur; Dapur; CCTV; Jemuran; Pengurus Kos; Parkir Motor"/>
    <x v="13"/>
    <s v="Rp1.600.000"/>
    <x v="0"/>
    <m/>
    <x v="0"/>
    <m/>
    <m/>
  </r>
  <r>
    <s v="Kost Gandaria Pak Rudy Bojonggede Bogor"/>
    <x v="0"/>
    <s v="Kecamatan Bojonggede"/>
    <n v="21"/>
    <s v="3 x 7 meter"/>
    <s v="Tidak termasuk listrik"/>
    <s v=""/>
    <s v="N/A"/>
    <s v="3 x 7 meter; Tidak termasuk listrik; Dapur Pribadi; K. Mandi Dalam; Kloset Jongkok; Wastafel; Bak mandi; Balcon; Parkir Motor &amp; Sepeda"/>
    <x v="10"/>
    <s v="Rp750.000"/>
    <x v="0"/>
    <m/>
    <x v="0"/>
    <m/>
    <m/>
  </r>
  <r>
    <s v="Kost Gaps House 2 Tipe A Cipayung Jakarta Timur"/>
    <x v="8"/>
    <s v="Cipayung"/>
    <n v="12"/>
    <s v="3 x 4 meter"/>
    <s v="Tidak termasuk listrik"/>
    <s v=""/>
    <s v="N/A"/>
    <s v="3 x 4 meter; Tidak termasuk listrik; AC; Kasur; Lemari Baju; Cermin; Dapur Pribadi; Jendela; Kloset Duduk; Shower; WiFi; Kulkas; R. Cuci; Penjaga Kos; R. Tamu; R. Jemur; R. Makan; R. Santai; Dapur; Dispenser; Parkir Mobil; Parkir Motor; Parkir Sepeda; Parkir Motor &amp; Sepeda"/>
    <x v="13"/>
    <s v="Rp1.600.000"/>
    <x v="2"/>
    <d v="1899-12-30T04:08:00"/>
    <x v="0"/>
    <m/>
    <m/>
  </r>
  <r>
    <s v="Kost Garden Tipe B Taman Sari Jakarta Barat"/>
    <x v="3"/>
    <s v="Taman Sari"/>
    <n v="8.14"/>
    <s v="2.2 x 3.7 meter"/>
    <s v="Tidak termasuk listrik"/>
    <s v=""/>
    <s v="N/A"/>
    <s v="2.2 x 3.7 meter; Tidak termasuk listrik; AC; Kasur; Meja; Lemari Baju; Ventilasi; Cermin; Jendela; Bantal; Cleaning service; K. Mandi Dalam; Kloset Duduk; Ember mandi; Shower; WiFi; Kulkas; R. Cuci; Penjaga Kos; R. Jemur; Dapur; CCTV; Jemuran; Jual Makanan; Pengurus Kos; Parkir Motor; Parkir Sepeda"/>
    <x v="166"/>
    <s v="Rp1.750.000"/>
    <x v="11"/>
    <d v="1899-12-30T03:08:00"/>
    <x v="2"/>
    <m/>
    <m/>
  </r>
  <r>
    <s v="Kost Gardenia Dramaga Bogor"/>
    <x v="0"/>
    <s v="Kecamatan Dramaga"/>
    <n v="6"/>
    <s v="2 x 3 meter"/>
    <s v="Tidak termasuk listrik"/>
    <s v=""/>
    <s v="N/A"/>
    <s v="2 x 3 meter; Tidak termasuk listrik; Kasur; Meja; Lemari Baju; Kursi; K. Mandi Dalam; Kloset Jongkok; Ember mandi; R. Jemur; Dapur; Parkir Motor"/>
    <x v="17"/>
    <s v="Rp650.000"/>
    <x v="3"/>
    <d v="1899-12-30T05:00:00"/>
    <x v="2"/>
    <m/>
    <m/>
  </r>
  <r>
    <s v="Kost Gayatri House 1 Beji Depok"/>
    <x v="1"/>
    <s v="Kecamatan Beji"/>
    <n v="12"/>
    <s v="3 x 4 meter"/>
    <s v="Termasuk listrik (implied)"/>
    <s v=""/>
    <s v="N/A"/>
    <s v="3 x 4 meter; Termasuk listrik; AC; Kasur; Meja; Bantal; Guling; Jendela; Wastafel; Kursi; K. Mandi Dalam; Kloset Duduk; Shower; Air panas; WiFi; Penjaga Kos; Mushola; R. Makan; R. Santai; Dapur; CCTV; Pengurus Kos; Parkir Mobil; Parkir Motor"/>
    <x v="189"/>
    <s v="Rp2.350.000"/>
    <x v="0"/>
    <m/>
    <x v="0"/>
    <m/>
    <m/>
  </r>
  <r>
    <s v="Kost GDC Cilodong Depok"/>
    <x v="1"/>
    <s v="Cilodong"/>
    <n v="18"/>
    <s v="3 x 6 meter"/>
    <s v="Tidak termasuk listrik"/>
    <s v=""/>
    <s v="N/A"/>
    <s v="3 x 6 meter; Tidak termasuk listrik; Dapur Pribadi; Jendela; K. Mandi Dalam; Kloset Jongkok; Penjaga Kos; R. Tamu; R. Jemur; Dapur; Jemuran; R. Keluarga; Parkir Motor; Parkir Sepeda"/>
    <x v="17"/>
    <s v="Rp650.000"/>
    <x v="0"/>
    <m/>
    <x v="0"/>
    <m/>
    <m/>
  </r>
  <r>
    <s v="Kost Gepin Tajur Halang Bogor"/>
    <x v="0"/>
    <s v="Tajur Halang"/>
    <n v="12"/>
    <s v="3 x 4 meter"/>
    <s v="Termasuk listrik (implied)"/>
    <s v=""/>
    <s v="N/A"/>
    <s v="3 x 4 meter; Termasuk listrik; Kasur; Meja; Bantal; Cermin; Jendela; Kursi; Kloset Duduk; K. Mandi Luar; Ember mandi; Wastafel; WiFi; Kulkas; R. Tamu; R. Makan; R. Santai; Dapur; Dispenser; Jemuran; Rice Cooker; Parkir Mobil; Parkir Motor; Parkir Sepeda; Parkir Motor &amp; Sepeda"/>
    <x v="29"/>
    <s v="Rp500.000"/>
    <x v="0"/>
    <m/>
    <x v="2"/>
    <m/>
    <m/>
  </r>
  <r>
    <s v="Kost Gilimanuk Tipe Paviliun Cikarang Selatan Bekasi"/>
    <x v="7"/>
    <s v="Cikarang Selatan"/>
    <n v="9"/>
    <s v="3 x 3 meter"/>
    <s v="Tidak termasuk listrik"/>
    <s v=""/>
    <s v="N/A"/>
    <s v="3 x 3 meter; Tidak termasuk listrik; AC; Kasur; Meja; Lemari Baju; Ventilasi; Bantal; Guling; Jendela; Kursi; K. Mandi Dalam; Kloset Duduk; Shower; WiFi; Jemuran; CCTV; Parkir Mobil; Parkir Motor"/>
    <x v="20"/>
    <s v="Rp1.250.000"/>
    <x v="0"/>
    <m/>
    <x v="1"/>
    <m/>
    <m/>
  </r>
  <r>
    <s v="Kost Glenn Eksklusif Tipe Big Kelapa Gading Jakarta Utara"/>
    <x v="4"/>
    <s v="Kelapa Gading"/>
    <n v="24"/>
    <s v="6 x 4 meter"/>
    <s v="Tidak termasuk listrik"/>
    <s v=""/>
    <s v="N/A"/>
    <s v="6 x 4 meter; Tidak termasuk listrik; AC; Kasur; Meja; TV; Lemari Baju; Ventilasi; Kursi; Cleaning service; Bantal; Cermin; K. Mandi Dalam; Kloset Duduk; Ember mandi; Shower; WiFi; R. Cuci; Kulkas; R. Tamu; Penjaga Kos; Laundry; R. Makan; R. Jemur; R. Santai; Dapur; Parkir Mobil; Parkir Motor; Parkir Sepeda"/>
    <x v="22"/>
    <s v="Rp2.500.000"/>
    <x v="0"/>
    <m/>
    <x v="0"/>
    <m/>
    <m/>
  </r>
  <r>
    <s v="Kost Glenn Eksklusif Tipe Sedang Kelapa Gading Jakarta Utara"/>
    <x v="4"/>
    <s v="Kelapa Gading"/>
    <n v="12"/>
    <s v="3 x 4 meter"/>
    <s v="Tidak termasuk listrik"/>
    <s v=""/>
    <s v="N/A"/>
    <s v="3 x 4 meter; Tidak termasuk listrik; AC; Kasur; Meja; TV; Lemari Baju; Ventilasi; Kursi; Cleaning service; TV Kabel; Bantal; K. Mandi Dalam; Kloset Duduk; Shower; WiFi; R. Cuci; Kulkas; R. Tamu; Laundry; R. Makan; R. Jemur; R. Santai; Dapur; Dispenser; Parkir Mobil; Parkir Motor; Parkir Sepeda"/>
    <x v="178"/>
    <s v="Rp1.950.000"/>
    <x v="5"/>
    <d v="1899-12-30T04:00:00"/>
    <x v="0"/>
    <m/>
    <m/>
  </r>
  <r>
    <s v="Kost Go 8 Periuk Tangerang"/>
    <x v="6"/>
    <s v="Kecamatan Periuk"/>
    <n v="9"/>
    <s v="3 x 3 meter"/>
    <s v="Tidak termasuk listrik"/>
    <s v=""/>
    <s v="N/A"/>
    <s v="3 x 3 meter; Tidak termasuk listrik; AC; Kasur; Meja; Lemari Baju; Ventilasi; Bantal; Guling; Jendela; Kursi; Kloset Duduk; K. Mandi Luar; Wastafel; Shower; WiFi; Kulkas; Dapur; Dispenser; Balcon; CCTV; Kartu Akses; Rice Cooker; Parkir Mobil; Parkir Motor"/>
    <x v="23"/>
    <s v="Rp1.200.000"/>
    <x v="12"/>
    <d v="1899-12-30T04:04:00"/>
    <x v="1"/>
    <m/>
    <m/>
  </r>
  <r>
    <s v="Kost Go Jababeka Tipe Eksekutif Cikarang Pusat Bekasi"/>
    <x v="7"/>
    <s v="Kecamatan Cikarang Pusat"/>
    <n v="9"/>
    <s v="3 x 3 meter"/>
    <s v="Tidak termasuk listrik"/>
    <s v=""/>
    <s v="N/A"/>
    <s v="3 x 3 meter; Tidak termasuk listrik; AC; Kasur; Meja; Lemari Baju; Bantal; Cermin; Cleaning service; Guling; Jendela; Kursi; K. Mandi Dalam; Kloset Duduk; Shower; WiFi; Kulkas; Laundry; Penjaga Kos; R. Jemur; Dispenser; Dapur; CCTV; Jemuran; Kartu Akses; Parkir Motor; Parkir Sepeda"/>
    <x v="11"/>
    <s v="Rp1.400.000"/>
    <x v="6"/>
    <d v="1899-12-30T04:06:00"/>
    <x v="1"/>
    <m/>
    <m/>
  </r>
  <r>
    <s v="Kost Go Kancil 2 Cikarang Jababeka Cikarang Timur Bekasi"/>
    <x v="7"/>
    <s v="Kecamatan Cikarang Timur"/>
    <n v="12"/>
    <s v="3 x 4 meter"/>
    <s v="Tidak termasuk listrik"/>
    <s v=""/>
    <s v="N/A"/>
    <s v="3 x 4 meter; Tidak termasuk listrik; AC; Kasur; Meja; TV; Lemari Baju; Bantal; Cermin; Guling; Jendela; Kursi; K. Mandi Dalam; Kloset Duduk; Shower; WiFi; Kulkas; Laundry; Penjaga Kos; Dapur; Dispenser; Parkir Motor"/>
    <x v="13"/>
    <s v="Rp1.600.000"/>
    <x v="0"/>
    <m/>
    <x v="1"/>
    <m/>
    <m/>
  </r>
  <r>
    <s v="Kost Go Panda 4 Jababeka Cikarang Pusat Bekasi"/>
    <x v="7"/>
    <s v="Cikarang Pusat"/>
    <n v="12"/>
    <s v="3 x 4 meter"/>
    <s v="Tidak termasuk listrik"/>
    <s v=""/>
    <s v="N/A"/>
    <s v="3 x 4 meter; Tidak termasuk listrik; AC; Meja; Lemari Baju; Bantal; Cermin; Kursi; TV Kabel; K. Mandi Dalam; WiFi; Laundry; Parkir Motor"/>
    <x v="163"/>
    <s v="Rp1.700.000"/>
    <x v="0"/>
    <m/>
    <x v="2"/>
    <m/>
    <m/>
  </r>
  <r>
    <s v="Kost Go Rusa Premium Tipe 1 Cikarang Timur Bekasi"/>
    <x v="7"/>
    <s v="Cikarang Timur"/>
    <n v="9"/>
    <s v="3 x 3 meter"/>
    <s v="Tidak termasuk listrik"/>
    <s v=""/>
    <s v="N/A"/>
    <s v="3 x 3 meter; Tidak termasuk listrik; AC; Kasur; Meja; TV; Lemari Baju; Bantal; Cermin; Guling; Jendela; Kursi; K. Mandi Dalam; Kloset Duduk; Shower; WiFi; Kulkas; Penjaga Kos; Dapur; Dispenser; CCTV; Kartu Akses; Parkir Motor"/>
    <x v="3"/>
    <s v="Rp1.500.000"/>
    <x v="0"/>
    <m/>
    <x v="1"/>
    <m/>
    <m/>
  </r>
  <r>
    <s v="Kost Golden Leaf Residence Tomang Palmerah Jakarta Barat"/>
    <x v="3"/>
    <s v="Palmerah"/>
    <n v="15"/>
    <s v="3 x 5 meter"/>
    <s v="Tidak termasuk listrik"/>
    <s v=""/>
    <s v="N/A"/>
    <s v="3 x 5 meter; Tidak termasuk listrik; AC; Kasur; Meja; TV; Lemari Baju; Ventilasi; Cleaning service; Bantal; Cermin; Jendela; K. Mandi Dalam; Kloset Duduk; Wastafel; Shower; Air panas; WiFi; Kulkas; Penjaga Kos; Laundry; R. Makan; R. Jemur; R. Santai; Dapur; Dispenser; CCTV; Parkir Mobil; Parkir Motor; Parkir Sepeda"/>
    <x v="211"/>
    <s v="Rp3.200.000"/>
    <x v="3"/>
    <d v="1899-12-30T05:00:00"/>
    <x v="0"/>
    <m/>
    <m/>
  </r>
  <r>
    <s v="Kost Gorat Cipayung Jakarta Timur"/>
    <x v="8"/>
    <s v="Cipayung"/>
    <n v="12"/>
    <s v="3 x 4 meter"/>
    <s v="Tidak termasuk listrik"/>
    <s v=""/>
    <s v="N/A"/>
    <s v="3 x 4 meter; Tidak termasuk listrik; AC; Kasur; Meja; TV; Lemari Baju; Wastafel; Kipas Angin; K. Mandi Dalam; Kloset Duduk; Shower; Kulkas; R. Tamu; Mesin Cuci; R. Jemur; R. Santai; Dapur; K. Mandi Luar; Parkir Mobil; Parkir Motor"/>
    <x v="3"/>
    <s v="Rp1.500.000"/>
    <x v="2"/>
    <d v="1899-12-30T04:08:00"/>
    <x v="0"/>
    <m/>
    <m/>
  </r>
  <r>
    <s v="Kost Grace Cilincing Jakarta Utara"/>
    <x v="4"/>
    <s v="Cilincing"/>
    <n v="6"/>
    <s v="2 x 3 meter"/>
    <s v="Tidak termasuk listrik"/>
    <s v=""/>
    <s v="N/A"/>
    <s v="2 x 3 meter; Tidak termasuk listrik; AC; Kasur; Meja; Lemari Baju; Kursi; Bantal; Guling; Kloset Duduk; K. Mandi Luar; Ember mandi; Shower; WiFi; R. Makan; Balcon; Jemuran; Parkir Motor; Parkir Sepeda; Parkir Motor &amp; Sepeda"/>
    <x v="5"/>
    <s v="Rp1.350.000"/>
    <x v="3"/>
    <d v="1899-12-30T05:00:00"/>
    <x v="0"/>
    <m/>
    <m/>
  </r>
  <r>
    <s v="Kost Grace House Taman Beverly Cikarang Selatan Bekasi"/>
    <x v="7"/>
    <s v="Cikarang Selatan"/>
    <n v="20"/>
    <s v="4 x 5 meter"/>
    <s v="Tidak termasuk listrik"/>
    <s v=""/>
    <s v="N/A"/>
    <s v="4 x 5 meter; Tidak termasuk listrik; AC; Kasur; Meja; Dispenser; TV; Meja Rias; Lemari Baju; Kulkas; Kursi; Wastafel; K. Mandi Dalam; Kloset Duduk; Shower; Air panas; WiFi; R. Cuci; Laundry; R. Jemur; Dapur; Balcon; K. Mandi Luar; Parkir Mobil; Parkir Motor; Parkir Sepeda"/>
    <x v="186"/>
    <s v="Rp3.000.000"/>
    <x v="8"/>
    <d v="1899-12-30T04:09:00"/>
    <x v="0"/>
    <m/>
    <m/>
  </r>
  <r>
    <s v="Kost Grace Residence Tipe Lorong Tanjung Priok Jakarta Utara"/>
    <x v="4"/>
    <s v="Kecamatan Tanjung Priok"/>
    <n v="7.5"/>
    <s v="3 x 2.5 meter"/>
    <s v="Tidak termasuk listrik"/>
    <s v=""/>
    <s v="N/A"/>
    <s v="3 x 2.5 meter; Tidak termasuk listrik; AC; Kasur; Meja; Lemari Baju; Ventilasi; Jendela; Kursi; K. Mandi Dalam; Kloset Duduk; Shower; Air panas; WiFi; Kulkas; Penjaga Kos; Dapur; CCTV; Jemuran; Parkir Motor; Parkir Sepeda"/>
    <x v="13"/>
    <s v="Rp1.600.000"/>
    <x v="4"/>
    <d v="1899-12-30T04:01:00"/>
    <x v="2"/>
    <m/>
    <m/>
  </r>
  <r>
    <s v="Kost Grace Residence Tipe Lorong Tanjung Priok Jakarta Utara"/>
    <x v="4"/>
    <s v="Kecamatan Tanjung Priok"/>
    <n v="7.5"/>
    <s v="3 x 2.5 meter"/>
    <s v="Tidak termasuk listrik"/>
    <s v=""/>
    <s v="N/A"/>
    <s v="3 x 2.5 meter; Tidak termasuk listrik; AC; Kasur; Meja; Lemari Baju; Ventilasi; Jendela; Kursi; K. Mandi Dalam; Kloset Duduk; Shower; Air panas; WiFi; Kulkas; Penjaga Kos; Dapur; CCTV; Jemuran; Parkir Motor; Parkir Sepeda"/>
    <x v="13"/>
    <s v="Rp1.600.000"/>
    <x v="3"/>
    <d v="1899-12-30T05:00:00"/>
    <x v="2"/>
    <m/>
    <m/>
  </r>
  <r>
    <s v="Kost Grade Tulip Tipe A Kebon Jeruk Jakarta Barat"/>
    <x v="3"/>
    <s v="Kebon Jeruk"/>
    <n v="20"/>
    <s v="4 x 5 meter"/>
    <s v="Tidak termasuk listrik"/>
    <s v=""/>
    <s v="N/A"/>
    <s v="4 x 5 meter; Tidak termasuk listrik; AC; Kasur; Meja; TV; Meja Rias; Lemari Baju; Kulkas; Ventilasi; Kursi; Wastafel; K. Mandi Dalam; Kloset Duduk; Shower; Air panas; WiFi; R. Tamu; Penjaga Kos; R. Jemur; Dapur; Balcon; Pengurus Kos; Parkir Mobil; Parkir Motor"/>
    <x v="7"/>
    <s v="Rp3.500.000"/>
    <x v="0"/>
    <m/>
    <x v="0"/>
    <m/>
    <m/>
  </r>
  <r>
    <s v="Kost Graha Bintang Tipe VVIP Menteng Jakarta Pusat"/>
    <x v="9"/>
    <s v="Kecamatan Menteng"/>
    <n v="12"/>
    <s v="3 x 4 meter"/>
    <s v="Tidak termasuk listrik"/>
    <s v=""/>
    <s v="N/A"/>
    <s v="3 x 4 meter; Tidak termasuk listrik; AC; Kasur; Meja; TV; Kulkas; Lemari Baju; Bantal; Cermin; Guling; Jendela; K. Mandi Dalam; Kloset Duduk; Shower; Air panas; WiFi; Penjaga Kos; Mushola; CCTV; Parkir Mobil; Parkir Motor; Parkir Sepeda; Parkir Motor &amp; Sepeda"/>
    <x v="186"/>
    <s v="Rp3.000.000"/>
    <x v="14"/>
    <d v="1899-12-30T03:05:00"/>
    <x v="0"/>
    <m/>
    <m/>
  </r>
  <r>
    <s v="Kost Graha Indonesia Tipe VVIP Cikarang Pusat Bekasi"/>
    <x v="7"/>
    <s v="Kecamatan Cikarang Pusat"/>
    <n v="12"/>
    <s v="3 x 4 meter"/>
    <s v="Tidak termasuk listrik"/>
    <s v=""/>
    <s v="N/A"/>
    <s v="3 x 4 meter; Tidak termasuk listrik; AC; Kasur; Lemari Baju; Ventilasi; Bantal; Guling; Jendela; K. Mandi Dalam; Kloset Duduk; Wastafel; Shower; Air panas; WiFi; Kulkas; R. Cuci; Mesin Cuci; R. Tamu; R. Jemur; Dapur; Jemuran; Pengurus Kos; R. Keluarga; Parkir Mobil; Parkir Motor; Parkir Motor &amp; Sepeda"/>
    <x v="163"/>
    <s v="Rp1.700.000"/>
    <x v="0"/>
    <m/>
    <x v="2"/>
    <m/>
    <m/>
  </r>
  <r>
    <s v="Kost Graha Rahayu Tipe A Cimanggis Depok"/>
    <x v="1"/>
    <s v="Kecamatan Cimanggis"/>
    <n v="15.75"/>
    <s v="3.5 x 4.5 meter"/>
    <s v="Tidak termasuk listrik"/>
    <s v=""/>
    <s v="N/A"/>
    <s v="3.5 x 4.5 meter; Tidak termasuk listrik; AC; Kasur; Meja; Lemari Baju; Jendela; Kursi; K. Mandi Dalam; Kloset Duduk; Shower; WiFi; Kulkas; R. Jemur; Dapur; Balcon; Jemuran; Pengurus Kos; Taman; Parkir Motor"/>
    <x v="30"/>
    <s v="Rp1.150.000"/>
    <x v="6"/>
    <d v="1899-12-30T04:06:00"/>
    <x v="2"/>
    <m/>
    <m/>
  </r>
  <r>
    <s v="Kost Grandvil Tajur Halang Bogor"/>
    <x v="0"/>
    <s v="Tajur Halang"/>
    <n v="12"/>
    <s v="3 x 4 meter"/>
    <s v="Tidak termasuk listrik"/>
    <s v=""/>
    <s v="N/A"/>
    <s v="3 x 4 meter; Tidak termasuk listrik; Kloset Duduk; K. Mandi Luar; Shower; R. Cuci; R. Tamu; R. Jemur; R. Makan; R. Keluarga; Taman; Parkir Mobil; Parkir Motor; Parkir Sepeda; Parkir Motor &amp; Sepeda"/>
    <x v="26"/>
    <s v="Rp2.100.000"/>
    <x v="0"/>
    <m/>
    <x v="2"/>
    <m/>
    <m/>
  </r>
  <r>
    <s v="Kost Green Haus Premium Plus Benda Tangerang"/>
    <x v="6"/>
    <s v="Kecamatan Benda"/>
    <n v="9"/>
    <s v="3 x 3 meter"/>
    <s v="Tidak termasuk listrik"/>
    <s v=""/>
    <s v="N/A"/>
    <s v="3 x 3 meter; Tidak termasuk listrik; AC; Kasur; Meja; Lemari Baju; Bantal; Cermin; Guling; Jendela; K. Mandi Dalam; Kloset Duduk; Shower; Air panas; WiFi; Kulkas; Laundry; Penjaga Kos; Mesin Cuci; R. Makan; R. Jemur; R. Santai; Dapur; Dispenser; Parkir Sepeda; Parkir Motor"/>
    <x v="13"/>
    <s v="Rp1.600.000"/>
    <x v="6"/>
    <d v="1899-12-30T04:06:00"/>
    <x v="0"/>
    <m/>
    <s v="Diskon 136rb"/>
  </r>
  <r>
    <s v="Kost Green Haus Royal Plus Benda Tangerang"/>
    <x v="6"/>
    <s v="Kecamatan Benda"/>
    <n v="9"/>
    <s v="3 x 3 meter"/>
    <s v="Tidak termasuk listrik"/>
    <s v=""/>
    <s v="N/A"/>
    <s v="3 x 3 meter; Tidak termasuk listrik; AC; Kasur; Meja; Lemari Baju; Bantal; Cermin; Guling; Jendela; K. Mandi Dalam; Kloset Duduk; Shower; Air panas; WiFi; Kulkas; Laundry; Penjaga Kos; Mesin Cuci; R. Makan; R. Jemur; R. Santai; Dapur; Dispenser; Parkir Sepeda; Parkir Motor"/>
    <x v="3"/>
    <s v="Rp1.500.000"/>
    <x v="6"/>
    <d v="1899-12-30T04:06:00"/>
    <x v="0"/>
    <m/>
    <s v="Diskon 160rb"/>
  </r>
  <r>
    <s v="Kost Green Leaf Deltamas Tipe A Cikarang Pusat Bekasi"/>
    <x v="7"/>
    <s v="Cikarang Pusat"/>
    <n v="9"/>
    <s v="3 x 3 meter"/>
    <s v="Tidak termasuk listrik"/>
    <s v=""/>
    <s v="N/A"/>
    <s v="3 x 3 meter; Tidak termasuk listrik; AC; Kasur; Kulkas; Lemari Baju; Bantal; Cermin; Kipas Angin; Kursi; microwave; Kloset Duduk; K. Mandi Luar; Wastafel; Shower; WiFi; Mesin Cuci; Dapur; CCTV; Jemuran; Parkir Mobil; Parkir Motor; Parkir Sepeda; Parkir Motor &amp; Sepeda"/>
    <x v="28"/>
    <s v="Rp1.000.000"/>
    <x v="0"/>
    <m/>
    <x v="2"/>
    <m/>
    <m/>
  </r>
  <r>
    <s v="Kost Gria Village Cibinong Bogor"/>
    <x v="0"/>
    <s v="Kecamatan Cibinong"/>
    <n v="12"/>
    <s v="3 x 4 meter"/>
    <s v="Tidak termasuk listrik"/>
    <s v=""/>
    <s v="N/A"/>
    <s v="3 x 4 meter; Tidak termasuk listrik; AC; Kasur; Meja; Lemari Baju; Bantal; Cermin; Dapur Pribadi; Jendela; Kursi; Wastafel; K. Mandi Dalam; Kloset Duduk; Shower; WiFi; Penjaga Kos; Balcon; CCTV; Pengurus Kos; Parkir Mobil; Parkir Motor; Parkir Sepeda; Parkir Motor &amp; Sepeda"/>
    <x v="3"/>
    <s v="Rp1.500.000"/>
    <x v="0"/>
    <m/>
    <x v="0"/>
    <m/>
    <m/>
  </r>
  <r>
    <s v="Kost Gris Home Executive Setu Tangerang Selatan"/>
    <x v="2"/>
    <s v="Kecamatan Setu"/>
    <n v="12"/>
    <s v="3 x 4 meter"/>
    <s v="Tidak termasuk listrik"/>
    <s v=""/>
    <s v="N/A"/>
    <s v="3 x 4 meter; Tidak termasuk listrik; AC; Kasur; Meja; TV; Lemari Baju; Ventilasi; Bantal; Guling; Jendela; Kursi; K. Mandi Dalam; Kloset Duduk; Shower; Air panas; WiFi; Kulkas; R. Cuci; Mesin Cuci; Penjaga Kos; R. Jemur; Dapur; Dispenser; Balcon; CCTV; Parkir Motor; Parkir Sepeda; Parkir Motor &amp; Sepeda"/>
    <x v="89"/>
    <s v="Rp1.900.000"/>
    <x v="3"/>
    <d v="1899-12-30T05:00:00"/>
    <x v="0"/>
    <m/>
    <m/>
  </r>
  <r>
    <s v="Kost Griya 15 Executive Beji Depok"/>
    <x v="1"/>
    <s v="Beji"/>
    <n v="12"/>
    <s v="3 x 4 meter"/>
    <s v="Tidak termasuk listrik"/>
    <s v=""/>
    <s v="N/A"/>
    <s v="3 x 4 meter; Tidak termasuk listrik; AC; Kasur; Meja; Lemari Baju; Ventilasi; Bantal; Cermin; Guling; Jendela; Kipas Angin; K. Mandi Dalam; Kloset Duduk; Shower; WiFi; Kulkas; R. Cuci; Penjaga Kos; R. Jemur; R. Santai; Dapur; Dispenser; CCTV; Jemuran; Parkir Motor; Parkir Sepeda"/>
    <x v="5"/>
    <s v="Rp1.350.000"/>
    <x v="4"/>
    <d v="1899-12-30T04:01:00"/>
    <x v="1"/>
    <m/>
    <m/>
  </r>
  <r>
    <s v="Kost Griya A77 Tipe B Setu Tangerang Selatan"/>
    <x v="2"/>
    <s v="Kecamatan Setu"/>
    <n v="10.5"/>
    <s v="3 x 3.5 meter"/>
    <s v="Tidak termasuk listrik"/>
    <s v=""/>
    <s v="N/A"/>
    <s v="3 x 3.5 meter; Tidak termasuk listrik; AC; Kasur; Meja; Lemari Baju; Ventilasi; Bantal; Guling; Jendela; Kursi; K. Mandi Dalam; Kloset Duduk; Shower; WiFi; Kulkas; Mesin Cuci; Penjaga Kos; R. Tamu; R. Makan; R. Santai; Dapur; Balcon; CCTV; Parkir Mobil; Parkir Motor; Parkir Sepeda; Parkir Motor &amp; Sepeda"/>
    <x v="18"/>
    <s v="Rp1.300.000"/>
    <x v="0"/>
    <m/>
    <x v="2"/>
    <m/>
    <m/>
  </r>
  <r>
    <s v="Kost Griya Akhilendra 2 VIP Cinere Depok"/>
    <x v="1"/>
    <s v="Kecamatan Cinere"/>
    <n v="16"/>
    <s v="4 x 4 meter"/>
    <s v="Tidak termasuk listrik"/>
    <s v=""/>
    <s v="N/A"/>
    <s v="4 x 4 meter; Tidak termasuk listrik; AC; Kasur; Meja; TV; Lemari Baju; Ventilasi; Bantal; Cermin; Guling; Jendela; K. Mandi Dalam; Kloset Duduk; Wastafel; Shower; WiFi; Penjaga Kos; Dapur; Dispenser; CCTV; Jual Makanan; Pengurus Kos; Parkir Mobil; Parkir Motor; Parkir Sepeda; Parkir Motor &amp; Sepeda"/>
    <x v="165"/>
    <s v="Rp2.150.000"/>
    <x v="13"/>
    <d v="1899-12-30T04:03:00"/>
    <x v="0"/>
    <m/>
    <m/>
  </r>
  <r>
    <s v="Kost Griya Akhilendra Cinere Depok"/>
    <x v="1"/>
    <s v="Cinere"/>
    <n v="16"/>
    <s v="4 x 4 meter"/>
    <s v="Tidak termasuk listrik"/>
    <s v=""/>
    <s v="N/A"/>
    <s v="4 x 4 meter; Tidak termasuk listrik; AC; Kasur; Meja; TV; Lemari Baju; Kursi; Cleaning service; K. Mandi Dalam; Kloset Duduk; Shower; WiFi; R. Tamu; Penjaga Kos; Mushola; Dapur; Dispenser; K. Mandi Luar; Parkir Mobil; Parkir Motor; Parkir Sepeda"/>
    <x v="178"/>
    <s v="Rp1.950.000"/>
    <x v="13"/>
    <d v="1899-12-30T04:03:00"/>
    <x v="0"/>
    <m/>
    <m/>
  </r>
  <r>
    <s v="Kost Griya AM Standart Kebon Jeruk Jakarta Barat"/>
    <x v="3"/>
    <s v="Kecamatan Kebon Jeruk"/>
    <n v="12"/>
    <s v="3 x 4 meter"/>
    <s v="Tidak termasuk listrik"/>
    <s v=""/>
    <s v="N/A"/>
    <s v="3 x 4 meter; Tidak termasuk listrik; AC; Kasur; Meja; Lemari Baju; Ventilasi; Bantal; Guling; Jendela; Kursi; K. Mandi Dalam; Kloset Duduk; Shower; Air panas; WiFi; Kulkas; Penjaga Kos; R. Tamu; Mushola; R. Jemur; Dapur; Dispenser; CCTV; Jemuran; Parkir Mobil; Parkir Motor; Parkir Sepeda"/>
    <x v="19"/>
    <s v="Rp1.800.000"/>
    <x v="7"/>
    <d v="1899-12-30T03:06:00"/>
    <x v="0"/>
    <m/>
    <m/>
  </r>
  <r>
    <s v="Kost Griya Anggrek Tipe 1 Serpong Tangerang Selatan"/>
    <x v="2"/>
    <s v="Serpong"/>
    <n v="12"/>
    <s v="3 x 4 meter"/>
    <s v="Tidak termasuk listrik"/>
    <s v=""/>
    <s v="N/A"/>
    <s v="3 x 4 meter; Tidak termasuk listrik; AC; Kasur; Meja; Lemari Baju; Ventilasi; Bantal; Cermin; Guling; Jendela; Wastafel; K. Mandi Dalam; Kloset Duduk; Shower; Air panas; WiFi; Kulkas; R. Cuci; Laundry; Penjaga Kos; R. Tamu; R. Jemur; R. Makan; Dapur; Dispenser; Parkir Mobil; Parkir Motor; Parkir Sepeda; Parkir Motor &amp; Sepeda"/>
    <x v="212"/>
    <s v="Rp2.850.000"/>
    <x v="0"/>
    <m/>
    <x v="0"/>
    <m/>
    <m/>
  </r>
  <r>
    <s v="Kost Griya Bangun Jaya Tipe Vip1 Duren Sawit Jakarta Timur"/>
    <x v="8"/>
    <s v="Duren Sawit"/>
    <n v="17.5"/>
    <s v="3.5 x 5 meter"/>
    <s v="Termasuk listrik (implied)"/>
    <s v=""/>
    <s v="N/A"/>
    <s v="3.5 x 5 meter; Termasuk listrik; AC; Kasur; Meja; TV; Bantal; Cermin; Guling; Jendela; K. Mandi Dalam; Kloset Jongkok; Ember mandi; Shower; Kulkas; R. Tamu; Penjaga Kos; R. Makan; R. Jemur; R. Santai; Dapur; Dispenser; Taman; Parkir Mobil; Parkir Motor; Parkir Sepeda"/>
    <x v="13"/>
    <s v="Rp1.600.000"/>
    <x v="0"/>
    <m/>
    <x v="1"/>
    <m/>
    <m/>
  </r>
  <r>
    <s v="Kost Griya Barokah IV Cikarang TImur Bekasi"/>
    <x v="7"/>
    <s v="Cikarang Timur"/>
    <n v="25"/>
    <s v="5 x 5 meter"/>
    <s v="Tidak termasuk listrik"/>
    <s v=""/>
    <s v="N/A"/>
    <s v="5 x 5 meter; Tidak termasuk listrik; AC; Kasur; Meja; TV; Lemari Baju; Kulkas; Kursi; Wastafel; TV Kabel; Bantal; K. Mandi Dalam; Kloset Duduk; Shower; Air panas; WiFi; Penjaga Kos; R. Jemur; R. Santai; Dapur; Dispenser; Kartu Akses; Taman; Gazebo; Parkir Mobil; Parkir Motor; Parkir Sepeda"/>
    <x v="19"/>
    <s v="Rp1.800.000"/>
    <x v="0"/>
    <m/>
    <x v="0"/>
    <m/>
    <m/>
  </r>
  <r>
    <s v="Kost Griya Barokah IV Cikarang TImur Bekasi"/>
    <x v="7"/>
    <s v="Cikarang Timur"/>
    <n v="25"/>
    <s v="5 x 5 meter"/>
    <s v="Tidak termasuk listrik"/>
    <s v=""/>
    <s v="N/A"/>
    <s v="5 x 5 meter; Tidak termasuk listrik; AC; Kasur; Meja; TV; Lemari Baju; Kulkas; Kursi; Wastafel; TV Kabel; Bantal; K. Mandi Dalam; Kloset Duduk; Shower; Air panas; WiFi; Penjaga Kos; R. Jemur; R. Santai; Dapur; Dispenser; Kartu Akses; Taman; Gazebo"/>
    <x v="19"/>
    <s v="Rp1.800.000"/>
    <x v="0"/>
    <m/>
    <x v="0"/>
    <m/>
    <m/>
  </r>
  <r>
    <s v="Kost Griya Eyangtie Tipe A Cikarang Selatan Bekasi"/>
    <x v="7"/>
    <s v="Cikarang Selatan"/>
    <n v="9"/>
    <s v="3 x 3 meter"/>
    <s v="Termasuk listrik (implied)"/>
    <s v=""/>
    <s v="N/A"/>
    <s v="3 x 3 meter; Termasuk listrik; AC; Kasur; Meja; Dispenser; Lemari Baju; Bantal; Guling; K. Mandi Dalam; Kloset Duduk"/>
    <x v="3"/>
    <s v="Rp1.500.000"/>
    <x v="3"/>
    <d v="1899-12-30T05:00:00"/>
    <x v="0"/>
    <m/>
    <m/>
  </r>
  <r>
    <s v="Kost Griya Fahira 2 Karawaci Tangerang"/>
    <x v="6"/>
    <s v="Karawaci"/>
    <n v="12"/>
    <s v="3 x 4 meter"/>
    <s v="Tidak termasuk listrik"/>
    <s v=""/>
    <s v="N/A"/>
    <s v="3 x 4 meter; Tidak termasuk listrik; AC; Kasur; Dispenser; Lemari Baju; TV Kabel; Meja makan; K. Mandi Dalam; Kloset Duduk; Shower; WiFi; R. Cuci; Kulkas; R. Tamu; R. Makan; R. Jemur; Dapur; TV; Balcon; Parkir Mobil; Parkir Motor; Parkir Sepeda"/>
    <x v="18"/>
    <s v="Rp1.300.000"/>
    <x v="3"/>
    <d v="1899-12-30T05:00:00"/>
    <x v="2"/>
    <m/>
    <m/>
  </r>
  <r>
    <s v="Kost Griya Fikarda Autumn Bronze Room Beji Depok"/>
    <x v="1"/>
    <s v="Kecamatan Beji"/>
    <n v="12"/>
    <s v="3 x 4 meter"/>
    <s v="Tidak termasuk listrik"/>
    <s v=""/>
    <s v="N/A"/>
    <s v="3 x 4 meter; Tidak termasuk listrik; AC; Kasur; Meja; Lemari Baju; Ventilasi; Kursi; Bantal; Guling; Cermin; Jendela; K. Mandi Dalam; Kloset Duduk; Wastafel; Shower; Air panas; WiFi; Kulkas; Penjaga Kos; R. Tamu; R. Makan; R. Jemur; Mushola; R. Santai; Dapur; CCTV; Parkir Mobil; Parkir Sepeda; Parkir Motor; Parkir Motor &amp; Sepeda"/>
    <x v="89"/>
    <s v="Rp1.900.000"/>
    <x v="10"/>
    <d v="1899-12-30T04:05:00"/>
    <x v="2"/>
    <m/>
    <s v="Diskon 179rb"/>
  </r>
  <r>
    <s v="Kost Griya Fikarda Autumn Gold Room Beji Depok"/>
    <x v="1"/>
    <s v="Kecamatan Beji"/>
    <n v="12"/>
    <s v="3 x 4 meter"/>
    <s v="Tidak termasuk listrik"/>
    <s v=""/>
    <s v="N/A"/>
    <s v="3 x 4 meter; Tidak termasuk listrik; AC; Kasur; Meja; Lemari Baju; Ventilasi; Kursi; Bantal; Guling; Jendela; Cermin; K. Mandi Dalam; Kloset Duduk; Wastafel; Shower; Air panas; WiFi; Kulkas; Penjaga Kos; R. Tamu; R. Makan; R. Jemur; Mushola; R. Santai; Dapur; CCTV; Parkir Mobil; Parkir Sepeda; Parkir Motor; Parkir Motor &amp; Sepeda"/>
    <x v="4"/>
    <s v="Rp2.200.000"/>
    <x v="3"/>
    <d v="1899-12-30T05:00:00"/>
    <x v="2"/>
    <m/>
    <m/>
  </r>
  <r>
    <s v="Kost Griya Fikarda Pocin Sabana Room Beji Depok"/>
    <x v="1"/>
    <s v="Kecamatan Beji"/>
    <n v="9"/>
    <s v="3 x 3 meter"/>
    <s v="Tidak termasuk listrik"/>
    <s v=""/>
    <s v="N/A"/>
    <s v="3 x 3 meter; Tidak termasuk listrik; AC; Kasur; Meja; Lemari Baju; Ventilasi; Bantal; Cermin; Guling; Jendela; Kursi; K. Mandi Dalam; Kloset Duduk; Wastafel; Shower; Air panas; WiFi; Kulkas; Laundry; R. Makan; R. Santai; Dapur; CCTV; Kartu Akses; Pengurus Kos; Rooftop; Parkir Motor; Parkir Sepeda; Parkir Motor &amp; Sepeda"/>
    <x v="178"/>
    <s v="Rp1.950.000"/>
    <x v="10"/>
    <d v="1899-12-30T04:05:00"/>
    <x v="2"/>
    <m/>
    <s v="Diskon 179rb"/>
  </r>
  <r>
    <s v="Kost Griya Fikarda Pocin Stepa Room Beji Depok"/>
    <x v="1"/>
    <s v="Kecamatan Beji"/>
    <n v="16"/>
    <s v="4 x 4 meter"/>
    <s v="Tidak termasuk listrik"/>
    <s v=""/>
    <s v="N/A"/>
    <s v="4 x 4 meter; Tidak termasuk listrik; AC; Kasur; Meja; Meja Rias; TV; Lemari Baju; Ventilasi; Bantal; Cermin; Dapur Pribadi; K. Mandi Dalam; Kloset Duduk; Wastafel; Shower; Air panas; WiFi; Kulkas; Laundry; R. Makan; R. Santai; Dapur; CCTV; Kartu Akses; Pengurus Kos; Rooftop; Parkir Motor; Parkir Sepeda; Parkir Motor &amp; Sepeda"/>
    <x v="7"/>
    <s v="Rp3.500.000"/>
    <x v="3"/>
    <d v="1899-12-30T05:00:00"/>
    <x v="2"/>
    <m/>
    <s v="Diskon 270rb"/>
  </r>
  <r>
    <s v="Kost Griya Fikarda Summer Bronze Room Beji Depok"/>
    <x v="1"/>
    <s v="Kecamatan Beji"/>
    <n v="12"/>
    <s v="3 x 4 meter"/>
    <s v="Tidak termasuk listrik"/>
    <s v=""/>
    <s v="N/A"/>
    <s v="3 x 4 meter; Tidak termasuk listrik; AC; Kasur; Meja; Lemari Baju; Ventilasi; Bantal; Cermin; Guling; Jendela; Kursi; K. Mandi Dalam; Kloset Duduk; Wastafel; Shower; Air panas; WiFi; Kulkas; Laundry; Penjaga Kos; R. Tamu; R. Makan; R. Jemur; Mushola; R. Santai; Dapur; Parkir Mobil; Parkir Motor; Parkir Sepeda; Parkir Motor &amp; Sepeda"/>
    <x v="27"/>
    <s v="Rp2.000.000"/>
    <x v="3"/>
    <d v="1899-12-30T05:00:00"/>
    <x v="2"/>
    <m/>
    <s v="Diskon 179rb"/>
  </r>
  <r>
    <s v="Kost Griya Flamboyan Tipe A Kelapa Gading Jakarta Utara"/>
    <x v="4"/>
    <s v="Kecamatan Kelapa Gading"/>
    <n v="12"/>
    <s v="3 x 4 meter"/>
    <s v="Tidak termasuk listrik"/>
    <s v=""/>
    <s v="N/A"/>
    <s v="3 x 4 meter; Tidak termasuk listrik; AC; Kasur; Lemari Baju; K. Mandi Dalam; Kloset Duduk; Shower; Air panas; WiFi; R. Cuci; Kulkas; Mesin Cuci; Laundry; R. Jemur; Dapur; Parkir Mobil; Parkir Motor; Parkir Sepeda"/>
    <x v="89"/>
    <s v="Rp1.900.000"/>
    <x v="10"/>
    <d v="1899-12-30T04:05:00"/>
    <x v="0"/>
    <m/>
    <s v="Diskon 168rb"/>
  </r>
  <r>
    <s v="Kost Griya Jasta Tipe A Beji Depok"/>
    <x v="1"/>
    <s v="Beji"/>
    <n v="22.200000000000003"/>
    <s v="6 x 3.7 meter"/>
    <s v="Tidak termasuk listrik"/>
    <s v=""/>
    <s v="N/A"/>
    <s v="6 x 3.7 meter; Tidak termasuk listrik; AC; Kasur; Meja; Lemari Baju; Kulkas; Bantal; Cermin; Jendela; Kursi; Wastafel; K. Mandi Dalam; Kloset Duduk; Shower; Air panas; WiFi; Laundry; Penjaga Kos; Dapur; Dispenser; CCTV; Parkir Mobil; Parkir Motor; Parkir Sepeda"/>
    <x v="189"/>
    <s v="Rp2.350.000"/>
    <x v="0"/>
    <m/>
    <x v="1"/>
    <m/>
    <m/>
  </r>
  <r>
    <s v="Kost Griya Kenari Mas Bu Nina Cileungsi Bogor"/>
    <x v="0"/>
    <s v="Kecamatan Cileungsi"/>
    <n v="12"/>
    <s v="3 x 4 meter"/>
    <s v="Termasuk listrik (implied)"/>
    <s v=""/>
    <s v="N/A"/>
    <s v="3 x 4 meter; Termasuk listrik; Kasur; Lemari Baju; Ventilasi; Bantal; Jendela; Kipas Angin; Kloset Jongkok; K. Mandi Luar; Ember mandi; Bak mandi; R. Jemur; Dapur; Jemuran; Jual Makanan; Pengurus Kos"/>
    <x v="29"/>
    <s v="Rp500.000"/>
    <x v="0"/>
    <m/>
    <x v="2"/>
    <m/>
    <m/>
  </r>
  <r>
    <s v="Kost Griya Laksana Beji Depok"/>
    <x v="1"/>
    <s v="Beji"/>
    <n v="12"/>
    <s v="3 x 4 meter"/>
    <s v="Tidak termasuk listrik"/>
    <s v=""/>
    <s v="N/A"/>
    <s v="3 x 4 meter; Tidak termasuk listrik; AC; Kasur; Meja; Lemari Baju; Kursi; Wastafel; K. Mandi Dalam; Kloset Duduk; Ember mandi; Shower; WiFi; Kulkas; Mesin Cuci; Laundry; Dapur; Dispenser; Parkir Mobil; Parkir Motor; Parkir Sepeda"/>
    <x v="165"/>
    <s v="Rp2.150.000"/>
    <x v="3"/>
    <d v="1899-12-30T05:00:00"/>
    <x v="2"/>
    <m/>
    <m/>
  </r>
  <r>
    <s v="Kost Griya Madani Ciangsana Tipe C Gunung Putri Bogor"/>
    <x v="0"/>
    <s v="Gunung Putri"/>
    <n v="6.6000000000000005"/>
    <s v="2.2 x 3 meter"/>
    <s v="Termasuk listrik (implied)"/>
    <s v=""/>
    <s v="N/A"/>
    <s v="2.2 x 3 meter; Termasuk listrik; Kasur; Lemari Baju; Ventilasi; Bantal; Jendela; Kipas Angin; Cermin; Kloset Duduk; K. Mandi Luar; Ember mandi; Wastafel; Shower; WiFi; Kulkas; R. Cuci; Mesin Cuci; R. Jemur; R. Makan; Dapur; Jemuran; Pengurus Kos; Rice Cooker; Parkir Mobil; Parkir Motor"/>
    <x v="42"/>
    <s v="Rp975.000"/>
    <x v="0"/>
    <m/>
    <x v="2"/>
    <m/>
    <m/>
  </r>
  <r>
    <s v="Kost Griya Mimi Residence Executive Cipayung Jakarta Timur"/>
    <x v="8"/>
    <s v="Cipayung"/>
    <n v="12"/>
    <s v="3 x 4 meter"/>
    <s v="Tidak termasuk listrik"/>
    <s v=""/>
    <s v="N/A"/>
    <s v="3 x 4 meter; Tidak termasuk listrik; AC; Kasur; Meja; Meja Rias; TV; Lemari Baju; Ventilasi; Bantal; Cermin; Cleaning service; K. Mandi Dalam; Kloset Duduk; Shower; Air panas; WiFi; Penjaga Kos; Laundry; R. Tamu; R. Jemur; R. Santai; CCTV; Kartu Akses; Pengurus Kos; Rooftop; Parkir Mobil; Parkir Motor; Parkir Sepeda; Parkir Motor &amp; Sepeda"/>
    <x v="189"/>
    <s v="Rp2.350.000"/>
    <x v="0"/>
    <m/>
    <x v="0"/>
    <m/>
    <m/>
  </r>
  <r>
    <s v="Kost Griya Mumtaz Tipe Eksekutif Ciputat Timur Tangerang Selatan"/>
    <x v="2"/>
    <s v="Kecamatan Ciputat Timur"/>
    <n v="18"/>
    <s v="3 x 6 meter"/>
    <s v="Tidak termasuk listrik"/>
    <s v=""/>
    <s v="N/A"/>
    <s v="3 x 6 meter; Tidak termasuk listrik; AC; Ventilasi; Jendela; Wastafel; K. Mandi Dalam; Kloset Duduk; Shower; R. Cuci; Mushola; R. Jemur; R. Makan; R. Santai; Dapur; Balcon; CCTV; Jemuran; R. Keluarga; Parkir Mobil; Parkir Motor; Parkir Sepeda"/>
    <x v="4"/>
    <s v="Rp2.200.000"/>
    <x v="2"/>
    <d v="1899-12-30T04:08:00"/>
    <x v="0"/>
    <m/>
    <m/>
  </r>
  <r>
    <s v="Kost Griya Musdalifah Penjaringan Jakarta Utara"/>
    <x v="4"/>
    <s v="Penjaringan"/>
    <n v="12"/>
    <s v="3 x 4 meter"/>
    <s v="Tidak termasuk listrik"/>
    <s v=""/>
    <s v="N/A"/>
    <s v="3 x 4 meter; Tidak termasuk listrik; AC; Kasur; Lemari Baju; Ventilasi; Bantal; Cermin; Guling; Jendela; K. Mandi Dalam; Kloset Jongkok; Ember mandi; Wastafel; WiFi; Kulkas; Penjaga Kos; R. Jemur; R. Santai; Dapur; Balcon; Jemuran; Jual Makanan; Locker; Parkir Mobil; Parkir Motor; Parkir Sepeda"/>
    <x v="3"/>
    <s v="Rp1.500.000"/>
    <x v="18"/>
    <d v="1899-12-30T01:09:00"/>
    <x v="0"/>
    <m/>
    <m/>
  </r>
  <r>
    <s v="Kost Griya Muslimah Kukusan Beji Depok"/>
    <x v="1"/>
    <s v="Beji"/>
    <n v="9"/>
    <s v="3 x 3 meter"/>
    <s v="Tidak termasuk listrik"/>
    <s v=""/>
    <s v="N/A"/>
    <s v="3 x 3 meter; Tidak termasuk listrik; AC; Kasur; Meja; Lemari Baju; Kursi; Wastafel; K. Mandi Dalam; Kloset Duduk; Shower; WiFi; Kulkas; R. Tamu; R. Makan; R. Jemur; R. Santai; Dapur; TV; Balcon; Parkir Mobil; Parkir Motor"/>
    <x v="3"/>
    <s v="Rp1.500.000"/>
    <x v="12"/>
    <d v="1899-12-30T04:04:00"/>
    <x v="2"/>
    <m/>
    <s v="Diskon 120rb"/>
  </r>
  <r>
    <s v="Kost Griya Navisha Cimanggis Depok"/>
    <x v="1"/>
    <s v="Kecamatan Cimanggis"/>
    <n v="12"/>
    <s v="3 x 4 meter"/>
    <s v="Tidak termasuk listrik"/>
    <s v=""/>
    <s v="N/A"/>
    <s v="3 x 4 meter; Tidak termasuk listrik; AC; Kasur; Meja; Lemari Baju; Bantal; Cermin; Guling; Jendela; Kursi; Wastafel; K. Mandi Dalam; Kloset Duduk; Shower; Air panas; WiFi; Kulkas; R. Cuci; Mesin Cuci; Penjaga Kos; R. Tamu; R. Jemur; Dapur; Dispenser; Balcon; Parkir Motor"/>
    <x v="19"/>
    <s v="Rp1.800.000"/>
    <x v="2"/>
    <d v="1899-12-30T04:08:00"/>
    <x v="2"/>
    <m/>
    <s v="Diskon 160rb"/>
  </r>
  <r>
    <s v="Kost Griya Padma Tipe Single Pulo Gadung Jakarta Timur"/>
    <x v="8"/>
    <s v="Kecamatan Pulo Gadung"/>
    <n v="12"/>
    <s v="3 x 4 meter"/>
    <s v="Tidak termasuk listrik"/>
    <s v=""/>
    <s v="N/A"/>
    <s v="3 x 4 meter; Tidak termasuk listrik; AC; Kasur; Meja; Lemari Baju; Bantal; Guling; Jendela; K. Mandi Dalam; Kloset Duduk; Shower; WiFi; Kulkas; R. Cuci; Penjaga Kos; R. Tamu; Mesin Cuci; R. Jemur; R. Santai; Dapur; Dispenser; Parkir Mobil; Parkir Motor; Parkir Sepeda"/>
    <x v="13"/>
    <s v="Rp1.600.000"/>
    <x v="0"/>
    <m/>
    <x v="0"/>
    <m/>
    <m/>
  </r>
  <r>
    <s v="Kost Griya Pratama Tipe B Tambun Selatan Bekasi"/>
    <x v="7"/>
    <s v="Kecamatan Tambun Selatan"/>
    <n v="9"/>
    <s v="3 x 3 meter"/>
    <s v="Tidak termasuk listrik"/>
    <s v=""/>
    <s v="N/A"/>
    <s v="3 x 3 meter; Tidak termasuk listrik; AC; Dapur Pribadi; Jendela; K. Mandi Dalam; Kloset Jongkok; Wastafel; Ember mandi; WiFi; R. Tamu; R. Jemur; Mushola; Dapur; R. Keluarga; Jemuran; Parkir Mobil; Parkir Motor; Parkir Sepeda"/>
    <x v="213"/>
    <s v="Rp860.000"/>
    <x v="0"/>
    <m/>
    <x v="0"/>
    <m/>
    <m/>
  </r>
  <r>
    <s v="Kost Griya Shafir Kukusan UI Beji Depok"/>
    <x v="1"/>
    <s v="Beji"/>
    <n v="12"/>
    <s v="3 x 4 meter"/>
    <s v="Tidak termasuk listrik"/>
    <s v=""/>
    <s v="N/A"/>
    <s v="3 x 4 meter; Tidak termasuk listrik; AC; Kasur; Meja; Lemari Baju; Kursi; K. Mandi Dalam; Kloset Duduk; Shower; Air panas; WiFi; R. Cuci; Kulkas; R. Tamu; Mesin Cuci; Penjaga Kos; Laundry; R. Makan; R. Jemur; Mushola; Parkir Motor"/>
    <x v="163"/>
    <s v="Rp1.700.000"/>
    <x v="10"/>
    <d v="1899-12-30T04:05:00"/>
    <x v="2"/>
    <m/>
    <s v="Diskon 179rb"/>
  </r>
  <r>
    <s v="Kost Griya Sribudi 1 Tipe A Pasar Rebo Jakarta Timur"/>
    <x v="8"/>
    <s v="Kecamatan Pasar Rebo"/>
    <n v="20"/>
    <s v="4 x 5 meter"/>
    <s v="Tidak termasuk listrik"/>
    <s v=""/>
    <s v="N/A"/>
    <s v="4 x 5 meter; Tidak termasuk listrik; Kasur; Lemari Baju; Ventilasi; Wastafel; Guling; Jendela; K. Mandi Dalam; Kloset Jongkok; Ember mandi; Bak mandi; WiFi; Penjaga Kos; Balcon; CCTV; Pengurus Kos; Jemuran; Parkir Motor; Parkir Sepeda"/>
    <x v="214"/>
    <s v="Rp1.020.000"/>
    <x v="0"/>
    <m/>
    <x v="0"/>
    <m/>
    <m/>
  </r>
  <r>
    <s v="Kost Griya Tosca Tipe A Cikarang Selatan Bekasi"/>
    <x v="7"/>
    <s v="Cikarang Selatan"/>
    <n v="16"/>
    <s v="4 x 4 meter"/>
    <s v="Termasuk listrik (implied)"/>
    <s v=""/>
    <s v="N/A"/>
    <s v="4 x 4 meter; Termasuk listrik; Kasur; Lemari Baju; Ventilasi; Kursi; Bantal; Jendela; K. Mandi Dalam; Kloset Jongkok; Ember mandi; Shower; WiFi; R. Cuci; Kulkas; R. Tamu; Penjaga Kos; R. Jemur; R. Santai; Dapur; Dispenser; TV"/>
    <x v="215"/>
    <s v="Rp960.000"/>
    <x v="0"/>
    <m/>
    <x v="1"/>
    <m/>
    <m/>
  </r>
  <r>
    <s v="Kost Griya Widara Tipe AC Pondok Aren Tangerang Selatan"/>
    <x v="2"/>
    <s v="Kecamatan Pondok Aren"/>
    <n v="12"/>
    <s v="3 x 4 meter"/>
    <s v="Termasuk listrik (implied)"/>
    <s v=""/>
    <s v="N/A"/>
    <s v="3 x 4 meter; Termasuk listrik; AC; Kasur; Meja; Lemari Baju; Ventilasi; Bantal; Cermin; Guling; Jendela; K. Mandi Dalam; Kloset Duduk; Shower; WiFi; Kulkas; Penjaga Kos; R. Tamu; R. Jemur; Dapur; Dispenser; Balcon; Jemuran; Pengurus Kos; Parkir Motor; Parkir Sepeda"/>
    <x v="11"/>
    <s v="Rp1.400.000"/>
    <x v="8"/>
    <d v="1899-12-30T04:09:00"/>
    <x v="2"/>
    <m/>
    <m/>
  </r>
  <r>
    <s v="Kost Griyakoe Tipe A Cipondoh Tangerang"/>
    <x v="6"/>
    <s v="Kecamatan Cipondoh"/>
    <n v="12"/>
    <s v="3 x 4 meter"/>
    <s v="Tidak termasuk listrik"/>
    <s v=""/>
    <s v="N/A"/>
    <s v="3 x 4 meter; Tidak termasuk listrik; AC; Kasur; Meja; Lemari Baju; Ventilasi; Bantal; Cermin; Cleaning service; Dapur Pribadi; Guling; K. Mandi Dalam; Kloset Duduk; Kloset Jongkok; Wastafel; Shower; WiFi; Kulkas; R. Cuci; Penjaga Kos; R. Tamu; R. Jemur; R. Makan; R. Santai; Dapur; CCTV; Parkir Mobil; Parkir Motor; Parkir Sepeda"/>
    <x v="28"/>
    <s v="Rp1.000.000"/>
    <x v="19"/>
    <d v="1899-12-30T02:09:00"/>
    <x v="0"/>
    <m/>
    <m/>
  </r>
  <r>
    <s v="Kost Grogol Abdi Tanjung Duren Residence Tipe B Grogol petamburan Jakarta Barat"/>
    <x v="3"/>
    <s v="Kecamatan Grogol petamburan"/>
    <n v="6"/>
    <s v="2 x 3 meter"/>
    <s v="Tidak termasuk listrik"/>
    <s v=""/>
    <s v="N/A"/>
    <s v="2 x 3 meter; Tidak termasuk listrik; AC; Kasur; Lemari Baju; Ventilasi; Bantal; Cermin; Guling; Jendela; Kloset Duduk; K. Mandi Luar; Shower; WiFi; Kulkas; R. Cuci; Laundry; Penjaga Kos; R. Jemur; R. Makan; Dapur; Dispenser; Balcon; Parkir Motor"/>
    <x v="216"/>
    <s v="Rp1.490.000"/>
    <x v="6"/>
    <d v="1899-12-30T04:06:00"/>
    <x v="0"/>
    <m/>
    <s v="Diskon 74rb"/>
  </r>
  <r>
    <s v="Kost Growing House Jatijajar Tipe Standart A Tapos Depok"/>
    <x v="1"/>
    <s v="Tapos"/>
    <n v="5"/>
    <s v="2.5 x 2 meter"/>
    <s v="Tidak termasuk listrik"/>
    <s v=""/>
    <s v="N/A"/>
    <s v="2.5 x 2 meter; Tidak termasuk listrik; Kasur; Meja; Lemari Baju; Ventilasi; Bantal; Cermin; Jendela; Kursi; Kloset Duduk; K. Mandi Luar; Wastafel; Ember mandi; Shower; WiFi; Kulkas; R. Cuci; R. Tamu; R. Jemur; R. Makan; R. Santai; Dapur; Dispenser; Jemuran; Parkir Motor; Parkir Sepeda"/>
    <x v="99"/>
    <s v="Rp900.000"/>
    <x v="2"/>
    <d v="1899-12-30T04:08:00"/>
    <x v="2"/>
    <m/>
    <m/>
  </r>
  <r>
    <s v="Kost Grya Alisha 2 Tipe A Beji Depok"/>
    <x v="1"/>
    <s v="Beji"/>
    <n v="9"/>
    <s v="3 x 3 meter"/>
    <s v="Termasuk listrik (implied)"/>
    <s v=""/>
    <s v="N/A"/>
    <s v="3 x 3 meter; Termasuk listrik; AC; Kasur; Meja; Lemari Baju; Kursi; Cleaning service; K. Mandi Dalam; Kloset Duduk; K. Mandi Luar; Shower; Kulkas; R. Tamu; Laundry; R. Makan; Dapur; Dispenser; TV; Taman; Parkir Mobil; Parkir Motor"/>
    <x v="90"/>
    <s v="Rp1.650.000"/>
    <x v="10"/>
    <d v="1899-12-30T04:05:00"/>
    <x v="2"/>
    <m/>
    <s v="Diskon 179rb"/>
  </r>
  <r>
    <s v="Kost Gs Tipe A Tanjung Pandan Belitung"/>
    <x v="7"/>
    <s v="Tanjung Pandan"/>
    <n v="12"/>
    <s v="3 x 4 meter"/>
    <s v="Tidak termasuk listrik"/>
    <s v=""/>
    <s v="N/A"/>
    <s v="3 x 4 meter; Tidak termasuk listrik; Kasur; Lemari Baju; Bantal; Dapur Pribadi; Guling; Jendela; K. Mandi Dalam; Kloset Duduk; Dapur; Parkir Mobil; Parkir Motor &amp; Sepeda"/>
    <x v="31"/>
    <s v="Rp600.000"/>
    <x v="0"/>
    <m/>
    <x v="0"/>
    <m/>
    <m/>
  </r>
  <r>
    <s v="Kost Gunung Sahari Sawah Besar Jakarta Pusat"/>
    <x v="9"/>
    <s v="Sawah Besar"/>
    <n v="9"/>
    <s v="3 x 3 meter"/>
    <s v="Termasuk listrik (implied)"/>
    <s v=""/>
    <s v="N/A"/>
    <s v="3 x 3 meter; Termasuk listrik; Kasur; Lemari Baju; Kipas Angin; Kloset Jongkok; K. Mandi Luar; Shower; Kulkas; R. Tamu; Dapur; TV; Pengurus Kos; Jemuran; Parkir Motor"/>
    <x v="0"/>
    <s v="Rp950.000"/>
    <x v="3"/>
    <d v="1899-12-30T05:00:00"/>
    <x v="2"/>
    <m/>
    <m/>
  </r>
  <r>
    <s v="Kost GWK Pondok Ungu Permai Tipe A Babelan Bekasi Utara"/>
    <x v="7"/>
    <s v="Babelan"/>
    <n v="12"/>
    <s v="3 x 4 meter"/>
    <s v="Termasuk listrik (implied)"/>
    <s v=""/>
    <s v="N/A"/>
    <s v="3 x 4 meter; Termasuk listrik; Kasur; Lemari Baju; Ventilasi; Kipas Angin; Bantal; Guling; Jendela; K. Mandi Dalam; Kloset Jongkok; Ember mandi; WiFi; Kulkas; R. Cuci; R. Tamu; R. Makan; R. Jemur; Dapur; Balcon; CCTV; Jemuran; Parkir Motor; Parkir Sepeda"/>
    <x v="99"/>
    <s v="Rp900.000"/>
    <x v="2"/>
    <d v="1899-12-30T04:08:00"/>
    <x v="2"/>
    <m/>
    <m/>
  </r>
  <r>
    <s v="Kost GWK Tipe B Babelan Bekasi"/>
    <x v="7"/>
    <s v="Babelan"/>
    <n v="27"/>
    <s v="3 x 9 meter"/>
    <s v="Tidak termasuk listrik"/>
    <s v=""/>
    <s v="N/A"/>
    <s v="3 x 9 meter; Tidak termasuk listrik; AC; Dapur Pribadi; K. Mandi Dalam; Kloset Jongkok; Parkir Motor"/>
    <x v="2"/>
    <s v="Rp700.000"/>
    <x v="0"/>
    <m/>
    <x v="0"/>
    <m/>
    <m/>
  </r>
  <r>
    <s v="Kost H Alex Tipe A Bojonggede Bogor"/>
    <x v="0"/>
    <s v="Kecamatan Bojonggede"/>
    <n v="6.25"/>
    <s v="2.5 x 2.5 meter"/>
    <s v="Tidak termasuk listrik"/>
    <s v=""/>
    <s v="N/A"/>
    <s v="2.5 x 2.5 meter; Tidak termasuk listrik; Kasur; Jendela; Wastafel; Kloset Jongkok; K. Mandi Luar; Ember mandi; Bak mandi; Penjaga Kos; R. Jemur; Dapur; Jemuran; Jual Makanan; Pengurus Kos; R. Keluarga; Parkir Mobil; Parkir Motor; Parkir Sepeda; Parkir Motor &amp; Sepeda"/>
    <x v="31"/>
    <s v="Rp600.000"/>
    <x v="0"/>
    <m/>
    <x v="0"/>
    <m/>
    <m/>
  </r>
  <r>
    <s v="Kost H Alex Tipe B Bojonggede Bogor"/>
    <x v="0"/>
    <s v="Kecamatan Bojonggede"/>
    <n v="6.25"/>
    <s v="2.5 x 2.5 meter"/>
    <s v="Tidak termasuk listrik"/>
    <s v=""/>
    <s v="N/A"/>
    <s v="2.5 x 2.5 meter; Tidak termasuk listrik; Jendela; Wastafel; Kloset Jongkok; K. Mandi Luar; Penjaga Kos; R. Jemur; Jemuran; Jual Makanan; Pengurus Kos; R. Keluarga; Parkir Mobil; Parkir Motor; Parkir Sepeda; Parkir Motor &amp; Sepeda"/>
    <x v="10"/>
    <s v="Rp750.000"/>
    <x v="0"/>
    <m/>
    <x v="0"/>
    <m/>
    <m/>
  </r>
  <r>
    <s v="Kost H Ayyub Tipe A Mampang Prapatan Jakarta Selatan"/>
    <x v="5"/>
    <s v="Mampang Prapatan"/>
    <n v="12"/>
    <s v="3 x 4 meter"/>
    <s v="Tidak termasuk listrik"/>
    <s v=""/>
    <s v="N/A"/>
    <s v="3 x 4 meter; Tidak termasuk listrik; Lemari Baju; Ventilasi; Dapur Pribadi; Jendela; K. Mandi Dalam; Kloset Jongkok; Ember mandi; Shower; WiFi; Laundry; Dapur; CCTV; Jemuran; Gazebo; Parkir Motor"/>
    <x v="1"/>
    <s v="Rp1.100.000"/>
    <x v="0"/>
    <m/>
    <x v="0"/>
    <m/>
    <m/>
  </r>
  <r>
    <s v="Kost H Mahmud Babakan Madang Bogor"/>
    <x v="0"/>
    <s v="Babakan Madang"/>
    <n v="9"/>
    <s v="3 x 3 meter"/>
    <s v="Tidak termasuk listrik"/>
    <s v=""/>
    <s v="N/A"/>
    <s v="3 x 3 meter; Tidak termasuk listrik; AC; Kasur; Meja; TV; Lemari Baju; Ventilasi; Bantal; Cermin; Guling; Jendela; K. Mandi Dalam; Kloset Duduk; Shower; Air panas; WiFi; Kulkas; R. Cuci; Laundry; Mesin Cuci; Penjaga Kos; R. Tamu; Mushola; R. Jemur; R. Makan; Parkir Motor &amp; Sepeda"/>
    <x v="163"/>
    <s v="Rp1.700.000"/>
    <x v="0"/>
    <m/>
    <x v="1"/>
    <m/>
    <m/>
  </r>
  <r>
    <s v="Kost H Muh Ashyari Executive Penjaringan Jakarta Utara"/>
    <x v="4"/>
    <s v="Penjaringan"/>
    <n v="9"/>
    <s v="3 x 3 meter"/>
    <s v="Tidak termasuk listrik"/>
    <s v=""/>
    <s v="N/A"/>
    <s v="3 x 3 meter; Tidak termasuk listrik; AC; Kasur; Meja; Lemari Baju; Ventilasi; Jendela; Kipas Angin; Kursi; K. Mandi Dalam; Kloset Jongkok; Ember mandi; WiFi; Laundry; R. Tamu; R. Jemur; R. Makan; R. Santai; Dapur; Balcon; CCTV; Jemuran; Parkir Mobil; Parkir Motor"/>
    <x v="13"/>
    <s v="Rp1.600.000"/>
    <x v="0"/>
    <m/>
    <x v="0"/>
    <m/>
    <m/>
  </r>
  <r>
    <s v="Kost H2 Kelapa Gading Jakarta Utara"/>
    <x v="4"/>
    <s v="Kelapa Gading"/>
    <n v="12"/>
    <s v="3 x 4 meter"/>
    <s v="Tidak termasuk listrik"/>
    <s v=""/>
    <s v="N/A"/>
    <s v="3 x 4 meter; Tidak termasuk listrik; AC; Kasur; Lemari Baju; Bantal; Guling; Jendela; Kipas Angin; Kloset Duduk; Kloset Jongkok; K. Mandi Luar; Shower; Penjaga Kos; R. Jemur; Dapur; Jemuran; Parkir Mobil; Parkir Motor; Parkir Sepeda"/>
    <x v="28"/>
    <s v="Rp1.000.000"/>
    <x v="8"/>
    <d v="1899-12-30T04:09:00"/>
    <x v="0"/>
    <m/>
    <m/>
  </r>
  <r>
    <s v="Kost Habib Cibungbulang Bogor"/>
    <x v="0"/>
    <s v="Cibungbulang"/>
    <n v="72"/>
    <s v="12 x 6 meter"/>
    <s v="Tidak termasuk listrik"/>
    <s v=""/>
    <s v="N/A"/>
    <s v="12 x 6 meter; Tidak termasuk listrik; Ventilasi; Wastafel; Dapur Pribadi; Jendela; K. Mandi Dalam; Kloset Jongkok; Ember mandi; R. Cuci; R. Tamu; R. Makan; R. Jemur; Mushola; R. Santai; Dapur; Taman; R. Keluarga; Jemuran; Parkir Mobil; Parkir Motor; Parkir Sepeda"/>
    <x v="28"/>
    <s v="Rp1.000.000"/>
    <x v="0"/>
    <m/>
    <x v="0"/>
    <m/>
    <m/>
  </r>
  <r>
    <s v="Kost Haji Aan 2 Tipe B Penjaringan Jakarta Utara"/>
    <x v="4"/>
    <s v="Kecamatan Penjaringan"/>
    <n v="12"/>
    <s v="3 x 4 meter"/>
    <s v="Tidak termasuk listrik"/>
    <s v=""/>
    <s v="N/A"/>
    <s v="3 x 4 meter; Tidak termasuk listrik; AC; Kasur; Lemari Baju; Ventilasi; Jendela; Kipas Angin; TV Kabel; K. Mandi Dalam; Kloset Jongkok; Ember mandi; Bak mandi; WiFi; Laundry; Penjaga Kos; R. Tamu; R. Jemur; R. Santai; Balcon; CCTV; Jemuran; Jual Makanan; Parkir Mobil; Parkir Motor; Parkir Sepeda"/>
    <x v="5"/>
    <s v="Rp1.350.000"/>
    <x v="19"/>
    <d v="1899-12-30T02:09:00"/>
    <x v="0"/>
    <m/>
    <m/>
  </r>
  <r>
    <s v="Kost Haji Agus Tanjung Priok Jakarta Utara"/>
    <x v="4"/>
    <s v="Kecamatan Tanjung Priok"/>
    <n v="12.25"/>
    <s v="3.5 x 3.5 meter"/>
    <s v="Termasuk listrik (implied)"/>
    <s v=""/>
    <s v="N/A"/>
    <s v="3.5 x 3.5 meter; Termasuk listrik; Kasur; Lemari Baju; K. Mandi Dalam; Kloset Jongkok; Ember mandi; WiFi; R. Jemur; Dapur; Balcon; Parkir Motor; Parkir Sepeda"/>
    <x v="99"/>
    <s v="Rp900.000"/>
    <x v="6"/>
    <d v="1899-12-30T04:06:00"/>
    <x v="0"/>
    <m/>
    <m/>
  </r>
  <r>
    <s v="Kost Haji Bu Yanni Penjaringan Jakarta Utara"/>
    <x v="4"/>
    <s v="Penjaringan"/>
    <n v="9"/>
    <s v="3 x 3 meter"/>
    <s v="Tidak termasuk listrik"/>
    <s v=""/>
    <s v="N/A"/>
    <s v="3 x 3 meter; Tidak termasuk listrik; Kasur; Meja; TV; Lemari Baju; Ventilasi; Kipas Angin; TV Kabel; K. Mandi Dalam; Kloset Jongkok; Ember mandi; R. Cuci; R. Tamu; R. Jemur; R. Santai; Dapur; Locker; Taman; Balcon; Parkir Motor"/>
    <x v="28"/>
    <s v="Rp1.000.000"/>
    <x v="6"/>
    <d v="1899-12-30T04:06:00"/>
    <x v="0"/>
    <m/>
    <m/>
  </r>
  <r>
    <s v="Kost Haji Kasmir 2 Tipe A Ciampea Bogor"/>
    <x v="0"/>
    <s v="Ciampea"/>
    <n v="12"/>
    <s v="3 x 4 meter"/>
    <s v="Tidak termasuk listrik"/>
    <s v=""/>
    <s v="N/A"/>
    <s v="3 x 4 meter; Tidak termasuk listrik; Kasur; Meja; Lemari Baju; Ventilasi; Bantal; Jendela; Kipas Angin; Cermin; Guling; Kloset Jongkok; Bak mandi; R. Tamu; R. Jemur; R. Santai; Dapur; K. Mandi Luar; Parkir Motor"/>
    <x v="31"/>
    <s v="Rp600.000"/>
    <x v="10"/>
    <d v="1899-12-30T04:05:00"/>
    <x v="2"/>
    <m/>
    <m/>
  </r>
  <r>
    <s v="Kost Haji Kasmir 2 Tipe B Ciampea Bogor"/>
    <x v="0"/>
    <s v="Ciampea"/>
    <n v="4"/>
    <s v="2 x 2 meter"/>
    <s v="Tidak termasuk listrik"/>
    <s v=""/>
    <s v="N/A"/>
    <s v="2 x 2 meter; Tidak termasuk listrik; Kasur; Meja; Lemari Baju; Ventilasi; Bantal; Jendela; Kipas Angin; Wastafel; Cermin; Guling; Kloset Jongkok; K. Mandi Luar; Bak mandi; R. Tamu; R. Jemur; R. Santai; Dapur; Jemuran; Parkir Motor"/>
    <x v="217"/>
    <s v="Rp450.000"/>
    <x v="10"/>
    <d v="1899-12-30T04:05:00"/>
    <x v="2"/>
    <m/>
    <m/>
  </r>
  <r>
    <s v="Kost Haji Sahar V3 Larangan Tangerang"/>
    <x v="6"/>
    <s v="Kecamatan Larangan"/>
    <n v="9"/>
    <s v="3 x 3 meter"/>
    <s v="Tidak termasuk listrik"/>
    <s v=""/>
    <s v="N/A"/>
    <s v="3 x 3 meter; Tidak termasuk listrik; Kasur; Lemari Baju; Bantal; Jendela; K. Mandi Dalam; Kloset Duduk; Ember mandi; WiFi; Penjaga Kos; CCTV; Jemuran; Pengurus Kos; Parkir Motor &amp; Sepeda"/>
    <x v="10"/>
    <s v="Rp750.000"/>
    <x v="0"/>
    <m/>
    <x v="0"/>
    <m/>
    <m/>
  </r>
  <r>
    <s v="Kost Haji Ujang Tipe A Pinang Tangerang"/>
    <x v="6"/>
    <s v="Pinang"/>
    <n v="9"/>
    <s v="3 x 3 meter"/>
    <s v="Termasuk listrik (implied)"/>
    <s v=""/>
    <s v="N/A"/>
    <s v="3 x 3 meter; Termasuk listrik; Kasur; Kipas Angin; Bantal; Jendela; Kloset Jongkok; K. Mandi Luar; Ember mandi; Shower; WiFi; R. Cuci; R. Tamu; R. Jemur; R. Santai; Balcon; Jual Makanan; Pengurus Kos; Jemuran; Parkir Motor; Parkir Sepeda"/>
    <x v="31"/>
    <s v="Rp600.000"/>
    <x v="0"/>
    <m/>
    <x v="1"/>
    <m/>
    <m/>
  </r>
  <r>
    <s v="Kost Haji Umar Tipe A1 Cileungsi Bogor"/>
    <x v="0"/>
    <s v="Kecamatan Cileungsi"/>
    <n v="9"/>
    <s v="3 x 3 meter"/>
    <s v="Termasuk listrik (implied)"/>
    <s v=""/>
    <s v="N/A"/>
    <s v="3 x 3 meter; Termasuk listrik; Kasur; Lemari Baju; Bantal; Dapur Pribadi; Jendela; Wastafel; K. Mandi Dalam; Kloset Jongkok; Ember mandi; WiFi; Penjaga Kos; Dapur; Balcon; CCTV; Jemuran; Jual Makanan; Pengurus Kos; Parkir Motor; Parkir Sepeda; Parkir Motor &amp; Sepeda"/>
    <x v="17"/>
    <s v="Rp650.000"/>
    <x v="0"/>
    <m/>
    <x v="0"/>
    <m/>
    <m/>
  </r>
  <r>
    <s v="Kost Hanais Tangerang Tangerang"/>
    <x v="6"/>
    <s v="Kecamatan Tangerang"/>
    <n v="7.68"/>
    <s v="3.2 x 2.4 meter"/>
    <s v="Tidak termasuk listrik"/>
    <s v=""/>
    <s v="N/A"/>
    <s v="3.2 x 2.4 meter; Tidak termasuk listrik; Kasur; Lemari Baju; Ventilasi; Cermin; Jendela; K. Mandi Dalam; Kloset Jongkok; Ember mandi; R. Jemur; Balcon; CCTV; Jemuran; Pengurus Kos; R. Keluarga; Parkir Motor; Parkir Sepeda"/>
    <x v="2"/>
    <s v="Rp700.000"/>
    <x v="12"/>
    <d v="1899-12-30T04:04:00"/>
    <x v="2"/>
    <m/>
    <m/>
  </r>
  <r>
    <s v="Kost Hanaqa Pamulang Tangerang Selatan"/>
    <x v="2"/>
    <s v="Pamulang"/>
    <n v="9"/>
    <s v="3 x 3 meter"/>
    <s v="Tidak termasuk listrik"/>
    <s v=""/>
    <s v="N/A"/>
    <s v="3 x 3 meter; Tidak termasuk listrik; AC; Kasur; Meja Rias; Lemari Baju; Ventilasi; Bantal; Cermin; Jendela; K. Mandi Dalam; Kloset Duduk; K. Mandi Luar; Shower; WiFi; Kulkas; Penjaga Kos; R. Jemur; R. Makan; Dapur; Dispenser; Jemuran; Parkir Mobil; Parkir Motor"/>
    <x v="18"/>
    <s v="Rp1.300.000"/>
    <x v="0"/>
    <m/>
    <x v="2"/>
    <m/>
    <m/>
  </r>
  <r>
    <s v="Kost Hanimun Lippo VIP Cibodas Tangerang"/>
    <x v="6"/>
    <s v="Kecamatan Cibodas"/>
    <n v="9"/>
    <s v="3 x 3 meter"/>
    <s v="Tidak termasuk listrik"/>
    <s v=""/>
    <s v="N/A"/>
    <s v="3 x 3 meter; Tidak termasuk listrik; AC; Kasur; Meja; Lemari Baju; Bantal; Cermin; Guling; Kursi; Jendela; K. Mandi Dalam; Kloset Duduk; Shower; Air panas; WiFi; Penjaga Kos; R. Jemur; R. Santai; CCTV; Jemuran; Jual Makanan; Pengurus Kos; Parkir Mobil; Parkir Motor; Parkir Sepeda"/>
    <x v="102"/>
    <s v="Rp1.475.000"/>
    <x v="2"/>
    <d v="1899-12-30T04:08:00"/>
    <x v="0"/>
    <m/>
    <s v="Diskon 150rb"/>
  </r>
  <r>
    <s v="Kost Hani's House Cinere Depok"/>
    <x v="1"/>
    <s v="Cinere"/>
    <n v="12"/>
    <s v="3 x 4 meter"/>
    <s v="Tidak termasuk listrik"/>
    <s v=""/>
    <s v="N/A"/>
    <s v="3 x 4 meter; Tidak termasuk listrik; Kasur; Lemari Baju; Ventilasi; Bantal; Jendela; K. Mandi Dalam; Kloset Duduk; Shower; WiFi; R. Cuci; Penjaga Kos; R. Jemur; Pengurus Kos; Jemuran; Parkir Motor; Parkir Sepeda"/>
    <x v="3"/>
    <s v="Rp1.500.000"/>
    <x v="3"/>
    <d v="1899-12-30T05:00:00"/>
    <x v="0"/>
    <m/>
    <m/>
  </r>
  <r>
    <s v="Kost Hans Sungai Bambu Tanjung Priok Jakarta Utara"/>
    <x v="4"/>
    <s v="Tanjung Priok"/>
    <n v="9"/>
    <s v="3 x 3 meter"/>
    <s v="Termasuk listrik (implied)"/>
    <s v=""/>
    <s v="N/A"/>
    <s v="3 x 3 meter; Termasuk listrik; Kasur; TV; Kipas Angin; TV Kabel; Kloset Duduk; K. Mandi Luar; Wastafel; Ember mandi; Shower; WiFi; R. Cuci; Kulkas; Laundry; R. Jemur; Dapur; Parkir Motor"/>
    <x v="12"/>
    <s v="Rp850.000"/>
    <x v="0"/>
    <m/>
    <x v="0"/>
    <m/>
    <m/>
  </r>
  <r>
    <s v="Kost Happy 22 Basic Batuceper Tangerang"/>
    <x v="6"/>
    <s v="Kecamatan Batuceper"/>
    <n v="6"/>
    <s v="2 x 3 meter"/>
    <s v="Termasuk listrik (implied)"/>
    <s v=""/>
    <s v="N/A"/>
    <s v="2 x 3 meter; Termasuk listrik; Kasur; Meja; Meja Rias; Lemari Baju; Ventilasi; Kipas Angin; Jendela; Cermin; Sofa; Kloset Duduk; K. Mandi Luar; Ember mandi; Wastafel; Shower; WiFi; Kulkas; R. Cuci; Mesin Cuci; R. Tamu; R. Jemur; R. Makan; R. Santai; Dispenser; Dapur; Parkir Mobil; Parkir Motor; Parkir Sepeda; Parkir Motor &amp; Sepeda"/>
    <x v="218"/>
    <s v="Rp895.000"/>
    <x v="3"/>
    <d v="1899-12-30T05:00:00"/>
    <x v="2"/>
    <m/>
    <m/>
  </r>
  <r>
    <s v="Kost Happy 22 Ekonomis Batuceper Tangerang"/>
    <x v="6"/>
    <s v="Kecamatan Batuceper"/>
    <n v="6"/>
    <s v="2 x 3 meter"/>
    <s v="Termasuk listrik (implied)"/>
    <s v=""/>
    <s v="N/A"/>
    <s v="2 x 3 meter; Termasuk listrik; Kasur; Meja; Dispenser; Kulkas; Lemari Baju; Ventilasi; Kipas Angin; Meja makan; Bantal; Kursi; Kloset Duduk; K. Mandi Luar; Ember mandi; Wastafel; Shower; Air panas; WiFi; R. Cuci; Mesin Cuci; Laundry; R. Jemur; R. Makan; R. Santai; Dapur; Jemuran; Parkir Mobil; Parkir Motor; Parkir Sepeda; Parkir Motor &amp; Sepeda"/>
    <x v="99"/>
    <s v="Rp900.000"/>
    <x v="0"/>
    <m/>
    <x v="0"/>
    <m/>
    <m/>
  </r>
  <r>
    <s v="Kost Hardika Pademangan Jakarta Utara"/>
    <x v="4"/>
    <s v="Kecamatan Pademangan"/>
    <n v="12"/>
    <s v="3 x 4 meter"/>
    <s v="Tidak termasuk listrik"/>
    <s v=""/>
    <s v="N/A"/>
    <s v="3 x 4 meter; Tidak termasuk listrik; AC; Kasur; Meja; Lemari Baju; Bantal; Kursi; K. Mandi Dalam; Kloset Duduk; Shower; WiFi; Penjaga Kos; Dapur; CCTV; Jemuran; Pengurus Kos; Parkir Mobil; Parkir Motor; Parkir Sepeda; Parkir Motor &amp; Sepeda"/>
    <x v="13"/>
    <s v="Rp1.600.000"/>
    <x v="0"/>
    <m/>
    <x v="0"/>
    <m/>
    <m/>
  </r>
  <r>
    <s v="Kost Harpa Place Tipe A Kelapa Gading Jakarta Utara"/>
    <x v="4"/>
    <s v="Kelapa Gading"/>
    <n v="12"/>
    <s v="3 x 4 meter"/>
    <s v="Tidak termasuk listrik"/>
    <s v=""/>
    <s v="N/A"/>
    <s v="3 x 4 meter; Tidak termasuk listrik; AC; Kasur; Meja; TV; Lemari Baju; Ventilasi; Kursi; Bantal; Cermin; Guling; K. Mandi Dalam; Kloset Duduk; Shower; Air panas; WiFi; R. Cuci; Kulkas; R. Makan; R. Jemur; R. Santai; Dapur; Dispenser; Balcon; Parkir Mobil; Parkir Motor; Parkir Sepeda"/>
    <x v="33"/>
    <s v="Rp2.400.000"/>
    <x v="3"/>
    <d v="1899-12-30T05:00:00"/>
    <x v="0"/>
    <m/>
    <m/>
  </r>
  <r>
    <s v="Kost Harpa Place Tipe C Kelapa Gading Jakarta Utara"/>
    <x v="4"/>
    <s v="Kelapa Gading"/>
    <n v="9"/>
    <s v="3 x 3 meter"/>
    <s v="Tidak termasuk listrik"/>
    <s v=""/>
    <s v="N/A"/>
    <s v="3 x 3 meter; Tidak termasuk listrik; AC; Kasur; Meja; TV; Lemari Baju; Bantal; Cermin; Guling; Jendela; Meja makan; Kloset Duduk; K. Mandi Luar; Shower; Air panas; WiFi; R. Cuci; Kulkas; R. Makan; R. Jemur; R. Santai; Dapur; Dispenser; Balcon; Parkir Mobil; Parkir Motor; Parkir Sepeda"/>
    <x v="27"/>
    <s v="Rp2.000.000"/>
    <x v="5"/>
    <d v="1899-12-30T04:00:00"/>
    <x v="0"/>
    <m/>
    <m/>
  </r>
  <r>
    <s v="Kost Harun MP Residence Tipe B Kebon Jeruk Jakarta Barat"/>
    <x v="3"/>
    <s v="Kebon Jeruk"/>
    <n v="7.5"/>
    <s v="2.5 x 3 meter"/>
    <s v="Tidak termasuk listrik"/>
    <s v=""/>
    <s v="N/A"/>
    <s v="2.5 x 3 meter; Tidak termasuk listrik; AC; Kasur; Meja; Lemari Baju; Ventilasi; Bantal; Cermin; Guling; Kursi; Wastafel; K. Mandi Dalam; Kloset Duduk; Shower; Air panas; WiFi; Kulkas; R. Cuci; Laundry; Mesin Cuci; Penjaga Kos; R. Tamu; R. Jemur; Dapur; Balcon; Parkir Motor; Parkir Sepeda; Parkir Motor &amp; Sepeda"/>
    <x v="219"/>
    <s v="Rp1.770.000"/>
    <x v="3"/>
    <d v="1899-12-30T05:00:00"/>
    <x v="0"/>
    <m/>
    <m/>
  </r>
  <r>
    <s v="Kost Hasan Living Tipe AC Sukmajaya Depok"/>
    <x v="1"/>
    <s v="Kecamatan Sukmajaya"/>
    <n v="9"/>
    <s v="3 x 3 meter"/>
    <s v="Tidak termasuk listrik"/>
    <s v=""/>
    <s v="N/A"/>
    <s v="3 x 3 meter; Tidak termasuk listrik; AC; Kasur; Meja; Bantal; Cermin; Cleaning service; Guling; Jendela; Kursi; K. Mandi Dalam; Kloset Duduk; Kloset Jongkok; Shower; WiFi; Kulkas; Laundry; Penjaga Kos; R. Jemur; R. Makan; R. Santai; Dapur; Dispenser; Balcon; Parkir Motor"/>
    <x v="18"/>
    <s v="Rp1.300.000"/>
    <x v="6"/>
    <d v="1899-12-30T04:06:00"/>
    <x v="2"/>
    <m/>
    <m/>
  </r>
  <r>
    <s v="Kost Hasanah Cibinong Bogor"/>
    <x v="0"/>
    <s v="Kecamatan Cibinong"/>
    <n v="19.25"/>
    <s v="3.5 x 5.5 meter"/>
    <s v="Tidak termasuk listrik"/>
    <s v=""/>
    <s v="N/A"/>
    <s v="3.5 x 5.5 meter; Tidak termasuk listrik; Kasur; Lemari Baju; Ventilasi; Bantal; Jendela; Wastafel; K. Mandi Dalam; Kloset Jongkok; Ember mandi; WiFi; CCTV; Jemuran; Rooftop; Parkir Motor; Parkir Sepeda; Parkir Motor &amp; Sepeda"/>
    <x v="12"/>
    <s v="Rp850.000"/>
    <x v="0"/>
    <m/>
    <x v="0"/>
    <m/>
    <m/>
  </r>
  <r>
    <s v="Kost Haven Sunter Deluxe Tanjung Priok Jakarta Utara"/>
    <x v="4"/>
    <s v="Kecamatan Tanjung Priok"/>
    <n v="14"/>
    <s v="3.5 x 4 meter"/>
    <s v="Tidak termasuk listrik"/>
    <s v=""/>
    <s v="N/A"/>
    <s v="3.5 x 4 meter; Tidak termasuk listrik; AC; Kasur; Meja Rias; TV; Lemari Baju; Ventilasi; Bantal; Cermin; Kursi; Wastafel; Kloset Duduk; Shower; Air panas; WiFi; Kulkas; Laundry; Mesin Cuci; Penjaga Kos; R. Tamu; R. Makan; R. Santai; Dapur; Dispenser; Parkir Mobil; Parkir Motor; Parkir Sepeda; Parkir Motor &amp; Sepeda"/>
    <x v="220"/>
    <s v="Rp2.945.000"/>
    <x v="0"/>
    <m/>
    <x v="0"/>
    <m/>
    <m/>
  </r>
  <r>
    <s v="Kost Haven Sunter Standard Tanjung Priok Jakarta Utara"/>
    <x v="4"/>
    <s v="Kecamatan Tanjung Priok"/>
    <n v="12"/>
    <s v="3 x 4 meter"/>
    <s v="Tidak termasuk listrik"/>
    <s v=""/>
    <s v="N/A"/>
    <s v="3 x 4 meter; Tidak termasuk listrik; AC; Kasur; Meja; TV; Lemari Baju; Ventilasi; Bantal; Cermin; Kursi; Wastafel; Kloset Duduk; Shower; Air panas; WiFi; Kulkas; Laundry; Mesin Cuci; Penjaga Kos; R. Tamu; R. Makan; R. Santai; Dapur; Dispenser; Parkir Mobil; Parkir Motor; Parkir Sepeda; Parkir Motor &amp; Sepeda"/>
    <x v="221"/>
    <s v="Rp2.470.000"/>
    <x v="2"/>
    <d v="1899-12-30T04:08:00"/>
    <x v="0"/>
    <m/>
    <s v="Diskon 118rb"/>
  </r>
  <r>
    <s v="Kost Haven Sunter Superior Tanjung Priok Jakarta Utara"/>
    <x v="4"/>
    <s v="Kecamatan Tanjung Priok"/>
    <n v="12"/>
    <s v="3 x 4 meter"/>
    <s v="Tidak termasuk listrik"/>
    <s v=""/>
    <s v="N/A"/>
    <s v="3 x 4 meter; Tidak termasuk listrik; AC; Kasur; Meja; TV; Ventilasi; Bantal; Cermin; Wastafel; Kloset Duduk; Shower; Air panas; WiFi; Kulkas; Laundry; Mesin Cuci; Penjaga Kos; R. Tamu; R. Makan; R. Santai; Dapur; Dispenser; Parkir Mobil; Parkir Motor; Parkir Sepeda; Parkir Motor &amp; Sepeda"/>
    <x v="222"/>
    <s v="Rp2.755.000"/>
    <x v="2"/>
    <d v="1899-12-30T04:08:00"/>
    <x v="0"/>
    <m/>
    <m/>
  </r>
  <r>
    <s v="Kost Hayam Wuruk Suites Co Living Tipe Premium C Taman Sari Jakarta Barat"/>
    <x v="3"/>
    <s v="Kecamatan Taman Sari"/>
    <n v="9"/>
    <s v="3 x 3 meter"/>
    <s v="Tidak termasuk listrik"/>
    <s v=""/>
    <s v="N/A"/>
    <s v="3 x 3 meter; Tidak termasuk listrik; AC; Kasur; Meja; TV; Kulkas; Lemari Baju; Bantal; Cermin; Cleaning service; Guling; K. Mandi Dalam; Kloset Duduk; Wastafel; Shower; Air panas; WiFi; R. Cuci; Laundry; Mesin Cuci; Penjaga Kos; R. Tamu; R. Jemur; R. Makan; R. Santai; Parkir Motor; Parkir Sepeda; Parkir Motor &amp; Sepeda"/>
    <x v="204"/>
    <s v="Rp2.650.000"/>
    <x v="6"/>
    <d v="1899-12-30T04:06:00"/>
    <x v="0"/>
    <m/>
    <m/>
  </r>
  <r>
    <s v="Kost Helena Asri Tipe Double Penjaringan Jakarta Utara"/>
    <x v="4"/>
    <s v="Penjaringan"/>
    <n v="16"/>
    <s v="4 x 4 meter"/>
    <s v="Tidak termasuk listrik"/>
    <s v=""/>
    <s v="N/A"/>
    <s v="4 x 4 meter; Tidak termasuk listrik; AC; Kasur; Meja; Lemari Baju; Ventilasi; Bantal; Cermin; Jendela; Kursi; Wastafel; K. Mandi Dalam; Kloset Duduk; Ember mandi; Shower; Air panas; WiFi; Kulkas; Penjaga Kos; R. Tamu; Balcon; CCTV; Pengurus Kos; Parkir Mobil; Parkir Motor; Parkir Sepeda"/>
    <x v="7"/>
    <s v="Rp3.500.000"/>
    <x v="0"/>
    <m/>
    <x v="0"/>
    <m/>
    <m/>
  </r>
  <r>
    <s v="Kost Hijau Cibinong Bogor"/>
    <x v="0"/>
    <s v="Kecamatan Cibinong"/>
    <n v="12"/>
    <s v="3 x 4 meter"/>
    <s v="Tidak termasuk listrik"/>
    <s v=""/>
    <s v="N/A"/>
    <s v="3 x 4 meter; Tidak termasuk listrik; AC; Kasur; Meja; Lemari Baju; Bantal; Guling; Jendela; Kipas Angin; Wastafel; Kursi; K. Mandi Dalam; Kloset Jongkok; Ember mandi; Shower; R. Tamu; R. Jemur; Dapur; R. Keluarga; Pengurus Kos; Parkir Motor"/>
    <x v="11"/>
    <s v="Rp1.400.000"/>
    <x v="3"/>
    <d v="1899-12-30T05:00:00"/>
    <x v="0"/>
    <m/>
    <m/>
  </r>
  <r>
    <s v="Kost Hj Betty Tipe B Karawaci Tangerang"/>
    <x v="6"/>
    <s v="Karawaci"/>
    <n v="36"/>
    <s v="6 x 6 meter"/>
    <s v="Tidak termasuk listrik"/>
    <s v=""/>
    <s v="N/A"/>
    <s v="6 x 6 meter; Tidak termasuk listrik; Kasur; TV; Lemari Baju; Bantal; Cleaning service; Guling; Jendela; Kursi; Wastafel; Kloset Duduk; K. Mandi Luar; Ember mandi; WiFi; Kulkas; R. Cuci; Laundry; Penjaga Kos; R. Tamu; R. Jemur; R. Makan; R. Santai; Dapur; Parkir Mobil; Parkir Motor; Parkir Sepeda; Parkir Motor &amp; Sepeda"/>
    <x v="12"/>
    <s v="Rp850.000"/>
    <x v="0"/>
    <m/>
    <x v="2"/>
    <m/>
    <m/>
  </r>
  <r>
    <s v="Kost Hj Dahlia 34 Mampang Prapatan Jakarta Selatan"/>
    <x v="5"/>
    <s v="Mampang Prapatan"/>
    <n v="9"/>
    <s v="3 x 3 meter"/>
    <s v="Tidak termasuk listrik"/>
    <s v=""/>
    <s v="N/A"/>
    <s v="3 x 3 meter; Tidak termasuk listrik; Kasur; Lemari Baju; Bantal; Guling; Jendela; K. Mandi Dalam; Kloset Jongkok; Ember mandi; WiFi; Parkir Motor"/>
    <x v="99"/>
    <s v="Rp900.000"/>
    <x v="5"/>
    <d v="1899-12-30T04:00:00"/>
    <x v="0"/>
    <m/>
    <m/>
  </r>
  <r>
    <s v="Kost Hj Iyum Kemayoran Jakarta Pusat"/>
    <x v="9"/>
    <s v="Kemayoran"/>
    <n v="12"/>
    <s v="3 x 4 meter"/>
    <s v="Tidak termasuk listrik"/>
    <s v=""/>
    <s v="N/A"/>
    <s v="3 x 4 meter; Tidak termasuk listrik; Kasur; Lemari Baju; K. Mandi Dalam; Kloset Jongkok; Ember mandi; R. Jemur; Parkir Motor; Parkir Sepeda"/>
    <x v="223"/>
    <s v="Rp1.110.000"/>
    <x v="8"/>
    <d v="1899-12-30T04:09:00"/>
    <x v="0"/>
    <m/>
    <m/>
  </r>
  <r>
    <s v="Kost Hj Sartinih Tipe A Pinang Tangerang"/>
    <x v="6"/>
    <s v="Pinang"/>
    <n v="9"/>
    <s v="3 x 3 meter"/>
    <s v="Tidak termasuk listrik"/>
    <s v=""/>
    <s v="N/A"/>
    <s v="3 x 3 meter; Tidak termasuk listrik; Ventilasi; K. Mandi Dalam; Kloset Jongkok"/>
    <x v="10"/>
    <s v="Rp750.000"/>
    <x v="12"/>
    <d v="1899-12-30T04:04:00"/>
    <x v="0"/>
    <m/>
    <m/>
  </r>
  <r>
    <s v="Kost Hoki 39 Tipe A Cikarang Selatan Bekasi"/>
    <x v="7"/>
    <s v="Cikarang Selatan"/>
    <n v="12"/>
    <s v="3 x 4 meter"/>
    <s v="Tidak termasuk listrik"/>
    <s v=""/>
    <s v="N/A"/>
    <s v="3 x 4 meter; Tidak termasuk listrik; AC; Kasur; Meja; TV; Lemari Baju; Ventilasi; Bantal; Cermin; Cleaning service; Guling; K. Mandi Dalam; Kloset Duduk; Wastafel; Shower; Air panas; WiFi; Kulkas; Penjaga Kos; R. Tamu; R. Jemur; R. Makan; R. Santai; Dapur; Dispenser; Balcon; Parkir Mobil; Parkir Motor; Parkir Sepeda"/>
    <x v="25"/>
    <s v="Rp1.850.000"/>
    <x v="0"/>
    <m/>
    <x v="0"/>
    <m/>
    <m/>
  </r>
  <r>
    <s v="Kost Hoki Tipe A Cikarang Selatan Bekasi"/>
    <x v="7"/>
    <s v="Cikarang Selatan"/>
    <n v="12"/>
    <s v="3 x 4 meter"/>
    <s v="Tidak termasuk listrik"/>
    <s v=""/>
    <s v="N/A"/>
    <s v="3 x 4 meter; Tidak termasuk listrik; AC; Kasur; Meja; TV; Lemari Baju; Ventilasi; Kursi; Wastafel; Cleaning service; Bantal; K. Mandi Dalam; Kloset Duduk; Shower; Air panas; WiFi; R. Cuci; Kulkas; Mesin Cuci; Penjaga Kos; R. Makan; R. Jemur; R. Santai; Dapur; Parkir Mobil; Parkir Motor"/>
    <x v="89"/>
    <s v="Rp1.900.000"/>
    <x v="0"/>
    <m/>
    <x v="0"/>
    <m/>
    <m/>
  </r>
  <r>
    <s v="Kost Hoki Tipe Executive Cikarang Selatan Bekasi"/>
    <x v="7"/>
    <s v="Cikarang Selatan"/>
    <n v="20"/>
    <s v="4 x 5 meter"/>
    <s v="Tidak termasuk listrik"/>
    <s v=""/>
    <s v="N/A"/>
    <s v="4 x 5 meter; Tidak termasuk listrik; AC; Kasur; Meja; TV; Lemari Baju; Kulkas; Ventilasi; Bantal; Cermin; Cleaning service; K. Mandi Dalam; Kloset Duduk; Wastafel; Shower; Air panas; Parkir Mobil; Parkir Motor"/>
    <x v="27"/>
    <s v="Rp2.000.000"/>
    <x v="8"/>
    <d v="1899-12-30T04:09:00"/>
    <x v="0"/>
    <m/>
    <m/>
  </r>
  <r>
    <s v="Kost Holi Residence Tipe A Tanjung Priok Jakarta Utara"/>
    <x v="4"/>
    <s v="Tanjung Priok"/>
    <n v="6"/>
    <s v="3 x 2 meter"/>
    <s v="Tidak termasuk listrik"/>
    <s v=""/>
    <s v="N/A"/>
    <s v="3 x 2 meter; Tidak termasuk listrik; AC; Kasur; Meja; TV; Lemari Baju; Bantal; Cermin; Kursi; Wastafel; K. Mandi Dalam; Kloset Duduk; K. Mandi Luar; Shower; Air panas; WiFi; Kulkas; R. Cuci; Mesin Cuci; Mushola; R. Jemur; Dapur; Dispenser; Balcon; CCTV; Parkir Motor"/>
    <x v="163"/>
    <s v="Rp1.700.000"/>
    <x v="3"/>
    <d v="1899-12-30T05:00:00"/>
    <x v="0"/>
    <m/>
    <m/>
  </r>
  <r>
    <s v="Kost Home 88 Tipe C Penjaringan Jakarta Utara"/>
    <x v="4"/>
    <s v="Penjaringan"/>
    <n v="11.2"/>
    <s v="2.8  x  4 meter"/>
    <s v="Tidak termasuk listrik"/>
    <s v=""/>
    <s v="N/A"/>
    <s v="2.8  x  4 meter; Tidak termasuk listrik; AC; Kasur; Meja; Lemari Baju; Kulkas; Bantal; Cermin; K. Mandi Dalam; Kloset Duduk; Shower; Air panas; WiFi; Penjaga Kos; Mushola; R. Makan; Dapur; Dispenser; TV; Kartu Akses; CCTV; Parkir Mobil; Parkir Motor; Parkir Sepeda"/>
    <x v="33"/>
    <s v="Rp2.400.000"/>
    <x v="10"/>
    <d v="1899-12-30T04:05:00"/>
    <x v="2"/>
    <m/>
    <s v="Diskon 116rb"/>
  </r>
  <r>
    <s v="Kost Home Exclusive Jagakarsa Jakarta Selatan"/>
    <x v="5"/>
    <s v="Kecamatan Jagakarsa"/>
    <n v="7.5"/>
    <s v="3 x 2.5 meter"/>
    <s v="Tidak termasuk listrik"/>
    <s v=""/>
    <s v="N/A"/>
    <s v="3 x 2.5 meter; Tidak termasuk listrik; AC; Kasur; Meja; Meja Rias; Lemari Baju; Ventilasi; Bantal; Cermin; Cleaning service; Jendela; K. Mandi Dalam; Kloset Duduk; Wastafel; Shower; Air panas; WiFi; Kulkas; Laundry; Penjaga Kos; R. Tamu; R. Makan; R. Jemur; R. Santai; Dapur; CCTV; Parkir Motor &amp; Sepeda"/>
    <x v="23"/>
    <s v="Rp1.200.000"/>
    <x v="0"/>
    <m/>
    <x v="2"/>
    <m/>
    <m/>
  </r>
  <r>
    <s v="Kost Home Living Tipe 1B Kelapa Gading Jakarta Utara"/>
    <x v="4"/>
    <s v="Kecamatan Kelapa Gading"/>
    <n v="9"/>
    <s v="3 x 3 meter"/>
    <s v="Tidak termasuk listrik"/>
    <s v=""/>
    <s v="N/A"/>
    <s v="3 x 3 meter; Tidak termasuk listrik; AC; Kasur; Meja; TV; Lemari Baju; Ventilasi; Bantal; Cermin; Cleaning service; Guling; K. Mandi Dalam; Kloset Duduk; Wastafel; Shower; Air panas; WiFi; Kulkas; Laundry; Penjaga Kos; R. Tamu; R. Jemur; R. Makan; R. Santai; Dispenser; Dapur; Parkir Mobil; Parkir Motor &amp; Sepeda"/>
    <x v="176"/>
    <s v="Rp2.300.000"/>
    <x v="0"/>
    <m/>
    <x v="2"/>
    <m/>
    <m/>
  </r>
  <r>
    <s v="Kost Home Living Tipe 2D Kelapa Gading Jakarta Utara"/>
    <x v="4"/>
    <s v="Kecamatan Kelapa Gading"/>
    <n v="9"/>
    <s v="3 x 3 meter"/>
    <s v="Tidak termasuk listrik"/>
    <s v=""/>
    <s v="N/A"/>
    <s v="3 x 3 meter; Tidak termasuk listrik; AC; Kasur; Meja; TV; Lemari Baju; Ventilasi; Bantal; Cermin; Cleaning service; Guling; K. Mandi Dalam; Kloset Duduk; Wastafel; Shower; Air panas; WiFi; Kulkas; Laundry; Penjaga Kos; R. Tamu; R. Jemur; R. Makan; R. Santai; Dispenser; Dapur; Parkir Mobil; Parkir Motor &amp; Sepeda"/>
    <x v="4"/>
    <s v="Rp2.200.000"/>
    <x v="0"/>
    <m/>
    <x v="2"/>
    <m/>
    <m/>
  </r>
  <r>
    <s v="Kost Home Living Tipe 2F Kelapa Gading Jakarta Utara"/>
    <x v="4"/>
    <s v="Kecamatan Kelapa Gading"/>
    <n v="9"/>
    <s v="3 x 3 meter"/>
    <s v="Tidak termasuk listrik"/>
    <s v=""/>
    <s v="N/A"/>
    <s v="3 x 3 meter; Tidak termasuk listrik; AC; Kasur; Meja; TV; Lemari Baju; Ventilasi; Bantal; Cermin; Cleaning service; Guling; K. Mandi Dalam; Kloset Duduk; Wastafel; Shower; Air panas; WiFi; Kulkas; Laundry; Penjaga Kos; R. Tamu; R. Jemur; R. Makan; R. Santai; Dispenser; Dapur; Parkir Mobil; Parkir Motor &amp; Sepeda"/>
    <x v="186"/>
    <s v="Rp3.000.000"/>
    <x v="3"/>
    <d v="1899-12-30T05:00:00"/>
    <x v="2"/>
    <m/>
    <m/>
  </r>
  <r>
    <s v="Kost Homestay 8 Greenlake Cipondoh Tangerang"/>
    <x v="6"/>
    <s v="Cipondoh"/>
    <n v="9"/>
    <s v="3 x 3 meter"/>
    <s v="Tidak termasuk listrik"/>
    <s v=""/>
    <s v="N/A"/>
    <s v="3 x 3 meter; Tidak termasuk listrik; AC; Kasur; Meja; Lemari Baju; Bantal; K. Mandi Dalam; Kloset Duduk; Wastafel; Shower; WiFi; Kulkas; Penjaga Kos; Dapur; CCTV; Kartu Akses; Parkir Mobil; Parkir Motor"/>
    <x v="19"/>
    <s v="Rp1.800.000"/>
    <x v="3"/>
    <d v="1899-12-30T05:00:00"/>
    <x v="0"/>
    <m/>
    <s v="Diskon 90rb"/>
  </r>
  <r>
    <s v="Kost Homestay Puspaloka 1 Tipe A Cimanggis Depok"/>
    <x v="1"/>
    <s v="Cimanggis"/>
    <n v="9"/>
    <s v="3 x 3 meter"/>
    <s v="Termasuk listrik (implied)"/>
    <s v=""/>
    <s v="N/A"/>
    <s v="3 x 3 meter; Termasuk listrik; Kasur; Meja; Lemari Baju; Ventilasi; Kursi; Bantal; Cermin; Jendela; Kloset Duduk; K. Mandi Luar; Ember mandi; Shower; R. Cuci; Kulkas; R. Tamu; Mesin Cuci; R. Makan; R. Jemur; R. Santai; Dapur; Dispenser; TV; Parkir Mobil; Parkir Motor; Parkir Sepeda"/>
    <x v="3"/>
    <s v="Rp1.500.000"/>
    <x v="0"/>
    <m/>
    <x v="0"/>
    <m/>
    <m/>
  </r>
  <r>
    <s v="Kost Homey House Tipe B Beji Depok"/>
    <x v="1"/>
    <s v="Beji"/>
    <n v="12"/>
    <s v="3 x 4 meter"/>
    <s v="Tidak termasuk listrik"/>
    <s v=""/>
    <s v="N/A"/>
    <s v="3 x 4 meter; Tidak termasuk listrik; AC; Kasur; Meja; Lemari Baju; Kursi; Bantal; Cermin; Guling; Jendela; K. Mandi Dalam; Kloset Duduk; Shower; WiFi; R. Cuci; Kulkas; R. Tamu; Penjaga Kos; R. Jemur; Mushola; R. Santai; Dapur; Dispenser; Parkir Motor; Parkir Sepeda"/>
    <x v="19"/>
    <s v="Rp1.800.000"/>
    <x v="2"/>
    <d v="1899-12-30T04:08:00"/>
    <x v="2"/>
    <m/>
    <s v="Diskon 160rb"/>
  </r>
  <r>
    <s v="Kost Homie Co Living Tanjung Priok Jakarta Utara"/>
    <x v="4"/>
    <s v="Kecamatan Tanjung Priok"/>
    <n v="10"/>
    <s v="4 x 2.5 meter"/>
    <s v="Tidak termasuk listrik"/>
    <s v=""/>
    <s v="N/A"/>
    <s v="4 x 2.5 meter; Tidak termasuk listrik; AC; Kasur; Meja; Lemari Baju; Bantal; Cermin; Jendela; K. Mandi Dalam; Kloset Duduk; Wastafel; Shower; Air panas; Kulkas; R. Jemur; Dapur; Balcon; CCTV; Jemuran; Kartu Akses; Pengurus Kos; Rooftop; Parkir Mobil; Parkir Motor; Parkir Sepeda; Parkir Motor &amp; Sepeda"/>
    <x v="4"/>
    <s v="Rp2.200.000"/>
    <x v="8"/>
    <d v="1899-12-30T04:09:00"/>
    <x v="0"/>
    <m/>
    <s v="Diskon 200rb"/>
  </r>
  <r>
    <s v="Kost Homiku Pondok Cabe Tipe A Pamulang Tangerang Selatan"/>
    <x v="2"/>
    <s v="Pamulang"/>
    <n v="9"/>
    <s v="3 x 3 meter"/>
    <s v="Termasuk listrik (implied)"/>
    <s v=""/>
    <s v="N/A"/>
    <s v="3 x 3 meter; Termasuk listrik; Kasur; Meja; Lemari Baju; Ventilasi; Meja makan; Bantal; Jendela; K. Mandi Dalam; WiFi; Parkir Mobil"/>
    <x v="12"/>
    <s v="Rp850.000"/>
    <x v="0"/>
    <m/>
    <x v="1"/>
    <m/>
    <m/>
  </r>
  <r>
    <s v="Kost Hon Suriadi Tipe VVIP Grogol Petamburan Jakarta Barat"/>
    <x v="3"/>
    <s v="Grogol petamburan"/>
    <n v="12"/>
    <s v="3 x 4 meter"/>
    <s v="Tidak termasuk listrik"/>
    <s v=""/>
    <s v="N/A"/>
    <s v="3 x 4 meter; Tidak termasuk listrik; AC; Kasur; Lemari Baju; Ventilasi; Wastafel; K. Mandi Dalam; Kloset Duduk; Shower; WiFi; Penjaga Kos; R. Jemur; R. Santai; Balcon; CCTV; Jual Makanan; Pengurus Kos; Jemuran; Parkir Motor; Parkir Sepeda"/>
    <x v="89"/>
    <s v="Rp1.900.000"/>
    <x v="8"/>
    <d v="1899-12-30T04:09:00"/>
    <x v="0"/>
    <m/>
    <s v="Diskon 160rb"/>
  </r>
  <r>
    <s v="Kost Hon Suriadi Tipe VVIP Grogol Petamburan Jakarta Barat"/>
    <x v="3"/>
    <s v="Grogol petamburan"/>
    <n v="12"/>
    <s v="3 x 4 meter"/>
    <s v="Tidak termasuk listrik"/>
    <s v=""/>
    <s v="N/A"/>
    <s v="3 x 4 meter; Tidak termasuk listrik; AC; Kasur; Lemari Baju; Ventilasi; Wastafel; K. Mandi Dalam; Kloset Duduk; Shower; WiFi; Penjaga Kos; R. Jemur; R. Santai; Balcon; CCTV; Jual Makanan; Pengurus Kos; Jemuran; Parkir Motor; Parkir Sepeda"/>
    <x v="89"/>
    <s v="Rp1.900.000"/>
    <x v="2"/>
    <d v="1899-12-30T04:08:00"/>
    <x v="0"/>
    <m/>
    <s v="Diskon 152rb"/>
  </r>
  <r>
    <s v="Kost Hr Hani Residence Blue Cibinong Bogor"/>
    <x v="0"/>
    <s v="Kecamatan Cibinong"/>
    <n v="20"/>
    <s v="4 x 5 meter"/>
    <s v="Termasuk listrik (implied)"/>
    <s v=""/>
    <s v="N/A"/>
    <s v="4 x 5 meter; Termasuk listrik; AC; Kasur; Lemari Baju; Ventilasi; Bantal; Jendela; Kursi; Wastafel; Kloset Duduk; K. Mandi Luar; Ember mandi; WiFi; R. Cuci; R. Jemur; R. Santai; Dapur; Balcon; Jemuran; CCTV; Pengurus Kos; Parkir Mobil; Parkir Motor; Parkir Sepeda; Parkir Motor &amp; Sepeda"/>
    <x v="190"/>
    <s v="Rp1.050.000"/>
    <x v="0"/>
    <m/>
    <x v="2"/>
    <m/>
    <m/>
  </r>
  <r>
    <s v="Kost Hr Hani Residence Pink Room Cibinong Bogor"/>
    <x v="0"/>
    <s v="Kecamatan Cibinong"/>
    <n v="25"/>
    <s v="5 x 5 meter"/>
    <s v="Termasuk listrik (implied)"/>
    <s v=""/>
    <s v="N/A"/>
    <s v="5 x 5 meter; Termasuk listrik; AC; Kasur; Meja; Lemari Baju; Ventilasi; Bantal; Jendela; Kursi; Kloset Duduk; K. Mandi Luar; Ember mandi; Wastafel; Shower; WiFi; R. Tamu; R. Santai; Dapur; Balcon; Jemuran; CCTV; Pengurus Kos; Parkir Mobil; Parkir Motor; Parkir Sepeda; Parkir Motor &amp; Sepeda"/>
    <x v="23"/>
    <s v="Rp1.200.000"/>
    <x v="0"/>
    <m/>
    <x v="2"/>
    <m/>
    <m/>
  </r>
  <r>
    <s v="Kost Ibu Angel Kelapa Gading Jakarta Utara"/>
    <x v="4"/>
    <s v="Kecamatan Kelapa Gading"/>
    <n v="12"/>
    <s v="3 x 4 meter"/>
    <s v="Tidak termasuk listrik"/>
    <s v=""/>
    <s v="N/A"/>
    <s v="3 x 4 meter; Tidak termasuk listrik; AC; Meja; Lemari Baju; Ventilasi; Bantal; Cermin; K. Mandi Dalam; Kloset Duduk; Shower; WiFi; Mesin Cuci; Dapur; CCTV; Jemuran; Parkir Sepeda; Parkir Motor; Parkir Motor &amp; Sepeda"/>
    <x v="19"/>
    <s v="Rp1.800.000"/>
    <x v="0"/>
    <m/>
    <x v="0"/>
    <m/>
    <m/>
  </r>
  <r>
    <s v="Kost Ibu Arif Standar Penjaringan Jakarta Utara"/>
    <x v="4"/>
    <s v="Penjaringan"/>
    <n v="3.6"/>
    <s v="2 x 1.8 meter"/>
    <s v="Termasuk listrik (implied)"/>
    <s v=""/>
    <s v="N/A"/>
    <s v="2 x 1.8 meter; Termasuk listrik; Lemari Baju; Kipas Angin; Ember mandi"/>
    <x v="12"/>
    <s v="Rp850.000"/>
    <x v="3"/>
    <d v="1899-12-30T05:00:00"/>
    <x v="0"/>
    <m/>
    <m/>
  </r>
  <r>
    <s v="Kost Ibu Arif Standar Penjaringan Jakarta Utara"/>
    <x v="4"/>
    <s v="Penjaringan"/>
    <n v="3.6"/>
    <s v="2 x 1.8 meter"/>
    <s v="Termasuk listrik (implied)"/>
    <s v=""/>
    <s v="N/A"/>
    <s v="2 x 1.8 meter; Termasuk listrik; Lemari Baju; Kipas Angin; Ember mandi"/>
    <x v="12"/>
    <s v="Rp850.000"/>
    <x v="0"/>
    <m/>
    <x v="0"/>
    <m/>
    <m/>
  </r>
  <r>
    <s v="Kost Ibu Dewi Executive Gunung Sindur Bogor"/>
    <x v="0"/>
    <s v="Kecamatan Gunung Sindur"/>
    <n v="50"/>
    <s v="5 x 10 meter"/>
    <s v="Tidak termasuk listrik"/>
    <s v=""/>
    <s v="N/A"/>
    <s v="5 x 10 meter; Tidak termasuk listrik; Kasur; Lemari Baju; Ventilasi; Bantal; Dapur Pribadi; Jendela; Kursi; Wastafel; Kipas Angin; K. Mandi Dalam; Kloset Jongkok; Ember mandi; Shower; Bak mandi; WiFi; R. Cuci; R. Tamu; Penjaga Kos; R. Jemur; Mushola; Dapur; Taman; Balcon; Jual Makanan; Parkir Mobil; Parkir Motor; Parkir Sepeda"/>
    <x v="28"/>
    <s v="Rp1.000.000"/>
    <x v="3"/>
    <d v="1899-12-30T05:00:00"/>
    <x v="2"/>
    <m/>
    <m/>
  </r>
  <r>
    <s v="Kost Ibu Dewi Tipe VIP Gunung Sindur Bogor"/>
    <x v="0"/>
    <s v="Gunung Sindur"/>
    <n v="9"/>
    <s v="3 x 3 meter"/>
    <s v="Termasuk listrik (implied)"/>
    <s v=""/>
    <s v="N/A"/>
    <s v="3 x 3 meter; Termasuk listrik; Kasur; Meja; TV; Lemari Baju; Ventilasi; Kursi; Bantal; Jendela; Kipas Angin; Kloset Jongkok; K. Mandi Luar; Ember mandi; Shower; WiFi; R. Tamu; Laundry; R. Jemur; Mushola; R. Santai; Taman; Balcon; Pengurus Kos; Parkir Motor"/>
    <x v="31"/>
    <s v="Rp600.000"/>
    <x v="0"/>
    <m/>
    <x v="1"/>
    <m/>
    <m/>
  </r>
  <r>
    <s v="Kost Ibu Dewi Tipe VVIP Gunung Sindur Bogor"/>
    <x v="0"/>
    <s v="Kecamatan Gunung Sindur"/>
    <n v="50"/>
    <s v="5 x 10 meter"/>
    <s v="Tidak termasuk listrik"/>
    <s v=""/>
    <s v="N/A"/>
    <s v="5 x 10 meter; Tidak termasuk listrik; Kasur; TV; Lemari Baju; Ventilasi; Bantal; Dapur Pribadi; Jendela; Kipas Angin; Kursi; Wastafel; K. Mandi Dalam; Kloset Jongkok; Ember mandi; Bak mandi; R. Cuci; R. Tamu; Laundry; R. Jemur; Mushola; Dapur; Taman; Balcon; Jual Makanan; Pengurus Kos; Parkir Motor; Parkir Sepeda"/>
    <x v="14"/>
    <s v="Rp800.000"/>
    <x v="0"/>
    <m/>
    <x v="2"/>
    <m/>
    <m/>
  </r>
  <r>
    <s v="Kost Ibu Dewi VIP Gunung Sindur Bogor"/>
    <x v="0"/>
    <s v="Gunung Sindur"/>
    <n v="12"/>
    <s v="3 x 4 meter"/>
    <s v="Termasuk listrik (implied)"/>
    <s v=""/>
    <s v="N/A"/>
    <s v="3 x 4 meter; Termasuk listrik; Kasur; TV; Ventilasi; Wastafel; Bantal; Jendela; K. Mandi Dalam; Kloset Jongkok; Ember mandi; Shower; WiFi; R. Tamu; Laundry; R. Jemur; Mushola; Taman; Balcon; K. Mandi Luar; Pengurus Kos; Jemuran; Parkir Motor"/>
    <x v="2"/>
    <s v="Rp700.000"/>
    <x v="3"/>
    <d v="1899-12-30T05:00:00"/>
    <x v="1"/>
    <m/>
    <m/>
  </r>
  <r>
    <s v="Kost Ibu Dwi Tipe A Cibinong Bogor"/>
    <x v="0"/>
    <s v="Kecamatan Cibinong"/>
    <n v="21"/>
    <s v="6 x 3.5 meter"/>
    <s v="Tidak termasuk listrik"/>
    <s v=""/>
    <s v="N/A"/>
    <s v="6 x 3.5 meter; Tidak termasuk listrik; AC; Kasur; Meja; TV; Lemari Baju; Cermin; Jendela; Kursi; Bantal; Guling; K. Mandi Dalam; Kloset Duduk; Ember mandi; Shower; WiFi; Kulkas; R. Tamu; R. Jemur; Dapur; Jemuran; Pengurus Kos; CCTV; Parkir Mobil; Parkir Motor; Parkir Sepeda"/>
    <x v="89"/>
    <s v="Rp1.900.000"/>
    <x v="0"/>
    <m/>
    <x v="0"/>
    <m/>
    <m/>
  </r>
  <r>
    <s v="Kost Ibu Dyah Gunung Putri Bogor"/>
    <x v="0"/>
    <s v="Gunung Putri"/>
    <n v="25"/>
    <s v="5 x 5 meter"/>
    <s v="Tidak termasuk listrik"/>
    <s v=""/>
    <s v="N/A"/>
    <s v="5 x 5 meter; Tidak termasuk listrik; AC; Kasur; Meja; Lemari Baju; Bantal; Cermin; Dapur Pribadi; Guling; Jendela; Kursi; K. Mandi Dalam; Kloset Duduk; Wastafel; Shower; Air panas; WiFi; Penjaga Kos; Dapur; Balcon; CCTV; Jemuran; Parkir Mobil; Parkir Motor"/>
    <x v="27"/>
    <s v="Rp2.000.000"/>
    <x v="0"/>
    <m/>
    <x v="0"/>
    <m/>
    <m/>
  </r>
  <r>
    <s v="Kost Ibu Dyah Tipe A Gunung Putri Bogor"/>
    <x v="0"/>
    <s v="Kecamatan Gunung Putri"/>
    <n v="18"/>
    <s v="3 x 6 meter"/>
    <s v="Tidak termasuk listrik"/>
    <s v=""/>
    <s v="N/A"/>
    <s v="3 x 6 meter; Tidak termasuk listrik; AC; Kasur; Meja; Lemari Baju; Bantal; Dapur Pribadi; Guling; Jendela; Kursi; K. Mandi Dalam; Kloset Jongkok; Ember mandi; WiFi; Penjaga Kos; R. Jemur; Dapur; CCTV; Parkir Mobil; Parkir Motor"/>
    <x v="23"/>
    <s v="Rp1.200.000"/>
    <x v="0"/>
    <m/>
    <x v="1"/>
    <m/>
    <m/>
  </r>
  <r>
    <s v="Kost Ibu Etty Karawaci Tangerang"/>
    <x v="6"/>
    <s v="Kecamatan Karawaci"/>
    <n v="12"/>
    <s v="3 x 4 meter"/>
    <s v="Termasuk listrik (implied)"/>
    <s v=""/>
    <s v="N/A"/>
    <s v="3 x 4 meter; Termasuk listrik; Kasur; Dispenser; Lemari Baju; Bantal; Cermin; Jendela; Kipas Angin; Kursi; Kloset Duduk; K. Mandi Luar; Ember mandi; Shower; R. Cuci; R. Tamu; R. Jemur; R. Santai; Jemuran; TV; Parkir Motor"/>
    <x v="2"/>
    <s v="Rp700.000"/>
    <x v="3"/>
    <d v="1899-12-30T05:00:00"/>
    <x v="2"/>
    <m/>
    <m/>
  </r>
  <r>
    <s v="Kost Ibu Eva Cikarang Timur Bekasi"/>
    <x v="7"/>
    <s v="Cikarang Timur"/>
    <n v="12"/>
    <s v="4 x 3 meter"/>
    <s v="Tidak termasuk listrik"/>
    <s v=""/>
    <s v="N/A"/>
    <s v="4 x 3 meter; Tidak termasuk listrik; AC; Kasur; Meja; Lemari Baju; Kursi; Bantal; Guling; Jendela; K. Mandi Dalam; Kloset Duduk; Shower; WiFi; Kulkas; R. Cuci; Penjaga Kos; R. Jemur; Dapur; Taman; Joglo; Pengurus Kos; Parkir Mobil; Parkir Motor"/>
    <x v="3"/>
    <s v="Rp1.500.000"/>
    <x v="0"/>
    <m/>
    <x v="2"/>
    <m/>
    <m/>
  </r>
  <r>
    <s v="Kost Ibu Farida Jatinegara Jakarta Timur"/>
    <x v="8"/>
    <s v="Jatinegara"/>
    <n v="9"/>
    <s v="3 x 3 meter"/>
    <s v="Tidak termasuk listrik"/>
    <s v=""/>
    <s v="N/A"/>
    <s v="3 x 3 meter; Tidak termasuk listrik; AC; Kasur; Meja; Dispenser; Kursi; Bantal; Jendela; K. Mandi Dalam; Kloset Duduk; Ember mandi; WiFi; R. Jemur; Jemuran; Parkir Mobil; Parkir Motor; Parkir Sepeda"/>
    <x v="99"/>
    <s v="Rp900.000"/>
    <x v="0"/>
    <m/>
    <x v="2"/>
    <m/>
    <m/>
  </r>
  <r>
    <s v="Kost Ibu Heru Tipe A Pinang Tangerang"/>
    <x v="6"/>
    <s v="Pinang"/>
    <n v="20"/>
    <s v="4 x 5 meter"/>
    <s v="Tidak termasuk listrik"/>
    <s v=""/>
    <s v="N/A"/>
    <s v="4 x 5 meter; Tidak termasuk listrik; Kasur; Meja; Lemari Baju; Ventilasi; Kipas Angin; Bantal; Guling; Jendela; K. Mandi Dalam; Kloset Duduk; Ember mandi; Kulkas; R. Jemur; R. Santai; Dapur; Balcon; Pengurus Kos; Jemuran; Parkir Motor"/>
    <x v="43"/>
    <s v="Rp925.000"/>
    <x v="3"/>
    <d v="1899-12-30T05:00:00"/>
    <x v="2"/>
    <m/>
    <m/>
  </r>
  <r>
    <s v="Kost Ibu Hj Yanti Cibinong Bogor"/>
    <x v="0"/>
    <s v="Cibinong"/>
    <n v="12"/>
    <s v="3 x 4 meter"/>
    <s v="Tidak termasuk listrik"/>
    <s v=""/>
    <s v="N/A"/>
    <s v="3 x 4 meter; Tidak termasuk listrik; Ventilasi; Dapur Pribadi; K. Mandi Dalam; Kloset Jongkok; Penjaga Kos; R. Tamu; R. Makan; R. Santai; Dapur; Jemuran; R. Keluarga; Parkir Mobil; Parkir Motor"/>
    <x v="10"/>
    <s v="Rp750.000"/>
    <x v="0"/>
    <m/>
    <x v="0"/>
    <m/>
    <m/>
  </r>
  <r>
    <s v="Kost Ibu Iis Gunung Putri Bogor"/>
    <x v="0"/>
    <s v="Kecamatan Gunung Putri"/>
    <n v="9"/>
    <s v="3 x 3 meter"/>
    <s v="Tidak termasuk listrik"/>
    <s v=""/>
    <s v="N/A"/>
    <s v="3 x 3 meter; Tidak termasuk listrik; Ventilasi; Wastafel; K. Mandi Dalam; Kloset Jongkok; Taman; Jemuran"/>
    <x v="29"/>
    <s v="Rp500.000"/>
    <x v="0"/>
    <m/>
    <x v="0"/>
    <m/>
    <m/>
  </r>
  <r>
    <s v="Kost Ibu Iqbal Tipe Standard Tapos Depok"/>
    <x v="1"/>
    <s v="Kecamatan Tapos"/>
    <n v="12"/>
    <s v="3 x 4 meter"/>
    <s v="Tidak termasuk listrik"/>
    <s v=""/>
    <s v="N/A"/>
    <s v="3 x 4 meter; Tidak termasuk listrik; AC; Kasur; Meja; Lemari Baju; Kipas Angin; Bantal; Cermin; Jendela; K. Mandi Dalam; Kloset Jongkok; K. Mandi Luar; Ember mandi; WiFi; Laundry; R. Jemur; R. Makan; R. Santai; Dapur; CCTV; Pengurus Kos; Parkir Motor; Parkir Sepeda; Parkir Motor &amp; Sepeda"/>
    <x v="18"/>
    <s v="Rp1.300.000"/>
    <x v="2"/>
    <d v="1899-12-30T04:08:00"/>
    <x v="0"/>
    <m/>
    <s v="Diskon 130rb"/>
  </r>
  <r>
    <s v="Kost Ibu Kirana Cikarang Utara Bekasi"/>
    <x v="7"/>
    <s v="Cikarang Utara"/>
    <n v="12"/>
    <s v="3 x 4 meter"/>
    <s v="Termasuk listrik (implied)"/>
    <s v=""/>
    <s v="N/A"/>
    <s v="3 x 4 meter; Termasuk listrik; Kasur; Lemari Baju; Ventilasi; Bantal; Cermin; Jendela; K. Mandi Dalam; Kloset Jongkok; Ember mandi; Shower; WiFi; Kulkas; R. Jemur; Dapur; Jemuran; Parkir Motor; Parkir Sepeda"/>
    <x v="0"/>
    <s v="Rp950.000"/>
    <x v="3"/>
    <d v="1899-12-30T05:00:00"/>
    <x v="2"/>
    <m/>
    <m/>
  </r>
  <r>
    <s v="Kost Ibu Komih Cikarang Barat Bekasi"/>
    <x v="7"/>
    <s v="Kecamatan Cikarang Barat"/>
    <n v="9"/>
    <s v="3 x 3 meter"/>
    <s v="Tidak termasuk listrik"/>
    <s v=""/>
    <s v="N/A"/>
    <s v="3 x 3 meter; Tidak termasuk listrik; Ventilasi; Jendela; K. Mandi Dalam; Kloset Jongkok; Ember mandi; R. Tamu; Jemuran"/>
    <x v="2"/>
    <s v="Rp700.000"/>
    <x v="3"/>
    <d v="1899-12-30T05:00:00"/>
    <x v="0"/>
    <m/>
    <m/>
  </r>
  <r>
    <s v="Kost Ibu Lenny Tipe C Ciputat Timur Tangerang Selatan"/>
    <x v="2"/>
    <s v="Kecamatan Ciputat Timur"/>
    <n v="12"/>
    <s v="3 x 4 meter"/>
    <s v="Termasuk listrik (implied)"/>
    <s v=""/>
    <s v="N/A"/>
    <s v="3 x 4 meter; Termasuk listrik; AC; Kasur; Meja; Lemari Baju; Bantal; Cermin; Jendela; Kursi; K. Mandi Dalam; Kloset Duduk; Ember mandi; Shower; R. Makan; Dapur; Jemuran; Parkir Motor; Parkir Sepeda"/>
    <x v="224"/>
    <s v="Rp1.599.958"/>
    <x v="0"/>
    <m/>
    <x v="1"/>
    <m/>
    <m/>
  </r>
  <r>
    <s v="Kost Ibu Melin Bekasi Utara Bekasi"/>
    <x v="7"/>
    <s v="Bekasi Utara"/>
    <n v="30"/>
    <s v="3 x 10 meter"/>
    <s v="Tidak termasuk listrik"/>
    <s v=""/>
    <s v="N/A"/>
    <s v="3 x 10 meter; Tidak termasuk listrik; AC; Kasur; Lemari Baju; Dapur Pribadi; Jendela; K. Mandi Dalam; Kloset Jongkok; Ember mandi; Wastafel; Dapur; CCTV; Jemuran; Parkir Motor"/>
    <x v="23"/>
    <s v="Rp1.200.000"/>
    <x v="0"/>
    <m/>
    <x v="0"/>
    <m/>
    <m/>
  </r>
  <r>
    <s v="Kost Ibu Merry Tipe 2 Cipondoh Tangerang"/>
    <x v="6"/>
    <s v="Kecamatan Cipondoh"/>
    <n v="9"/>
    <s v="3 x 3 meter"/>
    <s v="Tidak termasuk listrik"/>
    <s v=""/>
    <s v="N/A"/>
    <s v="3 x 3 meter; Tidak termasuk listrik; AC; Kasur; Meja Rias; Lemari Baju; Ventilasi; Bantal; Guling; Jendela; Kursi; Cermin; K. Mandi Dalam; Kloset Duduk; Shower; WiFi; Kulkas; R. Cuci; Mesin Cuci; Penjaga Kos; R. Tamu; R. Jemur; R. Makan; R. Santai; Dapur; Parkir Mobil; Parkir Motor; Parkir Sepeda"/>
    <x v="3"/>
    <s v="Rp1.500.000"/>
    <x v="8"/>
    <d v="1899-12-30T04:09:00"/>
    <x v="2"/>
    <m/>
    <m/>
  </r>
  <r>
    <s v="Kost Ibu Nita Tipe E Tanjung Priok Jakarta Utara"/>
    <x v="4"/>
    <s v="Tanjung Priok"/>
    <n v="9"/>
    <s v="3 x 3 meter"/>
    <s v="Termasuk listrik (implied)"/>
    <s v=""/>
    <s v="N/A"/>
    <s v="3 x 3 meter; Termasuk listrik; Kasur; Lemari Baju; Ventilasi; Jendela; Kloset Jongkok; K. Mandi Luar; Ember mandi; R. Jemur; Jemuran; Parkir Motor; Parkir Sepeda"/>
    <x v="225"/>
    <s v="Rp670.000"/>
    <x v="4"/>
    <d v="1899-12-30T04:01:00"/>
    <x v="1"/>
    <m/>
    <m/>
  </r>
  <r>
    <s v="Kost Ibu Pangkat Tipe Standart Batuceper Tangerang"/>
    <x v="6"/>
    <s v="Kecamatan Batuceper"/>
    <n v="9"/>
    <s v="3 x 3 meter"/>
    <s v="Termasuk listrik (implied)"/>
    <s v=""/>
    <s v="N/A"/>
    <s v="3 x 3 meter; Termasuk listrik; Kasur; Meja; Lemari Baju; Ventilasi; Bantal; Jendela; Cermin; Kipas Angin; Kursi; Kloset Jongkok; K. Mandi Luar; Bak mandi; WiFi; R. Cuci; Kulkas; Mesin Cuci; R. Jemur; Jemuran; Taman; Parkir Motor; Parkir Sepeda"/>
    <x v="12"/>
    <s v="Rp850.000"/>
    <x v="0"/>
    <m/>
    <x v="0"/>
    <m/>
    <m/>
  </r>
  <r>
    <s v="Kost Ibu Pur Tipe A Kebon Jeruk Jakarta Barat"/>
    <x v="3"/>
    <s v="Kebon Jeruk"/>
    <n v="7.5"/>
    <s v="3 x 2.5 meter"/>
    <s v="Termasuk listrik (implied)"/>
    <s v=""/>
    <s v="N/A"/>
    <s v="3 x 2.5 meter; Termasuk listrik; Kasur; Dispenser; Meja; Lemari Baju; Ventilasi; Guling; Kipas Angin; Bantal; Jendela; K. Mandi Dalam; Kloset Jongkok; K. Mandi Luar; Ember mandi; Bak mandi; WiFi; R. Cuci; R. Tamu; Penjaga Kos; R. Jemur; R. Santai; Jemuran; Pengurus Kos; Parkir Motor"/>
    <x v="14"/>
    <s v="Rp800.000"/>
    <x v="0"/>
    <m/>
    <x v="2"/>
    <m/>
    <m/>
  </r>
  <r>
    <s v="Kost Ibu Sri Salon Ciledug Tangerang"/>
    <x v="6"/>
    <s v="Ciledug"/>
    <n v="9"/>
    <s v="3 x 3 meter"/>
    <s v="Termasuk listrik (implied)"/>
    <s v=""/>
    <s v="N/A"/>
    <s v="3 x 3 meter; Termasuk listrik; Kasur; Meja; Lemari Baju; Ventilasi; Kipas Angin; Guling; Bantal; Jendela; K. Mandi Dalam; Kloset Jongkok; Ember mandi; R. Jemur; Dapur; Parkir Motor; Parkir Sepeda"/>
    <x v="2"/>
    <s v="Rp700.000"/>
    <x v="0"/>
    <m/>
    <x v="0"/>
    <m/>
    <m/>
  </r>
  <r>
    <s v="Kost Ibu Sumiyati Tangerang"/>
    <x v="6"/>
    <s v="Tangerang"/>
    <n v="9"/>
    <s v="3 x 3 meter"/>
    <s v="Termasuk listrik (implied)"/>
    <s v=""/>
    <s v="N/A"/>
    <s v="3 x 3 meter; Termasuk listrik; Kasur; Lemari Baju; Kulkas; Kipas Angin; Jendela; Bantal; K. Mandi Dalam; Kloset Jongkok; Ember mandi; WiFi; Mesin Cuci; R. Jemur; Dapur; CCTV; Jemuran; Parkir Motor; Parkir Sepeda"/>
    <x v="99"/>
    <s v="Rp900.000"/>
    <x v="5"/>
    <d v="1899-12-30T04:00:00"/>
    <x v="2"/>
    <m/>
    <m/>
  </r>
  <r>
    <s v="Kost Ibu Tum Cibinong Bogor"/>
    <x v="0"/>
    <s v="Cibinong"/>
    <n v="12"/>
    <s v="3 x 4 meter"/>
    <s v="Tidak termasuk listrik"/>
    <s v=""/>
    <s v="N/A"/>
    <s v="3 x 4 meter; Tidak termasuk listrik; Ventilasi; Wastafel; K. Mandi Dalam; Kloset Jongkok; R. Cuci; R. Tamu; R. Makan; R. Jemur; R. Santai; Dapur; Pengurus Kos; Jemuran; Parkir Motor"/>
    <x v="2"/>
    <s v="Rp700.000"/>
    <x v="0"/>
    <m/>
    <x v="0"/>
    <m/>
    <m/>
  </r>
  <r>
    <s v="Kost Ibu Yadi I Cikarang Barat Bekasi"/>
    <x v="7"/>
    <s v="Cikarang Barat"/>
    <n v="12"/>
    <s v="3 x 4 meter"/>
    <s v="Tidak termasuk listrik"/>
    <s v=""/>
    <s v="N/A"/>
    <s v="3 x 4 meter; Tidak termasuk listrik; AC; Kasur; Meja; Lemari Baju; Bantal; Guling; Jendela; Kloset Duduk; K. Mandi Luar; Ember mandi; Wastafel; Shower; Bak mandi; WiFi; Kulkas; Penjaga Kos; R. Tamu; R. Santai; Dapur; CCTV; Pengurus Kos; R. Keluarga; Locker; Parkir Mobil; Parkir Motor; Parkir Sepeda"/>
    <x v="23"/>
    <s v="Rp1.200.000"/>
    <x v="0"/>
    <m/>
    <x v="2"/>
    <m/>
    <m/>
  </r>
  <r>
    <s v="Kost Ibu Yayat Tipe Standart Limo Depok"/>
    <x v="1"/>
    <s v="Kecamatan Limo"/>
    <n v="9"/>
    <s v="3 x 3 meter"/>
    <s v="Tidak termasuk listrik"/>
    <s v=""/>
    <s v="N/A"/>
    <s v="3 x 3 meter; Tidak termasuk listrik; Kasur; Lemari Baju; Bantal; Jendela; Kipas Angin; K. Mandi Dalam; Kloset Jongkok; Ember mandi; Dapur; Jemuran; Pengurus Kos; Parkir Motor &amp; Sepeda"/>
    <x v="17"/>
    <s v="Rp650.000"/>
    <x v="0"/>
    <m/>
    <x v="0"/>
    <m/>
    <m/>
  </r>
  <r>
    <s v="Kost Ibu Yuyun Tipe A Ciputat Tangerang Selatan"/>
    <x v="2"/>
    <s v="Ciputat"/>
    <n v="12"/>
    <s v="3 x 4 meter"/>
    <s v="Termasuk listrik (implied)"/>
    <s v=""/>
    <s v="N/A"/>
    <s v="3 x 4 meter; Termasuk listrik; Kasur; Lemari Baju; Ventilasi; Dapur Pribadi; Bantal; Cermin; Guling; Jendela; Kipas Angin; Kursi; K. Mandi Dalam; Kloset Jongkok; Ember mandi; Bak mandi; WiFi; Penjaga Kos; R. Jemur; Dapur; Balcon; Jemuran; Pengurus Kos; R. Keluarga; CCTV; Parkir Motor; Parkir Sepeda"/>
    <x v="28"/>
    <s v="Rp1.000.000"/>
    <x v="0"/>
    <m/>
    <x v="0"/>
    <m/>
    <m/>
  </r>
  <r>
    <s v="Kost IDEA House Cimanggis Depok"/>
    <x v="1"/>
    <s v="Cimanggis"/>
    <n v="12"/>
    <s v="3 x 4 meter"/>
    <s v="Tidak termasuk listrik"/>
    <s v=""/>
    <s v="N/A"/>
    <s v="3 x 4 meter; Tidak termasuk listrik; AC; Kasur; Lemari Baju; Ventilasi; Cermin; Bantal; Guling; Jendela; K. Mandi Dalam; Kloset Duduk; Shower; Kulkas; R. Cuci; Penjaga Kos; R. Jemur; R. Santai; Dapur; Jemuran; Pengurus Kos; TV; Taman; Parkir Mobil; Parkir Motor; Parkir Sepeda"/>
    <x v="13"/>
    <s v="Rp1.600.000"/>
    <x v="2"/>
    <d v="1899-12-30T04:08:00"/>
    <x v="0"/>
    <m/>
    <m/>
  </r>
  <r>
    <s v="Kost Idea Tipe A Beji Depok"/>
    <x v="1"/>
    <s v="Beji"/>
    <n v="9"/>
    <s v="3 x 3 meter"/>
    <s v="Tidak termasuk listrik"/>
    <s v=""/>
    <s v="N/A"/>
    <s v="3 x 3 meter; Tidak termasuk listrik; AC; Kasur; Meja; Lemari Baju; Kursi; Cleaning service; Cermin; Kloset Duduk; K. Mandi Luar; WiFi; Kulkas; R. Tamu; Penjaga Kos; R. Makan; R. Jemur; R. Santai; Dapur; Dispenser; TV; Parkir Motor"/>
    <x v="5"/>
    <s v="Rp1.350.000"/>
    <x v="2"/>
    <d v="1899-12-30T04:08:00"/>
    <x v="0"/>
    <m/>
    <s v="Diskon 151rb"/>
  </r>
  <r>
    <s v="Kost Idea Tipe Deluxe Beji Depok"/>
    <x v="1"/>
    <s v="Beji"/>
    <n v="12"/>
    <s v="3 x 4 meter"/>
    <s v="Tidak termasuk listrik"/>
    <s v=""/>
    <s v="N/A"/>
    <s v="3 x 4 meter; Tidak termasuk listrik; AC; Kasur; Meja; Lemari Baju; Kursi; Cleaning service; K. Mandi Dalam; Kloset Duduk; Air panas; WiFi; Kulkas; R. Tamu; Penjaga Kos; R. Makan; R. Jemur; R. Santai; Dapur; Dispenser; Parkir Motor"/>
    <x v="3"/>
    <s v="Rp1.500.000"/>
    <x v="2"/>
    <d v="1899-12-30T04:08:00"/>
    <x v="0"/>
    <m/>
    <s v="Diskon 151rb"/>
  </r>
  <r>
    <s v="Kost Idea VIP Beji Depok"/>
    <x v="1"/>
    <s v="Beji"/>
    <n v="13.5"/>
    <s v="3 x 4.5 meter"/>
    <s v="Tidak termasuk listrik"/>
    <s v=""/>
    <s v="N/A"/>
    <s v="3 x 4.5 meter; Tidak termasuk listrik; AC; Kasur; Meja; Lemari Baju; Ventilasi; Bantal; Cermin; Cleaning service; Jendela; Kipas Angin; K. Mandi Dalam; Kloset Duduk; Air panas; WiFi; Kulkas; R. Tamu; Penjaga Kos; R. Makan; R. Jemur; R. Santai; Dapur; Dispenser; CCTV; Parkir Motor"/>
    <x v="90"/>
    <s v="Rp1.650.000"/>
    <x v="8"/>
    <d v="1899-12-30T04:09:00"/>
    <x v="0"/>
    <m/>
    <s v="Diskon 90rb"/>
  </r>
  <r>
    <s v="Kost Ijiq House Citeureup Bogor"/>
    <x v="0"/>
    <s v="Kecamatan Citeureup"/>
    <n v="9"/>
    <s v="3 x 3 meter"/>
    <s v="Tidak termasuk listrik"/>
    <s v=""/>
    <s v="N/A"/>
    <s v="3 x 3 meter; Tidak termasuk listrik; Kasur; Lemari Baju; Ventilasi; Bantal; Cermin; Guling; Jendela; Kipas Angin; K. Mandi Dalam; Kloset Duduk; Ember mandi; Bak mandi; WiFi; Kulkas; R. Tamu; R. Santai; Dapur; Dispenser; Balcon; Jemuran; Jual Makanan; Parkir Motor; Parkir Sepeda"/>
    <x v="99"/>
    <s v="Rp900.000"/>
    <x v="0"/>
    <m/>
    <x v="2"/>
    <m/>
    <m/>
  </r>
  <r>
    <s v="Kost Ijo W2k Syariah Tipe B Pinang Tangerang"/>
    <x v="6"/>
    <s v="Pinang"/>
    <n v="24"/>
    <s v="8 x 3 meter"/>
    <s v="Tidak termasuk listrik"/>
    <s v=""/>
    <s v="N/A"/>
    <s v="8 x 3 meter; Tidak termasuk listrik; AC; Kasur; Meja; Lemari Baju; K. Mandi Dalam; Kloset Duduk; Shower; WiFi; Kulkas; R. Tamu; R. Makan; R. Jemur; R. Santai; Dapur; TV; Taman; R. Keluarga; Parkir Motor; Parkir Sepeda"/>
    <x v="23"/>
    <s v="Rp1.200.000"/>
    <x v="0"/>
    <m/>
    <x v="2"/>
    <m/>
    <m/>
  </r>
  <r>
    <s v="Kost In Home Kelapa Gading Jakarta Utara"/>
    <x v="4"/>
    <s v="Kelapa Gading"/>
    <n v="12"/>
    <s v="3 x 4 meter"/>
    <s v="Termasuk listrik (implied)"/>
    <s v=""/>
    <s v="N/A"/>
    <s v="3 x 4 meter; Termasuk listrik; AC; Kasur; Lemari Baju; Cleaning service; Bantal; Guling; Jendela; K. Mandi Dalam; Kloset Duduk; Kloset Jongkok; K. Mandi Luar; Wastafel; Shower; R. Tamu; Penjaga Kos; R. Makan; R. Jemur; Dapur; Balcon; Pengurus Kos; Parkir Mobil; Parkir Motor"/>
    <x v="165"/>
    <s v="Rp2.150.000"/>
    <x v="0"/>
    <m/>
    <x v="2"/>
    <m/>
    <s v="Diskon 184rb"/>
  </r>
  <r>
    <s v="Kost Indah M2 Type Deluxe Palmerah Jakarta Barat"/>
    <x v="3"/>
    <s v="Palmerah"/>
    <n v="10"/>
    <s v="4 x 2.5 meter"/>
    <s v="Tidak termasuk listrik"/>
    <s v=""/>
    <s v="N/A"/>
    <s v="4 x 2.5 meter; Tidak termasuk listrik; AC; Kasur; Dispenser; Meja; Kulkas; Lemari Baju; Ventilasi; Bantal; Cermin; Dapur Pribadi; K. Mandi Dalam; Kloset Duduk; K. Mandi Luar; Wastafel; Shower; Air panas; WiFi; R. Cuci; R. Tamu; Mesin Cuci; R. Jemur; R. Makan; R. Santai; Dapur; Parkir Motor"/>
    <x v="33"/>
    <s v="Rp2.400.000"/>
    <x v="7"/>
    <d v="1899-12-30T03:06:00"/>
    <x v="0"/>
    <m/>
    <s v="Diskon 100rb"/>
  </r>
  <r>
    <s v="Kost Industri Tipe A Sawah Besar Jakarta Pusat"/>
    <x v="9"/>
    <s v="Kecamatan Sawah Besar"/>
    <n v="12"/>
    <s v="3 x 4 meter"/>
    <s v="Tidak termasuk listrik"/>
    <s v=""/>
    <s v="N/A"/>
    <s v="3 x 4 meter; Tidak termasuk listrik; AC; Kasur; Lemari Baju; Bantal; Cermin; Guling; K. Mandi Dalam; Kloset Duduk; Wastafel; Shower; WiFi; Balcon; CCTV; Parkir Motor"/>
    <x v="13"/>
    <s v="Rp1.600.000"/>
    <x v="12"/>
    <d v="1899-12-30T04:04:00"/>
    <x v="0"/>
    <m/>
    <s v="Diskon 112rb"/>
  </r>
  <r>
    <s v="Kost Infinity Jababeka Tipe Standar Non AC Cikarang Utara Bekasi"/>
    <x v="7"/>
    <s v="Cikarang Utara"/>
    <n v="9"/>
    <s v="3 x 3 meter"/>
    <s v="Termasuk listrik (implied)"/>
    <s v=""/>
    <s v="N/A"/>
    <s v="3 x 3 meter; Termasuk listrik; Kasur; Lemari Baju; Ventilasi; Bantal; Jendela; Kloset Duduk; Ember mandi; Shower; Bak mandi; WiFi; Kulkas; R. Cuci; Penjaga Kos; R. Tamu; R. Jemur; R. Makan; R. Santai; Dapur; Balcon; Parkir Motor"/>
    <x v="2"/>
    <s v="Rp700.000"/>
    <x v="5"/>
    <d v="1899-12-30T04:00:00"/>
    <x v="0"/>
    <m/>
    <m/>
  </r>
  <r>
    <s v="Kost Infinity Residence Tipe Standart Cikarang Utara Bekasi"/>
    <x v="7"/>
    <s v="Cikarang Utara"/>
    <n v="9"/>
    <s v="3 x 3 meter"/>
    <s v="Tidak termasuk listrik"/>
    <s v=""/>
    <s v="N/A"/>
    <s v="3 x 3 meter; Tidak termasuk listrik; Kasur; Lemari Baju; Jendela; Kloset Jongkok; Shower; Bak mandi; WiFi; Kulkas; R. Tamu; R. Jemur; R. Santai; Dapur; CCTV; Gazebo; Jemuran; Pengurus Kos; Parkir Motor"/>
    <x v="226"/>
    <s v="Rp615.000"/>
    <x v="0"/>
    <m/>
    <x v="0"/>
    <m/>
    <m/>
  </r>
  <r>
    <s v="Kost Infinity Residence Tipe Standart Cikarang Utara Bekasi"/>
    <x v="7"/>
    <s v="Cikarang Utara"/>
    <n v="9"/>
    <s v="3 x 3 meter"/>
    <s v="Tidak termasuk listrik"/>
    <s v=""/>
    <s v="N/A"/>
    <s v="3 x 3 meter; Tidak termasuk listrik; Kasur; Lemari Baju; Jendela"/>
    <x v="226"/>
    <s v="Rp615.000"/>
    <x v="0"/>
    <m/>
    <x v="0"/>
    <m/>
    <m/>
  </r>
  <r>
    <s v="Kost Infinity Residence Tipe Standart Cikarang Utara Bekasi"/>
    <x v="7"/>
    <s v="Cikarang Utara"/>
    <n v="9"/>
    <s v="3 x 3 meter"/>
    <s v="Tidak termasuk listrik"/>
    <s v=""/>
    <s v="N/A"/>
    <s v="3 x 3 meter; Tidak termasuk listrik; Kloset Jongkok; Shower; Bak mandi; WiFi; Kulkas; R. Tamu; R. Jemur; R. Santai; Dapur; CCTV; Gazebo; Jemuran; Pengurus Kos"/>
    <x v="226"/>
    <s v="Rp615.000"/>
    <x v="0"/>
    <m/>
    <x v="0"/>
    <m/>
    <m/>
  </r>
  <r>
    <s v="Kost Inplus Kramatjati Jakarta Timur"/>
    <x v="8"/>
    <s v="Kecamatan Kramat jati"/>
    <n v="9"/>
    <s v="3 x 3 meter"/>
    <s v="Tidak termasuk listrik"/>
    <s v=""/>
    <s v="N/A"/>
    <s v="3 x 3 meter; Tidak termasuk listrik; AC; Kasur; Lemari Baju; Ventilasi; Bantal; Guling; K. Mandi Dalam; Kloset Duduk; Ember mandi; Shower; WiFi; R. Cuci; Kulkas; Penjaga Kos; R. Jemur; R. Santai; Balcon; CCTV; Jual Makanan; Pengurus Kos; Parkir Motor"/>
    <x v="23"/>
    <s v="Rp1.200.000"/>
    <x v="3"/>
    <d v="1899-12-30T05:00:00"/>
    <x v="0"/>
    <m/>
    <m/>
  </r>
  <r>
    <s v="Kost IPA Ciracas Jakarta Timur"/>
    <x v="8"/>
    <s v="Ciracas"/>
    <n v="9"/>
    <s v="3 x 3 meter"/>
    <s v="Tidak termasuk listrik"/>
    <s v=""/>
    <s v="N/A"/>
    <s v="3 x 3 meter; Tidak termasuk listrik; AC; Kasur; Lemari Baju; Ventilasi; Bantal; Cermin; Jendela; Kipas Angin; K. Mandi Dalam; Kloset Duduk; Ember mandi; Shower; WiFi; Kulkas; Penjaga Kos; R. Tamu; R. Jemur; Dapur; Dispenser; Balcon; CCTV; Jemuran; Parkir Mobil; Parkir Motor; Parkir Sepeda; Parkir Motor &amp; Sepeda"/>
    <x v="18"/>
    <s v="Rp1.300.000"/>
    <x v="0"/>
    <m/>
    <x v="2"/>
    <m/>
    <s v="Diskon 120rb"/>
  </r>
  <r>
    <s v="Kost Ismaya 86 Cinere Depok"/>
    <x v="1"/>
    <s v="Kecamatan Cinere"/>
    <n v="12"/>
    <s v="3 x 4 meter"/>
    <s v="Tidak termasuk listrik"/>
    <s v=""/>
    <s v="N/A"/>
    <s v="3 x 4 meter; Tidak termasuk listrik; AC; Kasur; Dispenser; Lemari Baju; Bantal; K. Mandi Dalam; Kloset Jongkok; Shower; WiFi; Penjaga Kos; CCTV; Pengurus Kos; Parkir Motor; Parkir Sepeda"/>
    <x v="18"/>
    <s v="Rp1.300.000"/>
    <x v="3"/>
    <d v="1899-12-30T05:00:00"/>
    <x v="0"/>
    <m/>
    <m/>
  </r>
  <r>
    <s v="Kost IX Taman Sari Jakarta Pusat"/>
    <x v="9"/>
    <s v="Taman Sari"/>
    <n v="9"/>
    <s v="3 x 3 meter"/>
    <s v="Tidak termasuk listrik"/>
    <s v=""/>
    <s v="N/A"/>
    <s v="3 x 3 meter; Tidak termasuk listrik; Kasur; Kloset Jongkok; K. Mandi Luar; Ember mandi"/>
    <x v="14"/>
    <s v="Rp800.000"/>
    <x v="3"/>
    <d v="1899-12-30T05:00:00"/>
    <x v="1"/>
    <m/>
    <m/>
  </r>
  <r>
    <s v="Kost IX Taman Sari Jakarta Pusat"/>
    <x v="9"/>
    <s v="Taman Sari"/>
    <n v="9"/>
    <s v="3 x 3 meter"/>
    <s v="Tidak termasuk listrik"/>
    <s v=""/>
    <s v="N/A"/>
    <s v="3 x 3 meter; Tidak termasuk listrik; Kasur; Kloset Jongkok; K. Mandi Luar; Ember mandi"/>
    <x v="14"/>
    <s v="Rp800.000"/>
    <x v="15"/>
    <d v="1899-12-30T03:01:00"/>
    <x v="1"/>
    <m/>
    <m/>
  </r>
  <r>
    <s v="Kost J&amp;J Cikarang Timur Bekasi"/>
    <x v="7"/>
    <s v="Kecamatan Cikarang Timur"/>
    <n v="9"/>
    <s v="3 x 3 meter"/>
    <s v="Tidak termasuk listrik"/>
    <s v=""/>
    <s v="N/A"/>
    <s v="3 x 3 meter; Tidak termasuk listrik; Kasur; Lemari Baju; Ventilasi; Bantal; Cermin; Guling; Jendela; Kloset Jongkok; K. Mandi Luar; Ember mandi; Bak mandi; WiFi; Kulkas; R. Cuci; R. Jemur; Dapur; Jemuran; Parkir Motor; Parkir Sepeda"/>
    <x v="2"/>
    <s v="Rp700.000"/>
    <x v="0"/>
    <m/>
    <x v="2"/>
    <m/>
    <m/>
  </r>
  <r>
    <s v="Kost Jababeka Cikarang Utara Bekasi"/>
    <x v="7"/>
    <s v="Cikarang Utara"/>
    <n v="12"/>
    <s v="3 x 4 meter"/>
    <s v="Tidak termasuk listrik"/>
    <s v=""/>
    <s v="N/A"/>
    <s v="3 x 4 meter; Tidak termasuk listrik; AC; Kasur; Meja; Lemari Baju; Ventilasi; Bantal; Guling; Jendela; K. Mandi Dalam; Kloset Jongkok; WiFi; R. Cuci; Kulkas; R. Jemur; Dapur; Balcon; Pengurus Kos; Jemuran; Parkir Mobil; Parkir Motor; Parkir Sepeda"/>
    <x v="1"/>
    <s v="Rp1.100.000"/>
    <x v="3"/>
    <d v="1899-12-30T05:00:00"/>
    <x v="1"/>
    <m/>
    <m/>
  </r>
  <r>
    <s v="Kost Jabusimo Tanjung Priok Jakarta Utara"/>
    <x v="4"/>
    <s v="Tanjung Priok"/>
    <n v="12.25"/>
    <s v="3.5 x 3.5 meter"/>
    <s v="Tidak termasuk listrik"/>
    <s v=""/>
    <s v="N/A"/>
    <s v="3.5 x 3.5 meter; Tidak termasuk listrik; AC; Kasur; Meja; Meja Rias; Lemari Baju; Ventilasi; Kursi; Cleaning service; Bantal; Cermin; K. Mandi Dalam; Kloset Duduk; Shower; WiFi; R. Cuci; R. Tamu; R. Jemur; R. Santai; Dapur; R. Keluarga; Gazebo; Balcon; CCTV; Parkir Mobil; Parkir Motor; Parkir Sepeda"/>
    <x v="27"/>
    <s v="Rp2.000.000"/>
    <x v="0"/>
    <m/>
    <x v="0"/>
    <m/>
    <m/>
  </r>
  <r>
    <s v="Kost Jabutta Living Tanjung Priok Jakarta Utara"/>
    <x v="4"/>
    <s v="Kecamatan Tanjung Priok"/>
    <n v="18"/>
    <s v="4 x 4.5 meter"/>
    <s v="Tidak termasuk listrik"/>
    <s v=""/>
    <s v="N/A"/>
    <s v="4 x 4.5 meter; Tidak termasuk listrik; AC; Kasur; Dispenser; Meja; Meja Rias; TV; Kulkas; Lemari Baju; Bantal; Cermin; K. Mandi Dalam; Kloset Duduk; Wastafel; Shower; Air panas; WiFi; Penjaga Kos; R. Santai; CCTV; Gazebo; Pengurus Kos; Rooftop; Parkir Mobil; Parkir Motor"/>
    <x v="227"/>
    <s v="Rp3.300.000"/>
    <x v="0"/>
    <m/>
    <x v="0"/>
    <m/>
    <m/>
  </r>
  <r>
    <s v="Kost Jalan Alternatif IPB Tipe A Dramaga Bogor"/>
    <x v="0"/>
    <s v="Dramaga"/>
    <n v="12"/>
    <s v="3 x 4 meter"/>
    <s v="Tidak termasuk listrik"/>
    <s v=""/>
    <s v="N/A"/>
    <s v="3 x 4 meter; Tidak termasuk listrik; AC; Kasur; Meja; TV; Lemari Baju; Ventilasi; Kursi; TV Kabel; Bantal; Cermin; K. Mandi Dalam; Kloset Duduk; Shower; Air panas; WiFi; R. Tamu; Penjaga Kos; Mushola; Taman; Gazebo; Jual Makanan; Pengurus Kos; Parkir Mobil; Parkir Motor; Parkir Sepeda"/>
    <x v="228"/>
    <s v="Rp1.925.000"/>
    <x v="0"/>
    <m/>
    <x v="1"/>
    <m/>
    <m/>
  </r>
  <r>
    <s v="Kost Jalan Alternatif IPB Tipe B Dramaga Bogor"/>
    <x v="0"/>
    <s v="Dramaga"/>
    <n v="12"/>
    <s v="3 x 4 meter"/>
    <s v="Tidak termasuk listrik"/>
    <s v=""/>
    <s v="N/A"/>
    <s v="3 x 4 meter; Tidak termasuk listrik; AC; Kasur; Meja; TV; Lemari Baju; Kulkas; Ventilasi; Kursi; TV Kabel; Bantal; K. Mandi Dalam; Kloset Duduk; Shower; Air panas; WiFi; R. Tamu; Penjaga Kos; R. Jemur; Mushola; Dispenser; Taman; Gazebo; Jual Makanan; Pengurus Kos; Parkir Mobil; Parkir Motor; Parkir Sepeda"/>
    <x v="13"/>
    <s v="Rp1.600.000"/>
    <x v="0"/>
    <m/>
    <x v="2"/>
    <m/>
    <m/>
  </r>
  <r>
    <s v="Kost Jalan Merah Jambu Kelapa Gading Jakarta Utara"/>
    <x v="4"/>
    <s v="Kelapa Gading"/>
    <n v="12"/>
    <s v="3 x 4 meter"/>
    <s v="Tidak termasuk listrik"/>
    <s v=""/>
    <s v="N/A"/>
    <s v="3 x 4 meter; Tidak termasuk listrik; AC; Kasur; Lemari Baju; Bantal; Kloset Duduk; K. Mandi Luar; Wastafel; Shower; Air panas; WiFi; Kulkas; R. Tamu; Laundry; R. Makan; Balcon; Parkir Motor"/>
    <x v="11"/>
    <s v="Rp1.400.000"/>
    <x v="3"/>
    <d v="1899-12-30T05:00:00"/>
    <x v="0"/>
    <m/>
    <s v="Diskon 100rb"/>
  </r>
  <r>
    <s v="Kost Jambu Asri Ciputat Timur Tangerang Selatan"/>
    <x v="2"/>
    <s v="Ciputat Timur"/>
    <n v="27"/>
    <s v="9 x 3 meter"/>
    <s v="Tidak termasuk listrik"/>
    <s v=""/>
    <s v="N/A"/>
    <s v="9 x 3 meter; Tidak termasuk listrik; AC; Ventilasi; Dapur Pribadi; Jendela; K. Mandi Dalam; Kloset Duduk; Shower; R. Tamu; R. Jemur; Dapur; Locker; Taman; Balcon; Parkir Mobil; Parkir Motor"/>
    <x v="27"/>
    <s v="Rp2.000.000"/>
    <x v="6"/>
    <d v="1899-12-30T04:06:00"/>
    <x v="0"/>
    <m/>
    <m/>
  </r>
  <r>
    <s v="Kost Janur Kuning Silver Kelapa Gading Jakarta Utara"/>
    <x v="4"/>
    <s v="Kecamatan Kelapa Gading"/>
    <n v="9"/>
    <s v="3 x 3 meter"/>
    <s v="Tidak termasuk listrik"/>
    <s v=""/>
    <s v="N/A"/>
    <s v="3 x 3 meter; Tidak termasuk listrik; AC; Kasur; Meja; Lemari Baju; Bantal; Cermin; Guling; Kursi; Wastafel; Kloset Duduk; K. Mandi Luar; Shower; WiFi; Kulkas; R. Cuci; Laundry; Mesin Cuci; R. Tamu; Penjaga Kos; R. Jemur; R. Makan; R. Santai; Parkir Mobil; Parkir Motor"/>
    <x v="5"/>
    <s v="Rp1.350.000"/>
    <x v="3"/>
    <d v="1899-12-30T05:00:00"/>
    <x v="0"/>
    <m/>
    <m/>
  </r>
  <r>
    <s v="Kost Jati 77 Tangerang Tangerang"/>
    <x v="6"/>
    <s v="Tangerang"/>
    <n v="9"/>
    <s v="3 x 3 meter"/>
    <s v="Tidak termasuk listrik"/>
    <s v=""/>
    <s v="N/A"/>
    <s v="3 x 3 meter; Tidak termasuk listrik; AC; Kasur; Lemari Baju; Meja makan; Bantal; Guling; K. Mandi Dalam; Kloset Duduk; Shower; WiFi; R. Cuci; Kulkas; R. Tamu; R. Makan; R. Jemur; Dapur; Dispenser; Jemuran; CCTV; Parkir Mobil; Parkir Motor; Parkir Sepeda"/>
    <x v="163"/>
    <s v="Rp1.700.000"/>
    <x v="5"/>
    <d v="1899-12-30T04:00:00"/>
    <x v="0"/>
    <m/>
    <s v="Diskon 90rb"/>
  </r>
  <r>
    <s v="Kost Jayakarta Tipe A Senen Jakarta Pusat"/>
    <x v="9"/>
    <s v="Kecamatan Senen"/>
    <n v="12"/>
    <s v="3 x 4 meter"/>
    <s v="Tidak termasuk listrik"/>
    <s v=""/>
    <s v="N/A"/>
    <s v="3 x 4 meter; Tidak termasuk listrik; AC; Kasur; Dispenser; Meja; Kulkas; Lemari Baju; Ventilasi; Guling; Jendela; Kursi; K. Mandi Dalam; Kloset Duduk; Wastafel; Shower; Air panas; WiFi; R. Cuci; Mesin Cuci; Penjaga Kos; R. Jemur; R. Makan; Dapur; CCTV; Parkir Mobil; Parkir Motor"/>
    <x v="176"/>
    <s v="Rp2.300.000"/>
    <x v="6"/>
    <d v="1899-12-30T04:06:00"/>
    <x v="0"/>
    <m/>
    <m/>
  </r>
  <r>
    <s v="Kost Jefa House Tipe B Sukaraja Bogor"/>
    <x v="0"/>
    <s v="Kecamatan Sukaraja"/>
    <n v="12.25"/>
    <s v="3.5 x 3.5 meter"/>
    <s v="Termasuk listrik (implied)"/>
    <s v=""/>
    <s v="N/A"/>
    <s v="3.5 x 3.5 meter; Termasuk listrik; Kasur; Meja; Lemari Baju; Kursi; Cermin; Jendela; Bantal; K. Mandi Dalam; Kloset Jongkok; K. Mandi Luar; WiFi; Kulkas; R. Cuci; R. Jemur; Dapur; CCTV; Pengurus Kos; Jemuran; Parkir Motor"/>
    <x v="31"/>
    <s v="Rp600.000"/>
    <x v="0"/>
    <m/>
    <x v="2"/>
    <m/>
    <m/>
  </r>
  <r>
    <s v="Kost Jessie Tanjung Priok Jakarta Utara"/>
    <x v="4"/>
    <s v="Tanjung Priok"/>
    <n v="9"/>
    <s v="3 x 3 meter"/>
    <s v="Tidak termasuk listrik"/>
    <s v=""/>
    <s v="N/A"/>
    <s v="3 x 3 meter; Tidak termasuk listrik; Ventilasi; Jendela; K. Mandi Dalam; Kloset Jongkok; Shower; WiFi; R. Cuci; R. Jemur; Dapur; CCTV; Jemuran; Pengurus Kos; Parkir Motor; Parkir Sepeda"/>
    <x v="14"/>
    <s v="Rp800.000"/>
    <x v="0"/>
    <m/>
    <x v="2"/>
    <m/>
    <m/>
  </r>
  <r>
    <s v="Kost JGC Tipe B Cakung Jakarta Timur"/>
    <x v="8"/>
    <s v="Cakung"/>
    <n v="4"/>
    <s v="2 x 2 meter"/>
    <s v="Tidak termasuk listrik"/>
    <s v=""/>
    <s v="N/A"/>
    <s v="2 x 2 meter; Tidak termasuk listrik; AC; Kulkas; Ventilasi; Bantal; Guling; Jendela; Kloset Duduk; K. Mandi Luar; Ember mandi; Shower; R. Cuci; R. Tamu; R. Jemur; R. Makan; Dapur; CCTV; Jemuran; Taman; Parkir Mobil; Parkir Motor; Parkir Sepeda"/>
    <x v="20"/>
    <s v="Rp1.250.000"/>
    <x v="0"/>
    <m/>
    <x v="2"/>
    <m/>
    <m/>
  </r>
  <r>
    <s v="Kost JGC Tipe B Cakung Jakarta Timur"/>
    <x v="8"/>
    <s v="Cakung"/>
    <e v="#VALUE!"/>
    <s v="N/A"/>
    <s v="N/A"/>
    <s v=""/>
    <s v="N/A"/>
    <s v=""/>
    <x v="20"/>
    <s v="Rp1.250.000"/>
    <x v="0"/>
    <m/>
    <x v="2"/>
    <m/>
    <m/>
  </r>
  <r>
    <s v="Kost JJ Neo Solitaire VIP Grogol Petamburan Jakarta Barat"/>
    <x v="3"/>
    <s v="Kecamatan Grogol petamburan"/>
    <n v="14"/>
    <s v="3.5 x 4 meter"/>
    <s v="Tidak termasuk listrik"/>
    <s v=""/>
    <s v="N/A"/>
    <s v="3.5 x 4 meter; Tidak termasuk listrik; AC; Kasur; Meja; TV; Kulkas; Lemari Baju; Ventilasi; Bantal; Cermin; Cleaning service; K. Mandi Dalam; Kloset Duduk; Wastafel; Shower; Air panas; WiFi; Mesin Cuci; Penjaga Kos; R. Jemur; R. Makan; R. Santai; Dapur; CCTV; Jemuran; Balcon; Parkir Motor; Parkir Motor &amp; Sepeda"/>
    <x v="229"/>
    <s v="Rp2.370.000"/>
    <x v="3"/>
    <d v="1899-12-30T05:00:00"/>
    <x v="0"/>
    <m/>
    <m/>
  </r>
  <r>
    <s v="Kost JJ Soho Solitaire Soho VIP Grogol Petamburan Jakarta Barat"/>
    <x v="3"/>
    <s v="Grogol Petamburan"/>
    <n v="12"/>
    <s v="2 x 6 meter"/>
    <s v="Tidak termasuk listrik"/>
    <s v=""/>
    <s v="N/A"/>
    <s v="2 x 6 meter; Tidak termasuk listrik; AC; Kasur; Meja; TV; Lemari Baju; Ventilasi; Bantal; Cermin; Cleaning service; Jendela; K. Mandi Dalam; Kloset Duduk; Wastafel; Shower; Air panas; WiFi; R. Cuci; Mesin Cuci; Penjaga Kos; R. Jemur; R. Makan; R. Santai; Dapur; Balcon; CCTV; Parkir Motor"/>
    <x v="230"/>
    <s v="Rp2.380.000"/>
    <x v="11"/>
    <d v="1899-12-30T03:08:00"/>
    <x v="0"/>
    <m/>
    <m/>
  </r>
  <r>
    <s v="Kost Jj Tipe B Babakan Madang Bogor"/>
    <x v="0"/>
    <s v="Babakan Madang"/>
    <n v="12"/>
    <s v="3 x 4 meter"/>
    <s v="Termasuk listrik (implied)"/>
    <s v=""/>
    <s v="N/A"/>
    <s v="3 x 4 meter; Termasuk listrik; Kasur; Lemari Baju; Kulkas; Kipas Angin; Bantal; Cermin; Guling; Jendela; K. Mandi Luar; Ember mandi; Shower; WiFi; R. Tamu; Mesin Cuci; R. Jemur; R. Santai; Dapur; Dispenser; CCTV; Parkir Motor; Parkir Sepeda"/>
    <x v="12"/>
    <s v="Rp850.000"/>
    <x v="0"/>
    <m/>
    <x v="2"/>
    <m/>
    <m/>
  </r>
  <r>
    <s v="Kost Jl Ciangsana Raya Ciangsana Bogor"/>
    <x v="0"/>
    <s v="Gunung Putri"/>
    <n v="18"/>
    <s v="3 x 6 meter"/>
    <s v="Tidak termasuk listrik"/>
    <s v=""/>
    <s v="N/A"/>
    <s v="3 x 6 meter; Tidak termasuk listrik; K. Mandi Dalam; Kloset Jongkok; R. Tamu; Parkir Motor; Parkir Sepeda"/>
    <x v="14"/>
    <s v="Rp800.000"/>
    <x v="0"/>
    <m/>
    <x v="0"/>
    <m/>
    <m/>
  </r>
  <r>
    <s v="Kost Jl Durian Tipe A Tambun Selatan Bekasi"/>
    <x v="7"/>
    <s v="Tambun Selatan"/>
    <n v="9"/>
    <s v="3 x 3 meter"/>
    <s v="Tidak termasuk listrik"/>
    <s v=""/>
    <s v="N/A"/>
    <s v="3 x 3 meter; Tidak termasuk listrik; Kasur; Dispenser; Lemari Baju; Kulkas; Cleaning service; Kloset Duduk; Kloset Jongkok; Wastafel; Shower; Bak mandi; WiFi; R. Cuci; Laundry; R. Jemur; Dapur; Taman; Balcon; K. Mandi Luar; Parkir Mobil; Parkir Motor"/>
    <x v="177"/>
    <s v="Rp550.000"/>
    <x v="0"/>
    <m/>
    <x v="2"/>
    <m/>
    <m/>
  </r>
  <r>
    <s v="Kost JM Mutiara Batuceper Tangerang"/>
    <x v="6"/>
    <s v="Kecamatan Batuceper"/>
    <n v="12"/>
    <s v="3 x 4 meter"/>
    <s v="Tidak termasuk listrik"/>
    <s v=""/>
    <s v="N/A"/>
    <s v="3 x 4 meter; Tidak termasuk listrik; AC; Kasur; Meja; Lemari Baju; Ventilasi; Bantal; Cermin; Guling; Jendela; K. Mandi Dalam; Kloset Duduk; Shower; Air panas; WiFi; Kulkas; R. Cuci; R. Jemur; Dapur; Dispenser; Balcon; CCTV; Jemuran; K. Mandi Luar; Parkir Motor"/>
    <x v="163"/>
    <s v="Rp1.700.000"/>
    <x v="2"/>
    <d v="1899-12-30T04:08:00"/>
    <x v="0"/>
    <m/>
    <s v="Diskon 90rb"/>
  </r>
  <r>
    <s v="Kost Jm Tanah Tinggi Tangerang"/>
    <x v="6"/>
    <s v="Tangerang"/>
    <n v="9"/>
    <s v="3 x 3 meter"/>
    <s v="Tidak termasuk listrik"/>
    <s v=""/>
    <s v="N/A"/>
    <s v="3 x 3 meter; Tidak termasuk listrik; AC; Kasur; Meja; Lemari Baju; Ventilasi; Bantal; Guling; Jendela; Kursi; K. Mandi Dalam; Kloset Duduk; K. Mandi Luar; Shower; Air panas; WiFi; Kulkas; R. Cuci; R. Jemur; Dapur; Dispenser; Balcon; CCTV; Jemuran; Parkir Mobil; Parkir Motor"/>
    <x v="3"/>
    <s v="Rp1.500.000"/>
    <x v="0"/>
    <m/>
    <x v="1"/>
    <m/>
    <m/>
  </r>
  <r>
    <s v="Kost JM Tipe A Batuceper Tangerang"/>
    <x v="6"/>
    <s v="Batuceper"/>
    <n v="12"/>
    <s v="3 x 4 meter"/>
    <s v="Tidak termasuk listrik"/>
    <s v=""/>
    <s v="N/A"/>
    <s v="3 x 4 meter; Tidak termasuk listrik; AC; Kasur; Meja; Lemari Baju; Kursi; Kloset Duduk; K. Mandi Luar; Wastafel; Shower; WiFi; R. Cuci; Kulkas; R. Makan; R. Jemur; R. Santai; Dapur; TV; Parkir Motor; Parkir Sepeda"/>
    <x v="20"/>
    <s v="Rp1.250.000"/>
    <x v="2"/>
    <d v="1899-12-30T04:08:00"/>
    <x v="0"/>
    <m/>
    <m/>
  </r>
  <r>
    <s v="Kost JNI Tipe A Cakung Jakarta Timur"/>
    <x v="8"/>
    <s v="Kecamatan Cakung"/>
    <n v="9"/>
    <s v="3 x 3 meter"/>
    <s v="Tidak termasuk listrik"/>
    <s v=""/>
    <s v="N/A"/>
    <s v="3 x 3 meter; Tidak termasuk listrik; AC; Kasur; Meja; Lemari Baju; Jendela; Kursi; Bantal; Guling; K. Mandi Dalam; Kloset Duduk; Shower; WiFi; Kulkas; R. Jemur; Dapur; Jemuran; Rooftop; Parkir Motor"/>
    <x v="163"/>
    <s v="Rp1.700.000"/>
    <x v="8"/>
    <d v="1899-12-30T04:09:00"/>
    <x v="0"/>
    <m/>
    <s v="Diskon 170rb"/>
  </r>
  <r>
    <s v="Kost Joaliv 45 Pulo Gadung Jakarta Timur"/>
    <x v="8"/>
    <s v="Pulo Gadung"/>
    <n v="9"/>
    <s v="3 x 3 meter"/>
    <s v="Tidak termasuk listrik"/>
    <s v=""/>
    <s v="N/A"/>
    <s v="3 x 3 meter; Tidak termasuk listrik; AC; Kasur; Lemari Baju; Ventilasi; Bantal; Jendela; K. Mandi Dalam; Kloset Duduk; Shower; WiFi; Kulkas; Dapur; CCTV; Gazebo; Parkir Motor; Parkir Sepeda"/>
    <x v="13"/>
    <s v="Rp1.600.000"/>
    <x v="20"/>
    <d v="1899-12-30T02:01:00"/>
    <x v="2"/>
    <m/>
    <m/>
  </r>
  <r>
    <s v="Kost Johar Indah Tipe B Limus Pratama Cileungsi Bogor"/>
    <x v="0"/>
    <s v="Cileungsi"/>
    <n v="13.5"/>
    <s v="3 x 4.5 meter"/>
    <s v="Tidak termasuk listrik"/>
    <s v=""/>
    <s v="N/A"/>
    <s v="3 x 4.5 meter; Tidak termasuk listrik; AC; Kasur; Lemari Baju; Wastafel; K. Mandi Dalam; Kloset Duduk; Shower; R. Tamu; R. Jemur; Dapur; Parkir Mobil; Parkir Motor; Parkir Sepeda"/>
    <x v="170"/>
    <s v="Rp2.250.000"/>
    <x v="0"/>
    <m/>
    <x v="0"/>
    <m/>
    <m/>
  </r>
  <r>
    <s v="Kost Johar Indah Tipe D Cileungsi Bogor"/>
    <x v="0"/>
    <s v="Cileungsi"/>
    <n v="9"/>
    <s v="3 x 3 meter"/>
    <s v="Tidak termasuk listrik"/>
    <s v=""/>
    <s v="N/A"/>
    <s v="3 x 3 meter; Tidak termasuk listrik; AC; Kasur; Lemari Baju; Kloset Duduk; Shower; R. Tamu; R. Jemur; Dapur; Parkir Mobil; Parkir Motor; Parkir Sepeda"/>
    <x v="3"/>
    <s v="Rp1.500.000"/>
    <x v="3"/>
    <d v="1899-12-30T05:00:00"/>
    <x v="0"/>
    <m/>
    <m/>
  </r>
  <r>
    <s v="Kost Joppa Residence Villa Melati Mas BSD Double Bed Serpong Utara Tangerang Selatan"/>
    <x v="2"/>
    <s v="Kecamatan Serpong Utara"/>
    <n v="12"/>
    <s v="3 x 4 meter"/>
    <s v="Tidak termasuk listrik"/>
    <s v=""/>
    <s v="N/A"/>
    <s v="3 x 4 meter; Tidak termasuk listrik; AC; Kasur; Meja; TV; Lemari Baju; Ventilasi; Kursi; Wastafel; Meja makan; Bantal; K. Mandi Dalam; Kloset Duduk; Shower; Air panas; WiFi; Kulkas; R. Tamu; Penjaga Kos; R. Makan; R. Jemur; R. Santai; Dapur; Dispenser; Parkir Mobil; Parkir Motor; Parkir Sepeda"/>
    <x v="19"/>
    <s v="Rp1.800.000"/>
    <x v="3"/>
    <d v="1899-12-30T05:00:00"/>
    <x v="0"/>
    <m/>
    <m/>
  </r>
  <r>
    <s v="Kost Jordan MM2100 Tipe A Cikarang Barat Bekasi"/>
    <x v="7"/>
    <s v="Cikarang Barat"/>
    <n v="12"/>
    <s v="3 x 4 meter"/>
    <s v="Tidak termasuk listrik"/>
    <s v=""/>
    <s v="N/A"/>
    <s v="3 x 4 meter; Tidak termasuk listrik; Kasur; Dispenser; Meja; TV; Lemari Baju; Ventilasi; Kursi; Kipas Angin; Bantal; Cermin; K. Mandi Dalam; Kloset Jongkok; Ember mandi; Shower; WiFi; Penjaga Kos; R. Jemur; Balcon; CCTV; Jemuran; Parkir Motor"/>
    <x v="99"/>
    <s v="Rp900.000"/>
    <x v="21"/>
    <d v="1899-12-30T02:00:00"/>
    <x v="0"/>
    <m/>
    <m/>
  </r>
  <r>
    <s v="Kost Joyo 1 Tipe Standard Pesanggrahan Jakarta Selatan"/>
    <x v="5"/>
    <s v="Kecamatan Pesanggrahan"/>
    <n v="9"/>
    <s v="3 x 3 meter"/>
    <s v="Tidak termasuk listrik"/>
    <s v=""/>
    <s v="N/A"/>
    <s v="3 x 3 meter; Tidak termasuk listrik; AC; Kasur; Meja; TV; Lemari Baju; Ventilasi; Bantal; Cermin; Kursi; TV Kabel; K. Mandi Dalam; Kloset Duduk; Wastafel; Shower; Air panas; WiFi; Kulkas; Penjaga Kos; R. Makan; R. Santai; Dapur; Dispenser; CCTV; Jemuran; Pengurus Kos; Parkir Mobil; Parkir Motor"/>
    <x v="27"/>
    <s v="Rp2.000.000"/>
    <x v="0"/>
    <m/>
    <x v="0"/>
    <m/>
    <m/>
  </r>
  <r>
    <s v="Kost Joyo Cempaka Putih Jakarta Pusat"/>
    <x v="9"/>
    <s v="Cempaka Putih"/>
    <n v="9"/>
    <s v="3 x 3 meter"/>
    <s v="Tidak termasuk listrik"/>
    <s v=""/>
    <s v="N/A"/>
    <s v="3 x 3 meter; Tidak termasuk listrik; AC; Kasur; Meja; TV; Lemari Baju; Ventilasi; Kursi; Cleaning service; TV Kabel; Sofa; K. Mandi Dalam; Kloset Duduk; Shower; Air panas; WiFi; Kulkas; R. Tamu; Penjaga Kos; Mesin Cuci; R. Makan; R. Santai; Dapur; Taman; Parkir Mobil; Parkir Motor; Parkir Sepeda"/>
    <x v="22"/>
    <s v="Rp2.500.000"/>
    <x v="3"/>
    <d v="1899-12-30T05:00:00"/>
    <x v="0"/>
    <m/>
    <m/>
  </r>
  <r>
    <s v="Kost Joyo Premium Tipe B Kelapa Gading Jakarta Utara"/>
    <x v="4"/>
    <s v="Kecamatan Kelapa Gading"/>
    <n v="9"/>
    <s v="3 x 3 meter"/>
    <s v="Tidak termasuk listrik"/>
    <s v=""/>
    <s v="N/A"/>
    <s v="3 x 3 meter; Tidak termasuk listrik; AC; Kasur; Meja; TV; Lemari Baju; Ventilasi; Wastafel; Cleaning service; TV Kabel; Bantal; K. Mandi Dalam; Kloset Duduk; Shower; Air panas; WiFi; Kulkas; R. Tamu; Mesin Cuci; Laundry; R. Makan; Dapur; Dispenser; Balcon; Parkir Mobil; Parkir Sepeda; Parkir Motor"/>
    <x v="170"/>
    <s v="Rp2.250.000"/>
    <x v="0"/>
    <m/>
    <x v="0"/>
    <m/>
    <m/>
  </r>
  <r>
    <s v="Kost Joyo Signature Deluxe Twin Suite Cempaka Putih Jakarta Pusat"/>
    <x v="9"/>
    <s v="Cempaka Putih"/>
    <n v="25"/>
    <s v="5 x 5 meter"/>
    <s v="Tidak termasuk listrik"/>
    <s v=""/>
    <s v="N/A"/>
    <s v="5 x 5 meter; Tidak termasuk listrik; AC; Kasur; Meja; TV; Lemari Baju; Ventilasi; Bantal; Cermin; Jendela; Kursi; K. Mandi Dalam; Kloset Duduk; Wastafel; Shower; Air panas; WiFi; Kulkas; Mesin Cuci; Penjaga Kos; R. Makan; R. Santai; Dapur; Dispenser; Balcon; CCTV; Parkir Mobil; Parkir Motor; Parkir Sepeda; Parkir Motor &amp; Sepeda"/>
    <x v="9"/>
    <s v="Rp4.000.000"/>
    <x v="0"/>
    <m/>
    <x v="0"/>
    <m/>
    <m/>
  </r>
  <r>
    <s v="Kost Joyo Signature Deluxe Twin Suite Cempaka Putih Jakarta Pusat"/>
    <x v="9"/>
    <s v="Cempaka Putih"/>
    <n v="25"/>
    <s v="5 x 5 meter"/>
    <s v="Tidak termasuk listrik"/>
    <s v=""/>
    <s v="N/A"/>
    <s v="5 x 5 meter; Tidak termasuk listrik; AC; Kasur; Meja; TV; Lemari Baju; Ventilasi; Bantal; Cermin; Jendela; Kursi; K. Mandi Dalam; Kloset Duduk; Wastafel; Shower; Air panas; WiFi; Kulkas; Mesin Cuci; Penjaga Kos; R. Makan; R. Santai; Dapur; Dispenser; Balcon; CCTV"/>
    <x v="9"/>
    <s v="Rp4.000.000"/>
    <x v="0"/>
    <m/>
    <x v="0"/>
    <m/>
    <m/>
  </r>
  <r>
    <s v="Kost Joyo Signature Premier Suite Cempaka Putih Jakarta Pusat"/>
    <x v="9"/>
    <s v="Cempaka Putih"/>
    <n v="30"/>
    <s v="5 x 6 meter"/>
    <s v="Tidak termasuk listrik"/>
    <s v=""/>
    <s v="N/A"/>
    <s v="5 x 6 meter; Tidak termasuk listrik; AC; Kasur; Meja; TV; Lemari Baju; Ventilasi; Bantal; Cermin; Jendela; Kursi; K. Mandi Dalam; Kloset Duduk; Wastafel; Shower; Air panas; WiFi; Kulkas; Mesin Cuci; Penjaga Kos; R. Makan; R. Santai; Dapur; Dispenser; Balcon; CCTV; Parkir Mobil; Parkir Motor; Parkir Sepeda; Parkir Motor &amp; Sepeda"/>
    <x v="195"/>
    <s v="Rp4.500.000"/>
    <x v="0"/>
    <m/>
    <x v="0"/>
    <m/>
    <m/>
  </r>
  <r>
    <s v="Kost Joyo Signature Tipe Standard Cempaka Putih Jakarta Pusat"/>
    <x v="9"/>
    <s v="Cempaka Putih"/>
    <n v="9"/>
    <s v="3 x 3 meter"/>
    <s v="Tidak termasuk listrik"/>
    <s v=""/>
    <s v="N/A"/>
    <s v="3 x 3 meter; Tidak termasuk listrik; AC; Kasur; Meja; TV; Lemari Baju; Bantal; Cermin; Jendela; Kursi; TV Kabel; K. Mandi Dalam; Kloset Duduk; Wastafel; Shower; Air panas; WiFi; Kulkas; Mesin Cuci; Penjaga Kos; R. Makan; R. Santai; Dapur; Dispenser; Balcon; CCTV; Parkir Mobil; Parkir Motor; Parkir Sepeda; Parkir Motor &amp; Sepeda"/>
    <x v="22"/>
    <s v="Rp2.500.000"/>
    <x v="3"/>
    <d v="1899-12-30T05:00:00"/>
    <x v="0"/>
    <m/>
    <m/>
  </r>
  <r>
    <s v="Kost Junita Executive Babelan Bekasi"/>
    <x v="7"/>
    <s v="Babelan"/>
    <n v="12"/>
    <s v="3 x 4 meter"/>
    <s v="Tidak termasuk listrik"/>
    <s v=""/>
    <s v="N/A"/>
    <s v="3 x 4 meter; Tidak termasuk listrik; Kasur; Dispenser; Meja; Lemari Baju; Ventilasi; Jendela; Kipas Angin; Kursi; Meja makan; Wastafel; K. Mandi Dalam; Kloset Duduk; K. Mandi Luar; Ember mandi; Shower; WiFi; Penjaga Kos; R. Tamu; R. Jemur; Dapur; Jemuran; Parkir Motor"/>
    <x v="31"/>
    <s v="Rp600.000"/>
    <x v="0"/>
    <m/>
    <x v="0"/>
    <m/>
    <m/>
  </r>
  <r>
    <s v="Kost Just Me 2 Cikarang Selatan Bekasi"/>
    <x v="7"/>
    <s v="Cikarang Selatan"/>
    <n v="7.5"/>
    <s v="3 x 2.5 meter"/>
    <s v="Tidak termasuk listrik"/>
    <s v=""/>
    <s v="N/A"/>
    <s v="3 x 2.5 meter; Tidak termasuk listrik; AC; Kasur; Meja; Lemari Baju; Ventilasi; Cermin; Bantal; Cleaning service; Guling; Jendela; K. Mandi Dalam; Kloset Duduk; Wastafel; Shower; Air panas; WiFi; Kulkas; R. Cuci; Laundry; Mesin Cuci; Penjaga Kos; R. Tamu; R. Jemur; R. Makan; R. Santai; Parkir Mobil; Parkir Motor; Parkir Sepeda; Parkir Motor &amp; Sepeda"/>
    <x v="23"/>
    <s v="Rp1.200.000"/>
    <x v="0"/>
    <m/>
    <x v="0"/>
    <m/>
    <m/>
  </r>
  <r>
    <s v="Kost K Maya Cinere Depok"/>
    <x v="1"/>
    <s v="Kecamatan Cinere"/>
    <n v="9"/>
    <s v="3 x 3 meter"/>
    <s v="Termasuk listrik (implied)"/>
    <s v=""/>
    <s v="N/A"/>
    <s v="3 x 3 meter; Termasuk listrik; Kasur; Meja; Lemari Baju; Ventilasi; Bantal; Guling; Jendela; Kursi; K. Mandi Dalam; Kloset Jongkok; Ember mandi; WiFi; Kulkas; R. Tamu; R. Jemur; R. Makan; Dapur; Dispenser; CCTV; Jemuran; Pengurus Kos; Parkir Motor"/>
    <x v="1"/>
    <s v="Rp1.100.000"/>
    <x v="0"/>
    <m/>
    <x v="2"/>
    <m/>
    <m/>
  </r>
  <r>
    <s v="Kost Kabin Kapsul Kayujati V Tipe B Pulo Gadung Jakarta Timur"/>
    <x v="8"/>
    <s v="Pulo Gadung"/>
    <n v="6"/>
    <s v="3 x 2 meter"/>
    <s v="Tidak termasuk listrik"/>
    <s v=""/>
    <s v="N/A"/>
    <s v="3 x 2 meter; Tidak termasuk listrik; AC; Kasur; Meja; Lemari Baju; Kursi; Kloset Duduk; Kloset Jongkok; K. Mandi Luar; Ember mandi; Shower; WiFi; R. Tamu; R. Jemur; Dapur; Parkir Motor"/>
    <x v="23"/>
    <s v="Rp1.200.000"/>
    <x v="22"/>
    <d v="1899-12-30T01:05:00"/>
    <x v="1"/>
    <m/>
    <m/>
  </r>
  <r>
    <s v="Kost Kaca Gang Aman Bekasi Utara"/>
    <x v="7"/>
    <s v="Tambun Utara"/>
    <n v="18"/>
    <s v="3 x 6 meter"/>
    <s v="Tidak termasuk listrik"/>
    <s v=""/>
    <s v="N/A"/>
    <s v="3 x 6 meter; Tidak termasuk listrik; Ventilasi; K. Mandi Dalam; Kloset Jongkok; Dapur; Parkir Mobil; Parkir Motor"/>
    <x v="177"/>
    <s v="Rp550.000"/>
    <x v="0"/>
    <m/>
    <x v="0"/>
    <m/>
    <m/>
  </r>
  <r>
    <s v="Kost Kaca Metland Cileungsi Bogor"/>
    <x v="0"/>
    <s v="Cileungsi"/>
    <n v="9"/>
    <s v="3 x 3 meter"/>
    <s v="Tidak termasuk listrik"/>
    <s v=""/>
    <s v="N/A"/>
    <s v="3 x 3 meter; Tidak termasuk listrik; AC; Kasur; Bantal; Cermin; Guling; Jendela; K. Mandi Dalam; Kloset Duduk; Kloset Jongkok; K. Mandi Luar; Shower; WiFi; Kulkas; R. Tamu; R. Santai; Dapur; Dispenser; Jemuran; R. Keluarga; Taman; Parkir Motor; Parkir Sepeda"/>
    <x v="231"/>
    <s v="Rp885.000"/>
    <x v="6"/>
    <d v="1899-12-30T04:06:00"/>
    <x v="0"/>
    <m/>
    <m/>
  </r>
  <r>
    <s v="Kost Kafein Tipe B Cibinong Bogor"/>
    <x v="0"/>
    <s v="Cibinong"/>
    <n v="12"/>
    <s v="3 x 4 meter"/>
    <s v="Tidak termasuk listrik"/>
    <s v=""/>
    <s v="N/A"/>
    <s v="3 x 4 meter; Tidak termasuk listrik; AC; Kasur; Meja; TV; Lemari Baju; Kulkas; Ventilasi; Bantal; Cermin; Cleaning service; K. Mandi Dalam; Kloset Duduk; Ember mandi; Shower; WiFi; R. Cuci; Mesin Cuci; R. Tamu; Penjaga Kos; R. Jemur; R. Makan; R. Santai; Dapur; Parkir Motor; Parkir Sepeda"/>
    <x v="23"/>
    <s v="Rp1.200.000"/>
    <x v="0"/>
    <m/>
    <x v="1"/>
    <m/>
    <m/>
  </r>
  <r>
    <s v="Kost Kahayan 95 Tipe Single Bed Babakan Madang Bogor"/>
    <x v="0"/>
    <s v="Kecamatan Babakan Madang"/>
    <n v="9"/>
    <s v="3 x 3 meter"/>
    <s v="Termasuk listrik (implied)"/>
    <s v=""/>
    <s v="N/A"/>
    <s v="3 x 3 meter; Termasuk listrik; AC; Kasur; Dispenser; Meja; TV; Kulkas; Lemari Baju; Ventilasi; Bantal; Cermin; K. Mandi Dalam; Kloset Duduk; Kloset Jongkok; K. Mandi Luar; Wastafel; Shower; Air panas; Bak mandi; WiFi; R. Cuci; Mesin Cuci; R. Tamu; Penjaga Kos; R. Jemur; R. Makan; R. Santai; Dapur; Parkir Motor &amp; Sepeda"/>
    <x v="26"/>
    <s v="Rp2.100.000"/>
    <x v="3"/>
    <d v="1899-12-30T05:00:00"/>
    <x v="2"/>
    <m/>
    <m/>
  </r>
  <r>
    <s v="Kost Kalamenta Podomoro Tenjo Tenjo Bogor"/>
    <x v="0"/>
    <s v="Kecamatan Tenjo"/>
    <n v="12"/>
    <s v="3 x 4 meter"/>
    <s v="Tidak termasuk listrik"/>
    <s v=""/>
    <s v="N/A"/>
    <s v="3 x 4 meter; Tidak termasuk listrik; Ventilasi; Jendela; Kloset Jongkok; Shower; Penjaga Kos; R. Tamu; R. Jemur; Dapur; Jemuran; Taman; Parkir Mobil; Parkir Motor; Parkir Sepeda"/>
    <x v="66"/>
    <s v="Rp775.000"/>
    <x v="0"/>
    <m/>
    <x v="0"/>
    <m/>
    <m/>
  </r>
  <r>
    <s v="Kost Kalirandu Tipe A Tanjung Priok Jakarta Utara"/>
    <x v="4"/>
    <s v="Tanjung Priok"/>
    <n v="12"/>
    <s v="3 x 4 meter"/>
    <s v="Termasuk listrik (implied)"/>
    <s v=""/>
    <s v="N/A"/>
    <s v="3 x 4 meter; Termasuk listrik; Kasur; Meja; Kulkas; Ventilasi; Bantal; Cermin; Guling; Jendela; Kipas Angin; K. Mandi Dalam; Kloset Jongkok; WiFi; Laundry; Penjaga Kos; R. Jemur; R. Santai; CCTV; Gazebo; Jemuran; Pengurus Kos; Parkir Motor &amp; Sepeda"/>
    <x v="28"/>
    <s v="Rp1.000.000"/>
    <x v="0"/>
    <m/>
    <x v="0"/>
    <m/>
    <m/>
  </r>
  <r>
    <s v="Kost KamarKu Anggrek Loka Tipe Deluxe A Serpong Tangerang Selatan"/>
    <x v="2"/>
    <s v="Serpong"/>
    <n v="10.8"/>
    <s v="3 x 3.6 meter"/>
    <s v="Tidak termasuk listrik"/>
    <s v=""/>
    <s v="N/A"/>
    <s v="3 x 3.6 meter; Tidak termasuk listrik; AC; Kasur; Meja; TV; Lemari Baju; Ventilasi; Kursi; Cleaning service; Bantal; Cermin; K. Mandi Dalam; Kloset Duduk; Wastafel; Shower; Air panas; WiFi; R. Cuci; Kulkas; Mesin Cuci; Penjaga Kos; Laundry; R. Makan; R. Jemur; R. Santai; Dapur; Parkir Mobil; Parkir Motor; Parkir Sepeda"/>
    <x v="176"/>
    <s v="Rp2.300.000"/>
    <x v="3"/>
    <d v="1899-12-30T05:00:00"/>
    <x v="0"/>
    <m/>
    <m/>
  </r>
  <r>
    <s v="Kost KamarKu Anggrek Loka Tipe Deluxe B Serpong Tangerang Selatan"/>
    <x v="2"/>
    <s v="Serpong"/>
    <n v="10.5"/>
    <s v="3 x 3.5 meter"/>
    <s v="Tidak termasuk listrik"/>
    <s v=""/>
    <s v="N/A"/>
    <s v="3 x 3.5 meter; Tidak termasuk listrik; AC; Kasur; Meja; Kulkas; Lemari Baju; Bantal; Cermin; Cleaning service; Guling; Jendela; K. Mandi Dalam; Kloset Duduk; Wastafel; Shower; Air panas; WiFi; R. Cuci; Mesin Cuci; Penjaga Kos; Laundry; R. Makan; R. Jemur; R. Santai; Dapur; Parkir Mobil; Parkir Motor; Parkir Sepeda"/>
    <x v="232"/>
    <s v="Rp2.225.000"/>
    <x v="3"/>
    <d v="1899-12-30T05:00:00"/>
    <x v="0"/>
    <m/>
    <s v="Diskon 101rb"/>
  </r>
  <r>
    <s v="Kost KamarKu Anggrek Loka Tipe Superior A Serpong Tangerang Selatan"/>
    <x v="2"/>
    <s v="Serpong"/>
    <n v="12"/>
    <s v="3 x 4 meter"/>
    <s v="Tidak termasuk listrik"/>
    <s v=""/>
    <s v="N/A"/>
    <s v="3 x 4 meter; Tidak termasuk listrik; AC; Kasur; Meja; Kulkas; Lemari Baju; Bantal; Cermin; Cleaning service; Guling; Jendela; K. Mandi Dalam; Kloset Duduk; Wastafel; Shower; Air panas; WiFi; R. Cuci; Mesin Cuci; Penjaga Kos; Laundry; R. Makan; R. Jemur; R. Santai; Dapur; Parkir Mobil; Parkir Motor; Parkir Sepeda"/>
    <x v="180"/>
    <s v="Rp2.800.000"/>
    <x v="0"/>
    <m/>
    <x v="0"/>
    <m/>
    <m/>
  </r>
  <r>
    <s v="Kost KamarKu Anggrek Loka Tipe Superior B Serpong Tangerang Selatan"/>
    <x v="2"/>
    <s v="Serpong"/>
    <n v="12"/>
    <s v="3 x 4 meter"/>
    <s v="Tidak termasuk listrik"/>
    <s v=""/>
    <s v="N/A"/>
    <s v="3 x 4 meter; Tidak termasuk listrik; AC; Kasur; Meja; TV; Lemari Baju; Bantal; Cermin; Cleaning service; Guling; Jendela; K. Mandi Dalam; Kloset Duduk; Wastafel; Shower; Air panas; WiFi; R. Cuci; Kulkas; Mesin Cuci; Penjaga Kos; Laundry; R. Makan; R. Jemur; R. Santai; Dapur; Parkir Mobil; Parkir Motor; Parkir Sepeda"/>
    <x v="32"/>
    <s v="Rp2.600.000"/>
    <x v="2"/>
    <d v="1899-12-30T04:08:00"/>
    <x v="0"/>
    <m/>
    <m/>
  </r>
  <r>
    <s v="Kost Kamarku Deluxe Tangcity Tangerang"/>
    <x v="6"/>
    <s v="Tangerang"/>
    <n v="10.5"/>
    <s v="3 x 3.5 meter"/>
    <s v="Tidak termasuk listrik"/>
    <s v=""/>
    <s v="N/A"/>
    <s v="3 x 3.5 meter; Tidak termasuk listrik; AC; Kasur; Meja; Kulkas; Lemari Baju; Bantal; Cermin; Cleaning service; Guling; Jendela; K. Mandi Dalam; Kloset Duduk; Wastafel; Shower; Air panas; WiFi; Penjaga Kos; R. Makan; R. Santai; Dapur; Dispenser; CCTV; Kartu Akses; Pengurus Kos; Parkir Motor; Parkir Motor &amp; Sepeda"/>
    <x v="176"/>
    <s v="Rp2.300.000"/>
    <x v="6"/>
    <d v="1899-12-30T04:06:00"/>
    <x v="0"/>
    <m/>
    <s v="Diskon 120rb"/>
  </r>
  <r>
    <s v="Kost KamarKu Griya Loka BSD Deluxe Serpong Tangerang Selatan"/>
    <x v="2"/>
    <s v="Serpong"/>
    <n v="10.5"/>
    <s v="3 x 3.5 meter"/>
    <s v="Tidak termasuk listrik"/>
    <s v=""/>
    <s v="N/A"/>
    <s v="3 x 3.5 meter; Tidak termasuk listrik; AC; Kasur; Meja; Lemari Baju; Ventilasi; Bantal; Cermin; Cleaning service; Jendela; Kursi; K. Mandi Dalam; Kloset Duduk; Wastafel; Shower; Air panas; WiFi; Laundry; Penjaga Kos; R. Makan; R. Santai; Dapur; Dispenser; CCTV; Jemuran; Kartu Akses; Parkir Mobil; Parkir Motor; Parkir Motor &amp; Sepeda"/>
    <x v="233"/>
    <s v="Rp2.325.000"/>
    <x v="3"/>
    <d v="1899-12-30T05:00:00"/>
    <x v="0"/>
    <m/>
    <m/>
  </r>
  <r>
    <s v="Kost KamarKu Griya Loka BSD Deluxe+ Serpong Tangerang Selatan"/>
    <x v="2"/>
    <s v="Serpong"/>
    <n v="10.5"/>
    <s v="3 x 3.5 meter"/>
    <s v="Tidak termasuk listrik"/>
    <s v=""/>
    <s v="N/A"/>
    <s v="3 x 3.5 meter; Tidak termasuk listrik; AC; Kasur; Meja; Kulkas; Lemari Baju; Ventilasi; Bantal; Cermin; Cleaning service; Jendela; K. Mandi Dalam; Kloset Duduk; Wastafel; Shower; Air panas; WiFi; Laundry; Penjaga Kos; R. Makan; R. Santai; Dapur; Dispenser; CCTV; Jemuran; Kartu Akses; Parkir Mobil; Parkir Motor; Parkir Motor &amp; Sepeda"/>
    <x v="233"/>
    <s v="Rp2.325.000"/>
    <x v="2"/>
    <d v="1899-12-30T04:08:00"/>
    <x v="0"/>
    <m/>
    <m/>
  </r>
  <r>
    <s v="Kost KamarKu Griya Loka BSD Deluxe+ Serpong Tangerang Selatan"/>
    <x v="2"/>
    <s v="Serpong"/>
    <n v="10.5"/>
    <s v="3 x 3.5 meter"/>
    <s v="Tidak termasuk listrik"/>
    <s v=""/>
    <s v="N/A"/>
    <s v="3 x 3.5 meter; Tidak termasuk listrik; AC; Kasur; Meja; Kulkas; Lemari Baju; Ventilasi; Bantal; Cermin; Cleaning service; Jendela; K. Mandi Dalam; Kloset Duduk; Wastafel; Shower; Air panas; WiFi; Laundry; Penjaga Kos; R. Makan; R. Santai; Dapur; Dispenser; CCTV; Jemuran; Kartu Akses; Parkir Mobil; Parkir Motor; Parkir Motor &amp; Sepeda"/>
    <x v="233"/>
    <s v="Rp2.325.000"/>
    <x v="3"/>
    <d v="1899-12-30T05:00:00"/>
    <x v="0"/>
    <m/>
    <m/>
  </r>
  <r>
    <s v="Kost KamarKu Griya Loka BSD Superior Serpong Tangerang Selatan"/>
    <x v="2"/>
    <s v="Serpong"/>
    <n v="16"/>
    <s v="4 x 4 meter"/>
    <s v="Tidak termasuk listrik"/>
    <s v=""/>
    <s v="N/A"/>
    <s v="4 x 4 meter; Tidak termasuk listrik; AC; Kasur; Meja; Kulkas; Lemari Baju; Ventilasi; Bantal; Cermin; Cleaning service; Jendela; K. Mandi Dalam; Kloset Duduk; Wastafel; Shower; Air panas; WiFi; Laundry; Penjaga Kos; R. Makan; R. Santai; Dapur; Dispenser; CCTV; Jemuran; Kartu Akses; Parkir Mobil; Parkir Motor; Parkir Motor &amp; Sepeda"/>
    <x v="180"/>
    <s v="Rp2.800.000"/>
    <x v="0"/>
    <m/>
    <x v="0"/>
    <m/>
    <m/>
  </r>
  <r>
    <s v="Kost Kamarku Loft Tangcity Tangerang"/>
    <x v="6"/>
    <s v="Tangerang"/>
    <n v="10.5"/>
    <s v="3 x 3.5 meter"/>
    <s v="Tidak termasuk listrik"/>
    <s v=""/>
    <s v="N/A"/>
    <s v="3 x 3.5 meter; Tidak termasuk listrik; AC; Kasur; Meja; Kulkas; Lemari Baju; Bantal; Cermin; Cleaning service; Guling; Jendela; K. Mandi Dalam; Kloset Duduk; Wastafel; Shower; Air panas; WiFi; Penjaga Kos; R. Makan; R. Santai; Dapur; Dispenser; CCTV; Kartu Akses; Pengurus Kos; Parkir Motor; Parkir Motor &amp; Sepeda"/>
    <x v="32"/>
    <s v="Rp2.600.000"/>
    <x v="0"/>
    <m/>
    <x v="0"/>
    <m/>
    <s v="Diskon 120rb"/>
  </r>
  <r>
    <s v="Kost Kamarku Standard Tangcity Tangerang"/>
    <x v="6"/>
    <s v="Tangerang"/>
    <n v="9"/>
    <s v="3 x 3 meter"/>
    <s v="Tidak termasuk listrik"/>
    <s v=""/>
    <s v="N/A"/>
    <s v="3 x 3 meter; Tidak termasuk listrik; AC; Kasur; Meja; Kulkas; Lemari Baju; Bantal; Cermin; Cleaning service; Guling; Jendela; K. Mandi Dalam; Kloset Duduk; Wastafel; Shower; Air panas; WiFi; Penjaga Kos; R. Makan; R. Santai; Dapur; Dispenser; CCTV; Kartu Akses; Pengurus Kos; Parkir Motor; Parkir Motor &amp; Sepeda"/>
    <x v="89"/>
    <s v="Rp1.900.000"/>
    <x v="13"/>
    <d v="1899-12-30T04:03:00"/>
    <x v="0"/>
    <m/>
    <s v="Diskon 90rb"/>
  </r>
  <r>
    <s v="Kost Kamarku Superior Tangcity Tangerang"/>
    <x v="6"/>
    <s v="Tangerang"/>
    <n v="15"/>
    <s v="3 x 5 meter"/>
    <s v="Tidak termasuk listrik"/>
    <s v=""/>
    <s v="N/A"/>
    <s v="3 x 5 meter; Tidak termasuk listrik; AC; Kasur; Meja; Kulkas; Lemari Baju; Bantal; Cermin; Cleaning service; Guling; Jendela; K. Mandi Dalam; Kloset Duduk; Wastafel; Shower; Air panas; WiFi; Penjaga Kos; R. Makan; R. Santai; Dapur; Dispenser; CCTV; Kartu Akses; Pengurus Kos; Parkir Motor; Parkir Motor &amp; Sepeda"/>
    <x v="32"/>
    <s v="Rp2.600.000"/>
    <x v="0"/>
    <m/>
    <x v="0"/>
    <m/>
    <s v="Diskon 120rb"/>
  </r>
  <r>
    <s v="Kost Kamsada Binus Alam Sutra Pinang Tangerang"/>
    <x v="6"/>
    <s v="Pinang"/>
    <n v="9"/>
    <s v="3 x 3 meter"/>
    <s v="Tidak termasuk listrik"/>
    <s v=""/>
    <s v="N/A"/>
    <s v="3 x 3 meter; Tidak termasuk listrik; AC; Kasur; Meja; Lemari Baju; Ventilasi; Bantal; Cermin; Guling; Jendela; Kursi; K. Mandi Dalam; Kloset Duduk; Shower; WiFi; Kulkas; R. Cuci; Mesin Cuci; Penjaga Kos; R. Jemur; Dapur; Balcon; CCTV; Jemuran; Parkir Motor; Parkir Sepeda; Parkir Motor &amp; Sepeda"/>
    <x v="27"/>
    <s v="Rp2.000.000"/>
    <x v="0"/>
    <m/>
    <x v="2"/>
    <m/>
    <m/>
  </r>
  <r>
    <s v="Kost Kanaka Allana Tipe A Cikarang"/>
    <x v="7"/>
    <s v="Cikarang Utara"/>
    <n v="9"/>
    <s v="3 x 3 meter"/>
    <s v="Termasuk listrik (implied)"/>
    <s v=""/>
    <s v="N/A"/>
    <s v="3 x 3 meter; Termasuk listrik; AC; Kasur; Meja; TV; Lemari Baju; Kursi; Cleaning service; K. Mandi Dalam; Kloset Duduk; Shower; WiFi; R. Cuci; Kulkas; R. Tamu; Mesin Cuci; Penjaga Kos; Laundry; R. Makan; R. Jemur; Mushola; Parkir Mobil; Parkir Motor; Parkir Sepeda"/>
    <x v="19"/>
    <s v="Rp1.800.000"/>
    <x v="0"/>
    <m/>
    <x v="0"/>
    <m/>
    <m/>
  </r>
  <r>
    <s v="Kost Kangaroom Juanda Premium Gambir Jakarta Pusat"/>
    <x v="9"/>
    <s v="Kecamatan Gambir"/>
    <n v="12"/>
    <s v="2.4 x 5 meter"/>
    <s v="Tidak termasuk listrik"/>
    <s v=""/>
    <s v="N/A"/>
    <s v="2.4 x 5 meter; Tidak termasuk listrik; AC; Kasur; Meja; TV; Kulkas; Lemari Baju; Ventilasi; Bantal; Cermin; Cleaning service; K. Mandi Dalam; Kloset Duduk; Shower; Air panas; WiFi; Laundry; Penjaga Kos; R. Tamu; R. Makan; R. Santai; Dapur; Dispenser; CCTV; Parkir Motor; Parkir Sepeda; Parkir Motor &amp; Sepeda"/>
    <x v="173"/>
    <s v="Rp3.400.000"/>
    <x v="3"/>
    <d v="1899-12-30T05:00:00"/>
    <x v="0"/>
    <m/>
    <s v="Diskon 256rb"/>
  </r>
  <r>
    <s v="Kost Kangaroom Meruya Premium Kembangan Jakarta Barat"/>
    <x v="3"/>
    <s v="Kecamatan Kembangan"/>
    <n v="9.9"/>
    <s v="2.2 x 4.5 meter"/>
    <s v="Tidak termasuk listrik"/>
    <s v=""/>
    <s v="N/A"/>
    <s v="2.2 x 4.5 meter; Tidak termasuk listrik; AC; Kasur; TV; Kulkas; Ventilasi; Bantal; Cermin; Cleaning service; Guling; Jendela; K. Mandi Dalam; Kloset Duduk; Shower; Air panas; WiFi; Penjaga Kos; Laundry; Dapur; Dispenser; CCTV; Jemuran; Kartu Akses; Pengurus Kos; Taman; Parkir Sepeda; Parkir Motor; Parkir Motor &amp; Sepeda"/>
    <x v="22"/>
    <s v="Rp2.500.000"/>
    <x v="3"/>
    <d v="1899-12-30T05:00:00"/>
    <x v="0"/>
    <m/>
    <m/>
  </r>
  <r>
    <s v="Kost Kanguru 33 A Tipe Standard Plus Pasar Rebo Jakarta Timur"/>
    <x v="8"/>
    <s v="Kecamatan Pasar Rebo"/>
    <n v="12"/>
    <s v="3 x 4 meter"/>
    <s v="Tidak termasuk listrik"/>
    <s v=""/>
    <s v="N/A"/>
    <s v="3 x 4 meter; Tidak termasuk listrik; AC; Kasur; Dispenser; Meja; TV; Bantal; Guling; Jendela; K. Mandi Dalam; Kloset Duduk; Ember mandi; Shower; WiFi; R. Cuci; Kulkas; R. Tamu; Mesin Cuci; R. Jemur; R. Santai; Dapur; Parkir Mobil; Parkir Motor; Parkir Sepeda"/>
    <x v="19"/>
    <s v="Rp1.800.000"/>
    <x v="0"/>
    <m/>
    <x v="2"/>
    <m/>
    <m/>
  </r>
  <r>
    <s v="Kost Kapling Tipe B Tangerang Tangerang"/>
    <x v="6"/>
    <s v="Tangerang"/>
    <n v="12"/>
    <s v="3 x 4 meter"/>
    <s v="Tidak termasuk listrik"/>
    <s v=""/>
    <s v="N/A"/>
    <s v="3 x 4 meter; Tidak termasuk listrik; AC; Meja; TV; Lemari Baju; Kursi; K. Mandi Dalam; Kloset Duduk; R. Cuci; Kulkas; R. Tamu; Mesin Cuci; R. Jemur; Dapur; Dispenser; Balcon; Kartu Akses; Parkir Motor; Parkir Sepeda"/>
    <x v="18"/>
    <s v="Rp1.300.000"/>
    <x v="3"/>
    <d v="1899-12-30T05:00:00"/>
    <x v="2"/>
    <m/>
    <m/>
  </r>
  <r>
    <s v="Kost Karang Anyar Cherry Residence Tipe B Sawah Besar Jakarta Pusat"/>
    <x v="9"/>
    <s v="Sawah Besar"/>
    <n v="7.5"/>
    <s v="2.5 x 3 meter"/>
    <s v="Tidak termasuk listrik"/>
    <s v=""/>
    <s v="N/A"/>
    <s v="2.5 x 3 meter; Tidak termasuk listrik; AC; Kasur; Meja; Dispenser; Lemari Baju; Kulkas; Kursi; Wastafel; K. Mandi Dalam; Kloset Jongkok; K. Mandi Luar; Ember mandi; Shower; WiFi; R. Cuci; R. Tamu; Penjaga Kos; Laundry; R. Makan; R. Jemur; R. Santai; Dapur; Parkir Motor; Parkir Sepeda"/>
    <x v="27"/>
    <s v="Rp2.000.000"/>
    <x v="10"/>
    <d v="1899-12-30T04:05:00"/>
    <x v="0"/>
    <m/>
    <s v="Diskon 152rb"/>
  </r>
  <r>
    <s v="Kost Karein Dua Tipe A Cipondoh Tangerang"/>
    <x v="6"/>
    <s v="Cipondoh"/>
    <n v="12"/>
    <s v="3 x 4 meter"/>
    <s v="Tidak termasuk listrik"/>
    <s v=""/>
    <s v="N/A"/>
    <s v="3 x 4 meter; Tidak termasuk listrik; AC; Kasur; Lemari Baju; Ventilasi; Bantal; Guling; Jendela; K. Mandi Dalam; Kloset Jongkok; Ember mandi; WiFi; R. Tamu; R. Jemur; R. Santai; Dapur; Parkir Motor; Parkir Sepeda"/>
    <x v="11"/>
    <s v="Rp1.400.000"/>
    <x v="6"/>
    <d v="1899-12-30T04:06:00"/>
    <x v="0"/>
    <m/>
    <s v="Diskon 73rb"/>
  </r>
  <r>
    <s v="Kost Karein Dua Tipe A Cipondoh Tangerang"/>
    <x v="6"/>
    <s v="Cipondoh"/>
    <n v="12"/>
    <s v="3 x 4 meter"/>
    <s v="Tidak termasuk listrik"/>
    <s v=""/>
    <s v="N/A"/>
    <s v="3 x 4 meter; Tidak termasuk listrik; AC; Kasur; Lemari Baju; Ventilasi; Bantal; Guling; Jendela; K. Mandi Dalam; Kloset Jongkok; Ember mandi; WiFi; R. Tamu; R. Jemur; R. Santai; Dapur; Parkir Motor; Parkir Sepeda"/>
    <x v="11"/>
    <s v="Rp1.400.000"/>
    <x v="6"/>
    <d v="1899-12-30T04:06:00"/>
    <x v="0"/>
    <m/>
    <s v="Diskon 150rb"/>
  </r>
  <r>
    <s v="Kost Karen Pulomas Executive Pulo Gadung Jakarta Timur"/>
    <x v="8"/>
    <s v="Pulo Gadung"/>
    <n v="12"/>
    <s v="3 x 4 meter"/>
    <s v="Tidak termasuk listrik"/>
    <s v=""/>
    <s v="N/A"/>
    <s v="3 x 4 meter; Tidak termasuk listrik; AC; Kasur; Meja; Lemari Baju; Bantal; Cermin; Jendela; Kursi; K. Mandi Dalam; Kloset Jongkok; Ember mandi; WiFi; Kulkas; Penjaga Kos; R. Jemur; Dapur; Balcon; Jemuran; TV; Parkir Motor; Parkir Sepeda"/>
    <x v="11"/>
    <s v="Rp1.400.000"/>
    <x v="3"/>
    <d v="1899-12-30T05:00:00"/>
    <x v="0"/>
    <m/>
    <m/>
  </r>
  <r>
    <s v="Kost Kartika Dewi Cikarang Utara Bekasi"/>
    <x v="7"/>
    <s v="Cikarang Utara"/>
    <n v="9"/>
    <s v="3 x 3 meter"/>
    <s v="Termasuk listrik (implied)"/>
    <s v=""/>
    <s v="N/A"/>
    <s v="3 x 3 meter; Termasuk listrik; Kasur; Lemari Baju; Ventilasi; Kipas Angin; Meja makan; Bantal; Cermin; Jendela; K. Mandi Dalam; Kloset Jongkok; K. Mandi Luar; Ember mandi; Shower; Air panas; WiFi; R. Tamu; R. Jemur; Dapur; TV; Pengurus Kos; Jemuran; Parkir Motor"/>
    <x v="99"/>
    <s v="Rp900.000"/>
    <x v="3"/>
    <d v="1899-12-30T05:00:00"/>
    <x v="2"/>
    <m/>
    <m/>
  </r>
  <r>
    <s v="Kost Kavling DKI Residence Kembangan Jakarta Barat"/>
    <x v="3"/>
    <s v="Kembangan"/>
    <n v="9"/>
    <s v="3 x 3 meter"/>
    <s v="Tidak termasuk listrik"/>
    <s v=""/>
    <s v="N/A"/>
    <s v="3 x 3 meter; Tidak termasuk listrik; AC; Kasur; Meja; TV; Lemari Baju; Ventilasi; Kursi; Wastafel; Bantal; Guling; K. Mandi Dalam; Kloset Duduk; Shower; Air panas; WiFi; Kulkas; Penjaga Kos; Dapur; Dispenser; Balcon; CCTV; Pengurus Kos; Kartu Akses; Parkir Motor"/>
    <x v="89"/>
    <s v="Rp1.900.000"/>
    <x v="6"/>
    <d v="1899-12-30T04:06:00"/>
    <x v="0"/>
    <m/>
    <m/>
  </r>
  <r>
    <s v="Kost Kayana Residence Tipe A Tangerang Tangerang"/>
    <x v="6"/>
    <s v="Tangerang"/>
    <n v="12"/>
    <s v="3 x 4 meter"/>
    <s v="Tidak termasuk listrik"/>
    <s v=""/>
    <s v="N/A"/>
    <s v="3 x 4 meter; Tidak termasuk listrik; AC; Kasur; Meja; TV; Lemari Baju; Ventilasi; Bantal; Cermin; Cleaning service; Guling; K. Mandi Dalam; Kloset Duduk; Shower; Air panas; WiFi; Kulkas; Laundry; Penjaga Kos; R. Makan; R. Santai; Dapur; Dispenser; CCTV; Jemuran; Parkir Motor; Parkir Motor &amp; Sepeda"/>
    <x v="186"/>
    <s v="Rp3.000.000"/>
    <x v="0"/>
    <m/>
    <x v="0"/>
    <m/>
    <m/>
  </r>
  <r>
    <s v="Kost Kayana Residence Tipe B Tangerang"/>
    <x v="6"/>
    <s v="Kecamatan Tangerang"/>
    <n v="12"/>
    <s v="3 x 4 meter"/>
    <s v="Tidak termasuk listrik"/>
    <s v=""/>
    <s v="N/A"/>
    <s v="3 x 4 meter; Tidak termasuk listrik; AC; Kasur; Meja; TV; Lemari Baju; Ventilasi; Bantal; Cermin; Cleaning service; Guling; Kloset Duduk; Shower; Air panas; WiFi; Kulkas; Laundry; R. Jemur; R. Makan; R. Santai; Dapur; Dispenser; CCTV; Jemuran; Parkir Motor &amp; Sepeda"/>
    <x v="32"/>
    <s v="Rp2.600.000"/>
    <x v="0"/>
    <m/>
    <x v="0"/>
    <m/>
    <m/>
  </r>
  <r>
    <s v="Kost Kayana Residence Tipe D Tangerang"/>
    <x v="6"/>
    <s v="Kecamatan Tangerang"/>
    <n v="10"/>
    <s v="2.5 x 4 meter"/>
    <s v="Tidak termasuk listrik"/>
    <s v=""/>
    <s v="N/A"/>
    <s v="2.5 x 4 meter; Tidak termasuk listrik; AC; Kasur; Meja; TV; Lemari Baju; Bantal; Cermin; Cleaning service; Guling; Jendela; K. Mandi Dalam; Kloset Duduk; Wastafel; Shower; Air panas; WiFi; Kulkas; Laundry; R. Jemur; R. Santai; Dapur; Dispenser; CCTV; Jemuran; Kartu Akses; Parkir Motor &amp; Sepeda"/>
    <x v="170"/>
    <s v="Rp2.250.000"/>
    <x v="6"/>
    <d v="1899-12-30T04:06:00"/>
    <x v="0"/>
    <m/>
    <s v="Diskon 105rb"/>
  </r>
  <r>
    <s v="Kost Kayu Jati 10 Residence Tipe VIP Pulo Gadung Jakarta Timur"/>
    <x v="8"/>
    <s v="Kecamatan Pulo Gadung"/>
    <n v="12"/>
    <s v="3 x 4 meter"/>
    <s v="Tidak termasuk listrik"/>
    <s v=""/>
    <s v="N/A"/>
    <s v="3 x 4 meter; Tidak termasuk listrik; AC; Kasur; TV; Meja Rias; Lemari Baju; Bantal; Guling; Jendela; K. Mandi Dalam; Kloset Duduk; Kloset Jongkok; Shower; Air panas; WiFi; Kulkas; Laundry; Penjaga Kos; R. Tamu; R. Makan; R. Santai; Dapur; CCTV; Jual Makanan; Parkir Mobil; Parkir Motor; Parkir Sepeda; Parkir Motor &amp; Sepeda"/>
    <x v="27"/>
    <s v="Rp2.000.000"/>
    <x v="0"/>
    <m/>
    <x v="0"/>
    <m/>
    <m/>
  </r>
  <r>
    <s v="Kost Kayya Single Bed Cengkareng Jakarta Barat"/>
    <x v="3"/>
    <s v="Kecamatan Cengkareng"/>
    <n v="8"/>
    <s v="4 x 2 meter"/>
    <s v="Tidak termasuk listrik"/>
    <s v=""/>
    <s v="N/A"/>
    <s v="4 x 2 meter; Tidak termasuk listrik; AC; Kasur; Meja; TV; Lemari Baju; Ventilasi; Bantal; Cermin; Jendela; Kursi; K. Mandi Dalam; Kloset Duduk; Shower; Air panas; WiFi; Kulkas; Penjaga Kos; Dapur; Dispenser; Balcon; CCTV; Jemuran; Kartu Akses; Parkir Motor"/>
    <x v="27"/>
    <s v="Rp2.000.000"/>
    <x v="8"/>
    <d v="1899-12-30T04:09:00"/>
    <x v="0"/>
    <m/>
    <m/>
  </r>
  <r>
    <s v="Kost Keisha Tipe B Cikarang Timur Bekasi"/>
    <x v="7"/>
    <s v="Cikarang Timur"/>
    <n v="9"/>
    <s v="3 x 3 meter"/>
    <s v="Tidak termasuk listrik"/>
    <s v=""/>
    <s v="N/A"/>
    <s v="3 x 3 meter; Tidak termasuk listrik; AC; Ventilasi; Jendela; K. Mandi Dalam; Kloset Jongkok; Wastafel; Shower; WiFi; CCTV; Pengurus Kos; Jemuran; Parkir Motor"/>
    <x v="28"/>
    <s v="Rp1.000.000"/>
    <x v="0"/>
    <m/>
    <x v="0"/>
    <m/>
    <m/>
  </r>
  <r>
    <s v="Kost Kekey Tipe A Karang Tengah Tangerang"/>
    <x v="6"/>
    <s v="Karang Tengah"/>
    <n v="15"/>
    <s v="3 x 5 meter"/>
    <s v="Tidak termasuk listrik"/>
    <s v=""/>
    <s v="N/A"/>
    <s v="3 x 5 meter; Tidak termasuk listrik; Kasur; Dispenser; Lemari Baju; Kulkas; Kipas Angin; Bantal; Cermin; Cleaning service; Guling; Kursi; K. Mandi Dalam; Kloset Jongkok; Ember mandi; Shower; WiFi; R. Tamu; Parkir Motor"/>
    <x v="12"/>
    <s v="Rp850.000"/>
    <x v="0"/>
    <m/>
    <x v="0"/>
    <m/>
    <m/>
  </r>
  <r>
    <s v="Kost Kelapa Cengkir Barat Jakarta Utara"/>
    <x v="4"/>
    <s v="Kelapa Gading"/>
    <n v="9"/>
    <s v="3 x 3 meter"/>
    <s v="Termasuk listrik (implied)"/>
    <s v=""/>
    <s v="N/A"/>
    <s v="3 x 3 meter; Termasuk listrik; AC; Kasur; Meja; TV; Lemari Baju; Ventilasi; Kursi; TV Kabel; Bantal; Cermin; Kloset Duduk; K. Mandi Luar; Shower; Air panas; WiFi; Kulkas; R. Jemur; Dapur; Dispenser; Locker; Balcon; CCTV; Pengurus Kos; Parkir Motor; Parkir Sepeda"/>
    <x v="25"/>
    <s v="Rp1.850.000"/>
    <x v="3"/>
    <d v="1899-12-30T05:00:00"/>
    <x v="0"/>
    <m/>
    <m/>
  </r>
  <r>
    <s v="Kost Kelapa Puan Timur Tipe B Kelapa Gading Jakarta Utara"/>
    <x v="4"/>
    <s v="Kelapa Gading"/>
    <n v="5"/>
    <s v="2.5 x 2 meter"/>
    <s v="Termasuk listrik (implied)"/>
    <s v=""/>
    <s v="N/A"/>
    <s v="2.5 x 2 meter; Termasuk listrik; Kasur; Lemari Baju; Ventilasi; Bantal; Guling; Kloset Duduk; K. Mandi Luar; Shower; WiFi; R. Cuci; Kulkas; R. Tamu; Penjaga Kos; Laundry; R. Makan; R. Jemur; R. Santai; Dapur; Parkir Motor; Parkir Sepeda"/>
    <x v="14"/>
    <s v="Rp800.000"/>
    <x v="10"/>
    <d v="1899-12-30T04:05:00"/>
    <x v="0"/>
    <m/>
    <m/>
  </r>
  <r>
    <s v="Kost Kelapa Puan Timur Tipe E Kelapa Gading Jakarta Utara"/>
    <x v="4"/>
    <s v="Kelapa Gading"/>
    <n v="5"/>
    <s v="2.5 x 2 meter"/>
    <s v="Termasuk listrik (implied)"/>
    <s v=""/>
    <s v="N/A"/>
    <s v="2.5 x 2 meter; Termasuk listrik; Kasur; Lemari Baju; Bantal; Cermin; Guling; Kipas Angin; Kloset Duduk; K. Mandi Luar; Shower; WiFi; R. Cuci; Kulkas; R. Tamu; Penjaga Kos; Laundry; R. Makan; R. Jemur; R. Santai; Dapur; Parkir Motor; Parkir Sepeda"/>
    <x v="234"/>
    <s v="Rp695.000"/>
    <x v="2"/>
    <d v="1899-12-30T04:08:00"/>
    <x v="0"/>
    <m/>
    <m/>
  </r>
  <r>
    <s v="Kost Kelowna House Tipe A Sawah Besar Jakarta Pusat"/>
    <x v="9"/>
    <s v="Sawah Besar"/>
    <n v="9"/>
    <s v="3 x 3 meter"/>
    <s v="Tidak termasuk listrik"/>
    <s v=""/>
    <s v="N/A"/>
    <s v="3 x 3 meter; Tidak termasuk listrik; AC; Kasur; Meja; TV; Lemari Baju; Bantal; Cermin; Guling; Jendela; Wastafel; K. Mandi Dalam; Kloset Duduk; Shower; Air panas; WiFi; Kulkas; Penjaga Kos; Dapur; CCTV; Kartu Akses; Pengurus Kos; Rooftop; Parkir Mobil; Parkir Motor"/>
    <x v="227"/>
    <s v="Rp3.300.000"/>
    <x v="0"/>
    <m/>
    <x v="0"/>
    <m/>
    <m/>
  </r>
  <r>
    <s v="Kost Keluarga Cemara Karang Tengah Tangerang"/>
    <x v="6"/>
    <s v="Karang Tengah"/>
    <n v="12"/>
    <s v="3 x 4 meter"/>
    <s v="Tidak termasuk listrik"/>
    <s v=""/>
    <s v="N/A"/>
    <s v="3 x 4 meter; Tidak termasuk listrik; AC; Kasur; Lemari Baju; Cermin; Bantal; Jendela; Guling; K. Mandi Dalam; Kloset Jongkok; Wastafel; Shower; WiFi; Kulkas; R. Jemur; Jemuran; Parkir Motor; Parkir Sepeda"/>
    <x v="30"/>
    <s v="Rp1.150.000"/>
    <x v="3"/>
    <d v="1899-12-30T05:00:00"/>
    <x v="2"/>
    <m/>
    <s v="Diskon 125rb"/>
  </r>
  <r>
    <s v="Kost Kemakmuran Residence Gambir Jakarta Pusat"/>
    <x v="9"/>
    <s v="Gambir"/>
    <n v="9"/>
    <s v="3 x 3 meter"/>
    <s v="Tidak termasuk listrik"/>
    <s v=""/>
    <s v="N/A"/>
    <s v="3 x 3 meter; Tidak termasuk listrik; AC; Kasur; Meja; TV; Lemari Baju; Kursi; Cleaning service; Bantal; K. Mandi Dalam; Kloset Duduk; Wastafel; Shower; Air panas; WiFi; Dapur; CCTV; Jemuran; Parkir Motor"/>
    <x v="32"/>
    <s v="Rp2.600.000"/>
    <x v="12"/>
    <d v="1899-12-30T04:04:00"/>
    <x v="0"/>
    <m/>
    <m/>
  </r>
  <r>
    <s v="Kost Kemuning Agung Perkasa Tanjung Priok Jakarta Utara"/>
    <x v="4"/>
    <s v="Tanjung Priok"/>
    <n v="9"/>
    <s v="3 x 3 meter"/>
    <s v="Tidak termasuk listrik"/>
    <s v=""/>
    <s v="N/A"/>
    <s v="3 x 3 meter; Tidak termasuk listrik; AC; Kasur; Meja; Lemari Baju; Ventilasi; Bantal; Cermin; Jendela; Kursi; Wastafel; K. Mandi Dalam; Kloset Duduk; Shower; Air panas; WiFi; Kulkas; R. Cuci; Laundry; Penjaga Kos; R. Jemur; R. Santai; Dispenser; Dapur; Balcon; Parkir Motor"/>
    <x v="3"/>
    <s v="Rp1.500.000"/>
    <x v="2"/>
    <d v="1899-12-30T04:08:00"/>
    <x v="0"/>
    <m/>
    <s v="Diskon 78rb"/>
  </r>
  <r>
    <s v="Kost Kenanga Cipayung Jakarta Timur"/>
    <x v="8"/>
    <s v="Cipayung"/>
    <n v="18"/>
    <s v="3 x 6 meter"/>
    <s v="Tidak termasuk listrik"/>
    <s v=""/>
    <s v="N/A"/>
    <s v="3 x 6 meter; Tidak termasuk listrik; AC; Kasur; Meja; Lemari Baju; Ventilasi; Bantal; Jendela; Dapur Pribadi; Kursi; Meja makan; K. Mandi Dalam; Kloset Duduk; Ember mandi; Shower; WiFi; Penjaga Kos; R. Jemur; Dapur; Taman; CCTV; Jemuran; Pengurus Kos; Parkir Mobil; Parkir Motor"/>
    <x v="23"/>
    <s v="Rp1.200.000"/>
    <x v="6"/>
    <d v="1899-12-30T04:06:00"/>
    <x v="2"/>
    <m/>
    <m/>
  </r>
  <r>
    <s v="Kost Kenanga Deluxe Tangerang"/>
    <x v="6"/>
    <s v="Tangerang"/>
    <n v="16"/>
    <s v="4 x 4 meter"/>
    <s v="Tidak termasuk listrik"/>
    <s v=""/>
    <s v="N/A"/>
    <s v="4 x 4 meter; Tidak termasuk listrik; AC; Kasur; Meja; Lemari Baju; Bantal; Cermin; Jendela; Kursi; K. Mandi Dalam; Kloset Duduk; Wastafel; Shower; Air panas; WiFi; Kulkas; Penjaga Kos; R. Jemur; R. Makan; R. Santai; Dapur; Balcon; CCTV; Jemuran; Parkir Mobil"/>
    <x v="32"/>
    <s v="Rp2.600.000"/>
    <x v="0"/>
    <m/>
    <x v="0"/>
    <m/>
    <m/>
  </r>
  <r>
    <s v="Kost Kenanga Tipe A Pondok Aren Tangerang Selatan"/>
    <x v="2"/>
    <s v="Kecamatan Pondok Aren"/>
    <n v="9"/>
    <s v="3 x 3 meter"/>
    <s v="Tidak termasuk listrik"/>
    <s v=""/>
    <s v="N/A"/>
    <s v="3 x 3 meter; Tidak termasuk listrik; Kasur; Meja; Lemari Baju; Bantal; Guling; Jendela; Kursi; K. Mandi Dalam; Kloset Duduk; Shower; WiFi; Kulkas; R. Jemur; R. Santai; Dapur; Jemuran; K. Mandi Luar; Parkir Motor"/>
    <x v="14"/>
    <s v="Rp800.000"/>
    <x v="8"/>
    <d v="1899-12-30T04:09:00"/>
    <x v="1"/>
    <m/>
    <m/>
  </r>
  <r>
    <s v="Kost Kenanga Tipe A Sukmajaya Depok"/>
    <x v="1"/>
    <s v="Kecamatan Sukmajaya"/>
    <n v="13.5"/>
    <s v="3 x 4.5 meter"/>
    <s v="Tidak termasuk listrik"/>
    <s v=""/>
    <s v="N/A"/>
    <s v="3 x 4.5 meter; Tidak termasuk listrik; AC; Kasur; Lemari Baju; Bantal; Cleaning service; Guling; Jendela; Kursi; K. Mandi Dalam; Kloset Duduk; Ember mandi; Shower; WiFi; Penjaga Kos; R. Tamu; R. Jemur; R. Santai; Dapur; Balcon; CCTV; Jemuran; Parkir Motor; Parkir Sepeda"/>
    <x v="18"/>
    <s v="Rp1.300.000"/>
    <x v="6"/>
    <d v="1899-12-30T04:06:00"/>
    <x v="0"/>
    <m/>
    <m/>
  </r>
  <r>
    <s v="Kost Kesie Tipe A Cibinong Bogor"/>
    <x v="0"/>
    <s v="Kecamatan Cibinong"/>
    <n v="9"/>
    <s v="3 x 3 meter"/>
    <s v="Tidak termasuk listrik"/>
    <s v=""/>
    <s v="N/A"/>
    <s v="3 x 3 meter; Tidak termasuk listrik; Bantal; Jendela; Kloset Duduk; K. Mandi Luar; Ember mandi; Bak mandi; Penjaga Kos; Jemuran; Pengurus Kos; Parkir Motor; Parkir Sepeda; Parkir Motor &amp; Sepeda"/>
    <x v="29"/>
    <s v="Rp500.000"/>
    <x v="0"/>
    <m/>
    <x v="0"/>
    <m/>
    <m/>
  </r>
  <r>
    <s v="Kost Key Homes Pinang Tangerang"/>
    <x v="6"/>
    <s v="Kecamatan Pinang"/>
    <n v="9"/>
    <s v="3 x 3 meter"/>
    <s v="Tidak termasuk listrik"/>
    <s v=""/>
    <s v="N/A"/>
    <s v="3 x 3 meter; Tidak termasuk listrik; Ventilasi; Dapur Pribadi; Jendela; K. Mandi Dalam; Kloset Jongkok; R. Cuci; Dapur; CCTV; Parkir Motor"/>
    <x v="28"/>
    <s v="Rp1.000.000"/>
    <x v="19"/>
    <d v="1899-12-30T02:09:00"/>
    <x v="0"/>
    <m/>
    <m/>
  </r>
  <r>
    <s v="Kost Khaira Tipe Standar Kemayoran Jakarta Pusat"/>
    <x v="9"/>
    <s v="Kecamatan Kemayoran"/>
    <n v="9"/>
    <s v="3 x 3 meter"/>
    <s v="Tidak termasuk listrik"/>
    <s v=""/>
    <s v="N/A"/>
    <s v="3 x 3 meter; Tidak termasuk listrik; Kasur; Lemari Baju; Ventilasi; Bantal; Jendela; Kipas Angin; K. Mandi Dalam; Kloset Jongkok; Ember mandi; WiFi; R. Jemur; CCTV; Jemuran; Pengurus Kos; Parkir Motor; Parkir Sepeda"/>
    <x v="99"/>
    <s v="Rp900.000"/>
    <x v="3"/>
    <d v="1899-12-30T05:00:00"/>
    <x v="0"/>
    <m/>
    <m/>
  </r>
  <r>
    <s v="Kost Khairan I Beji Depok"/>
    <x v="1"/>
    <s v="Kecamatan Beji"/>
    <n v="9"/>
    <s v="3 x 3 meter"/>
    <s v="Termasuk listrik (implied)"/>
    <s v=""/>
    <s v="N/A"/>
    <s v="3 x 3 meter; Termasuk listrik; Kasur; Lemari Baju; Ventilasi; Bantal; Cermin; Guling; Jendela; K. Mandi Dalam; Kloset Jongkok; Ember mandi; Shower; WiFi; Kulkas; R. Cuci; R. Tamu; R. Jemur; R. Makan; R. Santai; Dapur; Balcon; CCTV; Parkir Motor"/>
    <x v="10"/>
    <s v="Rp750.000"/>
    <x v="8"/>
    <d v="1899-12-30T04:09:00"/>
    <x v="2"/>
    <m/>
    <s v="Diskon 90rb"/>
  </r>
  <r>
    <s v="Kost Kimber Tipe A Cikarang Selatan Bekasi"/>
    <x v="7"/>
    <s v="Cikarang Selatan"/>
    <n v="12"/>
    <s v="3 x 4 meter"/>
    <s v="Tidak termasuk listrik"/>
    <s v=""/>
    <s v="N/A"/>
    <s v="3 x 4 meter; Tidak termasuk listrik; Kasur; Lemari Baju; Kipas Angin; Jendela; Guling; Bantal; Cleaning service; Kloset Jongkok; K. Mandi Luar; Ember mandi; Bak mandi; WiFi; Penjaga Kos; R. Santai; Dapur; Balcon; Pengurus Kos; Jemuran; CCTV; Taman; Parkir Mobil; Parkir Motor; Parkir Sepeda"/>
    <x v="2"/>
    <s v="Rp700.000"/>
    <x v="0"/>
    <m/>
    <x v="0"/>
    <m/>
    <m/>
  </r>
  <r>
    <s v="Kost Kimberly House Babelan Bekasi"/>
    <x v="7"/>
    <s v="Babelan"/>
    <n v="12"/>
    <s v="3 x 4 meter"/>
    <s v="Tidak termasuk listrik"/>
    <s v=""/>
    <s v="N/A"/>
    <s v="3 x 4 meter; Tidak termasuk listrik; Kasur; Meja; Lemari Baju; Ventilasi; Guling; Bantal; Cermin; Kipas Angin; Kursi; Wastafel; Kloset Jongkok; K. Mandi Luar; Ember mandi; Bak mandi; WiFi; Kulkas; R. Cuci; R. Tamu; Mushola; R. Jemur; R. Makan; R. Santai; Dapur; Dispenser; Parkir Mobil; Parkir Motor; Parkir Sepeda; Parkir Motor &amp; Sepeda"/>
    <x v="29"/>
    <s v="Rp500.000"/>
    <x v="0"/>
    <m/>
    <x v="2"/>
    <m/>
    <m/>
  </r>
  <r>
    <s v="Kost Kita Cakung Jakarta Timur"/>
    <x v="8"/>
    <s v="Kecamatan Cakung"/>
    <e v="#VALUE!"/>
    <s v="N/A"/>
    <s v="N/A"/>
    <s v=""/>
    <s v="N/A"/>
    <s v=""/>
    <x v="23"/>
    <s v="Rp1.200.000"/>
    <x v="0"/>
    <m/>
    <x v="2"/>
    <m/>
    <m/>
  </r>
  <r>
    <s v="Kost Kita Tipe D Kemayoran Jakarta Pusat"/>
    <x v="9"/>
    <s v="Kemayoran"/>
    <n v="9"/>
    <s v="3 x 3 meter"/>
    <s v="Tidak termasuk listrik"/>
    <s v=""/>
    <s v="N/A"/>
    <s v="3 x 3 meter; Tidak termasuk listrik; AC; Kasur; Meja; Lemari Baju; Ventilasi; Bantal; Cermin; Jendela; K. Mandi Dalam; Kloset Jongkok; Shower; WiFi; Kulkas; R. Tamu; Penjaga Kos; R. Jemur; R. Makan; R. Santai; Dapur; Balcon; CCTV; Parkir Motor &amp; Sepeda"/>
    <x v="163"/>
    <s v="Rp1.700.000"/>
    <x v="14"/>
    <d v="1899-12-30T03:05:00"/>
    <x v="0"/>
    <m/>
    <m/>
  </r>
  <r>
    <s v="Kost Kita Tipe D Kemayoran Jakarta Pusat"/>
    <x v="9"/>
    <s v="Kemayoran"/>
    <n v="9"/>
    <s v="3 x 3 meter"/>
    <s v="Tidak termasuk listrik"/>
    <s v=""/>
    <s v="N/A"/>
    <s v="3 x 3 meter; Tidak termasuk listrik; AC; Kasur; Meja; Lemari Baju; Ventilasi; Bantal; Cermin; Jendela; K. Mandi Dalam; Kloset Jongkok; Shower; WiFi; Kulkas; R. Tamu; Penjaga Kos; R. Jemur; R. Makan; R. Santai; Dapur; Balcon; CCTV; Parkir Motor &amp; Sepeda"/>
    <x v="163"/>
    <s v="Rp1.700.000"/>
    <x v="0"/>
    <m/>
    <x v="0"/>
    <m/>
    <m/>
  </r>
  <r>
    <s v="Kost Koe Cibinong Bogor"/>
    <x v="0"/>
    <s v="Kecamatan Cibinong"/>
    <n v="12"/>
    <s v="3 x 4 meter"/>
    <s v="Tidak termasuk listrik"/>
    <s v=""/>
    <s v="N/A"/>
    <s v="3 x 4 meter; Tidak termasuk listrik; AC; Kasur; Meja; Lemari Baju; Bantal; Dapur Pribadi; Jendela; Kursi; Kloset Duduk; Ember mandi; R. Jemur; Jemuran; Parkir Mobil; Parkir Motor; Parkir Sepeda; Parkir Motor &amp; Sepeda"/>
    <x v="235"/>
    <s v="Rp1.370.000"/>
    <x v="10"/>
    <d v="1899-12-30T04:05:00"/>
    <x v="0"/>
    <m/>
    <m/>
  </r>
  <r>
    <s v="Kost Komplek Batan Indah Tipe C Setu Tangerang Selata"/>
    <x v="2"/>
    <s v="Kecamatan Setu"/>
    <n v="9"/>
    <s v="3 x 3 meter"/>
    <s v="Termasuk listrik (implied)"/>
    <s v=""/>
    <s v="N/A"/>
    <s v="3 x 3 meter; Termasuk listrik; AC; Kasur; Meja; Lemari Baju; Ventilasi; Bantal; Guling; Jendela; Kursi; Kloset Jongkok; K. Mandi Luar; Ember mandi; Shower; Bak mandi; WiFi; Kulkas; R. Cuci; R. Tamu; R. Jemur; Dapur; Balcon; CCTV; Jemuran; Pengurus Kos; Parkir Motor &amp; Sepeda"/>
    <x v="1"/>
    <s v="Rp1.100.000"/>
    <x v="0"/>
    <m/>
    <x v="2"/>
    <m/>
    <m/>
  </r>
  <r>
    <s v="Kost Komplek Deplu Larangan Tangerang"/>
    <x v="6"/>
    <s v="Larangan"/>
    <n v="16"/>
    <s v="4 x 4 meter"/>
    <s v="Tidak termasuk listrik"/>
    <s v=""/>
    <s v="N/A"/>
    <s v="4 x 4 meter; Tidak termasuk listrik; AC; Kasur; Meja; Lemari Baju; Ventilasi; Bantal; Jendela; K. Mandi Dalam; Kloset Duduk; K. Mandi Luar; Shower; WiFi; Kulkas; R. Tamu; Penjaga Kos; R. Jemur; R. Makan; Dapur; CCTV; Jemuran; Parkir Mobil; Parkir Motor; Parkir Sepeda"/>
    <x v="23"/>
    <s v="Rp1.200.000"/>
    <x v="10"/>
    <d v="1899-12-30T04:05:00"/>
    <x v="0"/>
    <m/>
    <s v="Diskon 104rb"/>
  </r>
  <r>
    <s v="Kost Kontrak Madani Tipe A Cipayung Depok"/>
    <x v="1"/>
    <s v="Cipayung"/>
    <n v="20"/>
    <s v="4 x 5 meter"/>
    <s v="Tidak termasuk listrik"/>
    <s v=""/>
    <s v="N/A"/>
    <s v="4 x 5 meter; Tidak termasuk listrik; Kasur; Lemari Baju; Dapur Pribadi; Jendela; Bantal; Wastafel; K. Mandi Dalam; Kloset Jongkok; WiFi; R. Jemur; Jemuran; Parkir Motor"/>
    <x v="236"/>
    <s v="Rp965.000"/>
    <x v="0"/>
    <m/>
    <x v="0"/>
    <m/>
    <m/>
  </r>
  <r>
    <s v="Kost Kopyor Barat Kelapa Gading Jakarta Utara"/>
    <x v="4"/>
    <s v="Kecamatan Kelapa Gading"/>
    <n v="9"/>
    <s v="3 x 3 meter"/>
    <s v="Tidak termasuk listrik"/>
    <s v=""/>
    <s v="N/A"/>
    <s v="3 x 3 meter; Tidak termasuk listrik; AC; Kasur; Meja; Lemari Baju; Kursi; Wastafel; Bantal; Kloset Duduk; K. Mandi Luar; Shower; WiFi; Kulkas; Mesin Cuci; Dispenser; Dapur; TV; CCTV; Jemuran; Parkir Motor"/>
    <x v="11"/>
    <s v="Rp1.400.000"/>
    <x v="6"/>
    <d v="1899-12-30T04:06:00"/>
    <x v="1"/>
    <m/>
    <m/>
  </r>
  <r>
    <s v="Kost Kostzy Meadow Green Lippo Cikarang Selatan Bekasi"/>
    <x v="7"/>
    <s v="Cikarang Selatan"/>
    <n v="9.1"/>
    <s v="3.5 x 2.6 meter"/>
    <s v="Tidak termasuk listrik"/>
    <s v=""/>
    <s v="N/A"/>
    <s v="3.5 x 2.6 meter; Tidak termasuk listrik; AC; Kasur; Meja; Meja Rias; Lemari Baju; Bantal; Cermin; Kursi; microwave; K. Mandi Dalam; Kloset Duduk; Shower; WiFi; Kulkas; R. Jemur; R. Santai; Dapur; CCTV; Balcon; Pengurus Kos; Jemuran; Parkir Motor; Parkir Motor &amp; Sepeda"/>
    <x v="13"/>
    <s v="Rp1.600.000"/>
    <x v="0"/>
    <m/>
    <x v="2"/>
    <m/>
    <m/>
  </r>
  <r>
    <s v="Kost Kosy Tipe A Babakan Madang Bogor"/>
    <x v="0"/>
    <s v="Babakan Madang"/>
    <n v="12"/>
    <s v="3 x 4 meter"/>
    <s v="Termasuk listrik (implied)"/>
    <s v=""/>
    <s v="N/A"/>
    <s v="3 x 4 meter; Termasuk listrik; AC; Kasur; Meja; Lemari Baju; Ventilasi; Bantal; Cermin; Dapur Pribadi; Guling; Jendela; Kloset Duduk; K. Mandi Luar; Ember mandi; Shower; Air panas; WiFi; R. Cuci; Kulkas; Penjaga Kos; Laundry; Mesin Cuci; R. Tamu; R. Jemur; R. Makan; R. Santai; Parkir Mobil; Parkir Motor &amp; Sepeda"/>
    <x v="13"/>
    <s v="Rp1.600.000"/>
    <x v="0"/>
    <m/>
    <x v="0"/>
    <m/>
    <m/>
  </r>
  <r>
    <s v="Kost Kosy Tipe B Babakan Madang Bogor"/>
    <x v="0"/>
    <s v="Babakan Madang"/>
    <n v="12"/>
    <s v="3 x 4 meter"/>
    <s v="Termasuk listrik (implied)"/>
    <s v=""/>
    <s v="N/A"/>
    <s v="3 x 4 meter; Termasuk listrik; Kasur; Meja; Lemari Baju; Ventilasi; Bantal; Cermin; Dapur Pribadi; Guling; Jendela; Kipas Angin; Kloset Duduk; K. Mandi Luar; Shower; Air panas; Bak mandi; WiFi; R. Cuci; Penjaga Kos; Laundry; Mesin Cuci; R. Jemur; R. Santai; Dapur; CCTV; Jemuran; Parkir Mobil; Parkir Motor &amp; Sepeda"/>
    <x v="99"/>
    <s v="Rp900.000"/>
    <x v="0"/>
    <m/>
    <x v="0"/>
    <m/>
    <m/>
  </r>
  <r>
    <s v="Kost Kota Wisata Cibubur Cileungsi Bogor"/>
    <x v="0"/>
    <s v="Kecamatan Cileungsi"/>
    <n v="12"/>
    <s v="3 x 4 meter"/>
    <s v="Tidak termasuk listrik"/>
    <s v=""/>
    <s v="N/A"/>
    <s v="3 x 4 meter; Tidak termasuk listrik; AC; Kasur; Meja; Meja Rias; Lemari Baju; Ventilasi; Kursi; Bantal; Cermin; Jendela; Kloset Duduk; K. Mandi Luar; Wastafel; Shower; Air panas; WiFi; R. Cuci; Kulkas; R. Tamu; Penjaga Kos; Laundry; R. Jemur; R. Santai; Dapur; TV; Parkir Mobil; Parkir Motor; Parkir Sepeda"/>
    <x v="5"/>
    <s v="Rp1.350.000"/>
    <x v="3"/>
    <d v="1899-12-30T05:00:00"/>
    <x v="2"/>
    <m/>
    <m/>
  </r>
  <r>
    <s v="Kost Kpop Stan Sarmili Pondok Aren Tangerang Selatan"/>
    <x v="2"/>
    <s v="Pondok Aren"/>
    <n v="12"/>
    <s v="3 x 4 meter"/>
    <s v="Tidak termasuk listrik"/>
    <s v=""/>
    <s v="N/A"/>
    <s v="3 x 4 meter; Tidak termasuk listrik; Kasur; Meja; Lemari Baju; Kulkas; Ventilasi; Bantal; Cermin; Guling; Jendela; Kipas Angin; K. Mandi Dalam; Kloset Jongkok; Ember mandi; WiFi; Dapur; Jemuran; Parkir Motor"/>
    <x v="2"/>
    <s v="Rp700.000"/>
    <x v="2"/>
    <d v="1899-12-30T04:08:00"/>
    <x v="2"/>
    <m/>
    <m/>
  </r>
  <r>
    <s v="Kost Kristal Garden Cibinong Bogor"/>
    <x v="0"/>
    <s v="Cibinong"/>
    <n v="12"/>
    <s v="3 x 4 meter"/>
    <s v="Tidak termasuk listrik"/>
    <s v=""/>
    <s v="N/A"/>
    <s v="3 x 4 meter; Tidak termasuk listrik; AC; Kasur; Meja; Lemari Baju; Ventilasi; Kursi; Bantal; Cermin; Guling; Jendela; Kloset Duduk; K. Mandi Luar; Wastafel; Ember mandi; WiFi; R. Tamu; R. Makan; R. Jemur; Dapur; Dispenser; TV; Taman; Jemuran"/>
    <x v="3"/>
    <s v="Rp1.500.000"/>
    <x v="0"/>
    <m/>
    <x v="1"/>
    <m/>
    <m/>
  </r>
  <r>
    <s v="Kost Ku Cikarang Selatan Bekasi"/>
    <x v="7"/>
    <s v="Cikarang Selatan"/>
    <n v="12"/>
    <s v="3 x 4 meter"/>
    <s v="Tidak termasuk listrik"/>
    <s v=""/>
    <s v="N/A"/>
    <s v="3 x 4 meter; Tidak termasuk listrik; AC; Kasur; Meja; Meja Rias; Ventilasi; Bantal; Cermin; Dapur Pribadi; Guling; Jendela; K. Mandi Dalam; Kloset Duduk; Ember mandi; Shower; WiFi; Kulkas; R. Tamu; R. Jemur; R. Makan; R. Santai; Balcon; CCTV; Jemuran; Kartu Akses; Parkir Mobil; Parkir Motor"/>
    <x v="13"/>
    <s v="Rp1.600.000"/>
    <x v="0"/>
    <m/>
    <x v="2"/>
    <m/>
    <m/>
  </r>
  <r>
    <s v="Kost L 2 VVIP Cikarang Pusat Bekasi"/>
    <x v="7"/>
    <s v="Kecamatan Cikarang Pusat"/>
    <n v="21"/>
    <s v="3 x 7 meter"/>
    <s v="Tidak termasuk listrik"/>
    <s v=""/>
    <s v="N/A"/>
    <s v="3 x 7 meter; Tidak termasuk listrik; AC; Kasur; Lemari Baju; Ventilasi; Bantal; Dapur Pribadi; Guling; Jendela; K. Mandi Dalam; Kloset Duduk; Shower; Air panas; WiFi; R. Cuci; Mesin Cuci; R. Jemur; R. Santai; Balcon; Jemuran; Pengurus Kos; Parkir Mobil; Parkir Motor; Parkir Sepeda"/>
    <x v="89"/>
    <s v="Rp1.900.000"/>
    <x v="0"/>
    <m/>
    <x v="2"/>
    <m/>
    <m/>
  </r>
  <r>
    <s v="Kost L1 Tipe A Periuk Tangerang"/>
    <x v="6"/>
    <s v="Kecamatan Periuk"/>
    <n v="9"/>
    <s v="3 x 3 meter"/>
    <s v="Tidak termasuk listrik"/>
    <s v=""/>
    <s v="N/A"/>
    <s v="3 x 3 meter; Tidak termasuk listrik; AC; Kasur; Meja; Lemari Baju; Bantal; Cermin; Cleaning service; Kursi; K. Mandi Dalam; Kloset Duduk; Kloset Jongkok; K. Mandi Luar; Ember mandi; Shower; WiFi; Dapur; Dispenser; Parkir Motor; Parkir Sepeda"/>
    <x v="1"/>
    <s v="Rp1.100.000"/>
    <x v="0"/>
    <m/>
    <x v="1"/>
    <m/>
    <m/>
  </r>
  <r>
    <s v="Kost Lamdis VVIP Citeureup Bogor"/>
    <x v="0"/>
    <s v="Citeureup"/>
    <n v="12"/>
    <s v="3 x 4 meter"/>
    <s v="Tidak termasuk listrik"/>
    <s v=""/>
    <s v="N/A"/>
    <s v="3 x 4 meter; Tidak termasuk listrik; AC; Kasur; Meja; Lemari Baju; Ventilasi; Bantal; Cermin; Guling; Jendela; Kloset Duduk; Kloset Jongkok; K. Mandi Luar; Ember mandi; Shower; Bak mandi; WiFi; Kulkas; Penjaga Kos; R. Tamu; R. Jemur; R. Makan; R. Santai; Dapur; Dispenser; Balcon; Parkir Motor; Parkir Sepeda"/>
    <x v="23"/>
    <s v="Rp1.200.000"/>
    <x v="0"/>
    <m/>
    <x v="2"/>
    <m/>
    <m/>
  </r>
  <r>
    <s v="Kost Laris Mulya Babelan Bekasi"/>
    <x v="7"/>
    <s v="Babelan"/>
    <n v="20"/>
    <s v="5 x 4 meter"/>
    <s v="Tidak termasuk listrik"/>
    <s v=""/>
    <s v="N/A"/>
    <s v="5 x 4 meter; Tidak termasuk listrik; Ventilasi; Jendela; K. Mandi Dalam; R. Jemur; Jemuran; Parkir Motor"/>
    <x v="31"/>
    <s v="Rp600.000"/>
    <x v="0"/>
    <m/>
    <x v="0"/>
    <m/>
    <m/>
  </r>
  <r>
    <s v="Kost Lavender Living Duri Kosambi Deluxe Room Cengkareng Jakarta Barat"/>
    <x v="3"/>
    <s v="Kecamatan Cengkareng"/>
    <n v="9"/>
    <s v="3 x 3 meter"/>
    <s v="Tidak termasuk listrik"/>
    <s v=""/>
    <s v="N/A"/>
    <s v="3 x 3 meter; Tidak termasuk listrik; AC; Kasur; Meja; Meja Rias; Lemari Baju; Bantal; Cermin; Guling; Jendela; Kursi; K. Mandi Dalam; Kloset Duduk; Ember mandi; Shower; WiFi; Kulkas; R. Cuci; Laundry; Mesin Cuci; Penjaga Kos; R. Tamu; R. Santai; Dapur; Dispenser; Parkir Motor; Parkir Sepeda; Parkir Motor &amp; Sepeda"/>
    <x v="22"/>
    <s v="Rp2.500.000"/>
    <x v="0"/>
    <m/>
    <x v="0"/>
    <m/>
    <m/>
  </r>
  <r>
    <s v="Kost Lavin Tangcity Tipe Single Tangerang"/>
    <x v="6"/>
    <s v="Kecamatan Tangerang"/>
    <n v="9"/>
    <s v="3 x 3 meter"/>
    <s v="Tidak termasuk listrik"/>
    <s v=""/>
    <s v="N/A"/>
    <s v="3 x 3 meter; Tidak termasuk listrik; AC; Kasur; Meja; TV; Lemari Baju; Ventilasi; Bantal; Cermin; Cleaning service; Guling; K. Mandi Dalam; Kloset Duduk; Shower; Air panas; WiFi; Kulkas; R. Cuci; Mushola; R. Jemur; R. Makan; R. Santai; Dapur; Dispenser; Balcon; Parkir Mobil; Parkir Motor; Parkir Sepeda"/>
    <x v="22"/>
    <s v="Rp2.500.000"/>
    <x v="0"/>
    <m/>
    <x v="0"/>
    <m/>
    <m/>
  </r>
  <r>
    <s v="Kost Lavira Tipe B Pinang Tangerang"/>
    <x v="6"/>
    <s v="Pinang"/>
    <n v="24"/>
    <s v="4 x 6 meter"/>
    <s v="Tidak termasuk listrik"/>
    <s v=""/>
    <s v="N/A"/>
    <s v="4 x 6 meter; Tidak termasuk listrik; Kasur; Meja; Lemari Baju; Ventilasi; Kipas Angin; Bantal; Guling; Jendela; Cermin; K. Mandi Dalam; Kloset Duduk; Kloset Jongkok; Ember mandi; WiFi; Kulkas; R. Jemur; R. Santai; Dapur; Balcon; Pengurus Kos; Jemuran; Parkir Motor; Parkir Sepeda"/>
    <x v="43"/>
    <s v="Rp925.000"/>
    <x v="5"/>
    <d v="1899-12-30T04:00:00"/>
    <x v="2"/>
    <m/>
    <m/>
  </r>
  <r>
    <s v="Kost Le Paseban Superior Senen Jakarta Pusat"/>
    <x v="9"/>
    <s v="Kecamatan Senen"/>
    <n v="9"/>
    <s v="3 x 3 meter"/>
    <s v="Tidak termasuk listrik"/>
    <s v=""/>
    <s v="N/A"/>
    <s v="3 x 3 meter; Tidak termasuk listrik; AC; Kasur; Meja; TV; Kulkas; Lemari Baju; Ventilasi; Bantal; Cermin; Cleaning service; K. Mandi Dalam; Kloset Duduk; Wastafel; Shower; Air panas; WiFi; R. Cuci; Mesin Cuci; Penjaga Kos; R. Tamu; R. Jemur; R. Santai; Dapur; Dispenser; Parkir Motor"/>
    <x v="237"/>
    <s v="Rp2.999.000"/>
    <x v="2"/>
    <d v="1899-12-30T04:08:00"/>
    <x v="0"/>
    <m/>
    <s v="Diskon 150rb"/>
  </r>
  <r>
    <s v="Kost Lee's Tanjung Priok Jakarta Utara"/>
    <x v="4"/>
    <s v="Tanjung Priok"/>
    <n v="6"/>
    <s v="2 x 3 meter"/>
    <s v="Tidak termasuk listrik"/>
    <s v=""/>
    <s v="N/A"/>
    <s v="2 x 3 meter; Tidak termasuk listrik; Kasur; Lemari Baju; Ventilasi; Jendela; K. Mandi Dalam; Kloset Duduk; Shower; WiFi; Kulkas; Penjaga Kos; R. Jemur; Dapur; Kartu Akses; Balcon; K. Mandi Luar; Pengurus Kos; Parkir Motor; Parkir Sepeda"/>
    <x v="1"/>
    <s v="Rp1.100.000"/>
    <x v="6"/>
    <d v="1899-12-30T04:06:00"/>
    <x v="0"/>
    <m/>
    <m/>
  </r>
  <r>
    <s v="Kost Legenda Tipe A Cikarang Utara Bekasi"/>
    <x v="7"/>
    <s v="Kecamatan Cikarang Utara"/>
    <n v="48"/>
    <s v="6 x 8 meter"/>
    <s v="Tidak termasuk listrik"/>
    <s v=""/>
    <s v="N/A"/>
    <s v="6 x 8 meter; Tidak termasuk listrik; AC; Kasur; Meja; Lemari Baju; Bantal; Cermin; Jendela; Kursi; K. Mandi Dalam; Kloset Jongkok; Ember mandi; Shower; WiFi; Kulkas; R. Cuci; Mesin Cuci; R. Jemur; R. Makan; Dapur; CCTV; Jemuran; Parkir Motor; Parkir Sepeda; Parkir Motor &amp; Sepeda"/>
    <x v="89"/>
    <s v="Rp1.900.000"/>
    <x v="0"/>
    <m/>
    <x v="0"/>
    <m/>
    <m/>
  </r>
  <r>
    <s v="Kost Legenda Tipe B Cikarang Utara Bekasi"/>
    <x v="7"/>
    <s v="Kecamatan Cikarang Utara"/>
    <n v="12"/>
    <s v="3 x 4 meter"/>
    <s v="Tidak termasuk listrik"/>
    <s v=""/>
    <s v="N/A"/>
    <s v="3 x 4 meter; Tidak termasuk listrik; AC; Kasur; Meja; Lemari Baju; Bantal; Jendela; Kursi; K. Mandi Dalam; Kloset Jongkok; Ember mandi; Shower; WiFi; Kulkas; R. Cuci; Mesin Cuci; R. Jemur; R. Makan; Dapur; CCTV; Jemuran; Parkir Motor; Parkir Sepeda; Parkir Motor &amp; Sepeda"/>
    <x v="18"/>
    <s v="Rp1.300.000"/>
    <x v="6"/>
    <d v="1899-12-30T04:06:00"/>
    <x v="0"/>
    <m/>
    <m/>
  </r>
  <r>
    <s v="Kost Legenda Tipe C Cikarang Utara Bekasi"/>
    <x v="7"/>
    <s v="Kecamatan Cikarang Utara"/>
    <n v="12"/>
    <s v="3 x 4 meter"/>
    <s v="Tidak termasuk listrik"/>
    <s v=""/>
    <s v="N/A"/>
    <s v="3 x 4 meter; Tidak termasuk listrik; Kasur; Meja; Lemari Baju; Bantal; Cermin; Guling; Jendela; Kipas Angin; Kursi; K. Mandi Dalam; Kloset Jongkok; Ember mandi; Shower; WiFi; Kulkas; R. Cuci; Mesin Cuci; R. Jemur; R. Makan; Dapur; CCTV; Jemuran; Parkir Motor; Parkir Sepeda; Parkir Motor &amp; Sepeda"/>
    <x v="99"/>
    <s v="Rp900.000"/>
    <x v="0"/>
    <m/>
    <x v="0"/>
    <m/>
    <m/>
  </r>
  <r>
    <s v="Kost Lenny Tipe B Kelapa Gading Jakarta Utara"/>
    <x v="4"/>
    <s v="Kecamatan Kelapa Gading"/>
    <n v="12"/>
    <s v="4 x 3 meter"/>
    <s v="Tidak termasuk listrik"/>
    <s v=""/>
    <s v="N/A"/>
    <s v="4 x 3 meter; Tidak termasuk listrik; AC; Kasur; TV; Lemari Baju; Cleaning service; K. Mandi Dalam; Kloset Duduk; Shower; Air panas; WiFi; Kulkas; R. Tamu; R. Makan; Dapur; Locker"/>
    <x v="4"/>
    <s v="Rp2.200.000"/>
    <x v="0"/>
    <m/>
    <x v="1"/>
    <m/>
    <m/>
  </r>
  <r>
    <s v="Kost Leo Kelapa Gading Jakarta Utara"/>
    <x v="4"/>
    <s v="Kelapa Gading"/>
    <n v="9"/>
    <s v="3 x 3 meter"/>
    <s v="Tidak termasuk listrik"/>
    <s v=""/>
    <s v="N/A"/>
    <s v="3 x 3 meter; Tidak termasuk listrik; AC; Kasur; Meja; Dispenser; Lemari Baju; Kursi; Bantal; Kloset Duduk; K. Mandi Luar; Wastafel; Shower; WiFi"/>
    <x v="3"/>
    <s v="Rp1.500.000"/>
    <x v="8"/>
    <d v="1899-12-30T04:09:00"/>
    <x v="0"/>
    <m/>
    <m/>
  </r>
  <r>
    <s v="Kost Lermanmora Tipe C Cikarang Selatan"/>
    <x v="7"/>
    <s v="Cikarang Selatan"/>
    <n v="6"/>
    <s v="2.5 x 2.4 meter"/>
    <s v="Tidak termasuk listrik"/>
    <s v=""/>
    <s v="N/A"/>
    <s v="2.5 x 2.4 meter; Tidak termasuk listrik; AC; Kasur; Lemari Baju; K. Mandi Dalam; Kloset Duduk; Ember mandi; Shower; WiFi; R. Cuci; Kulkas; R. Tamu; R. Makan; R. Jemur; R. Santai; Dapur; TV; R. Keluarga; Parkir Mobil; Parkir Motor; Parkir Sepeda"/>
    <x v="23"/>
    <s v="Rp1.200.000"/>
    <x v="3"/>
    <d v="1899-12-30T05:00:00"/>
    <x v="0"/>
    <m/>
    <m/>
  </r>
  <r>
    <s v="Kost Lestari Vip Kelapa Gading Jakarta Utara"/>
    <x v="4"/>
    <s v="Kecamatan Kelapa Gading"/>
    <n v="9"/>
    <s v="3 x 3 meter"/>
    <s v="Termasuk listrik (implied)"/>
    <s v=""/>
    <s v="N/A"/>
    <s v="3 x 3 meter; Termasuk listrik; AC; Meja; Lemari Baju; Jendela; Kursi; Kloset Duduk; Wastafel; Shower; Air panas; WiFi; Penjaga Kos; R. Makan; Dapur; K. Mandi Luar; Parkir Motor"/>
    <x v="163"/>
    <s v="Rp1.700.000"/>
    <x v="8"/>
    <d v="1899-12-30T04:09:00"/>
    <x v="0"/>
    <m/>
    <m/>
  </r>
  <r>
    <s v="Kost Lexie House Pondok Aren Tangerang Selatan"/>
    <x v="2"/>
    <s v="Pondok Aren"/>
    <n v="12"/>
    <s v="3 x 4 meter"/>
    <s v="Tidak termasuk listrik"/>
    <s v=""/>
    <s v="N/A"/>
    <s v="3 x 4 meter; Tidak termasuk listrik; AC; Kasur; Meja; Lemari Baju; Ventilasi; Kursi; Bantal; Guling; K. Mandi Dalam; Kloset Jongkok; Ember mandi; Shower; WiFi; Kulkas; R. Tamu; Penjaga Kos; R. Jemur; R. Santai; Dapur; TV; Pengurus Kos; Jemuran; Parkir Motor; Parkir Sepeda"/>
    <x v="28"/>
    <s v="Rp1.000.000"/>
    <x v="0"/>
    <m/>
    <x v="1"/>
    <m/>
    <m/>
  </r>
  <r>
    <s v="Kost Lily Tipe C Cibinong Bogor"/>
    <x v="0"/>
    <s v="Cibinong"/>
    <n v="12"/>
    <s v="3 x 4 meter"/>
    <s v="Termasuk listrik (implied)"/>
    <s v=""/>
    <s v="N/A"/>
    <s v="3 x 4 meter; Termasuk listrik; Kasur; Lemari Baju; Ventilasi; Bantal; Dapur Pribadi; Guling; Jendela; Kipas Angin; Wastafel; K. Mandi Dalam; Kloset Jongkok; Ember mandi; Bak mandi; Dapur; Jemuran; Jual Makanan; Parkir Motor; Parkir Sepeda"/>
    <x v="17"/>
    <s v="Rp650.000"/>
    <x v="0"/>
    <m/>
    <x v="2"/>
    <m/>
    <m/>
  </r>
  <r>
    <s v="Kost Lilyk Sugito Tipe Standart Cikarang Selatan Bekasi"/>
    <x v="7"/>
    <s v="Cikarang Selatan"/>
    <n v="9"/>
    <s v="3 x 3 meter"/>
    <s v="Tidak termasuk listrik"/>
    <s v=""/>
    <s v="N/A"/>
    <s v="3 x 3 meter; Tidak termasuk listrik; AC; Kasur; Lemari Baju; Kulkas; Cleaning service; K. Mandi Dalam; Kloset Duduk; Shower; WiFi; Laundry; Balcon; Parkir Mobil; Parkir Motor; Parkir Sepeda"/>
    <x v="11"/>
    <s v="Rp1.400.000"/>
    <x v="3"/>
    <d v="1899-12-30T05:00:00"/>
    <x v="0"/>
    <m/>
    <m/>
  </r>
  <r>
    <s v="Kost Limoti Neglasari Tangerang"/>
    <x v="6"/>
    <s v="Kecamatan Neglasari"/>
    <n v="16"/>
    <s v="4 x 4 meter"/>
    <s v="Tidak termasuk listrik"/>
    <s v=""/>
    <s v="N/A"/>
    <s v="4 x 4 meter; Tidak termasuk listrik; AC; Kasur; Meja; TV; Lemari Baju; Kulkas; Ventilasi; Kursi; Wastafel; Bantal; K. Mandi Dalam; Kloset Duduk; Ember mandi; Shower; Air panas; R. Tamu; Laundry; Penjaga Kos; R. Makan; R. Jemur; Dapur; Dispenser; CCTV; Jual Makanan; Parkir Mobil; Parkir Motor; Parkir Sepeda"/>
    <x v="28"/>
    <s v="Rp1.000.000"/>
    <x v="0"/>
    <m/>
    <x v="0"/>
    <m/>
    <m/>
  </r>
  <r>
    <s v="Kost Limus Pratama Living Deluxe Cileungsi Bogor"/>
    <x v="0"/>
    <s v="Kecamatan Cileungsi"/>
    <n v="14"/>
    <s v="3.5 x 4 meter"/>
    <s v="Tidak termasuk listrik"/>
    <s v=""/>
    <s v="N/A"/>
    <s v="3.5 x 4 meter; Tidak termasuk listrik; AC; Kasur; Dispenser; Meja; TV; Kulkas; Lemari Baju; Ventilasi; Bantal; Cermin; K. Mandi Dalam; Kloset Duduk; Wastafel; Shower; Air panas; WiFi; Penjaga Kos; Dapur; CCTV; Kartu Akses; Pengurus Kos; Parkir Mobil; Parkir Motor; Parkir Sepeda; Parkir Motor &amp; Sepeda"/>
    <x v="238"/>
    <s v="Rp2.050.000"/>
    <x v="0"/>
    <m/>
    <x v="0"/>
    <m/>
    <m/>
  </r>
  <r>
    <s v="Kost Lingga Tipe A Cileungsi Bogor"/>
    <x v="0"/>
    <s v="Cileungsi"/>
    <n v="12"/>
    <s v="3 x 4 meter"/>
    <s v="Termasuk listrik (implied)"/>
    <s v=""/>
    <s v="N/A"/>
    <s v="3 x 4 meter; Termasuk listrik; Kasur; Meja; Lemari Baju; Ventilasi; Bantal; Guling; Jendela; Kursi; Kipas Angin; K. Mandi Dalam; Kloset Duduk; Ember mandi; WiFi; Dapur; CCTV; Jemuran; Pengurus Kos; Parkir Motor; Parkir Sepeda"/>
    <x v="28"/>
    <s v="Rp1.000.000"/>
    <x v="0"/>
    <m/>
    <x v="0"/>
    <m/>
    <m/>
  </r>
  <r>
    <s v="Kost Lippo Cikarang Mm Tazko Tipe A Cikarang Selatan Bekasi"/>
    <x v="7"/>
    <s v="Cikarang Selatan"/>
    <n v="12"/>
    <s v="3 x 4 meter"/>
    <s v="Tidak termasuk listrik"/>
    <s v=""/>
    <s v="N/A"/>
    <s v="3 x 4 meter; Tidak termasuk listrik; AC; Kasur; Meja Rias; Lemari Baju; Ventilasi; Bantal; Cermin; Guling; Jendela; Kursi; K. Mandi Dalam; Kloset Duduk; Ember mandi; WiFi; Kulkas; Mesin Cuci; R. Jemur; R. Makan; Dapur; Dispenser; Jemuran; Pengurus Kos; Rooftop; Parkir Mobil; Parkir Motor"/>
    <x v="167"/>
    <s v="Rp1.550.000"/>
    <x v="0"/>
    <m/>
    <x v="2"/>
    <m/>
    <m/>
  </r>
  <r>
    <s v="Kost Lippo Meadow Green Tipe A Cikarang Selatan Bekasi"/>
    <x v="7"/>
    <s v="Cikarang Selatan"/>
    <n v="7.5"/>
    <s v="3 x 2.5 meter"/>
    <s v="Tidak termasuk listrik"/>
    <s v=""/>
    <s v="N/A"/>
    <s v="3 x 2.5 meter; Tidak termasuk listrik; Dispenser; K. Mandi Luar; R. Cuci; R. Tamu; R. Jemur; R. Santai; Dapur; CCTV; Pengurus Kos; Parkir Mobil; Parkir Motor"/>
    <x v="12"/>
    <s v="Rp850.000"/>
    <x v="3"/>
    <d v="1899-12-30T05:00:00"/>
    <x v="0"/>
    <m/>
    <m/>
  </r>
  <r>
    <s v="Kost Living Plus 2 Pulo Gadung Jakarta Timur"/>
    <x v="8"/>
    <s v="Kecamatan Pulo Gadung"/>
    <n v="12"/>
    <s v="3 x 4 meter"/>
    <s v="Tidak termasuk listrik"/>
    <s v=""/>
    <s v="N/A"/>
    <s v="3 x 4 meter; Tidak termasuk listrik; AC; Kasur; Lemari Baju; Dapur Pribadi; Jendela; Wastafel; K. Mandi Dalam; Kloset Duduk; Shower; Dapur; Jemuran; CCTV; Parkir Motor &amp; Sepeda"/>
    <x v="13"/>
    <s v="Rp1.600.000"/>
    <x v="8"/>
    <d v="1899-12-30T04:09:00"/>
    <x v="0"/>
    <m/>
    <s v="Diskon 170rb"/>
  </r>
  <r>
    <s v="Kost Living Plus Kasuari Cikarang Utara Bekasi"/>
    <x v="7"/>
    <s v="Kecamatan Cikarang Utara"/>
    <n v="12"/>
    <s v="3 x 4 meter"/>
    <s v="Tidak termasuk listrik"/>
    <s v=""/>
    <s v="N/A"/>
    <s v="3 x 4 meter; Tidak termasuk listrik; AC; Kasur; Meja; TV; Lemari Baju; Bantal; Cermin; Kursi; Guling; K. Mandi Dalam; Kloset Duduk; Shower; WiFi; Kulkas; R. Tamu; R. Jemur; Dapur; Dispenser; CCTV; Jemuran; Pengurus Kos; Parkir Motor; Parkir Sepeda; Parkir Motor &amp; Sepeda"/>
    <x v="3"/>
    <s v="Rp1.500.000"/>
    <x v="0"/>
    <m/>
    <x v="2"/>
    <m/>
    <m/>
  </r>
  <r>
    <s v="Kost Living Plus Tawakal Tipe B Grogol petamburan Jakarta Barat"/>
    <x v="3"/>
    <s v="Kecamatan Grogol petamburan"/>
    <n v="12"/>
    <s v="4 x 3 meter"/>
    <s v="Tidak termasuk listrik"/>
    <s v=""/>
    <s v="N/A"/>
    <s v="4 x 3 meter; Tidak termasuk listrik; AC; Kasur; Meja; Lemari Baju; Bantal; Guling; Jendela; Kloset Duduk; Shower; Air panas; WiFi; Jemuran; Rooftop; Parkir Motor &amp; Sepeda"/>
    <x v="18"/>
    <s v="Rp1.300.000"/>
    <x v="6"/>
    <d v="1899-12-30T04:06:00"/>
    <x v="0"/>
    <m/>
    <s v="Diskon 112rb"/>
  </r>
  <r>
    <s v="Kost Logo Residence Tipe Standar Kebayoran Baru Jakarta Selatan"/>
    <x v="5"/>
    <s v="Kebayoran Baru"/>
    <n v="15"/>
    <s v="5 x 3 meter"/>
    <s v="Tidak termasuk listrik"/>
    <s v=""/>
    <s v="N/A"/>
    <s v="5 x 3 meter; Tidak termasuk listrik; AC; Kasur; Meja; TV; Lemari Baju; Kulkas; Cleaning service; Guling; TV Kabel; Wastafel; K. Mandi Dalam; Kloset Duduk; Shower; Air panas; WiFi; R. Tamu; Laundry; Penjaga Kos; Mesin Cuci; R. Makan; R. Santai; Dispenser; Dapur; Parkir Mobil; Parkir Motor"/>
    <x v="7"/>
    <s v="Rp3.500.000"/>
    <x v="2"/>
    <d v="1899-12-30T04:08:00"/>
    <x v="0"/>
    <m/>
    <s v="Diskon 168rb"/>
  </r>
  <r>
    <s v="Kost Loka Asa Premium Karang Tengah Tangerang"/>
    <x v="6"/>
    <s v="Kecamatan Karang Tengah"/>
    <n v="12"/>
    <s v="3 x 4 meter"/>
    <s v="Tidak termasuk listrik"/>
    <s v=""/>
    <s v="N/A"/>
    <s v="3 x 4 meter; Tidak termasuk listrik; AC; Kasur; Dispenser; Meja; TV; Lemari Baju; Bantal; Cermin; Guling; Jendela; K. Mandi Dalam; Kloset Duduk; Ember mandi; Shower; Kulkas; R. Cuci; Mesin Cuci; R. Tamu; Mushola; R. Jemur; R. Makan; R. Santai; Dapur; Balcon; Parkir Motor"/>
    <x v="3"/>
    <s v="Rp1.500.000"/>
    <x v="0"/>
    <m/>
    <x v="0"/>
    <m/>
    <m/>
  </r>
  <r>
    <s v="Kost Lotus Pancoran Jakarta Selatan"/>
    <x v="5"/>
    <s v="Pancoran"/>
    <n v="9"/>
    <s v="3 x 3 meter"/>
    <s v="Termasuk listrik (implied)"/>
    <s v=""/>
    <s v="N/A"/>
    <s v="3 x 3 meter; Termasuk listrik; AC; Kasur; Meja; Lemari Baju; Bantal; Cermin; Cleaning service; Jendela; K. Mandi Dalam; Kloset Duduk; Ember mandi; Shower; WiFi; Laundry; Penjaga Kos; R. Tamu; R. Santai; Dapur; Balcon; CCTV; Gazebo; Jemuran; Parkir Mobil; Parkir Motor; Parkir Sepeda"/>
    <x v="27"/>
    <s v="Rp2.000.000"/>
    <x v="6"/>
    <d v="1899-12-30T04:06:00"/>
    <x v="2"/>
    <m/>
    <s v="Diskon 96rb"/>
  </r>
  <r>
    <s v="Kost Lovina Neglasari Tangerang"/>
    <x v="6"/>
    <s v="Neglasari"/>
    <n v="6.25"/>
    <s v="2.5 x 2.5 meter"/>
    <s v="Termasuk listrik (implied)"/>
    <s v=""/>
    <s v="N/A"/>
    <s v="2.5 x 2.5 meter; Termasuk listrik; AC; Kasur; Lemari Baju; Bantal; Guling; K. Mandi Dalam; Kloset Jongkok; Ember mandi; Shower; WiFi; R. Cuci; Kulkas; R. Tamu; R. Jemur; R. Santai; Dapur; Dispenser; TV; Jemuran; Parkir Motor; Parkir Sepeda"/>
    <x v="21"/>
    <s v="Rp1.450.000"/>
    <x v="3"/>
    <d v="1899-12-30T05:00:00"/>
    <x v="0"/>
    <m/>
    <m/>
  </r>
  <r>
    <s v="Kost Luffy Sukaraja Bogor"/>
    <x v="0"/>
    <s v="Kecamatan Sukaraja"/>
    <n v="9"/>
    <s v="3 x 3 meter"/>
    <s v="Tidak termasuk listrik"/>
    <s v=""/>
    <s v="N/A"/>
    <s v="3 x 3 meter; Tidak termasuk listrik; Kasur; Lemari Baju; Ventilasi; Bantal; Guling; Jendela; K. Mandi Dalam; Kloset Jongkok; Ember mandi; WiFi; Laundry; Dapur; Pengurus Kos; Parkir Motor; Parkir Sepeda"/>
    <x v="10"/>
    <s v="Rp750.000"/>
    <x v="3"/>
    <d v="1899-12-30T05:00:00"/>
    <x v="2"/>
    <m/>
    <m/>
  </r>
  <r>
    <s v="Kost Luxury VIP Cilincing Jakarta Utara"/>
    <x v="4"/>
    <s v="Kecamatan Cilincing"/>
    <n v="9"/>
    <s v="3 x 3 meter"/>
    <s v="Tidak termasuk listrik"/>
    <s v=""/>
    <s v="N/A"/>
    <s v="3 x 3 meter; Tidak termasuk listrik; AC; Kasur; Meja; Lemari Baju; Bantal; Cermin; Cleaning service; Dapur Pribadi; Guling; Kursi; K. Mandi Dalam; Kloset Duduk; K. Mandi Luar; Shower; WiFi; R. Cuci; Penjaga Kos; R. Jemur; R. Makan; R. Santai; Dapur; Balcon; CCTV; Jemuran; Parkir Mobil; Parkir Motor; Parkir Sepeda; Parkir Motor &amp; Sepeda"/>
    <x v="3"/>
    <s v="Rp1.500.000"/>
    <x v="0"/>
    <m/>
    <x v="1"/>
    <m/>
    <m/>
  </r>
  <r>
    <s v="Kost M12 Tipe A Neglasari Tangerang"/>
    <x v="6"/>
    <s v="Kecamatan Neglasari"/>
    <n v="20"/>
    <s v="4 x 5 meter"/>
    <s v="Termasuk listrik (implied)"/>
    <s v=""/>
    <s v="N/A"/>
    <s v="4 x 5 meter; Termasuk listrik; AC; Kasur; Meja; TV; Meja Rias; Lemari Baju; Ventilasi; Bantal; Cermin; Guling; K. Mandi Dalam; Kloset Jongkok; K. Mandi Luar; Ember mandi; Bak mandi; WiFi; Kulkas; R. Cuci; R. Tamu; R. Jemur; R. Makan; R. Santai; Dapur; Dispenser; Balcon; Parkir Mobil; Parkir Motor; Parkir Sepeda"/>
    <x v="23"/>
    <s v="Rp1.200.000"/>
    <x v="0"/>
    <m/>
    <x v="2"/>
    <m/>
    <m/>
  </r>
  <r>
    <s v="Kost Madame Huis Deluxe Room Pancoran Mas Depok"/>
    <x v="1"/>
    <s v="Pancoran Mas"/>
    <n v="9"/>
    <s v="3 x 3 meter"/>
    <s v="Termasuk listrik (implied)"/>
    <s v=""/>
    <s v="N/A"/>
    <s v="3 x 3 meter; Termasuk listrik; AC; Kasur; Meja; Kulkas; Lemari Baju; Bantal; Cermin; Jendela; Kursi; K. Mandi Dalam; Kloset Duduk; Shower; Penjaga Kos; R. Tamu; R. Jemur; R. Santai; Dapur; Dispenser; CCTV; Jemuran; TV; Parkir Motor"/>
    <x v="170"/>
    <s v="Rp2.250.000"/>
    <x v="3"/>
    <d v="1899-12-30T05:00:00"/>
    <x v="2"/>
    <m/>
    <m/>
  </r>
  <r>
    <s v="Kost Madame Huis Standard Room Pancoran Mas Depok"/>
    <x v="1"/>
    <s v="Kecamatan Pancoran Mas"/>
    <n v="9"/>
    <s v="3 x 3 meter"/>
    <s v="Termasuk listrik (implied)"/>
    <s v=""/>
    <s v="N/A"/>
    <s v="3 x 3 meter; Termasuk listrik; AC; Kasur; Meja; Kulkas; Lemari Baju; Ventilasi; Bantal; Cermin; Jendela; Kursi; Kloset Duduk; K. Mandi Luar; Shower; Penjaga Kos; R. Tamu; R. Jemur; R. Santai; Dapur; Dispenser; CCTV; Jemuran; TV; Parkir Motor"/>
    <x v="166"/>
    <s v="Rp1.750.000"/>
    <x v="3"/>
    <d v="1899-12-30T05:00:00"/>
    <x v="2"/>
    <m/>
    <m/>
  </r>
  <r>
    <s v="Kost Madrasah Tipe C Pangkalan Jati Cinere Depok"/>
    <x v="1"/>
    <s v="Cinere"/>
    <n v="18"/>
    <s v="3 x 6 meter"/>
    <s v="Tidak termasuk listrik"/>
    <s v=""/>
    <s v="N/A"/>
    <s v="3 x 6 meter; Tidak termasuk listrik; Kasur; Wastafel; Kipas Angin; K. Mandi Dalam; Kloset Jongkok; Ember mandi; R. Jemur; R. Santai; Dapur; Parkir Motor; Parkir Sepeda"/>
    <x v="13"/>
    <s v="Rp1.600.000"/>
    <x v="5"/>
    <d v="1899-12-30T04:00:00"/>
    <x v="0"/>
    <m/>
    <m/>
  </r>
  <r>
    <s v="Kost Maesa Sumur Batu Jakarta Pusat"/>
    <x v="9"/>
    <s v="Kemayoran"/>
    <n v="10.5"/>
    <s v="3 x 3.5 meter"/>
    <s v="Termasuk listrik (implied)"/>
    <s v=""/>
    <s v="N/A"/>
    <s v="3 x 3.5 meter; Termasuk listrik; Kasur; Meja; Lemari Baju; Kursi; Kipas Angin; Bantal; Guling; Cermin; Wastafel; Kloset Duduk; Kloset Jongkok; K. Mandi Luar; Ember mandi; Shower; WiFi; R. Cuci; R. Tamu; R. Jemur; R. Santai; Taman; Balcon; Jemuran; CCTV; Gazebo; Parkir Motor"/>
    <x v="18"/>
    <s v="Rp1.300.000"/>
    <x v="8"/>
    <d v="1899-12-30T04:09:00"/>
    <x v="0"/>
    <m/>
    <s v="Diskon 96rb"/>
  </r>
  <r>
    <s v="Kost Magnolia Tipe A Cipondoh Tangerang"/>
    <x v="6"/>
    <s v="Cipondoh"/>
    <n v="12"/>
    <s v="3 x 4 meter"/>
    <s v="Termasuk listrik (implied)"/>
    <s v=""/>
    <s v="N/A"/>
    <s v="3 x 4 meter; Termasuk listrik; AC; Kasur; Meja; Lemari Baju; Ventilasi; Cermin; Jendela; Kursi; Kloset Duduk; K. Mandi Luar; Wastafel; Shower; Air panas; WiFi; R. Tamu; R. Makan; R. Jemur; Dapur; Taman; CCTV; Jemuran; Parkir Mobil; Parkir Motor; Parkir Sepeda; Parkir Motor &amp; Sepeda"/>
    <x v="4"/>
    <s v="Rp2.200.000"/>
    <x v="0"/>
    <m/>
    <x v="0"/>
    <m/>
    <m/>
  </r>
  <r>
    <s v="Kost Magnolia Tipe B Cipondoh Tangerang"/>
    <x v="6"/>
    <s v="Cipondoh"/>
    <n v="9"/>
    <s v="3 x 3 meter"/>
    <s v="Termasuk listrik (implied)"/>
    <s v=""/>
    <s v="N/A"/>
    <s v="3 x 3 meter; Termasuk listrik; AC; Kasur; Meja; Lemari Baju; Ventilasi; Bantal; Cermin; Guling; Jendela; Kursi; Kloset Duduk; K. Mandi Luar; Wastafel; Shower; WiFi; R. Tamu; R. Makan; R. Jemur; R. Santai; Dapur; CCTV; Jemuran; R. Keluarga; Parkir Motor; Parkir Sepeda; Parkir Motor &amp; Sepeda"/>
    <x v="27"/>
    <s v="Rp2.000.000"/>
    <x v="3"/>
    <d v="1899-12-30T05:00:00"/>
    <x v="0"/>
    <m/>
    <s v="Diskon 101rb"/>
  </r>
  <r>
    <s v="Kost Maharani Tipe A Serpong Utara Tangerang Selatan"/>
    <x v="2"/>
    <s v="Kecamatan Serpong Utara"/>
    <n v="9"/>
    <s v="3 x 3 meter"/>
    <s v="Termasuk listrik (implied)"/>
    <s v=""/>
    <s v="N/A"/>
    <s v="3 x 3 meter; Termasuk listrik; AC; Kasur; Meja; Lemari Baju; Bantal; Cermin; Kursi; Kloset Duduk; K. Mandi Luar; Wastafel; Shower; WiFi; Kulkas; Dapur; Dispenser; CCTV; Pengurus Kos; Parkir Mobil; Parkir Motor"/>
    <x v="20"/>
    <s v="Rp1.250.000"/>
    <x v="0"/>
    <m/>
    <x v="2"/>
    <m/>
    <m/>
  </r>
  <r>
    <s v="Kost Mahardhika Perumnas 1 Tipe A Cibodas Tangerang"/>
    <x v="6"/>
    <s v="Kecamatan Cibodas"/>
    <n v="13.5"/>
    <s v="3 x 4.5 meter"/>
    <s v="Termasuk listrik (implied)"/>
    <s v=""/>
    <s v="N/A"/>
    <s v="3 x 4.5 meter; Termasuk listrik; Kasur; Lemari Baju; Cleaning service; K. Mandi Dalam; Kloset Jongkok; Ember mandi; R. Jemur; R. Santai; Balcon; Parkir Motor"/>
    <x v="99"/>
    <s v="Rp900.000"/>
    <x v="2"/>
    <d v="1899-12-30T04:08:00"/>
    <x v="0"/>
    <m/>
    <m/>
  </r>
  <r>
    <s v="Kost Mahesa Cilincing Jakarta Utara"/>
    <x v="4"/>
    <s v="Kecamatan Cilincing"/>
    <n v="16"/>
    <s v="4 x 4 meter"/>
    <s v="Tidak termasuk listrik"/>
    <s v=""/>
    <s v="N/A"/>
    <s v="4 x 4 meter; Tidak termasuk listrik; AC; Kasur; Meja; Meja Rias; Lemari Baju; Ventilasi; Cleaning service; TV Kabel; Meja makan; Bantal; K. Mandi Dalam; Kloset Duduk; Shower; WiFi; R. Cuci; Kulkas; R. Tamu; Penjaga Kos; Laundry; R. Makan; R. Jemur; R. Santai; Dapur; Parkir Motor; Parkir Sepeda"/>
    <x v="3"/>
    <s v="Rp1.500.000"/>
    <x v="3"/>
    <d v="1899-12-30T05:00:00"/>
    <x v="0"/>
    <m/>
    <s v="Diskon 83rb"/>
  </r>
  <r>
    <s v="Kost Mak Yanti Karawaci Tangerang"/>
    <x v="6"/>
    <s v="Karawaci"/>
    <n v="12"/>
    <s v="3 x 4 meter"/>
    <s v="Tidak termasuk listrik"/>
    <s v=""/>
    <s v="N/A"/>
    <s v="3 x 4 meter; Tidak termasuk listrik; Kasur; Lemari Baju; Ventilasi; Bantal; Guling; Kipas Angin; Kloset Jongkok; K. Mandi Luar; Ember mandi; R. Jemur; Parkir Motor"/>
    <x v="29"/>
    <s v="Rp500.000"/>
    <x v="0"/>
    <m/>
    <x v="0"/>
    <m/>
    <m/>
  </r>
  <r>
    <s v="Kost Makmur Jaya 198 Tipe A Penjaringan Jakarta Utara"/>
    <x v="4"/>
    <s v="Kecamatan Penjaringan"/>
    <n v="12"/>
    <s v="3 x 4 meter"/>
    <s v="Tidak termasuk listrik"/>
    <s v=""/>
    <s v="N/A"/>
    <s v="3 x 4 meter; Tidak termasuk listrik; AC; Kasur; Meja; Lemari Baju; Bantal; Cermin; Kursi; K. Mandi Dalam; Kloset Duduk; Ember mandi; Shower; WiFi; CCTV; Jemuran; Balcon; Parkir Motor &amp; Sepeda"/>
    <x v="163"/>
    <s v="Rp1.700.000"/>
    <x v="2"/>
    <d v="1899-12-30T04:08:00"/>
    <x v="0"/>
    <m/>
    <s v="Diskon 180rb"/>
  </r>
  <r>
    <s v="Kost Mama Adam Cibodas Tangerang"/>
    <x v="6"/>
    <s v="Cibodas"/>
    <n v="6"/>
    <s v="2 x 3 meter"/>
    <s v="Termasuk listrik (implied)"/>
    <s v=""/>
    <s v="N/A"/>
    <s v="2 x 3 meter; Termasuk listrik; Kasur; Lemari Baju; Kloset Jongkok; K. Mandi Luar; Ember mandi; Parkir Motor"/>
    <x v="29"/>
    <s v="Rp500.000"/>
    <x v="3"/>
    <d v="1899-12-30T05:00:00"/>
    <x v="1"/>
    <m/>
    <m/>
  </r>
  <r>
    <s v="Kost Mama Inul Tipe A Mampang Prapatan Jakarta Selatan"/>
    <x v="5"/>
    <s v="Mampang Prapatan"/>
    <n v="7.5"/>
    <s v="2.5 x 3 meter"/>
    <s v="Termasuk listrik (implied)"/>
    <s v=""/>
    <s v="N/A"/>
    <s v="2.5 x 3 meter; Termasuk listrik; Kasur; Lemari Baju; Bantal; Guling; Jendela; Kipas Angin; K. Mandi Dalam; Ember mandi; WiFi; Balcon; Jemuran; Pengurus Kos"/>
    <x v="18"/>
    <s v="Rp1.300.000"/>
    <x v="3"/>
    <d v="1899-12-30T05:00:00"/>
    <x v="0"/>
    <m/>
    <m/>
  </r>
  <r>
    <s v="Kost Mama Nia Tipe A Koja Jakarta Utara"/>
    <x v="4"/>
    <s v="Koja"/>
    <n v="17.5"/>
    <s v="3.5 x 5 meter"/>
    <s v="Tidak termasuk listrik"/>
    <s v=""/>
    <s v="N/A"/>
    <s v="3.5 x 5 meter; Tidak termasuk listrik; AC; Kasur; Meja; TV; Lemari Baju; Kursi; TV Kabel; Bantal; Cermin; Dapur Pribadi; K. Mandi Dalam; Kloset Duduk; Shower; Bak mandi; R. Cuci; Penjaga Kos; R. Jemur; R. Santai; Dapur; Jemuran; Pengurus Kos; Parkir Motor; Parkir Sepeda"/>
    <x v="11"/>
    <s v="Rp1.400.000"/>
    <x v="0"/>
    <m/>
    <x v="0"/>
    <m/>
    <m/>
  </r>
  <r>
    <s v="Kost Mama Papa Tangerang Tangerang"/>
    <x v="6"/>
    <s v="Tangerang"/>
    <n v="6"/>
    <s v="2 x 3 meter"/>
    <s v="Tidak termasuk listrik"/>
    <s v=""/>
    <s v="N/A"/>
    <s v="2 x 3 meter; Tidak termasuk listrik; AC; Kasur; TV; Lemari Baju; Ventilasi; Cleaning service; Meja makan; Bantal; Guling; Jendela; K. Mandi Dalam; Kloset Duduk; Wastafel; Shower; Air panas; WiFi; R. Cuci; Kulkas; R. Tamu; Mesin Cuci; Penjaga Kos; R. Makan; R. Jemur; Mushola; R. Santai; Parkir Motor"/>
    <x v="11"/>
    <s v="Rp1.400.000"/>
    <x v="12"/>
    <d v="1899-12-30T04:04:00"/>
    <x v="0"/>
    <m/>
    <m/>
  </r>
  <r>
    <s v="Kost Mama Rika Cimanggis Depok"/>
    <x v="1"/>
    <s v="Cimanggis"/>
    <n v="9"/>
    <s v="3 x 3 meter"/>
    <s v="Tidak termasuk listrik"/>
    <s v=""/>
    <s v="N/A"/>
    <s v="3 x 3 meter; Tidak termasuk listrik; Kasur; Lemari Baju; Kipas Angin; Kloset Jongkok; K. Mandi Luar; Ember mandi; WiFi; TV; Parkir Motor"/>
    <x v="2"/>
    <s v="Rp700.000"/>
    <x v="11"/>
    <d v="1899-12-30T03:08:00"/>
    <x v="0"/>
    <m/>
    <m/>
  </r>
  <r>
    <s v="Kost Mama Tipe B Cileungsi Bogor"/>
    <x v="0"/>
    <s v="Cileungsi"/>
    <n v="10"/>
    <s v="2.5 x 4 meter"/>
    <s v="Termasuk listrik (implied)"/>
    <s v=""/>
    <s v="N/A"/>
    <s v="2.5 x 4 meter; Termasuk listrik; Kasur; Lemari Baju; Ventilasi; Bantal; Cermin; Jendela; Kipas Angin; Kloset Jongkok; K. Mandi Luar; Ember mandi; Kulkas; R. Cuci; Mesin Cuci; R. Tamu; R. Jemur; R. Makan; R. Santai; Dapur; Jemuran; Pengurus Kos; Parkir Motor; Parkir Motor &amp; Sepeda"/>
    <x v="29"/>
    <s v="Rp500.000"/>
    <x v="3"/>
    <d v="1899-12-30T05:00:00"/>
    <x v="2"/>
    <m/>
    <m/>
  </r>
  <r>
    <s v="Kost Mama Wulan Cibinong Bogor"/>
    <x v="0"/>
    <s v="Kecamatan Cibinong"/>
    <n v="12"/>
    <s v="3 x 4 meter"/>
    <s v="Tidak termasuk listrik"/>
    <s v=""/>
    <s v="N/A"/>
    <s v="3 x 4 meter; Tidak termasuk listrik; Kasur; Lemari Baju; Ventilasi; Jendela; Wastafel; Bantal; Cermin; Guling; Kipas Angin; K. Mandi Dalam; Kloset Jongkok; Ember mandi; Bak mandi; WiFi; Laundry; R. Jemur; R. Santai; Dapur; Balcon; Jemuran; Jual Makanan; Locker; CCTV; Parkir Motor; Parkir Sepeda; Parkir Motor &amp; Sepeda"/>
    <x v="59"/>
    <s v="Rp970.000"/>
    <x v="0"/>
    <m/>
    <x v="0"/>
    <m/>
    <m/>
  </r>
  <r>
    <s v="Kost Mama Yuli Serpong Tangerang Selatan"/>
    <x v="2"/>
    <s v="Kecamatan Serpong"/>
    <n v="9"/>
    <s v="3 x 3 meter"/>
    <s v="Termasuk listrik (implied)"/>
    <s v=""/>
    <s v="N/A"/>
    <s v="3 x 3 meter; Termasuk listrik; AC; Kasur; Bantal; Jendela; K. Mandi Luar; WiFi; Kulkas; Mesin Cuci; Penjaga Kos; R. Makan; R. Santai; Dapur; Dispenser; Balcon; Jemuran; Parkir Mobil; Parkir Motor; Parkir Sepeda"/>
    <x v="23"/>
    <s v="Rp1.200.000"/>
    <x v="0"/>
    <m/>
    <x v="2"/>
    <m/>
    <m/>
  </r>
  <r>
    <s v="Kost Mamah Beehome Pamulang Tangerang Selatan"/>
    <x v="2"/>
    <s v="Kecamatan Pamulang"/>
    <n v="9"/>
    <s v="3 x 3 meter"/>
    <s v="Tidak termasuk listrik"/>
    <s v=""/>
    <s v="N/A"/>
    <s v="3 x 3 meter; Tidak termasuk listrik; AC; Kasur; Meja; Lemari Baju; Cermin; Jendela; Bantal; Guling; Kursi; Cleaning service; K. Mandi Dalam; Kloset Duduk; Wastafel; Shower; WiFi; Kulkas; R. Tamu; R. Jemur; R. Santai; Dapur; Pengurus Kos; K. Mandi Luar; Locker; CCTV; Parkir Motor; Parkir Sepeda"/>
    <x v="11"/>
    <s v="Rp1.400.000"/>
    <x v="0"/>
    <m/>
    <x v="2"/>
    <m/>
    <m/>
  </r>
  <r>
    <s v="Kost Mamah Dedeh Type B Cikarang Pusat Bekasi"/>
    <x v="7"/>
    <s v="Cikarang Pusat"/>
    <n v="24"/>
    <s v="3 x 8 meter"/>
    <s v="Tidak termasuk listrik"/>
    <s v=""/>
    <s v="N/A"/>
    <s v="3 x 8 meter; Tidak termasuk listrik; AC; Kasur; Meja; TV; Kulkas; Lemari Baju; Ventilasi; Bantal; Guling; Jendela; K. Mandi Dalam; Kloset Duduk; Shower; WiFi; Penjaga Kos; R. Tamu; R. Jemur; R. Makan; R. Santai; Dapur; Dispenser; Balcon; Parkir Mobil; Parkir Motor; Parkir Sepeda"/>
    <x v="5"/>
    <s v="Rp1.350.000"/>
    <x v="0"/>
    <m/>
    <x v="2"/>
    <m/>
    <m/>
  </r>
  <r>
    <s v="Kost Mamah Tambun Selatan Bekasi"/>
    <x v="7"/>
    <s v="Kecamatan Tambun Selatan"/>
    <n v="12"/>
    <s v="3 x 4 meter"/>
    <s v="Tidak termasuk listrik"/>
    <s v=""/>
    <s v="N/A"/>
    <s v="3 x 4 meter; Tidak termasuk listrik; Kasur; Lemari Baju; Ventilasi; Bantal; Jendela; Guling; K. Mandi Dalam; Kloset Jongkok; K. Mandi Luar; Ember mandi; Bak mandi; WiFi; R. Tamu; R. Jemur; R. Santai; Balcon; CCTV; Jemuran; Pengurus Kos; Parkir Motor"/>
    <x v="17"/>
    <s v="Rp650.000"/>
    <x v="0"/>
    <m/>
    <x v="2"/>
    <m/>
    <m/>
  </r>
  <r>
    <s v="Kost Mamanesi Tipe A Cinere Depok"/>
    <x v="1"/>
    <s v="Cinere"/>
    <n v="12"/>
    <s v="3 x 4 meter"/>
    <s v="Tidak termasuk listrik"/>
    <s v=""/>
    <s v="N/A"/>
    <s v="3 x 4 meter; Tidak termasuk listrik; AC; Kasur; Meja; Lemari Baju; Bantal; Cermin; Cleaning service; Guling; Kursi; Jendela; K. Mandi Dalam; Kloset Duduk; Ember mandi; Shower; WiFi; Kulkas; Laundry; Penjaga Kos; R. Santai; Dapur; Dispenser; CCTV; Jemuran; Jual Makanan; Parkir Mobil; Parkir Motor"/>
    <x v="4"/>
    <s v="Rp2.200.000"/>
    <x v="8"/>
    <d v="1899-12-30T04:09:00"/>
    <x v="0"/>
    <m/>
    <s v="Diskon 230rb"/>
  </r>
  <r>
    <s v="Kost Mamanesi Tipe D Executive Cinere Depok"/>
    <x v="1"/>
    <s v="Cinere"/>
    <n v="9"/>
    <s v="3 x 3 meter"/>
    <s v="Tidak termasuk listrik"/>
    <s v=""/>
    <s v="N/A"/>
    <s v="3 x 3 meter; Tidak termasuk listrik; AC; Kasur; Meja; Kulkas; Lemari Baju; Ventilasi; Bantal; Cermin; Cleaning service; Guling; K. Mandi Dalam; Kloset Duduk; Ember mandi; Shower; Air panas; WiFi; Laundry; Penjaga Kos; R. Makan; R. Santai; Dapur; Dispenser; CCTV; Jemuran; Parkir Mobil; Parkir Motor"/>
    <x v="199"/>
    <s v="Rp2.700.000"/>
    <x v="8"/>
    <d v="1899-12-30T04:09:00"/>
    <x v="2"/>
    <m/>
    <s v="Diskon 125rb"/>
  </r>
  <r>
    <s v="Kost Mami Anna Kelapa Gading Jakarta Utara"/>
    <x v="4"/>
    <s v="Kelapa Gading"/>
    <n v="9"/>
    <s v="3 x 3 meter"/>
    <s v="Tidak termasuk listrik"/>
    <s v=""/>
    <s v="N/A"/>
    <s v="3 x 3 meter; Tidak termasuk listrik; AC; Kasur; Meja; Dispenser; Lemari Baju; Kulkas; Ventilasi; Bantal; Cermin; Guling; K. Mandi Dalam; Kloset Duduk; Wastafel; Shower; Air panas; WiFi; Laundry; Penjaga Kos; R. Tamu; R. Jemur; Dapur; Balcon; CCTV; Parkir Mobil; Parkir Motor; Parkir Sepeda"/>
    <x v="27"/>
    <s v="Rp2.000.000"/>
    <x v="2"/>
    <d v="1899-12-30T04:08:00"/>
    <x v="0"/>
    <m/>
    <s v="Diskon 105rb"/>
  </r>
  <r>
    <s v="Kost Mami Eryda Tipe A Pulo Gadung Jakarta Timur"/>
    <x v="8"/>
    <s v="Pulo Gadung"/>
    <n v="12"/>
    <s v="3 x 4 meter"/>
    <s v="Tidak termasuk listrik"/>
    <s v=""/>
    <s v="N/A"/>
    <s v="3 x 4 meter; Tidak termasuk listrik; AC; Kasur; Lemari Baju; Ventilasi; Bantal; Cermin; Guling; Jendela; Kipas Angin; Kursi; Kloset Duduk; K. Mandi Luar; Ember mandi; Wastafel; Bak mandi; Kulkas; R. Tamu; R. Jemur; Dapur; Jemuran; Pengurus Kos; Taman; Parkir Motor; Parkir Sepeda"/>
    <x v="23"/>
    <s v="Rp1.200.000"/>
    <x v="2"/>
    <d v="1899-12-30T04:08:00"/>
    <x v="0"/>
    <m/>
    <m/>
  </r>
  <r>
    <s v="Kost Mami Gibbor Tipe A Tanjung Priok Jakarta Utara"/>
    <x v="4"/>
    <s v="Kecamatan Tanjung Priok"/>
    <n v="12"/>
    <s v="3 x 4 meter"/>
    <s v="Tidak termasuk listrik"/>
    <s v=""/>
    <s v="N/A"/>
    <s v="3 x 4 meter; Tidak termasuk listrik; Ventilasi; Kloset Jongkok; K. Mandi Luar; Ember mandi; R. Cuci; Penjaga Kos; R. Jemur; Dapur; Jemuran; Pengurus Kos; Parkir Motor; Parkir Sepeda"/>
    <x v="99"/>
    <s v="Rp900.000"/>
    <x v="10"/>
    <d v="1899-12-30T04:05:00"/>
    <x v="0"/>
    <m/>
    <s v="Diskon 43rb"/>
  </r>
  <r>
    <s v="Kost Mami Jeje Cakung Jakarta Timur"/>
    <x v="8"/>
    <s v="Cakung"/>
    <n v="9"/>
    <s v="3 x 3 meter"/>
    <s v="Termasuk listrik (implied)"/>
    <s v=""/>
    <s v="N/A"/>
    <s v="3 x 3 meter; Termasuk listrik; AC; Kasur; Meja; Lemari Baju; Ventilasi; Kursi; Kipas Angin; Bantal; Cermin; Guling; Kloset Duduk; Kloset Jongkok; K. Mandi Luar; Ember mandi; Shower; WiFi; R. Cuci; Kulkas; R. Tamu; Mesin Cuci; R. Makan; R. Jemur; Mushola; R. Santai; Dapur; Parkir Motor; Parkir Sepeda"/>
    <x v="5"/>
    <s v="Rp1.350.000"/>
    <x v="0"/>
    <m/>
    <x v="2"/>
    <m/>
    <m/>
  </r>
  <r>
    <s v="Kost Mami Tipe A Limo Depok"/>
    <x v="1"/>
    <s v="Kecamatan Limo"/>
    <n v="9"/>
    <s v="3 x 3 meter"/>
    <s v="Tidak termasuk listrik"/>
    <s v=""/>
    <s v="N/A"/>
    <s v="3 x 3 meter; Tidak termasuk listrik; Kasur; Lemari Baju; Bantal; Kipas Angin; Dapur Pribadi; Jendela; Kloset Duduk; Kloset Jongkok; K. Mandi Luar; WiFi; Laundry; Penjaga Kos; R. Jemur; R. Santai; Dapur; Balcon; Jemuran; Jual Makanan; Parkir Mobil; Parkir Motor; Parkir Sepeda"/>
    <x v="3"/>
    <s v="Rp1.500.000"/>
    <x v="0"/>
    <m/>
    <x v="2"/>
    <m/>
    <m/>
  </r>
  <r>
    <s v="Kost Mandala Guest House Tipe VVIP Grogol Petamburan Jakarta Barat"/>
    <x v="3"/>
    <s v="Grogol petamburan"/>
    <n v="9"/>
    <s v="3 x 3 meter"/>
    <s v="Tidak termasuk listrik"/>
    <s v=""/>
    <s v="N/A"/>
    <s v="3 x 3 meter; Tidak termasuk listrik; AC; Kasur; Wastafel; K. Mandi Dalam; Kloset Duduk; Shower; WiFi; R. Tamu; Penjaga Kos; Dapur; Balcon; Kartu Akses; Jual Makanan; Parkir Motor"/>
    <x v="13"/>
    <s v="Rp1.600.000"/>
    <x v="6"/>
    <d v="1899-12-30T04:06:00"/>
    <x v="0"/>
    <m/>
    <s v="Diskon 112rb"/>
  </r>
  <r>
    <s v="Kost Mango Premium Cilandak Jakarta Selatan"/>
    <x v="5"/>
    <s v="Kecamatan Cilandak"/>
    <n v="25"/>
    <s v="5 x 5 meter"/>
    <s v="Tidak termasuk listrik"/>
    <s v=""/>
    <s v="N/A"/>
    <s v="5 x 5 meter; Tidak termasuk listrik; AC; Kasur; Meja Rias; TV; Kulkas; Lemari Baju; Bantal; Cermin; Cleaning service; Jendela; K. Mandi Dalam; Kloset Duduk; Wastafel; Shower; Air panas; WiFi; Penjaga Kos; R. Santai; Dapur; Dispenser; CCTV; Jual Makanan; K. Mandi Luar; Kartu Akses; Parkir Mobil; Parkir Motor"/>
    <x v="239"/>
    <s v="Rp6.499.000"/>
    <x v="10"/>
    <d v="1899-12-30T04:05:00"/>
    <x v="0"/>
    <m/>
    <m/>
  </r>
  <r>
    <s v="Kost Marina Home Tipe Double Pondok Aren Tangerang Selatan"/>
    <x v="2"/>
    <s v="Pondok Aren"/>
    <n v="12"/>
    <s v="3 x 4 meter"/>
    <s v="Tidak termasuk listrik"/>
    <s v=""/>
    <s v="N/A"/>
    <s v="3 x 4 meter; Tidak termasuk listrik; AC; Kasur; Meja; Lemari Baju; Bantal; Cermin; Guling; Jendela; Kursi; K. Mandi Dalam; Kloset Duduk; K. Mandi Luar; Shower; WiFi; Kulkas; R. Cuci; R. Jemur; R. Santai; Dapur; Jemuran; Pengurus Kos; R. Keluarga; Rooftop; Parkir Motor"/>
    <x v="11"/>
    <s v="Rp1.400.000"/>
    <x v="2"/>
    <d v="1899-12-30T04:08:00"/>
    <x v="2"/>
    <m/>
    <m/>
  </r>
  <r>
    <s v="Kost Marina Home Tipe VIP A Pondok Aren Tangerang Selatan"/>
    <x v="2"/>
    <s v="Kecamatan Pondok Aren"/>
    <n v="9"/>
    <s v="3 x 3 meter"/>
    <s v="Tidak termasuk listrik"/>
    <s v=""/>
    <s v="N/A"/>
    <s v="3 x 3 meter; Tidak termasuk listrik; AC; Kasur; Meja; Lemari Baju; Bantal; Jendela; Kursi; K. Mandi Dalam; Kloset Duduk; K. Mandi Luar; Shower; WiFi; Kulkas; R. Cuci; R. Jemur; R. Santai; Dapur; Jemuran; Pengurus Kos; R. Keluarga; Rooftop; Parkir Motor"/>
    <x v="3"/>
    <s v="Rp1.500.000"/>
    <x v="3"/>
    <d v="1899-12-30T05:00:00"/>
    <x v="2"/>
    <m/>
    <m/>
  </r>
  <r>
    <s v="Kost Marina Home Tipe VIP B Pondok Aren Tangerang Selatan"/>
    <x v="2"/>
    <s v="Kecamatan Pondok Aren"/>
    <n v="10.5"/>
    <s v="3 x 3.5 meter"/>
    <s v="Tidak termasuk listrik"/>
    <s v=""/>
    <s v="N/A"/>
    <s v="3 x 3.5 meter; Tidak termasuk listrik; AC; Kasur; Meja; Lemari Baju; Ventilasi; Bantal; Cermin; Guling; Kursi; K. Mandi Dalam; Kloset Duduk; K. Mandi Luar; Shower; WiFi; Kulkas; R. Cuci; R. Jemur; R. Santai; Dapur; Jemuran; Pengurus Kos; R. Keluarga; Rooftop; Parkir Motor"/>
    <x v="163"/>
    <s v="Rp1.700.000"/>
    <x v="3"/>
    <d v="1899-12-30T05:00:00"/>
    <x v="2"/>
    <m/>
    <m/>
  </r>
  <r>
    <s v="Kost Marlaba 3 Tipe A Bojong Gede Bogor"/>
    <x v="0"/>
    <s v="Kecamatan Bojong Gede"/>
    <n v="9"/>
    <s v="3 x 3 meter"/>
    <s v="Tidak termasuk listrik"/>
    <s v=""/>
    <s v="N/A"/>
    <s v="3 x 3 meter; Tidak termasuk listrik; Kasur; Ventilasi; Dapur Pribadi; Jendela; Wastafel; Kipas Angin; K. Mandi Dalam; Kloset Duduk; Kloset Jongkok; K. Mandi Luar; Ember mandi; Shower; Bak mandi; R. Tamu; R. Jemur; R. Makan; Dapur; Balcon; Jemuran; R. Keluarga; Parkir Motor"/>
    <x v="18"/>
    <s v="Rp1.300.000"/>
    <x v="0"/>
    <m/>
    <x v="0"/>
    <m/>
    <m/>
  </r>
  <r>
    <s v="Kost Marlaba 4 Bojonggede Bogor"/>
    <x v="0"/>
    <s v="Kecamatan Bojonggede"/>
    <n v="12"/>
    <s v="3 x 4 meter"/>
    <s v="Termasuk listrik (implied)"/>
    <s v=""/>
    <s v="N/A"/>
    <s v="3 x 4 meter; Termasuk listrik; Kasur; Lemari Baju; Ventilasi; Cermin; Jendela; Kipas Angin; Kursi; K. Mandi Dalam; Kloset Duduk; Ember mandi; Bak mandi; R. Cuci; Penjaga Kos; R. Tamu; R. Jemur; R. Santai; CCTV; Jemuran; Pengurus Kos; R. Keluarga; TV; Parkir Motor; Parkir Sepeda; Parkir Motor &amp; Sepeda"/>
    <x v="28"/>
    <s v="Rp1.000.000"/>
    <x v="3"/>
    <d v="1899-12-30T05:00:00"/>
    <x v="0"/>
    <m/>
    <m/>
  </r>
  <r>
    <s v="Kost Maura Margonda Beji Depok"/>
    <x v="1"/>
    <s v="Beji"/>
    <n v="12"/>
    <s v="3 x 4 meter"/>
    <s v="Tidak termasuk listrik"/>
    <s v=""/>
    <s v="N/A"/>
    <s v="3 x 4 meter; Tidak termasuk listrik; AC; Kasur; Meja; Lemari Baju; Ventilasi; Bantal; Jendela; Kursi; Guling; K. Mandi Dalam; Kloset Duduk; Shower; WiFi; Kulkas; Laundry; Penjaga Kos; R. Jemur; Dapur; Jemuran; Jual Makanan; Pengurus Kos; Parkir Motor; Parkir Sepeda"/>
    <x v="18"/>
    <s v="Rp1.300.000"/>
    <x v="6"/>
    <d v="1899-12-30T04:06:00"/>
    <x v="1"/>
    <m/>
    <s v="Diskon 110rb"/>
  </r>
  <r>
    <s v="Kost Mauza Tipe A Karang Tengah Tangerang"/>
    <x v="6"/>
    <s v="Karang Tengah"/>
    <n v="12"/>
    <s v="3 x 4 meter"/>
    <s v="Tidak termasuk listrik"/>
    <s v=""/>
    <s v="N/A"/>
    <s v="3 x 4 meter; Tidak termasuk listrik; Kasur; Lemari Baju; Bantal; K. Mandi Dalam; Kloset Jongkok; Ember mandi; WiFi; Dapur; Jemuran; Parkir Motor; Parkir Sepeda"/>
    <x v="12"/>
    <s v="Rp850.000"/>
    <x v="3"/>
    <d v="1899-12-30T05:00:00"/>
    <x v="0"/>
    <m/>
    <m/>
  </r>
  <r>
    <s v="Kost Mawar 1 Pamulang Tangerang Selatan"/>
    <x v="2"/>
    <s v="Kecamatan Pamulang"/>
    <n v="12"/>
    <s v="3 x 4 meter"/>
    <s v="Tidak termasuk listrik"/>
    <s v=""/>
    <s v="N/A"/>
    <s v="3 x 4 meter; Tidak termasuk listrik; AC; Kasur; Meja; TV; Kulkas; Lemari Baju; Ventilasi; Bantal; Cermin; Guling; Kloset Jongkok; K. Mandi Luar; Ember mandi; Wastafel; Bak mandi; WiFi; R. Cuci; R. Tamu; R. Jemur; R. Santai; Dapur; Dispenser; Balcon; Jemuran; Parkir Motor; Parkir Sepeda; Parkir Motor &amp; Sepeda"/>
    <x v="1"/>
    <s v="Rp1.100.000"/>
    <x v="0"/>
    <m/>
    <x v="2"/>
    <m/>
    <m/>
  </r>
  <r>
    <s v="Kost Mawar Residence Kober Beji Depok"/>
    <x v="1"/>
    <s v="Kecamatan Beji"/>
    <n v="12"/>
    <s v="3 x 4 meter"/>
    <s v="Termasuk listrik (implied)"/>
    <s v=""/>
    <s v="N/A"/>
    <s v="3 x 4 meter; Termasuk listrik; Kasur; Meja; Lemari Baju; Kursi; Jendela; K. Mandi Dalam; Kloset Jongkok; Ember mandi; WiFi; Kulkas; R. Tamu; Penjaga Kos; R. Makan; R. Jemur; Mushola; R. Santai; Dapur; TV; Parkir Mobil; Parkir Motor; Parkir Sepeda"/>
    <x v="240"/>
    <s v="Rp865.000"/>
    <x v="0"/>
    <m/>
    <x v="2"/>
    <m/>
    <m/>
  </r>
  <r>
    <s v="Kost Maxwell Pd Cabe Pamulang Tangerang Selatan"/>
    <x v="2"/>
    <s v="Pamulang"/>
    <n v="12"/>
    <s v="3 x 4 meter"/>
    <s v="Tidak termasuk listrik"/>
    <s v=""/>
    <s v="N/A"/>
    <s v="3 x 4 meter; Tidak termasuk listrik; AC; Kasur; Meja; Lemari Baju; Bantal; Guling; Kursi; K. Mandi Dalam; Kloset Duduk; Shower; WiFi; R. Cuci; R. Tamu; R. Jemur; R. Santai; Dapur; Dispenser; Balcon; CCTV; Gazebo; Parkir Mobil; Parkir Motor; Parkir Sepeda; Parkir Motor &amp; Sepeda"/>
    <x v="3"/>
    <s v="Rp1.500.000"/>
    <x v="3"/>
    <d v="1899-12-30T05:00:00"/>
    <x v="0"/>
    <m/>
    <m/>
  </r>
  <r>
    <s v="Kost MD 41 Residence Tipe A Jatinegara Jakarta Timur"/>
    <x v="8"/>
    <s v="Jatinegara"/>
    <n v="9"/>
    <s v="3 x 3 meter"/>
    <s v="Termasuk listrik (implied)"/>
    <s v=""/>
    <s v="N/A"/>
    <s v="3 x 3 meter; Termasuk listrik; AC; Kasur; Meja; Lemari Baju; Ventilasi; Bantal; Cermin; Guling; Jendela; Kursi; K. Mandi Dalam; Kloset Duduk; Shower; WiFi; Penjaga Kos; R. Tamu; R. Jemur; R. Santai; Dapur; Dispenser; CCTV; Jemuran; Kartu Akses; Parkir Motor &amp; Sepeda"/>
    <x v="111"/>
    <s v="Rp1.975.000"/>
    <x v="0"/>
    <m/>
    <x v="1"/>
    <m/>
    <m/>
  </r>
  <r>
    <s v="Kost Md Tipe A Serpong Tangerang Selatan"/>
    <x v="2"/>
    <s v="Kecamatan Serpong"/>
    <n v="15"/>
    <s v="3 x 5 meter"/>
    <s v="Tidak termasuk listrik"/>
    <s v=""/>
    <s v="N/A"/>
    <s v="3 x 5 meter; Tidak termasuk listrik; Kasur; Lemari Baju; Bantal; Cermin; Dapur Pribadi; Kipas Angin; Wastafel; K. Mandi Dalam; Kloset Jongkok; Ember mandi; Bak mandi; WiFi; Jemuran; Rooftop; Parkir Mobil; Parkir Motor; Parkir Sepeda; Parkir Motor &amp; Sepeda"/>
    <x v="1"/>
    <s v="Rp1.100.000"/>
    <x v="0"/>
    <m/>
    <x v="0"/>
    <m/>
    <m/>
  </r>
  <r>
    <s v="Kost Me Cikarang Selatan Bekasi"/>
    <x v="7"/>
    <s v="Cikarang Selatan"/>
    <n v="12"/>
    <s v="3 x 4 meter"/>
    <s v="Tidak termasuk listrik"/>
    <s v=""/>
    <s v="N/A"/>
    <s v="3 x 4 meter; Tidak termasuk listrik; AC; Kasur; Meja; Lemari Baju; Bantal; Cermin; Guling; Jendela; Kursi; Wastafel; K. Mandi Dalam; Kloset Duduk; Shower; Air panas; WiFi; Kulkas; Laundry; R. Santai; Dapur; Dispenser; TV; Jemuran; K. Mandi Luar; Pengurus Kos; Parkir Mobil; Parkir Motor; Parkir Sepeda"/>
    <x v="3"/>
    <s v="Rp1.500.000"/>
    <x v="2"/>
    <d v="1899-12-30T04:08:00"/>
    <x v="0"/>
    <m/>
    <m/>
  </r>
  <r>
    <s v="Kost Meadow Green Lippo Double Bed Cikarang Selatan Bekasi"/>
    <x v="7"/>
    <s v="Cikarang Selatan"/>
    <n v="12"/>
    <s v="3 x 4 meter"/>
    <s v="Tidak termasuk listrik"/>
    <s v=""/>
    <s v="N/A"/>
    <s v="3 x 4 meter; Tidak termasuk listrik; AC; Kasur; Meja; TV; Lemari Baju; Ventilasi; Cleaning service; Jendela; Kursi; Bantal; K. Mandi Dalam; Kloset Duduk; Wastafel; Shower; Air panas; WiFi; Kulkas; Laundry; R. Tamu; R. Makan; R. Santai; Dapur; Dispenser; CCTV; Pengurus Kos; Parkir Mobil; Parkir Motor; Parkir Sepeda"/>
    <x v="180"/>
    <s v="Rp2.800.000"/>
    <x v="3"/>
    <d v="1899-12-30T05:00:00"/>
    <x v="0"/>
    <m/>
    <m/>
  </r>
  <r>
    <s v="Kost Meadow Green Lippo Executive Cikarang Selatan Bekasi"/>
    <x v="7"/>
    <s v="Cikarang Selatan"/>
    <n v="9"/>
    <s v="3 x 3 meter"/>
    <s v="Tidak termasuk listrik"/>
    <s v=""/>
    <s v="N/A"/>
    <s v="3 x 3 meter; Tidak termasuk listrik; AC; Kasur; Meja; Lemari Baju; Bantal; Guling; Jendela; Wastafel; Kursi; K. Mandi Dalam; Kloset Duduk; Shower; Air panas; WiFi; Kulkas; R. Cuci; Laundry; Mesin Cuci; R. Jemur; Dapur; Balcon; Jemuran; Jual Makanan; Parkir Mobil; Parkir Motor; Parkir Sepeda"/>
    <x v="11"/>
    <s v="Rp1.400.000"/>
    <x v="3"/>
    <d v="1899-12-30T05:00:00"/>
    <x v="0"/>
    <m/>
    <m/>
  </r>
  <r>
    <s v="Kost Meadow Green Lippo Single Bed Cikarang Selatan Bekasi"/>
    <x v="7"/>
    <s v="Cikarang Selatan"/>
    <n v="12"/>
    <s v="3 x 4 meter"/>
    <s v="Tidak termasuk listrik"/>
    <s v=""/>
    <s v="N/A"/>
    <s v="3 x 4 meter; Tidak termasuk listrik; AC; Kasur; Meja; TV; Lemari Baju; Ventilasi; Bantal; Cleaning service; Jendela; Kursi; K. Mandi Dalam; Kloset Duduk; K. Mandi Luar; Wastafel; Shower; Air panas; WiFi; Kulkas; Laundry; R. Tamu; R. Makan; R. Santai; Dapur; Dispenser; CCTV; Pengurus Kos; Parkir Mobil; Parkir Motor; Parkir Sepeda"/>
    <x v="27"/>
    <s v="Rp2.000.000"/>
    <x v="8"/>
    <d v="1899-12-30T04:09:00"/>
    <x v="0"/>
    <m/>
    <m/>
  </r>
  <r>
    <s v="Kost Meadow Green Tipe AC Cikarang Selatan Bekasi"/>
    <x v="7"/>
    <s v="Cikarang Selatan"/>
    <n v="12"/>
    <s v="3 x 4 meter"/>
    <s v="Termasuk listrik (implied)"/>
    <s v=""/>
    <s v="N/A"/>
    <s v="3 x 4 meter; Termasuk listrik; AC; Kasur; Lemari Baju; Bantal; Jendela; Kloset Duduk; K. Mandi Luar; Ember mandi; Wastafel; Shower; WiFi; Kulkas; R. Cuci; Laundry; Mesin Cuci; R. Jemur; Dapur; Jemuran; Pengurus Kos; Parkir Motor"/>
    <x v="23"/>
    <s v="Rp1.200.000"/>
    <x v="3"/>
    <d v="1899-12-30T05:00:00"/>
    <x v="2"/>
    <m/>
    <m/>
  </r>
  <r>
    <s v="Kost Meadows Green Cemara 1 Tipe AC Cikarang Selatan Bekasi"/>
    <x v="7"/>
    <s v="Cikarang Selatan"/>
    <n v="12"/>
    <s v="3 x 4 meter"/>
    <s v="Termasuk listrik (implied)"/>
    <s v=""/>
    <s v="N/A"/>
    <s v="3 x 4 meter; Termasuk listrik; AC; Kasur; Meja; Lemari Baju; Bantal; Cermin; Jendela; K. Mandi Dalam; Kloset Duduk; Ember mandi; Shower; WiFi; Kulkas; Laundry; Mesin Cuci; Penjaga Kos; R. Santai; Dapur; Locker; Taman; Jemuran; Parkir Mobil; Parkir Motor; Parkir Sepeda; Parkir Motor &amp; Sepeda"/>
    <x v="11"/>
    <s v="Rp1.400.000"/>
    <x v="3"/>
    <d v="1899-12-30T05:00:00"/>
    <x v="0"/>
    <m/>
    <m/>
  </r>
  <r>
    <s v="Kost Mehan Kolis Tipe A Tanjung Priok Jakarta Utara"/>
    <x v="4"/>
    <s v="Tanjung Priok"/>
    <n v="15"/>
    <s v="3 x 5 meter"/>
    <s v="Tidak termasuk listrik"/>
    <s v=""/>
    <s v="N/A"/>
    <s v="3 x 5 meter; Tidak termasuk listrik; K. Mandi Dalam; Kloset Jongkok; Balcon; Jemuran; Pengurus Kos; Parkir Motor; Parkir Sepeda; Parkir Motor &amp; Sepeda"/>
    <x v="12"/>
    <s v="Rp850.000"/>
    <x v="0"/>
    <m/>
    <x v="0"/>
    <m/>
    <m/>
  </r>
  <r>
    <s v="Kost Meikarta Tipe C Cikarang Selatan Bekasi"/>
    <x v="7"/>
    <s v="Cikarang Selatan"/>
    <n v="4"/>
    <s v="2 x 2 meter"/>
    <s v="Termasuk listrik (implied)"/>
    <s v=""/>
    <s v="N/A"/>
    <s v="2 x 2 meter; Termasuk listrik; AC; Kasur; Meja; Lemari Baju; Bantal; Cermin; Jendela; Kursi; Kloset Duduk; K. Mandi Luar; Wastafel; Shower; WiFi; R. Tamu; Dapur; Balcon; Parkir Mobil; Parkir Motor; Parkir Sepeda"/>
    <x v="5"/>
    <s v="Rp1.350.000"/>
    <x v="0"/>
    <m/>
    <x v="2"/>
    <m/>
    <m/>
  </r>
  <r>
    <s v="Kost Melati Tipe A Cikarang Selatan Bekasi"/>
    <x v="7"/>
    <s v="Cikarang Selatan"/>
    <n v="9"/>
    <s v="3 x 3 meter"/>
    <s v="Tidak termasuk listrik"/>
    <s v=""/>
    <s v="N/A"/>
    <s v="3 x 3 meter; Tidak termasuk listrik; AC; Kasur; Meja; Lemari Baju; Bantal; Cermin; Guling; Kursi; Kloset Duduk; K. Mandi Luar; Shower"/>
    <x v="23"/>
    <s v="Rp1.200.000"/>
    <x v="0"/>
    <m/>
    <x v="1"/>
    <m/>
    <m/>
  </r>
  <r>
    <s v="Kost Melati Tipe A Cikarang Selatan Bekasi"/>
    <x v="7"/>
    <s v="Cikarang Selatan"/>
    <n v="9"/>
    <s v="3 x 3 meter"/>
    <s v="Tidak termasuk listrik"/>
    <s v=""/>
    <s v="N/A"/>
    <s v="3 x 3 meter; Tidak termasuk listrik; AC; Kasur; Meja; Lemari Baju; Bantal; Cermin; Guling; Kursi; Kloset Duduk; K. Mandi Luar; Shower; WiFi; Kulkas; R. Jemur; R. Makan; Dapur; Dispenser; CCTV; Jemuran; Parkir Mobil; Parkir Motor"/>
    <x v="23"/>
    <s v="Rp1.200.000"/>
    <x v="0"/>
    <m/>
    <x v="1"/>
    <m/>
    <m/>
  </r>
  <r>
    <s v="Kost Membramo Babakan Madang Bogor"/>
    <x v="0"/>
    <s v="Kecamatan Babakan Madang"/>
    <n v="12"/>
    <s v="3 x 4 meter"/>
    <s v="Tidak termasuk listrik"/>
    <s v=""/>
    <s v="N/A"/>
    <s v="3 x 4 meter; Tidak termasuk listrik; AC; Kasur; Meja; Lemari Baju; Bantal; Guling; Jendela; Cleaning service; K. Mandi Dalam; Kloset Duduk; Shower; WiFi; R. Cuci; Mesin Cuci; Penjaga Kos; R. Jemur; R. Santai; Dapur; Dispenser; Taman; CCTV; Parkir Mobil; Parkir Motor"/>
    <x v="27"/>
    <s v="Rp2.000.000"/>
    <x v="0"/>
    <m/>
    <x v="2"/>
    <m/>
    <m/>
  </r>
  <r>
    <s v="Kost Menara Residence 29 Standard Kembangan Jakarta Barat"/>
    <x v="3"/>
    <s v="Kembangan"/>
    <n v="14"/>
    <s v="4 x 3.5 meter"/>
    <s v="Tidak termasuk listrik"/>
    <s v=""/>
    <s v="N/A"/>
    <s v="4 x 3.5 meter; Tidak termasuk listrik; AC; Kasur; Meja; Meja Rias; TV; Lemari Baju; Ventilasi; Bantal; Cleaning service; Guling; K. Mandi Dalam; Kloset Duduk; Wastafel; Shower; Air panas; WiFi; Kulkas; Penjaga Kos; R. Tamu; R. Makan; R. Jemur; R. Santai; Dapur; Dispenser; CCTV; Parkir Mobil; Parkir Motor; Parkir Sepeda"/>
    <x v="4"/>
    <s v="Rp2.200.000"/>
    <x v="0"/>
    <m/>
    <x v="0"/>
    <m/>
    <m/>
  </r>
  <r>
    <s v="Kost Menteng Guest House King Size Bed Menteng Jakarta Pusat"/>
    <x v="9"/>
    <s v="Menteng"/>
    <n v="16.5"/>
    <s v="5 x 3.3 meter"/>
    <s v="Termasuk listrik (implied)"/>
    <s v=""/>
    <s v="N/A"/>
    <s v="5 x 3.3 meter; Termasuk listrik; AC; Kasur; Meja; TV; Lemari Baju; Ventilasi; Jendela; Kursi; Wastafel; Bantal; K. Mandi Dalam; Kloset Duduk; Shower; Air panas; WiFi; Kulkas; Mesin Cuci; Penjaga Kos; R. Tamu; R. Jemur; R. Santai; Dapur; Dispenser; Jemuran; Parkir Mobil; Parkir Motor; Parkir Sepeda; Parkir Motor &amp; Sepeda"/>
    <x v="241"/>
    <s v="Rp4.700.000"/>
    <x v="3"/>
    <d v="1899-12-30T05:00:00"/>
    <x v="0"/>
    <m/>
    <m/>
  </r>
  <r>
    <s v="Kost Menteng Guest House Single Bed Menteng Jakarta Pusat"/>
    <x v="9"/>
    <s v="Menteng"/>
    <n v="13.5"/>
    <s v="4.5 x 3 meter"/>
    <s v="Termasuk listrik (implied)"/>
    <s v=""/>
    <s v="N/A"/>
    <s v="4.5 x 3 meter; Termasuk listrik; AC; Kasur; Meja; TV; Lemari Baju; Ventilasi; Jendela; Wastafel; Bantal; Cermin; K. Mandi Dalam; Kloset Duduk; Shower; Air panas; WiFi; Kulkas; Mesin Cuci; Penjaga Kos; R. Tamu; R. Jemur; R. Santai; Dapur; Dispenser; Jemuran; Parkir Mobil; Parkir Motor; Parkir Sepeda; Parkir Motor &amp; Sepeda"/>
    <x v="192"/>
    <s v="Rp3.750.000"/>
    <x v="2"/>
    <d v="1899-12-30T04:08:00"/>
    <x v="0"/>
    <m/>
    <s v="Diskon 288rb"/>
  </r>
  <r>
    <s v="Kost Menteng Latuharhary Menteng Jakarta Pusat"/>
    <x v="9"/>
    <s v="Menteng"/>
    <n v="30"/>
    <s v="5 x 6 meter"/>
    <s v="Termasuk listrik (implied)"/>
    <s v=""/>
    <s v="N/A"/>
    <s v="5 x 6 meter; Termasuk listrik; AC; Kasur; Meja; Meja Rias; TV; Lemari Baju; Bantal; Cermin; Jendela; Kursi; K. Mandi Dalam; Kloset Duduk; Ember mandi; Wastafel; Shower; Bak mandi; R. Cuci; Laundry; Mesin Cuci; R. Jemur; R. Makan; Dapur; Dispenser; Jemuran; Pengurus Kos; Parkir Mobil; Parkir Motor; Parkir Sepeda"/>
    <x v="7"/>
    <s v="Rp3.500.000"/>
    <x v="8"/>
    <d v="1899-12-30T04:09:00"/>
    <x v="2"/>
    <m/>
    <m/>
  </r>
  <r>
    <s v="Kost Menteng Royale Standar Cikarang Selatan Bekasi"/>
    <x v="7"/>
    <s v="Cikarang Selatan"/>
    <n v="20"/>
    <s v="4 x 5 meter"/>
    <s v="Tidak termasuk listrik"/>
    <s v=""/>
    <s v="N/A"/>
    <s v="4 x 5 meter; Tidak termasuk listrik; AC; Kasur; Dispenser; Meja; Meja Rias; TV; Kulkas; Lemari Baju; Ventilasi; Bantal; K. Mandi Dalam; Kloset Duduk; Wastafel; Shower; Air panas; Bak mandi; Bathtub; WiFi; R. Cuci; Laundry; Mesin Cuci; Penjaga Kos; R. Tamu; R. Jemur; R. Makan; R. Santai; Parkir Mobil; Parkir Motor; Parkir Sepeda; Parkir Motor &amp; Sepeda"/>
    <x v="186"/>
    <s v="Rp3.000.000"/>
    <x v="8"/>
    <d v="1899-12-30T04:09:00"/>
    <x v="0"/>
    <m/>
    <m/>
  </r>
  <r>
    <s v="Kost Menteng Royale Standart Cikarang Selatan Bekasi"/>
    <x v="7"/>
    <s v="Cikarang Selatan"/>
    <n v="20"/>
    <s v="4 x 5 meter"/>
    <s v="Tidak termasuk listrik"/>
    <s v=""/>
    <s v="N/A"/>
    <s v="4 x 5 meter; Tidak termasuk listrik; AC; Kasur; Dispenser; Meja; Meja Rias; TV; Kulkas; Lemari Baju; Ventilasi; Bantal; K. Mandi Dalam; Kloset Duduk; Wastafel; Shower; Air panas; Bak mandi; Bathtub; WiFi; R. Cuci; Laundry; Mesin Cuci; Penjaga Kos; R. Tamu; R. Jemur; R. Makan; R. Santai; Parkir Mobil; Parkir Motor; Parkir Sepeda; Parkir Motor &amp; Sepeda"/>
    <x v="9"/>
    <s v="Rp4.000.000"/>
    <x v="0"/>
    <m/>
    <x v="0"/>
    <m/>
    <m/>
  </r>
  <r>
    <s v="Kost Menteng Royale Standart Cikarang Selatan Bekasi"/>
    <x v="7"/>
    <s v="Cikarang Selatan"/>
    <n v="20"/>
    <s v="4 x 5 meter"/>
    <s v="Tidak termasuk listrik"/>
    <s v=""/>
    <s v="N/A"/>
    <s v="4 x 5 meter; Tidak termasuk listrik; AC; Kasur; Dispenser; Meja; Meja Rias; TV; Kulkas; Lemari Baju; Ventilasi; Bantal; K. Mandi Dalam; Kloset Duduk; Wastafel; Shower; Air panas; Bak mandi; Bathtub"/>
    <x v="9"/>
    <s v="Rp4.000.000"/>
    <x v="0"/>
    <m/>
    <x v="0"/>
    <m/>
    <m/>
  </r>
  <r>
    <s v="Kost Merah 3 Petak Cibinong Bogor"/>
    <x v="0"/>
    <s v="Cibinong"/>
    <n v="24"/>
    <s v="8 x 3 meter"/>
    <s v="Tidak termasuk listrik"/>
    <s v=""/>
    <s v="N/A"/>
    <s v="8 x 3 meter; Tidak termasuk listrik; Ventilasi; Dapur Pribadi; Jendela; K. Mandi Dalam; Kloset Jongkok; Ember mandi; WiFi; R. Tamu; Laundry; R. Jemur; Mushola; Dapur; Balcon; Jemuran; Parkir Motor"/>
    <x v="28"/>
    <s v="Rp1.000.000"/>
    <x v="0"/>
    <m/>
    <x v="0"/>
    <m/>
    <m/>
  </r>
  <r>
    <s v="Kost Merah Delima A4 Kelapa Gading Jakarta Utara"/>
    <x v="4"/>
    <s v="Kecamatan Kelapa Gading"/>
    <n v="9"/>
    <s v="3 x 3 meter"/>
    <s v="Termasuk listrik (implied)"/>
    <s v=""/>
    <s v="N/A"/>
    <s v="3 x 3 meter; Termasuk listrik; AC; Kasur; Lemari Baju; Kulkas; Kipas Angin; Bantal; Cermin; Jendela; Kloset Duduk; K. Mandi Luar; Bak mandi; WiFi; R. Cuci; R. Jemur; Jual Makanan; Jemuran; Parkir Motor"/>
    <x v="167"/>
    <s v="Rp1.550.000"/>
    <x v="3"/>
    <d v="1899-12-30T05:00:00"/>
    <x v="2"/>
    <m/>
    <m/>
  </r>
  <r>
    <s v="Kost Merah Tipe B Cibinong Bogor"/>
    <x v="0"/>
    <s v="Cibinong"/>
    <n v="32"/>
    <s v="8 x 4 meter"/>
    <s v="Tidak termasuk listrik"/>
    <s v=""/>
    <s v="N/A"/>
    <s v="8 x 4 meter; Tidak termasuk listrik; Kasur; Lemari Baju; Ventilasi; Kipas Angin; Dapur Pribadi; Jendela; K. Mandi Dalam; Kloset Jongkok; Ember mandi; WiFi; R. Tamu; Laundry; R. Jemur; Mushola; Dapur; Jemuran; Parkir Motor"/>
    <x v="28"/>
    <s v="Rp1.000.000"/>
    <x v="0"/>
    <m/>
    <x v="1"/>
    <m/>
    <m/>
  </r>
  <r>
    <s v="Kost Meranti The Home Deluxe Cikarang Barat Bekasi"/>
    <x v="7"/>
    <s v="Cikarang Barat"/>
    <n v="9"/>
    <s v="3 x 3 meter"/>
    <s v="Tidak termasuk listrik"/>
    <s v=""/>
    <s v="N/A"/>
    <s v="3 x 3 meter; Tidak termasuk listrik; AC; Kasur; Meja; Lemari Baju; Ventilasi; Bantal; Cermin; Guling; Jendela; Kursi; K. Mandi Luar; Ember mandi; Wastafel; Shower; Bak mandi; WiFi; Kulkas; R. Cuci; R. Tamu; Mushola; R. Jemur; R. Makan; R. Santai; Dapur; Dispenser; Parkir Motor; Parkir Sepeda; Parkir Motor &amp; Sepeda"/>
    <x v="1"/>
    <s v="Rp1.100.000"/>
    <x v="3"/>
    <d v="1899-12-30T05:00:00"/>
    <x v="1"/>
    <m/>
    <m/>
  </r>
  <r>
    <s v="Kost Metta Kramatjati Jakarta Timur"/>
    <x v="8"/>
    <s v="Kecamatan Kramat jati"/>
    <n v="9"/>
    <s v="3 x 3 meter"/>
    <s v="Tidak termasuk listrik"/>
    <s v=""/>
    <s v="N/A"/>
    <s v="3 x 3 meter; Tidak termasuk listrik; AC; Kasur; Meja; TV; Lemari Baju; Kulkas; Kursi; Wastafel; Cleaning service; Bantal; K. Mandi Dalam; Kloset Duduk; K. Mandi Luar; Shower; Air panas; WiFi; R. Tamu; R. Jemur; Dapur; Dispenser; Pengurus Kos; Jemuran; Parkir Motor; Parkir Sepeda"/>
    <x v="3"/>
    <s v="Rp1.500.000"/>
    <x v="3"/>
    <d v="1899-12-30T05:00:00"/>
    <x v="0"/>
    <m/>
    <m/>
  </r>
  <r>
    <s v="Kost Meutia Tipe B Babelan Bekasi"/>
    <x v="7"/>
    <s v="Babelan"/>
    <n v="12"/>
    <s v="3 x 4 meter"/>
    <s v="Tidak termasuk listrik"/>
    <s v=""/>
    <s v="N/A"/>
    <s v="3 x 4 meter; Tidak termasuk listrik; AC; Kasur; Meja Rias; Kulkas; Lemari Baju; Bantal; Guling; K. Mandi Dalam; Kloset Jongkok; Shower; Laundry; Parkir Motor"/>
    <x v="1"/>
    <s v="Rp1.100.000"/>
    <x v="0"/>
    <m/>
    <x v="0"/>
    <m/>
    <m/>
  </r>
  <r>
    <s v="Kost Mewah Cendana Suite Cileungsi Bogor"/>
    <x v="0"/>
    <s v="Kecamatan Cileungsi"/>
    <n v="16"/>
    <s v="4 x 4 meter"/>
    <s v="Tidak termasuk listrik"/>
    <s v=""/>
    <s v="N/A"/>
    <s v="4 x 4 meter; Tidak termasuk listrik; AC; Kasur; Meja; Kulkas; Lemari Baju; Ventilasi; Bantal; Cermin; Guling; Jendela; K. Mandi Dalam; Kloset Duduk; K. Mandi Luar; Wastafel; Shower; Dapur; Balcon; Jemuran; Parkir Mobil; Parkir Motor &amp; Sepeda"/>
    <x v="89"/>
    <s v="Rp1.900.000"/>
    <x v="0"/>
    <m/>
    <x v="0"/>
    <m/>
    <m/>
  </r>
  <r>
    <s v="Kost MG Resident Grogol Petamburan Jakarta Barat"/>
    <x v="3"/>
    <s v="Kecamatan Grogol petamburan"/>
    <n v="12"/>
    <s v="3 x 4 meter"/>
    <s v="Tidak termasuk listrik"/>
    <s v=""/>
    <s v="N/A"/>
    <s v="3 x 4 meter; Tidak termasuk listrik; AC; Kasur; Meja; Bantal; Guling; Jendela; Kursi; K. Mandi Dalam; Kloset Duduk; Wastafel; Shower; Air panas; WiFi; Kulkas; Penjaga Kos; R. Tamu; Dapur; Dispenser; CCTV; Kartu Akses; Pengurus Kos; Rooftop; Parkir Mobil; Parkir Motor &amp; Sepeda"/>
    <x v="32"/>
    <s v="Rp2.600.000"/>
    <x v="6"/>
    <d v="1899-12-30T04:06:00"/>
    <x v="0"/>
    <m/>
    <s v="Diskon 192rb"/>
  </r>
  <r>
    <s v="Kost Mianma Executive Tanjung Priok Jakarta Utara"/>
    <x v="4"/>
    <s v="Tanjung Priok"/>
    <n v="9.3600000000000012"/>
    <s v="2.6 x 3.6 meter"/>
    <s v="Termasuk listrik (implied)"/>
    <s v=""/>
    <s v="N/A"/>
    <s v="2.6 x 3.6 meter; Termasuk listrik; Kasur; Meja; Lemari Baju; Ventilasi; Bantal; Jendela; Kipas Angin; K. Mandi Dalam; Kloset Jongkok; Ember mandi; Shower; WiFi; R. Tamu; R. Jemur; R. Santai; Balcon; CCTV; Gazebo; Jemuran; Taman; Parkir Mobil; Parkir Motor; Parkir Sepeda"/>
    <x v="213"/>
    <s v="Rp860.000"/>
    <x v="0"/>
    <m/>
    <x v="0"/>
    <m/>
    <m/>
  </r>
  <r>
    <s v="Kost Miko Benda Tangerang"/>
    <x v="6"/>
    <s v="Benda"/>
    <n v="12"/>
    <s v="3 x 4 meter"/>
    <s v="Tidak termasuk listrik"/>
    <s v=""/>
    <s v="N/A"/>
    <s v="3 x 4 meter; Tidak termasuk listrik; AC; Kasur; Lemari Baju; K. Mandi Dalam; Kloset Jongkok; Ember mandi; WiFi; R. Tamu; R. Jemur; R. Santai; Dapur; TV; Parkir Motor"/>
    <x v="20"/>
    <s v="Rp1.250.000"/>
    <x v="13"/>
    <d v="1899-12-30T04:03:00"/>
    <x v="0"/>
    <m/>
    <m/>
  </r>
  <r>
    <s v="Kost Milenial Cengkareng Jakarta Barat"/>
    <x v="3"/>
    <s v="Kecamatan Cengkareng"/>
    <e v="#VALUE!"/>
    <s v="N/A"/>
    <s v="N/A"/>
    <s v=""/>
    <s v="N/A"/>
    <s v=""/>
    <x v="11"/>
    <s v="Rp1.400.000"/>
    <x v="0"/>
    <m/>
    <x v="1"/>
    <m/>
    <m/>
  </r>
  <r>
    <s v="Kost Milenial Tanjung Priok Jakarta Utara"/>
    <x v="4"/>
    <s v="Tanjung Priok"/>
    <n v="12"/>
    <s v="3 x 4 meter"/>
    <s v="Tidak termasuk listrik"/>
    <s v=""/>
    <s v="N/A"/>
    <s v="3 x 4 meter; Tidak termasuk listrik; AC; Kasur; Meja; Lemari Baju; Bantal; Guling; Jendela; K. Mandi Dalam; Kloset Duduk; Kloset Jongkok; Ember mandi; Shower; WiFi; Kulkas; R. Jemur; Dapur; Balcon; Jemuran; CCTV; Parkir Motor; Parkir Sepeda"/>
    <x v="11"/>
    <s v="Rp1.400.000"/>
    <x v="0"/>
    <m/>
    <x v="2"/>
    <m/>
    <m/>
  </r>
  <r>
    <s v="Kost Milenial Tipe F Pondok Aren Tangerang Selatan"/>
    <x v="2"/>
    <s v="Pondok Aren"/>
    <n v="16"/>
    <s v="4 x 4 meter"/>
    <s v="Tidak termasuk listrik"/>
    <s v=""/>
    <s v="N/A"/>
    <s v="4 x 4 meter; Tidak termasuk listrik; AC; Kasur; Meja; Lemari Baju; Ventilasi; Kursi; Cleaning service; Bantal; Cermin; Guling; K. Mandi Dalam; Kloset Duduk; Shower; WiFi; R. Cuci; Kulkas; R. Tamu; Mesin Cuci; Penjaga Kos; R. Makan; R. Jemur; R. Santai; Dapur; Parkir Motor; Parkir Sepeda"/>
    <x v="13"/>
    <s v="Rp1.600.000"/>
    <x v="2"/>
    <d v="1899-12-30T04:08:00"/>
    <x v="1"/>
    <m/>
    <m/>
  </r>
  <r>
    <s v="Kost Mimi Tipe C Kelapa Gading Jakarta Utara"/>
    <x v="4"/>
    <s v="Kelapa Gading"/>
    <n v="9"/>
    <s v="3 x 3 meter"/>
    <s v="Tidak termasuk listrik"/>
    <s v=""/>
    <s v="N/A"/>
    <s v="3 x 3 meter; Tidak termasuk listrik; AC; Kasur; Meja; Meja Rias; TV; Kulkas; Lemari Baju; Ventilasi; Bantal; Cermin; Kloset Duduk; K. Mandi Luar; WiFi; R. Tamu; R. Makan; Dapur; Kartu Akses; Parkir Motor"/>
    <x v="27"/>
    <s v="Rp2.000.000"/>
    <x v="3"/>
    <d v="1899-12-30T05:00:00"/>
    <x v="2"/>
    <m/>
    <m/>
  </r>
  <r>
    <s v="Kost Mimi Tipe I Kelapa Gading Jakarta Utara"/>
    <x v="4"/>
    <s v="Kelapa Gading"/>
    <n v="9"/>
    <s v="3 x 3 meter"/>
    <s v="Tidak termasuk listrik"/>
    <s v=""/>
    <s v="N/A"/>
    <s v="3 x 3 meter; Tidak termasuk listrik; AC; Kasur; Meja; TV; Kulkas; Lemari Baju; Ventilasi; Bantal; Cermin; Dapur Pribadi; K. Mandi Dalam; Kloset Duduk; Wastafel; Shower; Air panas; WiFi; R. Cuci; R. Tamu; Laundry; Penjaga Kos; R. Makan; Mushola; R. Jemur; R. Santai; Parkir Mobil; Parkir Motor; Parkir Sepeda"/>
    <x v="26"/>
    <s v="Rp2.100.000"/>
    <x v="0"/>
    <m/>
    <x v="2"/>
    <m/>
    <m/>
  </r>
  <r>
    <s v="Kost Mimos Tipe B Ciputat Timur Tangerang Selatan"/>
    <x v="2"/>
    <s v="Kecamatan Ciputat Timur"/>
    <n v="12"/>
    <s v="3 x 4 meter"/>
    <s v="Termasuk listrik (implied)"/>
    <s v=""/>
    <s v="N/A"/>
    <s v="3 x 4 meter; Termasuk listrik; AC; Kasur; Meja; Lemari Baju; Bantal; Cermin; Guling; Jendela; Kursi; Kloset Duduk; K. Mandi Luar; Wastafel; Shower; Air panas; WiFi; R. Cuci; Kulkas; R. Jemur; R. Santai; Dapur; Dispenser; Balcon; CCTV; Jemuran; Parkir Mobil; Parkir Motor; Parkir Sepeda; Parkir Motor &amp; Sepeda"/>
    <x v="23"/>
    <s v="Rp1.200.000"/>
    <x v="3"/>
    <d v="1899-12-30T05:00:00"/>
    <x v="2"/>
    <m/>
    <s v="Diskon 65rb"/>
  </r>
  <r>
    <s v="Kost Mimosa 1 Tipe WC Luar AC sharing Tanjung Priok Jakarta Utara"/>
    <x v="4"/>
    <s v="Tanjung Priok"/>
    <n v="6"/>
    <s v="2 x 3 meter"/>
    <s v="Termasuk listrik (implied)"/>
    <s v=""/>
    <s v="N/A"/>
    <s v="2 x 3 meter; Termasuk listrik; AC; Kasur; Meja; Lemari Baju; Ventilasi; Kursi; Cleaning service; Bantal; Jendela; Kloset Duduk; K. Mandi Luar; Wastafel; Shower; R. Cuci; Kulkas; R. Tamu; Penjaga Kos; Laundry; R. Makan; R. Jemur; R. Santai; Dapur; Dispenser; Parkir Motor; Parkir Sepeda"/>
    <x v="18"/>
    <s v="Rp1.300.000"/>
    <x v="6"/>
    <d v="1899-12-30T04:06:00"/>
    <x v="0"/>
    <m/>
    <s v="Diskon 63rb"/>
  </r>
  <r>
    <s v="Kost Mina Ciracas Jakarta Timur"/>
    <x v="8"/>
    <s v="Ciracas"/>
    <n v="12"/>
    <s v="3 x 4 meter"/>
    <s v="Termasuk listrik (implied)"/>
    <s v=""/>
    <s v="N/A"/>
    <s v="3 x 4 meter; Termasuk listrik; Kasur; Lemari Baju; Ventilasi; Bantal; Cermin; Guling; Jendela; K. Mandi Dalam; Kloset Jongkok; Ember mandi; WiFi; Dapur; CCTV; Parkir Motor"/>
    <x v="28"/>
    <s v="Rp1.000.000"/>
    <x v="0"/>
    <m/>
    <x v="0"/>
    <m/>
    <m/>
  </r>
  <r>
    <s v="Kost Mindi 41 Tipe B Koja Jakarta Utara"/>
    <x v="4"/>
    <s v="Koja"/>
    <n v="12"/>
    <s v="3 x 4 meter"/>
    <s v="Tidak termasuk listrik"/>
    <s v=""/>
    <s v="N/A"/>
    <s v="3 x 4 meter; Tidak termasuk listrik; AC; Kasur; Lemari Baju; Bantal; Guling; Jendela; K. Mandi Dalam; Kloset Jongkok; Ember mandi; Shower; WiFi; Kulkas; R. Tamu; R. Santai; Dapur; Dispenser; TV; K. Mandi Luar; CCTV; Pengurus Kos; Parkir Motor"/>
    <x v="13"/>
    <s v="Rp1.600.000"/>
    <x v="0"/>
    <m/>
    <x v="0"/>
    <m/>
    <m/>
  </r>
  <r>
    <s v="Kost Mirasony 1 Cileungsi Bogor"/>
    <x v="0"/>
    <s v="Cileungsi"/>
    <n v="9"/>
    <s v="3 x 3 meter"/>
    <s v="Termasuk listrik (implied)"/>
    <s v=""/>
    <s v="N/A"/>
    <s v="3 x 3 meter; Termasuk listrik; Kasur; Meja; TV; Lemari Baju; Ventilasi; Bantal; Cermin; Guling; Jendela; Kursi; Kloset Duduk; K. Mandi Luar; Ember mandi; Shower; WiFi; Kulkas; R. Cuci; Mesin Cuci; Penjaga Kos; R. Tamu; Laundry; Mushola; R. Jemur; R. Makan; Parkir Sepeda; Parkir Motor"/>
    <x v="2"/>
    <s v="Rp700.000"/>
    <x v="0"/>
    <m/>
    <x v="2"/>
    <m/>
    <m/>
  </r>
  <r>
    <s v="Kost Mirasony 2 Tipe A Cileungsi Bogor"/>
    <x v="0"/>
    <s v="Kecamatan Cileungsi"/>
    <n v="9"/>
    <s v="3 x 3 meter"/>
    <s v="Termasuk listrik (implied)"/>
    <s v=""/>
    <s v="N/A"/>
    <s v="3 x 3 meter; Termasuk listrik; Kasur; Dispenser; Lemari Baju; Kulkas; Ventilasi; Bantal; Cermin; Guling; Meja makan; Sofa; Kloset Duduk; K. Mandi Luar; Ember mandi; WiFi; R. Cuci; Mesin Cuci; Penjaga Kos; R. Tamu; Mushola; R. Jemur; R. Makan; R. Santai; Parkir Motor &amp; Sepeda"/>
    <x v="14"/>
    <s v="Rp800.000"/>
    <x v="0"/>
    <m/>
    <x v="2"/>
    <m/>
    <m/>
  </r>
  <r>
    <s v="Kost Modern Byyu Sentulcity Eksklusif Babakan Madang Bogor"/>
    <x v="0"/>
    <s v="Kecamatan Babakan Madang"/>
    <n v="12"/>
    <s v="3 x 4 meter"/>
    <s v="Tidak termasuk listrik"/>
    <s v=""/>
    <s v="N/A"/>
    <s v="3 x 4 meter; Tidak termasuk listrik; AC; Kasur; Meja; TV; Lemari Baju; Bantal; Cermin; Cleaning service; Guling; Jendela; K. Mandi Dalam; Kloset Duduk; Ember mandi; Shower; Air panas; WiFi; Kulkas; Penjaga Kos; R. Tamu; Laundry; Mushola; R. Makan; R. Santai; Dapur; Dispenser; Parkir Mobil; Parkir Motor; Parkir Sepeda; Parkir Motor &amp; Sepeda"/>
    <x v="25"/>
    <s v="Rp1.850.000"/>
    <x v="0"/>
    <m/>
    <x v="2"/>
    <m/>
    <m/>
  </r>
  <r>
    <s v="Kost Mommy Cikarang Utara Bekasi"/>
    <x v="7"/>
    <s v="Kecamatan Cikarang Utara"/>
    <n v="10.5"/>
    <s v="3 x 3.5 meter"/>
    <s v="Tidak termasuk listrik"/>
    <s v=""/>
    <s v="N/A"/>
    <s v="3 x 3.5 meter; Tidak termasuk listrik; AC; Kasur; Meja; Lemari Baju; Ventilasi; Bantal; Guling; Jendela; Kursi; Cermin; K. Mandi Dalam; Kloset Duduk; Shower"/>
    <x v="13"/>
    <s v="Rp1.600.000"/>
    <x v="0"/>
    <m/>
    <x v="2"/>
    <m/>
    <m/>
  </r>
  <r>
    <s v="Kost Mora 1 Cikarang Utara Bekasi"/>
    <x v="7"/>
    <s v="Kecamatan Cikarang Utara"/>
    <n v="12"/>
    <s v="3 x 4 meter"/>
    <s v="Tidak termasuk listrik"/>
    <s v=""/>
    <s v="N/A"/>
    <s v="3 x 4 meter; Tidak termasuk listrik; AC; Kasur; Lemari Baju; Ventilasi; Jendela; Bantal; K. Mandi Dalam; Kloset Jongkok; Ember mandi; WiFi; Penjaga Kos; Jemuran; CCTV; Jual Makanan; Parkir Mobil; Parkir Motor; Parkir Sepeda"/>
    <x v="177"/>
    <s v="Rp550.000"/>
    <x v="0"/>
    <m/>
    <x v="0"/>
    <m/>
    <m/>
  </r>
  <r>
    <s v="Kost Moza 1 Tipe A Karawaci Tangerang"/>
    <x v="6"/>
    <s v="Kecamatan Karawaci"/>
    <n v="9"/>
    <s v="3 x 3 meter"/>
    <s v="Termasuk listrik (implied)"/>
    <s v=""/>
    <s v="N/A"/>
    <s v="3 x 3 meter; Termasuk listrik; Kasur; Lemari Baju; Ventilasi; Bantal; Cermin; Jendela; Cleaning service; Dapur Pribadi; Kipas Angin; Kloset Jongkok; K. Mandi Luar; Ember mandi; Shower; Bak mandi; WiFi; R. Cuci; Penjaga Kos; R. Tamu; R. Jemur; R. Makan; R. Santai; Dapur; CCTV; Jemuran; Parkir Motor; Parkir Sepeda; Parkir Motor &amp; Sepeda"/>
    <x v="2"/>
    <s v="Rp700.000"/>
    <x v="3"/>
    <d v="1899-12-30T05:00:00"/>
    <x v="1"/>
    <m/>
    <m/>
  </r>
  <r>
    <s v="Kost Murni 3 Tipe A Penjaringan Jakarta Utara"/>
    <x v="4"/>
    <s v="Penjaringan"/>
    <n v="9"/>
    <s v="3 x 3 meter"/>
    <s v="Termasuk listrik (implied)"/>
    <s v=""/>
    <s v="N/A"/>
    <s v="3 x 3 meter; Termasuk listrik; AC; Kasur; Lemari Baju; Ventilasi; TV Kabel; Bantal; Cermin; Guling; Jendela; Kloset Duduk; K. Mandi Luar; Wastafel; Shower; WiFi; R. Cuci; Kulkas; R. Tamu; Mesin Cuci; Penjaga Kos; Laundry; R. Makan; R. Jemur; R. Santai; Parkir Mobil; Parkir Motor; Parkir Sepeda"/>
    <x v="176"/>
    <s v="Rp2.300.000"/>
    <x v="5"/>
    <d v="1899-12-30T04:00:00"/>
    <x v="0"/>
    <m/>
    <s v="Diskon 184rb"/>
  </r>
  <r>
    <s v="Kost Musdalipa Cibinong Bogor"/>
    <x v="0"/>
    <s v="Kecamatan Cibinong"/>
    <n v="9"/>
    <s v="3 x 3 meter"/>
    <s v="Termasuk listrik (implied)"/>
    <s v=""/>
    <s v="N/A"/>
    <s v="3 x 3 meter; Termasuk listrik; Kasur; TV; Lemari Baju; Kursi; Sofa; Bantal; Jendela; K. Mandi Dalam; Kloset Duduk; Kloset Jongkok; K. Mandi Luar; Ember mandi; WiFi; R. Jemur; Dapur; Pengurus Kos; Parkir Motor"/>
    <x v="177"/>
    <s v="Rp550.000"/>
    <x v="0"/>
    <m/>
    <x v="1"/>
    <m/>
    <m/>
  </r>
  <r>
    <s v="Kost Muslimah Maharani Cibinong Bogor"/>
    <x v="0"/>
    <s v="Cibinong"/>
    <n v="9"/>
    <s v="3 x 3 meter"/>
    <s v="Termasuk listrik (implied)"/>
    <s v=""/>
    <s v="N/A"/>
    <s v="3 x 3 meter; Termasuk listrik; AC; Meja; Lemari Baju; Bantal; Guling; Kloset Duduk; Ember mandi; Shower; Kulkas; R. Tamu; Dapur; Jemuran; Balcon"/>
    <x v="11"/>
    <s v="Rp1.400.000"/>
    <x v="0"/>
    <m/>
    <x v="2"/>
    <m/>
    <m/>
  </r>
  <r>
    <s v="Kost Muslimah Nuy Tipe Single Dramaga Bogor"/>
    <x v="0"/>
    <s v="Kecamatan Dramaga"/>
    <n v="9"/>
    <s v="3 x 3 meter"/>
    <s v="Tidak termasuk listrik"/>
    <s v=""/>
    <s v="N/A"/>
    <s v="3 x 3 meter; Tidak termasuk listrik; Kasur; Meja; Lemari Baju; Kulkas; Ventilasi; Bantal; Jendela; Kursi; K. Mandi Dalam; Kloset Jongkok; Ember mandi; Shower; WiFi; Penjaga Kos; R. Tamu; R. Jemur; R. Santai; Dapur; Balcon; CCTV; Jemuran; Parkir Mobil; Parkir Motor; Parkir Sepeda"/>
    <x v="10"/>
    <s v="Rp750.000"/>
    <x v="0"/>
    <m/>
    <x v="2"/>
    <m/>
    <m/>
  </r>
  <r>
    <s v="Kost Muslimah Rumah Nadine Tipe B Pasar Minggu Jakarta Selatan"/>
    <x v="5"/>
    <s v="Pasar Minggu"/>
    <n v="16"/>
    <s v="4 x 4 meter"/>
    <s v="Tidak termasuk listrik"/>
    <s v=""/>
    <s v="N/A"/>
    <s v="4 x 4 meter; Tidak termasuk listrik; AC; Kasur; Meja; Lemari Baju; Ventilasi; Bantal; Guling; Jendela; Cermin; Kursi; K. Mandi Dalam; Kloset Duduk; Shower; WiFi; Kulkas; R. Cuci; Mesin Cuci; R. Jemur; R. Santai; Dapur; Dispenser; Kartu Akses; Balcon; Parkir Mobil; Parkir Motor; Parkir Sepeda"/>
    <x v="22"/>
    <s v="Rp2.500.000"/>
    <x v="6"/>
    <d v="1899-12-30T04:06:00"/>
    <x v="2"/>
    <m/>
    <m/>
  </r>
  <r>
    <s v="Kost Muslimah Sakinah Tipe Ac Beji Depok"/>
    <x v="1"/>
    <s v="Kecamatan Beji"/>
    <n v="12"/>
    <s v="3 x 4 meter"/>
    <s v="Tidak termasuk listrik"/>
    <s v=""/>
    <s v="N/A"/>
    <s v="3 x 4 meter; Tidak termasuk listrik; AC; Kasur; Meja; Lemari Baju; Ventilasi; Kursi; Bantal; Jendela; K. Mandi Dalam; Kloset Duduk; Ember mandi; Shower; WiFi; Kulkas; R. Tamu; R. Makan; R. Jemur; R. Santai; Dapur; Taman; CCTV; Pengurus Kos; Parkir Motor; Parkir Sepeda"/>
    <x v="11"/>
    <s v="Rp1.400.000"/>
    <x v="6"/>
    <d v="1899-12-30T04:06:00"/>
    <x v="2"/>
    <m/>
    <s v="Diskon 120rb"/>
  </r>
  <r>
    <s v="Kost Muslimah Sakinah Tipe Ac Single Beji Depok"/>
    <x v="1"/>
    <s v="Beji"/>
    <n v="9"/>
    <s v="3 x 3 meter"/>
    <s v="Tidak termasuk listrik"/>
    <s v=""/>
    <s v="N/A"/>
    <s v="3 x 3 meter; Tidak termasuk listrik; AC; Kasur; Meja; Lemari Baju; Kursi; Bantal; Jendela; Cermin; K. Mandi Dalam; Kloset Duduk; Ember mandi; Shower; WiFi; Kulkas; R. Tamu; R. Makan; R. Jemur; R. Santai; Dapur; Taman; CCTV; Jemuran; Parkir Motor; Parkir Sepeda"/>
    <x v="18"/>
    <s v="Rp1.300.000"/>
    <x v="6"/>
    <d v="1899-12-30T04:06:00"/>
    <x v="2"/>
    <m/>
    <s v="Diskon 120rb"/>
  </r>
  <r>
    <s v="Kost Muslimah Sakinah Tipe B Beji Depok"/>
    <x v="1"/>
    <s v="Kecamatan Beji"/>
    <n v="9"/>
    <s v="3 x 3 meter"/>
    <s v="Tidak termasuk listrik"/>
    <s v=""/>
    <s v="N/A"/>
    <s v="3 x 3 meter; Tidak termasuk listrik; Kasur; Meja; Lemari Baju; Ventilasi; Kursi; Kipas Angin; Bantal; Jendela; K. Mandi Dalam; Kloset Duduk; Ember mandi; Shower; WiFi; Kulkas; R. Tamu; R. Makan; R. Jemur; R. Santai; Dapur; Taman; CCTV; Pengurus Kos; Parkir Motor; Parkir Sepeda"/>
    <x v="20"/>
    <s v="Rp1.250.000"/>
    <x v="6"/>
    <d v="1899-12-30T04:06:00"/>
    <x v="2"/>
    <m/>
    <s v="Diskon 120rb"/>
  </r>
  <r>
    <s v="Kost Mutiara Jatiuwung Tangerang"/>
    <x v="6"/>
    <s v="Kecamatan Jatiuwung"/>
    <n v="27"/>
    <s v="3 x 9 meter"/>
    <s v="Tidak termasuk listrik"/>
    <s v=""/>
    <s v="N/A"/>
    <s v="3 x 9 meter; Tidak termasuk listrik; Jendela; K. Mandi Dalam; Kloset Jongkok; R. Cuci; R. Tamu; R. Jemur; Balcon; R. Keluarga; Parkir Motor; Parkir Motor &amp; Sepeda"/>
    <x v="28"/>
    <s v="Rp1.000.000"/>
    <x v="0"/>
    <m/>
    <x v="0"/>
    <m/>
    <m/>
  </r>
  <r>
    <s v="Kost Mutiara Kedasih I Cikarang Utara Bekasi"/>
    <x v="7"/>
    <s v="Cikarang Utara"/>
    <n v="9"/>
    <s v="3 x 3 meter"/>
    <s v="Termasuk listrik (implied)"/>
    <s v=""/>
    <s v="N/A"/>
    <s v="3 x 3 meter; Termasuk listrik; Kasur; Lemari Baju; Kipas Angin; Bantal; Cermin; Kloset Jongkok; K. Mandi Luar; Ember mandi; WiFi; Kulkas; R. Cuci; R. Jemur; R. Makan; R. Santai; Dapur; Dispenser; CCTV; Jemuran; Parkir Motor; Parkir Sepeda"/>
    <x v="10"/>
    <s v="Rp750.000"/>
    <x v="0"/>
    <m/>
    <x v="1"/>
    <m/>
    <m/>
  </r>
  <r>
    <s v="Kost Mutiara Kedasih II Cikarang Utara Bekasi"/>
    <x v="7"/>
    <s v="Cikarang Utara"/>
    <n v="9"/>
    <s v="3 x 3 meter"/>
    <s v="Termasuk listrik (implied)"/>
    <s v=""/>
    <s v="N/A"/>
    <s v="3 x 3 meter; Termasuk listrik; Kasur; Meja; Lemari Baju; Ventilasi; Bantal; Cermin; Jendela; Kipas Angin; Kloset Jongkok; K. Mandi Luar; Ember mandi; Parkir Motor; Parkir Sepeda"/>
    <x v="10"/>
    <s v="Rp750.000"/>
    <x v="0"/>
    <m/>
    <x v="1"/>
    <m/>
    <m/>
  </r>
  <r>
    <s v="Kost Muwardi IIIA Residence Grogol Petamburan Jakarta Barat"/>
    <x v="3"/>
    <s v="Kecamatan Grogol petamburan"/>
    <n v="8.1000000000000014"/>
    <s v="2.7 x 3 meter"/>
    <s v="Tidak termasuk listrik"/>
    <s v=""/>
    <s v="N/A"/>
    <s v="2.7 x 3 meter; Tidak termasuk listrik; AC; Kasur; Meja; TV; Lemari Baju; Ventilasi; Bantal; Cermin; Guling; Jendela; K. Mandi Dalam; Kloset Duduk; Wastafel; Shower; Air panas; WiFi; Kulkas; R. Cuci; Penjaga Kos; R. Tamu; R. Jemur; R. Makan; Dapur; Dispenser; CCTV; Parkir Motor; Parkir Sepeda"/>
    <x v="27"/>
    <s v="Rp2.000.000"/>
    <x v="8"/>
    <d v="1899-12-30T04:09:00"/>
    <x v="2"/>
    <m/>
    <s v="Diskon 93rb"/>
  </r>
  <r>
    <s v="Kost MX Home Tipe B Kelapa Gading Jakarta Utara"/>
    <x v="4"/>
    <s v="Kelapa Gading"/>
    <n v="9"/>
    <s v="3 x 3 meter"/>
    <s v="Tidak termasuk listrik"/>
    <s v=""/>
    <s v="N/A"/>
    <s v="3 x 3 meter; Tidak termasuk listrik; AC; Kasur; Meja; TV; Lemari Baju; Ventilasi; Kursi; Kipas Angin; Cleaning service; Meja makan; Kloset Duduk; Kloset Jongkok; K. Mandi Luar; Wastafel; Ember mandi; Shower; WiFi; R. Tamu; Mesin Cuci; Penjaga Kos; Laundry; R. Jemur; Dapur; Taman; R. Keluarga; Gazebo; Parkir Mobil; Parkir Motor; Parkir Sepeda"/>
    <x v="18"/>
    <s v="Rp1.300.000"/>
    <x v="9"/>
    <d v="1899-12-30T03:04:00"/>
    <x v="0"/>
    <m/>
    <m/>
  </r>
  <r>
    <s v="Kost My 1 Tipe B Penjaringan Jakarta Utara"/>
    <x v="4"/>
    <s v="Kecamatan Penjaringan"/>
    <n v="6.72"/>
    <s v="2.4 x 2.8 meter"/>
    <s v="Tidak termasuk listrik"/>
    <s v=""/>
    <s v="N/A"/>
    <s v="2.4 x 2.8 meter; Tidak termasuk listrik; AC; Kasur; Meja; Lemari Baju; Ventilasi; Bantal; Guling; Kursi; Cermin; Jendela; Kloset Duduk; Kloset Jongkok; K. Mandi Luar; Wastafel; Shower; Air panas; WiFi; Kulkas; Laundry; R. Jemur; R. Santai; Dapur; Dispenser; CCTV; Jemuran; Pengurus Kos; Parkir Motor &amp; Sepeda"/>
    <x v="163"/>
    <s v="Rp1.700.000"/>
    <x v="3"/>
    <d v="1899-12-30T05:00:00"/>
    <x v="2"/>
    <m/>
    <m/>
  </r>
  <r>
    <s v="Kost My 2 Tipe A Penjaringan Jakarta Utara"/>
    <x v="4"/>
    <s v="Kecamatan Penjaringan"/>
    <n v="6.72"/>
    <s v="2.4 x 2.8 meter"/>
    <s v="Tidak termasuk listrik"/>
    <s v=""/>
    <s v="N/A"/>
    <s v="2.4 x 2.8 meter; Tidak termasuk listrik; AC; Kasur; Meja; Lemari Baju; Ventilasi; Bantal; Cermin; Guling; Jendela; Kursi; K. Mandi Dalam; Kloset Duduk; Kloset Jongkok; K. Mandi Luar; Wastafel; Shower; Air panas; WiFi; Kulkas; Laundry; R. Tamu; R. Jemur; R. Makan; R. Santai; Dapur; Dispenser; Balcon; Parkir Sepeda"/>
    <x v="22"/>
    <s v="Rp2.500.000"/>
    <x v="0"/>
    <m/>
    <x v="2"/>
    <m/>
    <m/>
  </r>
  <r>
    <s v="Kost My Room VVIP Gunung Putri Bogor"/>
    <x v="0"/>
    <s v="Kecamatan Gunung Putri"/>
    <n v="18"/>
    <s v="3 x 6 meter"/>
    <s v="Termasuk listrik (implied)"/>
    <s v=""/>
    <s v="N/A"/>
    <s v="3 x 6 meter; Termasuk listrik; AC; Kasur; Meja; TV; Kulkas; Lemari Baju; Bantal; Cermin; Guling; Wastafel; K. Mandi Dalam; Kloset Duduk; Shower; Air panas; Parkir Mobil; Parkir Motor"/>
    <x v="27"/>
    <s v="Rp2.000.000"/>
    <x v="0"/>
    <m/>
    <x v="2"/>
    <m/>
    <m/>
  </r>
  <r>
    <s v="Kost My Suite Ciputat Tangerang Selatan"/>
    <x v="2"/>
    <s v="Ciputat"/>
    <n v="16"/>
    <s v="4 x 4 meter"/>
    <s v="Tidak termasuk listrik"/>
    <s v=""/>
    <s v="N/A"/>
    <s v="4 x 4 meter; Tidak termasuk listrik; AC; Kasur; TV; Lemari Baju; Bantal; Cermin; Guling; Jendela; Dapur Pribadi; K. Mandi Dalam; Kloset Duduk; Kloset Jongkok; Shower; WiFi; Dapur; CCTV; Taman; Balcon; Parkir Motor; Parkir Sepeda; Parkir Motor &amp; Sepeda"/>
    <x v="28"/>
    <s v="Rp1.000.000"/>
    <x v="0"/>
    <m/>
    <x v="0"/>
    <m/>
    <m/>
  </r>
  <r>
    <s v="Kost My VIP Penjaringan Jakarta Utara"/>
    <x v="4"/>
    <s v="Kecamatan Penjaringan"/>
    <n v="9"/>
    <s v="3 x 3 meter"/>
    <s v="Tidak termasuk listrik"/>
    <s v=""/>
    <s v="N/A"/>
    <s v="3 x 3 meter; Tidak termasuk listrik; AC; Kasur; Dispenser; Kulkas; Lemari Baju; Ventilasi; Bantal; Cleaning service; Guling; Jendela; K. Mandi Dalam; Kloset Duduk; Ember mandi; Wastafel; Shower; WiFi; R. Cuci; Laundry; Penjaga Kos; R. Jemur; R. Makan; Dapur; Balcon; Parkir Mobil; Parkir Motor; Parkir Sepeda; Parkir Motor &amp; Sepeda"/>
    <x v="163"/>
    <s v="Rp1.700.000"/>
    <x v="0"/>
    <m/>
    <x v="2"/>
    <m/>
    <m/>
  </r>
  <r>
    <s v="Kost Myah Make Yourself At Home Tipe B Taman Sari Jakarta Barat"/>
    <x v="3"/>
    <s v="Taman Sari"/>
    <n v="14"/>
    <s v="3.5 x 4 meter"/>
    <s v="Tidak termasuk listrik"/>
    <s v=""/>
    <s v="N/A"/>
    <s v="3.5 x 4 meter; Tidak termasuk listrik; AC; Kasur; TV; Meja Rias; Lemari Baju; Wastafel; TV Kabel; K. Mandi Dalam; Kloset Duduk; Shower; Air panas; WiFi; Penjaga Kos; Laundry; Kartu Akses; Parkir Mobil; Parkir Motor; Parkir Sepeda"/>
    <x v="180"/>
    <s v="Rp2.800.000"/>
    <x v="8"/>
    <d v="1899-12-30T04:09:00"/>
    <x v="0"/>
    <m/>
    <m/>
  </r>
  <r>
    <s v="Kost N Tipe B Cempaka Putih Jakarta Pusat"/>
    <x v="9"/>
    <s v="Cempaka Putih"/>
    <n v="16"/>
    <s v="4 x 4 meter"/>
    <s v="Tidak termasuk listrik"/>
    <s v=""/>
    <s v="N/A"/>
    <s v="4 x 4 meter; Tidak termasuk listrik; AC; Kasur; Meja; TV; Meja Rias; Lemari Baju; Kursi; Wastafel; Cleaning service; K. Mandi Dalam; Kloset Duduk; Shower; Air panas; WiFi; R. Cuci; R. Tamu; Laundry; R. Jemur; R. Santai; Taman; Balcon; Parkir Mobil; Parkir Motor; Parkir Sepeda"/>
    <x v="186"/>
    <s v="Rp3.000.000"/>
    <x v="3"/>
    <d v="1899-12-30T05:00:00"/>
    <x v="0"/>
    <m/>
    <m/>
  </r>
  <r>
    <s v="Kost N Tipe C Cempaka Putih Jakarta Pusat"/>
    <x v="9"/>
    <s v="Cempaka Putih"/>
    <n v="12"/>
    <s v="3 x 4 meter"/>
    <s v="Tidak termasuk listrik"/>
    <s v=""/>
    <s v="N/A"/>
    <s v="3 x 4 meter; Tidak termasuk listrik; AC; Kasur; Meja; TV; Meja Rias; Lemari Baju; Kursi; Wastafel; Cleaning service; K. Mandi Dalam; Kloset Duduk; Shower; Air panas; WiFi; R. Cuci; Laundry; R. Jemur; R. Santai; Taman; Parkir Mobil; Parkir Motor; Parkir Sepeda"/>
    <x v="7"/>
    <s v="Rp3.500.000"/>
    <x v="0"/>
    <m/>
    <x v="0"/>
    <m/>
    <m/>
  </r>
  <r>
    <s v="Kost N Tipe D Cempaka Putih Jakarta Pusat"/>
    <x v="9"/>
    <s v="Cempaka Putih"/>
    <n v="24"/>
    <s v="4 x 6 meter"/>
    <s v="Tidak termasuk listrik"/>
    <s v=""/>
    <s v="N/A"/>
    <s v="4 x 6 meter; Tidak termasuk listrik; AC; Kasur; Meja; TV; Meja Rias; Lemari Baju; Kursi; Wastafel; Cleaning service; K. Mandi Dalam; Kloset Duduk; Shower; Air panas; WiFi; R. Cuci; R. Tamu; Laundry; R. Jemur; R. Santai; Taman; Balcon; Parkir Mobil; Parkir Motor; Parkir Sepeda"/>
    <x v="9"/>
    <s v="Rp4.000.000"/>
    <x v="0"/>
    <m/>
    <x v="0"/>
    <m/>
    <m/>
  </r>
  <r>
    <s v="Kost N2 Beji Depok"/>
    <x v="1"/>
    <s v="Beji"/>
    <n v="12"/>
    <s v="3 x 4 meter"/>
    <s v="Tidak termasuk listrik"/>
    <s v=""/>
    <s v="N/A"/>
    <s v="3 x 4 meter; Tidak termasuk listrik; AC; Kasur; Meja; Lemari Baju; Kursi; K. Mandi Dalam; Kloset Duduk; Shower; WiFi; Kulkas; R. Jemur; Dapur; CCTV; Jemuran; Parkir Motor"/>
    <x v="28"/>
    <s v="Rp1.000.000"/>
    <x v="6"/>
    <d v="1899-12-30T04:06:00"/>
    <x v="1"/>
    <m/>
    <s v="Diskon 110rb"/>
  </r>
  <r>
    <s v="Kost NA Tipe AC Executive Pamulang Tangerang Selatan"/>
    <x v="2"/>
    <s v="Pamulang"/>
    <n v="20"/>
    <s v="4 x 5 meter"/>
    <s v="Tidak termasuk listrik"/>
    <s v=""/>
    <s v="N/A"/>
    <s v="4 x 5 meter; Tidak termasuk listrik; AC; Kasur; Meja; Lemari Baju; Ventilasi; Bantal; Cermin; Jendela; Kursi; Wastafel; K. Mandi Dalam; Kloset Duduk; Shower; WiFi; Penjaga Kos; Mushola; Pengurus Kos; Jual Makanan; Rice Cooker; Parkir Mobil; Parkir Motor &amp; Sepeda"/>
    <x v="11"/>
    <s v="Rp1.400.000"/>
    <x v="3"/>
    <d v="1899-12-30T05:00:00"/>
    <x v="0"/>
    <m/>
    <m/>
  </r>
  <r>
    <s v="Kost Nabila Cibodas Tangerang"/>
    <x v="6"/>
    <s v="Kecamatan Cibodas"/>
    <n v="9"/>
    <s v="3 x 3 meter"/>
    <s v="Termasuk listrik (implied)"/>
    <s v=""/>
    <s v="N/A"/>
    <s v="3 x 3 meter; Termasuk listrik; Kasur; Lemari Baju; Ventilasi; Cleaning service; K. Mandi Dalam; Kloset Jongkok; Ember mandi; WiFi; R. Jemur; Dapur; CCTV; Pengurus Kos; Jemuran; Parkir Motor; Parkir Sepeda"/>
    <x v="12"/>
    <s v="Rp850.000"/>
    <x v="4"/>
    <d v="1899-12-30T04:01:00"/>
    <x v="0"/>
    <m/>
    <m/>
  </r>
  <r>
    <s v="Kost Nadia 4 Tambun Utara Bekasi"/>
    <x v="7"/>
    <s v="Kecamatan Tambun Utara"/>
    <n v="12"/>
    <s v="3 x 4 meter"/>
    <s v="Tidak termasuk listrik"/>
    <s v=""/>
    <s v="N/A"/>
    <s v="3 x 4 meter; Tidak termasuk listrik; Jendela; K. Mandi Dalam; Bak mandi; Jemuran; Parkir Motor &amp; Sepeda"/>
    <x v="29"/>
    <s v="Rp500.000"/>
    <x v="3"/>
    <d v="1899-12-30T05:00:00"/>
    <x v="0"/>
    <m/>
    <m/>
  </r>
  <r>
    <s v="Kost Naf Tipe A Limo Depok"/>
    <x v="1"/>
    <s v="Limo"/>
    <n v="9"/>
    <s v="3 x 3 meter"/>
    <s v="Tidak termasuk listrik"/>
    <s v=""/>
    <s v="N/A"/>
    <s v="3 x 3 meter; Tidak termasuk listrik; AC; Kasur; Meja; Lemari Baju; Ventilasi; Bantal; Cermin; Guling; Jendela; Kursi; K. Mandi Dalam; Kloset Duduk; Shower; Air panas; WiFi; Kulkas; R. Cuci; R. Tamu; R. Jemur; R. Makan; R. Santai; Dapur; Dispenser; Balcon; Parkir Motor &amp; Sepeda"/>
    <x v="3"/>
    <s v="Rp1.500.000"/>
    <x v="0"/>
    <m/>
    <x v="2"/>
    <m/>
    <m/>
  </r>
  <r>
    <s v="Kost Nakula 1 Tipe A Cikarang Selatan Bekasi"/>
    <x v="7"/>
    <s v="Cikarang Selatan"/>
    <n v="9"/>
    <s v="3 x 3 meter"/>
    <s v="Tidak termasuk listrik"/>
    <s v=""/>
    <s v="N/A"/>
    <s v="3 x 3 meter; Tidak termasuk listrik; AC; Kasur; Meja; Lemari Baju; Ventilasi; Bantal; Cermin; Guling; Jendela; Kursi; K. Mandi Dalam; Kloset Duduk; Ember mandi; Shower; WiFi; Kulkas; R. Cuci; Mesin Cuci; R. Jemur; Dapur; Dispenser; Jemuran; CCTV; Parkir Mobil; Parkir Motor; Parkir Sepeda"/>
    <x v="13"/>
    <s v="Rp1.600.000"/>
    <x v="0"/>
    <m/>
    <x v="2"/>
    <m/>
    <m/>
  </r>
  <r>
    <s v="Kost Nala Tipe Gold Pesanggrahan Jakarta Selatan"/>
    <x v="5"/>
    <s v="Kecamatan Pesanggrahan"/>
    <n v="23.099999999999998"/>
    <s v="3.3 x 7 meter"/>
    <s v="Tidak termasuk listrik"/>
    <s v=""/>
    <s v="N/A"/>
    <s v="3.3 x 7 meter; Tidak termasuk listrik; AC; Kasur; Meja; Lemari Baju; Ventilasi; Bantal; Cermin; Cleaning service; Guling; Jendela; K. Mandi Dalam; Kloset Jongkok; Ember mandi; Shower; WiFi; Kulkas; Laundry; Penjaga Kos; R. Jemur; R. Makan; Dapur; Dispenser; CCTV; Jemuran; Parkir Motor; Parkir Sepeda; Parkir Motor &amp; Sepeda"/>
    <x v="26"/>
    <s v="Rp2.100.000"/>
    <x v="6"/>
    <d v="1899-12-30T04:06:00"/>
    <x v="2"/>
    <m/>
    <s v="Diskon 110rb"/>
  </r>
  <r>
    <s v="Kost Nali House Tipe B Kelapa Gading Jakarta Utara"/>
    <x v="4"/>
    <s v="Kelapa Gading"/>
    <n v="9"/>
    <s v="3 x 3 meter"/>
    <s v="Tidak termasuk listrik"/>
    <s v=""/>
    <s v="N/A"/>
    <s v="3 x 3 meter; Tidak termasuk listrik; AC; Kasur; Meja; Lemari Baju; Ventilasi; Bantal; Cermin; Guling; Kursi; Jendela; Kloset Duduk; K. Mandi Luar; Wastafel; Ember mandi; Shower; WiFi; Kulkas; R. Cuci; R. Tamu; R. Jemur; Dapur; CCTV; Jemuran; TV; Parkir Sepeda; Parkir Motor &amp; Sepeda"/>
    <x v="11"/>
    <s v="Rp1.400.000"/>
    <x v="8"/>
    <d v="1899-12-30T04:09:00"/>
    <x v="2"/>
    <m/>
    <m/>
  </r>
  <r>
    <s v="Kost Nama Coliving Cikarang Utara Bekasi"/>
    <x v="7"/>
    <s v="Kecamatan Cikarang Utara"/>
    <n v="12"/>
    <s v="3 x 4 meter"/>
    <s v="Tidak termasuk listrik"/>
    <s v=""/>
    <s v="N/A"/>
    <s v="3 x 4 meter; Tidak termasuk listrik; AC; Kasur; Meja; Lemari Baju; Bantal; Jendela; Kursi; Cermin; Cleaning service; Guling; K. Mandi Dalam; Kloset Duduk; Shower; WiFi; Kulkas; Laundry; R. Makan; R. Santai; Dapur; Dispenser; CCTV; Kartu Akses; Rice Cooker; Parkir Mobil; Parkir Motor; Parkir Motor &amp; Sepeda"/>
    <x v="163"/>
    <s v="Rp1.700.000"/>
    <x v="0"/>
    <m/>
    <x v="2"/>
    <m/>
    <m/>
  </r>
  <r>
    <s v="Kost Nama Home Tipe A Pondok Aren Tangerang Selatan"/>
    <x v="2"/>
    <s v="Pondok Aren"/>
    <n v="12"/>
    <s v="3 x 4 meter"/>
    <s v="Tidak termasuk listrik"/>
    <s v=""/>
    <s v="N/A"/>
    <s v="3 x 4 meter; Tidak termasuk listrik; AC; Kasur; Meja; Lemari Baju; Bantal; Jendela; Kursi; K. Mandi Dalam; Kloset Duduk; Shower; WiFi; Kulkas; R. Cuci; Penjaga Kos; R. Jemur; R. Makan; Dapur; Dispenser; CCTV; Jemuran; Parkir Motor; Parkir Sepeda"/>
    <x v="18"/>
    <s v="Rp1.300.000"/>
    <x v="10"/>
    <d v="1899-12-30T04:05:00"/>
    <x v="0"/>
    <m/>
    <s v="Diskon 104rb"/>
  </r>
  <r>
    <s v="Kost Nanda AC Exclusive Suite Plus Pulo Gadung Jakarta Timur"/>
    <x v="8"/>
    <s v="Kecamatan Pulo Gadung"/>
    <n v="20"/>
    <s v="5 x 4 meter"/>
    <s v="Tidak termasuk listrik"/>
    <s v=""/>
    <s v="N/A"/>
    <s v="5 x 4 meter; Tidak termasuk listrik; AC; Kasur; Dispenser; Meja; TV; Kulkas; Lemari Baju; Ventilasi; Bantal; Cermin; K. Mandi Dalam; Kloset Duduk; Ember mandi; Wastafel; Shower; Air panas; WiFi; R. Cuci; Penjaga Kos; R. Tamu; Mesin Cuci; R. Jemur; R. Makan; R. Santai; Dapur; Parkir Mobil; Parkir Motor; Parkir Sepeda"/>
    <x v="242"/>
    <s v="Rp3.650.000"/>
    <x v="3"/>
    <d v="1899-12-30T05:00:00"/>
    <x v="0"/>
    <m/>
    <m/>
  </r>
  <r>
    <s v="Kost Narendras House Kelapa Gading Jakarta Utara"/>
    <x v="4"/>
    <s v="Kecamatan Kelapa Gading"/>
    <n v="9"/>
    <s v="3 x 3 meter"/>
    <s v="Tidak termasuk listrik"/>
    <s v=""/>
    <s v="N/A"/>
    <s v="3 x 3 meter; Tidak termasuk listrik; AC; Kasur; Meja; Lemari Baju; Bantal; Cermin; Guling; Kursi; K. Mandi Dalam; Kloset Duduk; Shower; R. Cuci; Mesin Cuci; Penjaga Kos; Mushola; R. Jemur; Dapur; Dispenser; Balcon; Jemuran; Rooftop; Parkir Motor"/>
    <x v="27"/>
    <s v="Rp2.000.000"/>
    <x v="5"/>
    <d v="1899-12-30T04:00:00"/>
    <x v="0"/>
    <m/>
    <s v="Diskon 105rb"/>
  </r>
  <r>
    <s v="Kost Naviri Jatiuwung Periuk Tangerang"/>
    <x v="6"/>
    <s v="Periuk"/>
    <e v="#VALUE!"/>
    <s v="2â€™7 x 8 meter"/>
    <s v="Tidak termasuk listrik"/>
    <s v=""/>
    <s v="N/A"/>
    <s v="2â€™7 x 8 meter; Tidak termasuk listrik; Dapur Pribadi; Jendela; K. Mandi Dalam; Kloset Jongkok; Dapur; Parkir Motor; Parkir Sepeda"/>
    <x v="2"/>
    <s v="Rp700.000"/>
    <x v="5"/>
    <d v="1899-12-30T04:00:00"/>
    <x v="0"/>
    <m/>
    <m/>
  </r>
  <r>
    <s v="Kost Nebi Home Stay Cimanggis Depok"/>
    <x v="1"/>
    <s v="Cimanggis"/>
    <n v="14"/>
    <s v="3.5 x 4 meter"/>
    <s v="Tidak termasuk listrik"/>
    <s v=""/>
    <s v="N/A"/>
    <s v="3.5 x 4 meter; Tidak termasuk listrik; AC; Kasur; Meja; Meja Rias; Lemari Baju; Kursi; Cleaning service; Kloset Duduk; Air panas; WiFi; Kulkas; R. Tamu; R. Jemur; Dapur; TV; Parkir Mobil; Parkir Motor"/>
    <x v="243"/>
    <s v="Rp1.675.000"/>
    <x v="10"/>
    <d v="1899-12-30T04:05:00"/>
    <x v="2"/>
    <m/>
    <s v="Diskon 179rb"/>
  </r>
  <r>
    <s v="Kost New Beyem Cibubur Tipe Executive Gunung Putri Bogor"/>
    <x v="0"/>
    <s v="Gunung Putri"/>
    <n v="9"/>
    <s v="3 x 3 meter"/>
    <s v="Tidak termasuk listrik"/>
    <s v=""/>
    <s v="N/A"/>
    <s v="3 x 3 meter; Tidak termasuk listrik; Kasur; Lemari Baju; Ventilasi; Bantal; Jendela; Kloset Duduk; Kloset Jongkok; K. Mandi Luar; Ember mandi; Wastafel; Shower; WiFi; Kulkas; Laundry; Dapur; Dispenser; Balcon; Gazebo; Jemuran; Jual Makanan; Pengurus Kos; Parkir Mobil; Parkir Motor"/>
    <x v="18"/>
    <s v="Rp1.300.000"/>
    <x v="6"/>
    <d v="1899-12-30T04:06:00"/>
    <x v="0"/>
    <m/>
    <m/>
  </r>
  <r>
    <s v="Kost Nias Kelapa Gading Jakarta Utara"/>
    <x v="4"/>
    <s v="Kelapa Gading"/>
    <n v="9"/>
    <s v="3 x 3 meter"/>
    <s v="Termasuk listrik (implied)"/>
    <s v=""/>
    <s v="N/A"/>
    <s v="3 x 3 meter; Termasuk listrik; AC; Kasur; Meja; Lemari Baju; Ventilasi; Bantal; Cermin; Jendela; Kursi; K. Mandi Dalam; Kloset Duduk; K. Mandi Luar; Shower; WiFi; Kulkas; R. Cuci; Mesin Cuci; Penjaga Kos; R. Tamu; R. Makan; R. Jemur; R. Santai; Dapur; Parkir Mobil; Parkir Motor"/>
    <x v="89"/>
    <s v="Rp1.900.000"/>
    <x v="5"/>
    <d v="1899-12-30T04:00:00"/>
    <x v="0"/>
    <m/>
    <m/>
  </r>
  <r>
    <s v="Kost Nicks Residence 1 Tipe Executive Pulo Gadung Jakarta Timur"/>
    <x v="8"/>
    <s v="Pulo Gadung"/>
    <n v="15"/>
    <s v="3 x 5 meter"/>
    <s v="Tidak termasuk listrik"/>
    <s v=""/>
    <s v="N/A"/>
    <s v="3 x 5 meter; Tidak termasuk listrik; AC; Kasur; Meja; Lemari Baju; Ventilasi; Cermin; Jendela; Kipas Angin; Bantal; Cleaning service; K. Mandi Dalam; Kloset Duduk; Wastafel; Shower; Air panas; WiFi; Kulkas; R. Cuci; Penjaga Kos; R. Tamu; R. Jemur; Dapur; CCTV; Jemuran; Jual Makanan; Parkir Mobil; Parkir Motor; Parkir Sepeda; Parkir Motor &amp; Sepeda"/>
    <x v="204"/>
    <s v="Rp2.650.000"/>
    <x v="3"/>
    <d v="1899-12-30T05:00:00"/>
    <x v="0"/>
    <m/>
    <m/>
  </r>
  <r>
    <s v="Kost Nikros Coliving BSD Tipe A Serpong Tangerang Selatan"/>
    <x v="2"/>
    <s v="Kecamatan Serpong"/>
    <n v="12"/>
    <s v="3 x 4 meter"/>
    <s v="Tidak termasuk listrik"/>
    <s v=""/>
    <s v="N/A"/>
    <s v="3 x 4 meter; Tidak termasuk listrik; AC; Kasur; Meja; TV; Lemari Baju; Jendela; Kursi; Wastafel; K. Mandi Dalam; Kloset Duduk; Shower; Air panas; WiFi; Kulkas; R. Tamu; R. Makan; Dapur; Balcon; CCTV; Parkir Mobil; Parkir Motor; Parkir Sepeda; Parkir Motor &amp; Sepeda"/>
    <x v="4"/>
    <s v="Rp2.200.000"/>
    <x v="3"/>
    <d v="1899-12-30T05:00:00"/>
    <x v="0"/>
    <m/>
    <m/>
  </r>
  <r>
    <s v="Kost Nine Living Tipe A Tanjung Priok Jakarta Utara"/>
    <x v="4"/>
    <s v="Tanjung Priok"/>
    <n v="9"/>
    <s v="3 x 3 meter"/>
    <s v="Tidak termasuk listrik"/>
    <s v=""/>
    <s v="N/A"/>
    <s v="3 x 3 meter; Tidak termasuk listrik; AC; Kasur; Meja; TV; Lemari Baju; Bantal; Jendela; Wastafel; Guling; Kursi; K. Mandi Dalam; Kloset Jongkok; Ember mandi; WiFi; Kulkas; R. Jemur; Dapur; CCTV; Jemuran; Pengurus Kos; Balcon; Parkir Mobil; Parkir Motor"/>
    <x v="11"/>
    <s v="Rp1.400.000"/>
    <x v="0"/>
    <m/>
    <x v="0"/>
    <m/>
    <m/>
  </r>
  <r>
    <s v="Kost NJ AC Karawaci Tangerang"/>
    <x v="6"/>
    <s v="Kecamatan Karawaci"/>
    <n v="14"/>
    <s v="3.5 x 4 meter"/>
    <s v="Tidak termasuk listrik"/>
    <s v=""/>
    <s v="N/A"/>
    <s v="3.5 x 4 meter; Tidak termasuk listrik; AC; Kasur; TV; Lemari Baju; Ventilasi; Bantal; Cermin; Guling; K. Mandi Dalam; Ember mandi; Shower; Penjaga Kos; Dapur; Dispenser; Balcon; Jual Makanan; Parkir Motor; Parkir Sepeda; Parkir Motor &amp; Sepeda"/>
    <x v="23"/>
    <s v="Rp1.200.000"/>
    <x v="12"/>
    <d v="1899-12-30T04:04:00"/>
    <x v="0"/>
    <m/>
    <m/>
  </r>
  <r>
    <s v="Kost Noeks Cinere Depok"/>
    <x v="1"/>
    <s v="Cinere"/>
    <n v="7.5"/>
    <s v="2.5 x 3 meter"/>
    <s v="Tidak termasuk listrik"/>
    <s v=""/>
    <s v="N/A"/>
    <s v="2.5 x 3 meter; Tidak termasuk listrik; AC; Kasur; Meja; Lemari Baju; Kursi; Bantal; Cermin; K. Mandi Dalam; Kloset Duduk; Wastafel; Shower; Parkir Motor"/>
    <x v="163"/>
    <s v="Rp1.700.000"/>
    <x v="18"/>
    <d v="1899-12-30T01:09:00"/>
    <x v="2"/>
    <m/>
    <m/>
  </r>
  <r>
    <s v="Kost Norita Tipe A Benda Tangerang"/>
    <x v="6"/>
    <s v="Benda"/>
    <n v="12"/>
    <s v="3 x 4 meter"/>
    <s v="Tidak termasuk listrik"/>
    <s v=""/>
    <s v="N/A"/>
    <s v="3 x 4 meter; Tidak termasuk listrik; AC; Kasur; Meja; TV; Lemari Baju; Kursi; K. Mandi Dalam; Kloset Duduk; Shower; Air panas; WiFi; R. Tamu; Laundry; Dapur; Parkir Mobil; Parkir Motor; Parkir Sepeda"/>
    <x v="27"/>
    <s v="Rp2.000.000"/>
    <x v="3"/>
    <d v="1899-12-30T05:00:00"/>
    <x v="0"/>
    <m/>
    <s v="Diskon 95rb"/>
  </r>
  <r>
    <s v="Kost Norita Tipe C Benda Tangerang"/>
    <x v="6"/>
    <s v="Benda"/>
    <n v="12"/>
    <s v="3 x 4 meter"/>
    <s v="Tidak termasuk listrik"/>
    <s v=""/>
    <s v="N/A"/>
    <s v="3 x 4 meter; Tidak termasuk listrik; AC; Kasur; Meja; TV; Lemari Baju; Kursi; K. Mandi Dalam; Kloset Duduk; Shower; Air panas; WiFi; R. Tamu; Laundry; Dapur; Parkir Mobil; Parkir Motor; Parkir Sepeda"/>
    <x v="19"/>
    <s v="Rp1.800.000"/>
    <x v="3"/>
    <d v="1899-12-30T05:00:00"/>
    <x v="0"/>
    <m/>
    <s v="Diskon 95rb"/>
  </r>
  <r>
    <s v="Kost Norita Tipe D Benda Tangerang"/>
    <x v="6"/>
    <s v="Benda"/>
    <n v="12"/>
    <s v="3 x 4 meter"/>
    <s v="Tidak termasuk listrik"/>
    <s v=""/>
    <s v="N/A"/>
    <s v="3 x 4 meter; Tidak termasuk listrik; AC; Kasur; Meja; TV; Lemari Baju; Kursi; Bantal; Guling; Jendela; K. Mandi Dalam; Kloset Duduk; Shower; Air panas; WiFi; Kulkas; R. Tamu; Penjaga Kos; Laundry; R. Makan; R. Jemur; R. Santai; Dapur; Dispenser; Parkir Mobil; Parkir Motor; Parkir Sepeda"/>
    <x v="22"/>
    <s v="Rp2.500.000"/>
    <x v="0"/>
    <m/>
    <x v="0"/>
    <m/>
    <m/>
  </r>
  <r>
    <s v="Kost Nugie I Beji Depok"/>
    <x v="1"/>
    <s v="Beji"/>
    <n v="15.75"/>
    <s v="3.5 x 4.5 meter"/>
    <s v="Tidak termasuk listrik"/>
    <s v=""/>
    <s v="N/A"/>
    <s v="3.5 x 4.5 meter; Tidak termasuk listrik; AC; Kasur; Meja; Meja Rias; Lemari Baju; Kursi; K. Mandi Dalam; Kloset Duduk; Shower; WiFi; Kulkas; R. Tamu; Penjaga Kos; Dapur; Dispenser; TV; Balcon; Parkir Motor; Parkir Sepeda"/>
    <x v="3"/>
    <s v="Rp1.500.000"/>
    <x v="2"/>
    <d v="1899-12-30T04:08:00"/>
    <x v="1"/>
    <m/>
    <m/>
  </r>
  <r>
    <s v="Kost Nugie II Tipe A Beji Depok"/>
    <x v="1"/>
    <s v="Beji"/>
    <n v="12"/>
    <s v="3 x 4 meter"/>
    <s v="Tidak termasuk listrik"/>
    <s v=""/>
    <s v="N/A"/>
    <s v="3 x 4 meter; Tidak termasuk listrik; AC; Kasur; Meja; Lemari Baju; Kursi; Cleaning service; Bantal; Guling; K. Mandi Dalam; Kloset Duduk; Ember mandi; Shower; WiFi; Kulkas; R. Tamu; R. Santai; Dapur; Dispenser; TV; CCTV; Pengurus Kos; Parkir Motor; Parkir Sepeda"/>
    <x v="3"/>
    <s v="Rp1.500.000"/>
    <x v="4"/>
    <d v="1899-12-30T04:01:00"/>
    <x v="1"/>
    <m/>
    <m/>
  </r>
  <r>
    <s v="Kost Nugroho Tipe A Cikarang Pusat Bekasi"/>
    <x v="7"/>
    <s v="Cikarang Pusat"/>
    <n v="15"/>
    <s v="3 x 5 meter"/>
    <s v="Tidak termasuk listrik"/>
    <s v=""/>
    <s v="N/A"/>
    <s v="3 x 5 meter; Tidak termasuk listrik; Kasur; Lemari Baju; Jendela; Bantal; K. Mandi Dalam; Kloset Jongkok; Ember mandi; WiFi; Penjaga Kos; R. Jemur; Jemuran; Balcon; Pengurus Kos; CCTV; Parkir Motor; Parkir Motor &amp; Sepeda"/>
    <x v="2"/>
    <s v="Rp700.000"/>
    <x v="0"/>
    <m/>
    <x v="0"/>
    <m/>
    <m/>
  </r>
  <r>
    <s v="Kost Nuo Atu Udayana Babakan Madang Bogor"/>
    <x v="0"/>
    <s v="Kecamatan Babakan Madang"/>
    <n v="1.5"/>
    <s v="1 x 1.5 meter"/>
    <s v="Termasuk listrik (implied)"/>
    <s v=""/>
    <s v="N/A"/>
    <s v="1 x 1.5 meter; Termasuk listrik; Kasur; Meja; Lemari Baju; Bantal; Cermin; Guling; Jendela; Kipas Angin; K. Mandi Dalam; Kloset Duduk; K. Mandi Luar; Ember mandi; Shower; WiFi; Kulkas; R. Tamu; R. Makan; R. Santai; Dapur; CCTV; Balcon; Jemuran; Pengurus Kos; Parkir Mobil; Parkir Motor; Parkir Sepeda"/>
    <x v="14"/>
    <s v="Rp800.000"/>
    <x v="0"/>
    <m/>
    <x v="1"/>
    <m/>
    <m/>
  </r>
  <r>
    <s v="Kost Nur Residance Cicau Tipe A Cikarang Pusat Bekasi"/>
    <x v="7"/>
    <s v="Cikarang Pusat"/>
    <n v="16.900000000000002"/>
    <s v="2.6 x 6.5 meter"/>
    <s v="Tidak termasuk listrik"/>
    <s v=""/>
    <s v="N/A"/>
    <s v="2.6 x 6.5 meter; Tidak termasuk listrik; AC; Kasur; Ventilasi; Dapur Pribadi; Jendela; Wastafel; K. Mandi Dalam; Kloset Jongkok; Ember mandi; WiFi; Penjaga Kos; Mushola; Dapur; CCTV; Jemuran; Pengurus Kos; Parkir Mobil; Parkir Motor &amp; Sepeda"/>
    <x v="190"/>
    <s v="Rp1.050.000"/>
    <x v="0"/>
    <m/>
    <x v="0"/>
    <m/>
    <m/>
  </r>
  <r>
    <s v="Kost Nur Residance Mekarwangi Executive Cikarang Barat Bekasi"/>
    <x v="7"/>
    <s v="Cikarang Barat"/>
    <n v="16.900000000000002"/>
    <s v="2.6 x 6.5 meter"/>
    <s v="Tidak termasuk listrik"/>
    <s v=""/>
    <s v="N/A"/>
    <s v="2.6 x 6.5 meter; Tidak termasuk listrik; AC; Kasur; Ventilasi; Jendela; Wastafel; K. Mandi Dalam; Kloset Jongkok; Ember mandi; WiFi; Penjaga Kos; R. Jemur; Balcon; CCTV; Jemuran; Jual Makanan; Pengurus Kos; Taman; Parkir Mobil; Parkir Motor &amp; Sepeda"/>
    <x v="244"/>
    <s v="Rp1.035.000"/>
    <x v="0"/>
    <m/>
    <x v="0"/>
    <m/>
    <m/>
  </r>
  <r>
    <s v="Kost Nur Residance Mekarwangi Executive Cikarang Barat Bekasi"/>
    <x v="7"/>
    <s v="Cikarang Barat"/>
    <n v="16.900000000000002"/>
    <s v="2.6 x 6.5 meter"/>
    <s v="Tidak termasuk listrik"/>
    <s v=""/>
    <s v="N/A"/>
    <s v="2.6 x 6.5 meter; Tidak termasuk listrik; AC; Kasur; Ventilasi; Jendela; Wastafel; WiFi; Penjaga Kos; R. Jemur; Balcon; CCTV; Jemuran; Jual Makanan; Pengurus Kos; Taman; Parkir Mobil; Parkir Motor &amp; Sepeda"/>
    <x v="244"/>
    <s v="Rp1.035.000"/>
    <x v="0"/>
    <m/>
    <x v="0"/>
    <m/>
    <m/>
  </r>
  <r>
    <s v="Kost Nur Residance Telajung Executive Cikarang Barat Bekasi"/>
    <x v="7"/>
    <s v="Cikarang Barat"/>
    <n v="16.900000000000002"/>
    <s v="2.6 x 6.5 meter"/>
    <s v="Tidak termasuk listrik"/>
    <s v=""/>
    <s v="N/A"/>
    <s v="2.6 x 6.5 meter; Tidak termasuk listrik; AC; Kasur; Jendela; K. Mandi Dalam; Kloset Jongkok; Ember mandi; Parkir Mobil; Parkir Motor &amp; Sepeda"/>
    <x v="245"/>
    <s v="Rp1.040.000"/>
    <x v="0"/>
    <m/>
    <x v="0"/>
    <m/>
    <m/>
  </r>
  <r>
    <s v="Kost Nurlaila H Cileungsi Bogor"/>
    <x v="0"/>
    <s v="Cileungsi"/>
    <n v="12"/>
    <s v="3 x 4 meter"/>
    <s v="Tidak termasuk listrik"/>
    <s v=""/>
    <s v="N/A"/>
    <s v="3 x 4 meter; Tidak termasuk listrik; Kasur; Meja; Lemari Baju; Kulkas; Kipas Angin; Cermin; Bantal; Kursi; Jendela; Sofa; K. Mandi Dalam; K. Mandi Luar; Ember mandi; Shower; WiFi; TV; Parkir Mobil; Parkir Motor; Parkir Sepeda"/>
    <x v="99"/>
    <s v="Rp900.000"/>
    <x v="0"/>
    <m/>
    <x v="2"/>
    <m/>
    <m/>
  </r>
  <r>
    <s v="Kost Ny Linda Kelapa Gading Jakarta Utara"/>
    <x v="4"/>
    <s v="Kelapa Gading"/>
    <n v="9"/>
    <s v="3 x 3 meter"/>
    <s v="Tidak termasuk listrik"/>
    <s v=""/>
    <s v="N/A"/>
    <s v="3 x 3 meter; Tidak termasuk listrik; Kasur; Lemari Baju; Wastafel; Kipas Angin; Cleaning service; Kloset Duduk; K. Mandi Luar; Shower; WiFi; Penjaga Kos; R. Jemur; Dapur; Balcon; CCTV; Jemuran; Parkir Motor; Parkir Sepeda"/>
    <x v="231"/>
    <s v="Rp885.000"/>
    <x v="2"/>
    <d v="1899-12-30T04:08:00"/>
    <x v="0"/>
    <m/>
    <m/>
  </r>
  <r>
    <s v="Kost Nyaman Dekat Bandara Mahkota Benda Tangerang"/>
    <x v="6"/>
    <s v="Kecamatan Benda"/>
    <n v="9"/>
    <s v="3 x 3 meter"/>
    <s v="Tidak termasuk listrik"/>
    <s v=""/>
    <s v="N/A"/>
    <s v="3 x 3 meter; Tidak termasuk listrik; AC; Kasur; TV; Lemari Baju; Bantal; Cermin; Cleaning service; Wastafel; K. Mandi Dalam; Kloset Duduk; Air panas; WiFi; Penjaga Kos; R. Tamu; CCTV; Pengurus Kos; Parkir Motor"/>
    <x v="1"/>
    <s v="Rp1.100.000"/>
    <x v="6"/>
    <d v="1899-12-30T04:06:00"/>
    <x v="0"/>
    <m/>
    <m/>
  </r>
  <r>
    <s v="Kost Nyaman Disini Tipe B Cipondoh Tangerang"/>
    <x v="6"/>
    <s v="Cipondoh"/>
    <n v="9"/>
    <s v="3 x 3 meter"/>
    <s v="Tidak termasuk listrik"/>
    <s v=""/>
    <s v="N/A"/>
    <s v="3 x 3 meter; Tidak termasuk listrik; AC; Kasur; Lemari Baju; Cermin; Jendela; K. Mandi Dalam; Kloset Jongkok; Ember mandi; R. Santai; Dapur; Balcon; Gazebo; Parkir Motor"/>
    <x v="11"/>
    <s v="Rp1.400.000"/>
    <x v="4"/>
    <d v="1899-12-30T04:01:00"/>
    <x v="0"/>
    <m/>
    <m/>
  </r>
  <r>
    <s v="Kost Nyaman Kelapa Gading Jakarta Utara"/>
    <x v="4"/>
    <s v="Kelapa Gading"/>
    <n v="9"/>
    <s v="3 x 3 meter"/>
    <s v="Tidak termasuk listrik"/>
    <s v=""/>
    <s v="N/A"/>
    <s v="3 x 3 meter; Tidak termasuk listrik; AC; Kasur; TV; Lemari Baju; Bantal; Cermin; Cleaning service; TV Kabel; K. Mandi Dalam; Kloset Duduk; Shower; WiFi; Kulkas; R. Cuci; Mesin Cuci; Penjaga Kos; R. Jemur; R. Santai; Dapur; Dispenser; Balcon; Parkir Motor; Parkir Sepeda; Parkir Motor &amp; Sepeda"/>
    <x v="246"/>
    <s v="Rp1.399.999"/>
    <x v="0"/>
    <m/>
    <x v="0"/>
    <m/>
    <m/>
  </r>
  <r>
    <s v="Kost Nyaman Kemanggisan President Suite Palmerah Jakarta Barat"/>
    <x v="3"/>
    <s v="Kecamatan Palmerah"/>
    <n v="12"/>
    <s v="3 x 4 meter"/>
    <s v="Tidak termasuk listrik"/>
    <s v=""/>
    <s v="N/A"/>
    <s v="3 x 4 meter; Tidak termasuk listrik; AC; Kasur; Meja; Meja Rias; TV; Lemari Baju; Ventilasi; Bantal; Cermin; Cleaning service; K. Mandi Dalam; Kloset Duduk; Wastafel; Shower; Air panas; WiFi; Kulkas; R. Cuci; Laundry; Mesin Cuci; Penjaga Kos; R. Jemur; R. Santai; Dapur; Dispenser; Parkir Mobil; Parkir Motor; Parkir Sepeda; Parkir Motor &amp; Sepeda"/>
    <x v="204"/>
    <s v="Rp2.650.000"/>
    <x v="6"/>
    <d v="1899-12-30T04:06:00"/>
    <x v="0"/>
    <m/>
    <m/>
  </r>
  <r>
    <s v="Kost Nyaman Nanggewer Gunung Putri Bogor"/>
    <x v="0"/>
    <s v="Kecamatan Gunung Putri"/>
    <n v="24"/>
    <s v="3 x 8 meter"/>
    <s v="Tidak termasuk listrik"/>
    <s v=""/>
    <s v="N/A"/>
    <s v="3 x 8 meter; Tidak termasuk listrik; Jendela; Wastafel; K. Mandi Dalam; Kloset Jongkok; R. Tamu; Dapur; Jemuran; Parkir Motor"/>
    <x v="17"/>
    <s v="Rp650.000"/>
    <x v="0"/>
    <m/>
    <x v="0"/>
    <m/>
    <m/>
  </r>
  <r>
    <s v="Kost Nyaman Tipe VIP Tanah Abang Jakarta Pusat"/>
    <x v="9"/>
    <s v="Tanah Abang"/>
    <n v="9"/>
    <s v="3 x 3 meter"/>
    <s v="Tidak termasuk listrik"/>
    <s v=""/>
    <s v="N/A"/>
    <s v="3 x 3 meter; Tidak termasuk listrik; AC; Kasur; Meja; Meja Rias; TV; Kulkas; Lemari Baju; Ventilasi; Bantal; Cermin; K. Mandi Dalam; Wastafel; Shower; Air panas; WiFi; R. Cuci; Laundry; Mesin Cuci; Penjaga Kos; R. Jemur; Dapur; Dispenser; Balcon; Parkir Mobil; Parkir Motor; Parkir Sepeda"/>
    <x v="32"/>
    <s v="Rp2.600.000"/>
    <x v="6"/>
    <d v="1899-12-30T04:06:00"/>
    <x v="0"/>
    <m/>
    <s v="Diskon 125rb"/>
  </r>
  <r>
    <s v="Kost Oemah Noor Regular Karang Tengah Tangerang"/>
    <x v="6"/>
    <s v="Kecamatan Karang Tengah"/>
    <n v="10.5"/>
    <s v="3 x 3.5 meter"/>
    <s v="Tidak termasuk listrik"/>
    <s v=""/>
    <s v="N/A"/>
    <s v="3 x 3.5 meter; Tidak termasuk listrik; AC; Kasur; Meja; Lemari Baju; Ventilasi; Bantal; Kursi; Jendela; K. Mandi Dalam; Kloset Duduk; Shower; WiFi; Kulkas; Penjaga Kos; R. Jemur; R. Makan; R. Santai; Dapur; Dispenser; CCTV; Jemuran; Parkir Motor; Parkir Sepeda"/>
    <x v="5"/>
    <s v="Rp1.350.000"/>
    <x v="0"/>
    <m/>
    <x v="2"/>
    <m/>
    <m/>
  </r>
  <r>
    <s v="Kost Oemahkoe Depok Tipe Vvip 2 Beji Depok"/>
    <x v="1"/>
    <s v="Beji"/>
    <n v="13.5"/>
    <s v="4.5 x 3 meter"/>
    <s v="Tidak termasuk listrik"/>
    <s v=""/>
    <s v="N/A"/>
    <s v="4.5 x 3 meter; Tidak termasuk listrik; AC; Kasur; Meja; Lemari Baju; Kulkas; Bantal; Cermin; Guling; Jendela; Kursi; K. Mandi Dalam; Kloset Duduk; Shower; WiFi; Penjaga Kos; R. Tamu; R. Jemur; R. Makan; R. Santai; Dapur; Balcon; CCTV; Parkir Mobil; Parkir Motor; Parkir Sepeda"/>
    <x v="174"/>
    <s v="Rp2.499.000"/>
    <x v="0"/>
    <m/>
    <x v="2"/>
    <m/>
    <s v="Diskon 250rb"/>
  </r>
  <r>
    <s v="Kost Oemahkoe Univ Indonesia Tipe Super VVIP 2 Beji Depok"/>
    <x v="1"/>
    <s v="Kecamatan Beji"/>
    <n v="20.25"/>
    <s v="4.5 x 4.5 meter"/>
    <s v="Tidak termasuk listrik"/>
    <s v=""/>
    <s v="N/A"/>
    <s v="4.5 x 4.5 meter; Tidak termasuk listrik; AC; Kasur; Meja; Kulkas; Lemari Baju; Ventilasi; Bantal; Cermin; Dapur Pribadi; Jendela; K. Mandi Dalam; Kloset Duduk; Wastafel; Shower; WiFi; R. Cuci; Penjaga Kos; R. Tamu; R. Jemur; R. Makan; R. Santai; Dapur; Balcon; Parkir Mobil; Parkir Motor; Parkir Sepeda"/>
    <x v="180"/>
    <s v="Rp2.800.000"/>
    <x v="0"/>
    <m/>
    <x v="2"/>
    <m/>
    <m/>
  </r>
  <r>
    <s v="Kost Olga Astrid Puspita Tipe A Kramatjati Jakarta Timur"/>
    <x v="8"/>
    <s v="Kramat Jati"/>
    <n v="7.5"/>
    <s v="2.5 x 3 meter"/>
    <s v="Tidak termasuk listrik"/>
    <s v=""/>
    <s v="N/A"/>
    <s v="2.5 x 3 meter; Tidak termasuk listrik; Kasur; Wastafel; Kipas Angin; K. Mandi Dalam; Kloset Jongkok; WiFi; R. Jemur; Dapur; Parkir Motor; Parkir Sepeda"/>
    <x v="18"/>
    <s v="Rp1.300.000"/>
    <x v="8"/>
    <d v="1899-12-30T04:09:00"/>
    <x v="0"/>
    <m/>
    <s v="Diskon 70rb"/>
  </r>
  <r>
    <s v="Kost Olin Tipe A Kramatjati Jakarta Timur"/>
    <x v="8"/>
    <s v="Kecamatan Kramat jati"/>
    <n v="21"/>
    <s v="3 x 7 meter"/>
    <s v="Tidak termasuk listrik"/>
    <s v=""/>
    <s v="N/A"/>
    <s v="3 x 7 meter; Tidak termasuk listrik; AC; Kasur; Lemari Baju; Ventilasi; Dapur Pribadi; Jendela; Wastafel; Bantal; Guling; K. Mandi Dalam; Kloset Jongkok; Ember mandi; R. Cuci; R. Jemur; Balcon; CCTV; Jemuran; Rooftop; Parkir Motor; Parkir Sepeda; Parkir Motor &amp; Sepeda"/>
    <x v="167"/>
    <s v="Rp1.550.000"/>
    <x v="2"/>
    <d v="1899-12-30T04:08:00"/>
    <x v="0"/>
    <m/>
    <s v="Diskon 85rb"/>
  </r>
  <r>
    <s v="Kost Oma Gunung Putri Bogor"/>
    <x v="0"/>
    <s v="Kecamatan Gunung Putri"/>
    <n v="20"/>
    <s v="2.5 x 08 meter"/>
    <s v="Tidak termasuk listrik"/>
    <s v=""/>
    <s v="N/A"/>
    <s v="2.5 x 08 meter; Tidak termasuk listrik; Dapur Pribadi; Jendela; K. Mandi Dalam; Kloset Jongkok; Bak mandi; Penjaga Kos; Dapur; Jemuran; Parkir Motor &amp; Sepeda"/>
    <x v="17"/>
    <s v="Rp650.000"/>
    <x v="0"/>
    <m/>
    <x v="0"/>
    <m/>
    <m/>
  </r>
  <r>
    <s v="Kost Oma Ida Tipe B Kelapa Gading Jakarta Utara"/>
    <x v="4"/>
    <s v="Kelapa Gading"/>
    <n v="9"/>
    <s v="3 x 3 meter"/>
    <s v="Termasuk listrik (implied)"/>
    <s v=""/>
    <s v="N/A"/>
    <s v="3 x 3 meter; Termasuk listrik; Kasur; Meja; Lemari Baju; Ventilasi; Cermin; Guling; Jendela; Kursi; Kloset Jongkok; K. Mandi Luar; Ember mandi; WiFi; R. Cuci; Laundry; R. Jemur; Dapur; Dispenser; Balcon; Jemuran; Parkir Mobil; Parkir Motor; Parkir Sepeda"/>
    <x v="18"/>
    <s v="Rp1.300.000"/>
    <x v="9"/>
    <d v="1899-12-30T03:04:00"/>
    <x v="0"/>
    <m/>
    <m/>
  </r>
  <r>
    <s v="Kost Oma Tipe AC Ciputat Timur Tangerang Selatan"/>
    <x v="2"/>
    <s v="Kecamatan Ciputat Timur"/>
    <n v="9"/>
    <s v="3 x 3 meter"/>
    <s v="Tidak termasuk listrik"/>
    <s v=""/>
    <s v="N/A"/>
    <s v="3 x 3 meter; Tidak termasuk listrik; AC; Kasur; Meja; Lemari Baju; Ventilasi; Bantal; Guling; Jendela; Kursi; Kloset Duduk; Kloset Jongkok; K. Mandi Luar; Ember mandi; Wastafel; Shower; WiFi; Kulkas; R. Cuci; Penjaga Kos; R. Tamu; R. Jemur; R. Makan; R. Santai; Dapur; Dispenser; Parkir Motor &amp; Sepeda"/>
    <x v="1"/>
    <s v="Rp1.100.000"/>
    <x v="3"/>
    <d v="1899-12-30T05:00:00"/>
    <x v="2"/>
    <m/>
    <m/>
  </r>
  <r>
    <s v="Kost Omaesopo Tipe B Dramaga Bogor"/>
    <x v="0"/>
    <s v="Dramaga"/>
    <n v="9"/>
    <s v="3 x 3 meter"/>
    <s v="Tidak termasuk listrik"/>
    <s v=""/>
    <s v="N/A"/>
    <s v="3 x 3 meter; Tidak termasuk listrik; AC; Kasur; Meja; Lemari Baju; Bantal; Jendela; Kursi; Kloset Duduk; K. Mandi Luar; Shower; WiFi; Kulkas; R. Cuci; R. Tamu; Mesin Cuci; R. Jemur; R. Makan; R. Santai; Dapur; Parkir Motor"/>
    <x v="102"/>
    <s v="Rp1.475.000"/>
    <x v="0"/>
    <m/>
    <x v="2"/>
    <m/>
    <m/>
  </r>
  <r>
    <s v="Kost Omah 37 Tipe B Cikarang Barat Bekasi"/>
    <x v="7"/>
    <s v="Kecamatan Cikarang Barat"/>
    <n v="24.75"/>
    <s v="4.5 x 5.5 meter"/>
    <s v="Tidak termasuk listrik"/>
    <s v=""/>
    <s v="N/A"/>
    <s v="4.5 x 5.5 meter; Tidak termasuk listrik; Kasur; Lemari Baju; Jendela; Bantal; K. Mandi Dalam; Kloset Jongkok; Jemuran; Parkir Motor"/>
    <x v="2"/>
    <s v="Rp700.000"/>
    <x v="0"/>
    <m/>
    <x v="0"/>
    <m/>
    <m/>
  </r>
  <r>
    <s v="Kost Omah Amalia Beji Depok"/>
    <x v="1"/>
    <s v="Beji"/>
    <n v="12"/>
    <s v="3 x 4 meter"/>
    <s v="Termasuk listrik (implied)"/>
    <s v=""/>
    <s v="N/A"/>
    <s v="3 x 4 meter; Termasuk listrik; AC; Kasur; Meja; Lemari Baju; Kursi; Wastafel; Cleaning service; Bantal; Jendela; K. Mandi Dalam; Kloset Duduk; Shower; WiFi; Kulkas; R. Tamu; R. Makan; Dapur; Dispenser; TV; Parkir Motor"/>
    <x v="163"/>
    <s v="Rp1.700.000"/>
    <x v="2"/>
    <d v="1899-12-30T04:08:00"/>
    <x v="0"/>
    <m/>
    <s v="Diskon 90rb"/>
  </r>
  <r>
    <s v="Kost Omah Andriz Tipe B Pamulang Tangerang Selatan"/>
    <x v="2"/>
    <s v="Kecamatan Pamulang"/>
    <n v="9"/>
    <s v="3 x 3 meter"/>
    <s v="Tidak termasuk listrik"/>
    <s v=""/>
    <s v="N/A"/>
    <s v="3 x 3 meter; Tidak termasuk listrik; Kasur; Meja; Lemari Baju; Ventilasi; Bantal; Jendela; Kursi; K. Mandi Dalam; Kloset Duduk; Shower; WiFi; Kulkas; R. Tamu; R. Jemur; R. Santai; Dapur; CCTV; Gazebo; Jemuran; Pengurus Kos; Parkir Motor"/>
    <x v="28"/>
    <s v="Rp1.000.000"/>
    <x v="12"/>
    <d v="1899-12-30T04:04:00"/>
    <x v="2"/>
    <m/>
    <m/>
  </r>
  <r>
    <s v="Kost Omah Cuantique Tipe A Cibinong Bogor"/>
    <x v="0"/>
    <s v="Cibinong"/>
    <n v="12"/>
    <s v="3 x 4 meter"/>
    <s v="Tidak termasuk listrik"/>
    <s v=""/>
    <s v="N/A"/>
    <s v="3 x 4 meter; Tidak termasuk listrik; AC; Kasur; Meja; Meja Rias; TV; Lemari Baju; Bantal; Guling; K. Mandi Dalam; Kloset Jongkok; Ember mandi; Bak mandi; WiFi; R. Cuci; Penjaga Kos; R. Tamu; R. Jemur; R. Makan; R. Santai; Jual Makanan; Taman; Parkir Motor"/>
    <x v="28"/>
    <s v="Rp1.000.000"/>
    <x v="0"/>
    <m/>
    <x v="2"/>
    <m/>
    <m/>
  </r>
  <r>
    <s v="Kost Omah Grow Standar Cinere Depok"/>
    <x v="1"/>
    <s v="Kecamatan Cinere"/>
    <n v="12"/>
    <s v="3 x 4 meter"/>
    <s v="Tidak termasuk listrik"/>
    <s v=""/>
    <s v="N/A"/>
    <s v="3 x 4 meter; Tidak termasuk listrik; AC; Kasur; Meja; Meja Rias; Lemari Baju; Ventilasi; Bantal; Cermin; Jendela; Kursi; K. Mandi Dalam; Kloset Duduk; Shower; WiFi; Kulkas; Penjaga Kos; R. Tamu; R. Santai; Dapur; Dispenser; Balcon; CCTV; Jemuran; Parkir Motor; Parkir Sepeda; Parkir Motor &amp; Sepeda"/>
    <x v="27"/>
    <s v="Rp2.000.000"/>
    <x v="8"/>
    <d v="1899-12-30T04:09:00"/>
    <x v="0"/>
    <m/>
    <m/>
  </r>
  <r>
    <s v="Kost Omah Ijo Beji Depok"/>
    <x v="1"/>
    <s v="Kecamatan Beji"/>
    <n v="16"/>
    <s v="4 x 4 meter"/>
    <s v="Tidak termasuk listrik"/>
    <s v=""/>
    <s v="N/A"/>
    <s v="4 x 4 meter; Tidak termasuk listrik; Kasur; Meja; Lemari Baju; Ventilasi; Kursi; Jendela; K. Mandi Dalam; Kloset Duduk; Ember mandi; Shower; WiFi; R. Santai; Balcon; Pengurus Kos; Parkir Motor; Parkir Sepeda"/>
    <x v="45"/>
    <s v="Rp825.000"/>
    <x v="6"/>
    <d v="1899-12-30T04:06:00"/>
    <x v="1"/>
    <m/>
    <s v="Diskon 90rb"/>
  </r>
  <r>
    <s v="Kost Omah Kita Cikokol Kota Tangerang"/>
    <x v="6"/>
    <s v="Tangerang"/>
    <n v="6"/>
    <s v="2 x 3 meter"/>
    <s v="Tidak termasuk listrik"/>
    <s v=""/>
    <s v="N/A"/>
    <s v="2 x 3 meter; Tidak termasuk listrik; AC; Kasur; Meja; Lemari Baju; Bantal; Guling; Jendela; Kloset Duduk; K. Mandi Luar; Wastafel; Shower; Air panas; WiFi; Kulkas; Penjaga Kos; R. Jemur; Dispenser; Dapur; Balcon; CCTV; Jemuran; Parkir Motor; Parkir Sepeda"/>
    <x v="1"/>
    <s v="Rp1.100.000"/>
    <x v="3"/>
    <d v="1899-12-30T05:00:00"/>
    <x v="0"/>
    <m/>
    <m/>
  </r>
  <r>
    <s v="Kost Omah Ningrat Dramaga Bogor"/>
    <x v="0"/>
    <s v="Dramaga"/>
    <n v="9"/>
    <s v="3 x 3 meter"/>
    <s v="Tidak termasuk listrik"/>
    <s v=""/>
    <s v="N/A"/>
    <s v="3 x 3 meter; Tidak termasuk listrik; Kasur; Lemari Baju; K. Mandi Dalam; Kloset Duduk; Shower; WiFi; R. Tamu; Dapur; TV; Balcon; Pengurus Kos; Jemuran; Parkir Mobil; Parkir Motor; Parkir Sepeda"/>
    <x v="18"/>
    <s v="Rp1.300.000"/>
    <x v="0"/>
    <m/>
    <x v="2"/>
    <m/>
    <m/>
  </r>
  <r>
    <s v="Kost Omah Sin Kiang Tanjung Priok Jakarta Utara"/>
    <x v="4"/>
    <s v="Kecamatan Tanjung Priok"/>
    <n v="9"/>
    <s v="3 x 3 meter"/>
    <s v="Termasuk listrik (implied)"/>
    <s v=""/>
    <s v="N/A"/>
    <s v="3 x 3 meter; Termasuk listrik; Kasur; TV; Lemari Baju; Ventilasi; Kipas Angin; Bantal; Jendela; K. Mandi Dalam; Kloset Jongkok; K. Mandi Luar; Ember mandi; WiFi; Penjaga Kos; Laundry; R. Santai; Balcon; Jual Makanan; Pengurus Kos; Jemuran; Parkir Mobil; Parkir Motor; Parkir Sepeda"/>
    <x v="2"/>
    <s v="Rp700.000"/>
    <x v="0"/>
    <m/>
    <x v="0"/>
    <m/>
    <m/>
  </r>
  <r>
    <s v="Kost Omah Tentrem Serpong Tangerang Selatan"/>
    <x v="2"/>
    <s v="Kecamatan Serpong"/>
    <n v="12"/>
    <s v="3 x 4 meter"/>
    <s v="Tidak termasuk listrik"/>
    <s v=""/>
    <s v="N/A"/>
    <s v="3 x 4 meter; Tidak termasuk listrik; AC; Kasur; Meja; Lemari Baju; Bantal; Cermin; Jendela; Kursi; K. Mandi Dalam; Kloset Duduk; Wastafel; Shower; WiFi; CCTV; Jemuran; Parkir Mobil; Parkir Motor; Parkir Sepeda; Parkir Motor &amp; Sepeda"/>
    <x v="23"/>
    <s v="Rp1.200.000"/>
    <x v="0"/>
    <m/>
    <x v="0"/>
    <m/>
    <m/>
  </r>
  <r>
    <s v="Kost Omah Tipe A Pondok Aren Tangerang Selatan"/>
    <x v="2"/>
    <s v="Kecamatan Pondok Aren"/>
    <n v="8.6999999999999993"/>
    <s v="3 x 2.9 meter"/>
    <s v="Tidak termasuk listrik"/>
    <s v=""/>
    <s v="N/A"/>
    <s v="3 x 2.9 meter; Tidak termasuk listrik; AC; Bantal; K. Mandi Dalam; Kloset Jongkok; Ember mandi; WiFi; Dapur; CCTV; Parkir Motor"/>
    <x v="17"/>
    <s v="Rp650.000"/>
    <x v="3"/>
    <d v="1899-12-30T05:00:00"/>
    <x v="2"/>
    <m/>
    <m/>
  </r>
  <r>
    <s v="Kost Omahe Arfasya Tambun Selatan Bekasi"/>
    <x v="7"/>
    <s v="Kecamatan Tambun Selatan"/>
    <n v="9"/>
    <s v="3 x 3 meter"/>
    <s v="Termasuk listrik (implied)"/>
    <s v=""/>
    <s v="N/A"/>
    <s v="3 x 3 meter; Termasuk listrik; AC; Kasur; Meja; Lemari Baju; Ventilasi; Bantal; Cermin; Cleaning service; Guling; Jendela; K. Mandi Dalam; Kloset Duduk; Shower; Air panas; WiFi; Kulkas; R. Cuci; Laundry; Mesin Cuci; Penjaga Kos; R. Tamu; R. Jemur; R. Makan; Dapur; Parkir Mobil; Parkir Motor"/>
    <x v="89"/>
    <s v="Rp1.900.000"/>
    <x v="0"/>
    <m/>
    <x v="2"/>
    <m/>
    <m/>
  </r>
  <r>
    <s v="Kost Omahku Pondok Aren Tangerang Selatan"/>
    <x v="2"/>
    <s v="Pondok Aren"/>
    <n v="9"/>
    <s v="3 x 3 meter"/>
    <s v="Tidak termasuk listrik"/>
    <s v=""/>
    <s v="N/A"/>
    <s v="3 x 3 meter; Tidak termasuk listrik; AC; Kasur; Meja; Lemari Baju; Kursi; Bantal; Cermin; Guling; Jendela; Meja makan; Kloset Duduk; K. Mandi Luar; Shower; WiFi; Kulkas; R. Cuci; R. Tamu; R. Makan; R. Jemur; R. Santai; Dapur; Balcon; Parkir Motor"/>
    <x v="23"/>
    <s v="Rp1.200.000"/>
    <x v="2"/>
    <d v="1899-12-30T04:08:00"/>
    <x v="2"/>
    <m/>
    <m/>
  </r>
  <r>
    <s v="Kost Omahku Villa Mutiara Executive Cikarang Selatan Bekasi"/>
    <x v="7"/>
    <s v="Cikarang Selatan"/>
    <n v="9"/>
    <s v="3 x 3 meter"/>
    <s v="Tidak termasuk listrik"/>
    <s v=""/>
    <s v="N/A"/>
    <s v="3 x 3 meter; Tidak termasuk listrik; AC; Kasur; Meja; Lemari Baju; Bantal; Cermin; Guling; Jendela; Kursi; K. Mandi Dalam; Kloset Duduk; Shower; Air panas; WiFi; Kulkas; R. Jemur; Dapur; CCTV; Jemuran; Pengurus Kos; Rooftop; Parkir Motor; Parkir Sepeda"/>
    <x v="3"/>
    <s v="Rp1.500.000"/>
    <x v="0"/>
    <m/>
    <x v="1"/>
    <m/>
    <m/>
  </r>
  <r>
    <s v="Kost Opung 1 Tipe A Tangerang Tangerang"/>
    <x v="6"/>
    <s v="Tangerang"/>
    <n v="12"/>
    <s v="3 x 4 meter"/>
    <s v="Tidak termasuk listrik"/>
    <s v=""/>
    <s v="N/A"/>
    <s v="3 x 4 meter; Tidak termasuk listrik; AC; Kasur; Meja; Lemari Baju; Ventilasi; Kursi; Jendela; Guling; Cermin; Bantal; K. Mandi Dalam; Kloset Jongkok; Bak mandi; WiFi; R. Cuci; Laundry; R. Tamu; Penjaga Kos; R. Jemur; R. Makan; R. Santai; Balcon; Jemuran; Parkir Mobil; Parkir Motor; Parkir Sepeda"/>
    <x v="18"/>
    <s v="Rp1.300.000"/>
    <x v="0"/>
    <m/>
    <x v="0"/>
    <m/>
    <m/>
  </r>
  <r>
    <s v="Kost Opung 1 Tipe B Tangerang Tangerang"/>
    <x v="6"/>
    <s v="Kecamatan Tangerang"/>
    <n v="12"/>
    <s v="3 x 4 meter"/>
    <s v="Tidak termasuk listrik"/>
    <s v=""/>
    <s v="N/A"/>
    <s v="3 x 4 meter; Tidak termasuk listrik; Kasur; Meja; Lemari Baju; Bantal; Guling; Jendela; Kipas Angin; Kursi; K. Mandi Dalam; Kloset Jongkok; Ember mandi; WiFi; R. Cuci; Laundry; Mesin Cuci; Penjaga Kos; R. Tamu; R. Jemur; R. Makan; R. Santai; Balcon; Parkir Mobil; Parkir Motor; Parkir Sepeda"/>
    <x v="0"/>
    <s v="Rp950.000"/>
    <x v="0"/>
    <m/>
    <x v="0"/>
    <m/>
    <m/>
  </r>
  <r>
    <s v="Kost Orange Beji Depok"/>
    <x v="1"/>
    <s v="Beji"/>
    <n v="10.799999999999999"/>
    <s v="4.5 x 2.4 meter"/>
    <s v="Tidak termasuk listrik"/>
    <s v=""/>
    <s v="N/A"/>
    <s v="4.5 x 2.4 meter; Tidak termasuk listrik; AC; Kasur; Meja; Lemari Baju; Bantal; Jendela; Kursi; K. Mandi Dalam; Kloset Duduk; Shower; Air panas; WiFi; Kulkas; Laundry"/>
    <x v="13"/>
    <s v="Rp1.600.000"/>
    <x v="4"/>
    <d v="1899-12-30T04:01:00"/>
    <x v="1"/>
    <m/>
    <m/>
  </r>
  <r>
    <s v="Kost Orange Tipe B Pulo Gadung Jakarta Timur"/>
    <x v="8"/>
    <s v="Kecamatan Pulo Gadung"/>
    <n v="6"/>
    <s v="2 x 3 meter"/>
    <s v="Tidak termasuk listrik"/>
    <s v=""/>
    <s v="N/A"/>
    <s v="2 x 3 meter; Tidak termasuk listrik; AC; Kasur; Lemari Baju; Bantal; Jendela; Kloset Duduk; K. Mandi Luar; Ember mandi; WiFi; Mesin Cuci; Dapur; Balcon; CCTV; Jemuran; Parkir Motor"/>
    <x v="247"/>
    <s v="Rp1.005.000"/>
    <x v="2"/>
    <d v="1899-12-30T04:08:00"/>
    <x v="1"/>
    <m/>
    <m/>
  </r>
  <r>
    <s v="Kost Oren Pancoran Mas Depok"/>
    <x v="1"/>
    <s v="Kecamatan Pancoran Mas"/>
    <n v="20"/>
    <s v="4 x 5 meter"/>
    <s v="Termasuk listrik (implied)"/>
    <s v=""/>
    <s v="N/A"/>
    <s v="4 x 5 meter; Termasuk listrik; Kasur; Lemari Baju; Ventilasi; Bantal; Jendela; K. Mandi Dalam; Kloset Jongkok; Ember mandi; Bak mandi; WiFi; Balcon; Jemuran; Pengurus Kos; CCTV; Parkir Motor; Parkir Sepeda; Parkir Motor &amp; Sepeda"/>
    <x v="14"/>
    <s v="Rp800.000"/>
    <x v="0"/>
    <m/>
    <x v="0"/>
    <m/>
    <m/>
  </r>
  <r>
    <s v="Kost Pa Guru Tanjung Priok Jakarta Utara"/>
    <x v="4"/>
    <s v="Tanjung Priok"/>
    <n v="12"/>
    <s v="3 x 4 meter"/>
    <s v="Tidak termasuk listrik"/>
    <s v=""/>
    <s v="N/A"/>
    <s v="3 x 4 meter; Tidak termasuk listrik; Kasur; Lemari Baju; Ventilasi; Bantal; Jendela; Kloset Jongkok; K. Mandi Luar; Wastafel; Ember mandi; Bak mandi; R. Cuci; R. Jemur; Balcon; Jemuran; Parkir Motor; Parkir Sepeda"/>
    <x v="2"/>
    <s v="Rp700.000"/>
    <x v="12"/>
    <d v="1899-12-30T04:04:00"/>
    <x v="0"/>
    <m/>
    <m/>
  </r>
  <r>
    <s v="Kost Padussi Tipen Tipe C Beji Depok"/>
    <x v="1"/>
    <s v="Kecamatan Beji"/>
    <n v="9"/>
    <s v="3 x 3 meter"/>
    <s v="Tidak termasuk listrik"/>
    <s v=""/>
    <s v="N/A"/>
    <s v="3 x 3 meter; Tidak termasuk listrik; Kasur; Meja; Lemari Baju; Kursi; K. Mandi Dalam; Kloset Jongkok; WiFi; Kulkas; Penjaga Kos; Dapur; Dispenser; Gazebo; Pengurus Kos; Taman; Parkir Mobil; Parkir Motor; Parkir Sepeda"/>
    <x v="17"/>
    <s v="Rp650.000"/>
    <x v="0"/>
    <m/>
    <x v="2"/>
    <m/>
    <m/>
  </r>
  <r>
    <s v="Kost Pahala Sunter Podomoro Tipe A Tanjung Priok Jakarta Utara"/>
    <x v="4"/>
    <s v="Kecamatan Tanjung Priok"/>
    <n v="12"/>
    <s v="3 x 4 meter"/>
    <s v="Tidak termasuk listrik"/>
    <s v=""/>
    <s v="N/A"/>
    <s v="3 x 4 meter; Tidak termasuk listrik; AC; Kasur; TV; Lemari Baju; K. Mandi Dalam; Kloset Jongkok; Ember mandi; Shower; Air panas; WiFi; Dapur; Parkir Mobil; Parkir Motor; Parkir Sepeda"/>
    <x v="18"/>
    <s v="Rp1.300.000"/>
    <x v="15"/>
    <d v="1899-12-30T03:01:00"/>
    <x v="0"/>
    <m/>
    <m/>
  </r>
  <r>
    <s v="Kost Pahala Sunter Podomoro Tipe C Tanjung Priok Jakarta Utara"/>
    <x v="4"/>
    <s v="Tanjung Priok"/>
    <n v="12"/>
    <s v="3 x 4 meter"/>
    <s v="Tidak termasuk listrik"/>
    <s v=""/>
    <s v="N/A"/>
    <s v="3 x 4 meter; Tidak termasuk listrik; AC; Kasur; TV; Lemari Baju; K. Mandi Dalam; Ember mandi; Shower; WiFi; Penjaga Kos; R. Jemur; Dapur; Parkir Mobil; Parkir Motor; Parkir Sepeda"/>
    <x v="18"/>
    <s v="Rp1.300.000"/>
    <x v="23"/>
    <d v="1899-12-30T01:03:00"/>
    <x v="0"/>
    <m/>
    <m/>
  </r>
  <r>
    <s v="Kost Pak Aji Tipe A Tanjung Priok Jakarta Utara"/>
    <x v="4"/>
    <s v="Kecamatan Tanjung Priok"/>
    <n v="5"/>
    <s v="2 x 2.5 meter"/>
    <s v="Tidak termasuk listrik"/>
    <s v=""/>
    <s v="N/A"/>
    <s v="2 x 2.5 meter; Tidak termasuk listrik; AC; Kasur; Lemari Baju; Bantal; Guling; Jendela; K. Mandi Dalam; Kloset Jongkok; Ember mandi; Shower; WiFi; Kulkas; Penjaga Kos; R. Jemur; Dapur; Jemuran; Parkir Motor"/>
    <x v="1"/>
    <s v="Rp1.100.000"/>
    <x v="0"/>
    <m/>
    <x v="0"/>
    <m/>
    <m/>
  </r>
  <r>
    <s v="Kost Pak Harto Dramaga Bogor"/>
    <x v="0"/>
    <s v="Kecamatan Dramaga"/>
    <n v="9"/>
    <s v="3 x 3 meter"/>
    <s v="Termasuk listrik (implied)"/>
    <s v=""/>
    <s v="N/A"/>
    <s v="3 x 3 meter; Termasuk listrik; Kasur; Lemari Baju; Ventilasi; Bantal; Jendela; K. Mandi Luar; Ember mandi; Bak mandi; WiFi; R. Cuci; Kulkas; R. Tamu; R. Jemur; R. Santai; Dapur; Taman; R. Keluarga; CCTV; Parkir Mobil; Parkir Motor; Parkir Sepeda"/>
    <x v="17"/>
    <s v="Rp650.000"/>
    <x v="2"/>
    <d v="1899-12-30T04:08:00"/>
    <x v="1"/>
    <m/>
    <m/>
  </r>
  <r>
    <s v="Kost Pak Is Ph6 Cikarang Selatan Bekasi"/>
    <x v="7"/>
    <s v="Cikarang Selatan"/>
    <n v="6"/>
    <s v="3 x 2 meter"/>
    <s v="Termasuk listrik (implied)"/>
    <s v=""/>
    <s v="N/A"/>
    <s v="3 x 2 meter; Termasuk listrik; AC; Kasur; Lemari Baju; Kulkas; Ventilasi; Bantal; Guling; Jendela; Kloset Duduk; K. Mandi Luar; Shower; WiFi; R. Cuci; Mesin Cuci; Laundry; R. Jemur; Dapur; Balcon; Jemuran; Parkir Mobil; Parkir Motor; Parkir Sepeda"/>
    <x v="190"/>
    <s v="Rp1.050.000"/>
    <x v="3"/>
    <d v="1899-12-30T05:00:00"/>
    <x v="0"/>
    <m/>
    <m/>
  </r>
  <r>
    <s v="Kost Pak RT Cipayung Jakarta Timur"/>
    <x v="8"/>
    <s v="Kecamatan Cipayung"/>
    <n v="12"/>
    <s v="3 x 4 meter"/>
    <s v="Tidak termasuk listrik"/>
    <s v=""/>
    <s v="N/A"/>
    <s v="3 x 4 meter; Tidak termasuk listrik; Kasur; Lemari Baju; Guling; Kipas Angin; Bantal; K. Mandi Dalam; Kloset Jongkok; WiFi; Parkir Motor &amp; Sepeda"/>
    <x v="99"/>
    <s v="Rp900.000"/>
    <x v="3"/>
    <d v="1899-12-30T05:00:00"/>
    <x v="2"/>
    <m/>
    <m/>
  </r>
  <r>
    <s v="Kost Pak Salim Executive Penjaringan Jakarta Utara"/>
    <x v="4"/>
    <s v="Penjaringan"/>
    <n v="12"/>
    <s v="3 x 4 meter"/>
    <s v="Tidak termasuk listrik"/>
    <s v=""/>
    <s v="N/A"/>
    <s v="3 x 4 meter; Tidak termasuk listrik; AC; Kasur; Meja; Lemari Baju; Bantal; Cermin; Cleaning service; Guling; Jendela; Kursi; K. Mandi Dalam; Kloset Duduk; K. Mandi Luar; Wastafel; Ember mandi; Shower; Air panas; WiFi; Kulkas; Laundry; Penjaga Kos; R. Tamu; R. Jemur; R. Makan; R. Santai; Dapur; Dispenser; Parkir Motor &amp; Sepeda"/>
    <x v="163"/>
    <s v="Rp1.700.000"/>
    <x v="0"/>
    <m/>
    <x v="0"/>
    <m/>
    <m/>
  </r>
  <r>
    <s v="Kost Pak Yanto 2 Tipe B Cinere Depok"/>
    <x v="1"/>
    <s v="Kecamatan Cinere"/>
    <n v="9"/>
    <s v="3 x 3 meter"/>
    <s v="Tidak termasuk listrik"/>
    <s v=""/>
    <s v="N/A"/>
    <s v="3 x 3 meter; Tidak termasuk listrik; AC; Wastafel; K. Mandi Dalam; Kloset Jongkok; R. Tamu; Parkir Motor"/>
    <x v="23"/>
    <s v="Rp1.200.000"/>
    <x v="3"/>
    <d v="1899-12-30T05:00:00"/>
    <x v="0"/>
    <m/>
    <m/>
  </r>
  <r>
    <s v="Kost Pak Yanto Tipe A Cibitung Bekasi"/>
    <x v="7"/>
    <s v="Cibitung"/>
    <n v="12"/>
    <s v="3 x 4 meter"/>
    <s v="Tidak termasuk listrik"/>
    <s v=""/>
    <s v="N/A"/>
    <s v="3 x 4 meter; Tidak termasuk listrik; Kasur; Lemari Baju; Ventilasi; Bantal; Jendela; K. Mandi Dalam; Kloset Jongkok; Ember mandi; WiFi; R. Jemur; Taman; Parkir Motor; Parkir Sepeda"/>
    <x v="17"/>
    <s v="Rp650.000"/>
    <x v="3"/>
    <d v="1899-12-30T05:00:00"/>
    <x v="1"/>
    <m/>
    <m/>
  </r>
  <r>
    <s v="Kost Pak Yul 2 Tipe A Gunung Putri Bogor"/>
    <x v="0"/>
    <s v="Kecamatan Gunung Putri"/>
    <n v="9"/>
    <s v="3 x 3 meter"/>
    <s v="Termasuk listrik (implied)"/>
    <s v=""/>
    <s v="N/A"/>
    <s v="3 x 3 meter; Termasuk listrik; Kasur; Meja; Lemari Baju; Ventilasi; Bantal; Cermin; Guling; Jendela; Kipas Angin; Wastafel; Kloset Duduk; Ember mandi; R. Cuci; R. Tamu; R. Jemur; R. Makan; R. Santai; Dapur; Jemuran; Jual Makanan; R. Keluarga; Taman; Parkir Mobil; Parkir Motor"/>
    <x v="28"/>
    <s v="Rp1.000.000"/>
    <x v="0"/>
    <m/>
    <x v="2"/>
    <m/>
    <m/>
  </r>
  <r>
    <s v="Kost Pakis Living Tipe Deluxe Serpong Tangerang Selatan"/>
    <x v="2"/>
    <s v="Serpong"/>
    <n v="15"/>
    <s v="3 x 5 meter"/>
    <s v="Tidak termasuk listrik"/>
    <s v=""/>
    <s v="N/A"/>
    <s v="3 x 5 meter; Tidak termasuk listrik; AC; Kasur; Meja; TV; Lemari Baju; Jendela; Bantal; Kursi; Cleaning service; K. Mandi Dalam; Kloset Duduk; Shower; Air panas; WiFi; Kulkas; R. Cuci; Mesin Cuci; Penjaga Kos; R. Tamu; R. Jemur; R. Santai; Dapur; Dispenser; Parkir Mobil; Parkir Motor"/>
    <x v="7"/>
    <s v="Rp3.500.000"/>
    <x v="0"/>
    <m/>
    <x v="2"/>
    <m/>
    <m/>
  </r>
  <r>
    <s v="Kost Palem Griya Tipe A Cibodas Tangerang"/>
    <x v="6"/>
    <s v="Kecamatan Cibodas"/>
    <n v="9"/>
    <s v="3 x 3 meter"/>
    <s v="Tidak termasuk listrik"/>
    <s v=""/>
    <s v="N/A"/>
    <s v="3 x 3 meter; Tidak termasuk listrik; AC; Kasur; Lemari Baju; Ventilasi; Jendela; Kloset Duduk; Ember mandi; Wastafel; WiFi; Kulkas; R. Cuci; R. Tamu; R. Jemur; R. Santai; Dapur; CCTV; Jemuran; Jual Makanan; Parkir Motor; Parkir Sepeda"/>
    <x v="248"/>
    <s v="Rp898.000"/>
    <x v="11"/>
    <d v="1899-12-30T03:08:00"/>
    <x v="0"/>
    <m/>
    <m/>
  </r>
  <r>
    <s v="Kost Palem Griya Tipe Single 2 Cibodas Tangerang"/>
    <x v="6"/>
    <s v="Kecamatan Cibodas"/>
    <n v="9"/>
    <s v="3 x 3 meter"/>
    <s v="Tidak termasuk listrik"/>
    <s v=""/>
    <s v="N/A"/>
    <s v="3 x 3 meter; Tidak termasuk listrik; AC; Kasur; Lemari Baju; Ventilasi; Jendela; K. Mandi Dalam; Kloset Duduk; Ember mandi; Shower; WiFi; R. Cuci; R. Tamu; Penjaga Kos; R. Makan; R. Jemur; R. Santai; Dapur; R. Keluarga; Balcon; Parkir Motor; Parkir Sepeda"/>
    <x v="249"/>
    <s v="Rp1.065.000"/>
    <x v="0"/>
    <m/>
    <x v="0"/>
    <m/>
    <m/>
  </r>
  <r>
    <s v="Kost Pamahan Tipe A Cikarang Timur Bekasi"/>
    <x v="7"/>
    <s v="Cikarang Timur"/>
    <n v="12"/>
    <s v="3 x 4 meter"/>
    <s v="Tidak termasuk listrik"/>
    <s v=""/>
    <s v="N/A"/>
    <s v="3 x 4 meter; Tidak termasuk listrik; Kasur; Meja; Lemari Baju; Jendela; K. Mandi Dalam; Kloset Duduk; R. Jemur; Pengurus Kos; Jemuran; Parkir Motor; Parkir Sepeda"/>
    <x v="14"/>
    <s v="Rp800.000"/>
    <x v="5"/>
    <d v="1899-12-30T04:00:00"/>
    <x v="0"/>
    <m/>
    <m/>
  </r>
  <r>
    <s v="Kost Pan Regist Jelambar Angke Tipe A Grogol Petamburan Jakarta Barat"/>
    <x v="3"/>
    <s v="Grogol Petamburan"/>
    <n v="12"/>
    <s v="3 x 4 meter"/>
    <s v="Tidak termasuk listrik"/>
    <s v=""/>
    <s v="N/A"/>
    <s v="3 x 4 meter; Tidak termasuk listrik; AC; Kasur; Meja; Dispenser; TV; Meja Rias; Lemari Baju; Kulkas; Kursi; TV Kabel; K. Mandi Dalam; Kloset Duduk; Shower; Air panas; WiFi; Mesin Cuci; Laundry; Penjaga Kos; CCTV; Jemuran; Pengurus Kos; Parkir Mobil; Parkir Motor; Parkir Motor &amp; Sepeda"/>
    <x v="232"/>
    <s v="Rp2.225.000"/>
    <x v="13"/>
    <d v="1899-12-30T04:03:00"/>
    <x v="0"/>
    <m/>
    <m/>
  </r>
  <r>
    <s v="Kost Paradise VVIP Cibinong Bogor"/>
    <x v="0"/>
    <s v="Cibinong"/>
    <n v="12"/>
    <s v="3 x 4 meter"/>
    <s v="Tidak termasuk listrik"/>
    <s v=""/>
    <s v="N/A"/>
    <s v="3 x 4 meter; Tidak termasuk listrik; AC; Kasur; Meja; Lemari Baju; Ventilasi; Bantal; Cermin; Jendela; Kipas Angin; Kursi; K. Mandi Dalam; Kloset Jongkok; Wastafel; Ember mandi; Bak mandi; WiFi; R. Tamu; Dapur; CCTV; Jemuran; Pengurus Kos; TV; Parkir Mobil; Parkir Motor; Parkir Sepeda"/>
    <x v="166"/>
    <s v="Rp1.750.000"/>
    <x v="0"/>
    <m/>
    <x v="0"/>
    <m/>
    <m/>
  </r>
  <r>
    <s v="Kost Parung Parung Bogor"/>
    <x v="0"/>
    <s v="Parung"/>
    <n v="14.399999999999999"/>
    <s v="3 x 4.8 meter"/>
    <s v="Tidak termasuk listrik"/>
    <s v=""/>
    <s v="N/A"/>
    <s v="3 x 4.8 meter; Tidak termasuk listrik; Kasur; Dapur Pribadi; Jendela; K. Mandi Dalam; Kloset Duduk; Ember mandi; Shower; Penjaga Kos; R. Tamu; R. Santai; Dapur; Jemuran; Parkir Mobil; Parkir Motor; Parkir Sepeda"/>
    <x v="14"/>
    <s v="Rp800.000"/>
    <x v="0"/>
    <m/>
    <x v="0"/>
    <m/>
    <m/>
  </r>
  <r>
    <s v="Kost Paseban 45 Tipe C Senen Jakarta Pusat"/>
    <x v="9"/>
    <s v="Senen"/>
    <n v="5.76"/>
    <s v="2.4 x 2.4 meter"/>
    <s v="Tidak termasuk listrik"/>
    <s v=""/>
    <s v="N/A"/>
    <s v="2.4 x 2.4 meter; Tidak termasuk listrik; Kasur; Meja; Lemari Baju; K. Mandi Dalam; Kloset Duduk; K. Mandi Luar; WiFi"/>
    <x v="13"/>
    <s v="Rp1.600.000"/>
    <x v="2"/>
    <d v="1899-12-30T04:08:00"/>
    <x v="0"/>
    <m/>
    <s v="Diskon 68rb"/>
  </r>
  <r>
    <s v="Kost Pasir Gombong Tipe A di Pasir Gombong Cikarang"/>
    <x v="7"/>
    <s v="Cikarang Utara"/>
    <n v="12"/>
    <s v="3 x 4 meter"/>
    <s v="Tidak termasuk listrik"/>
    <s v=""/>
    <s v="N/A"/>
    <s v="3 x 4 meter; Tidak termasuk listrik; Kasur; Lemari Baju; Kipas Angin; K. Mandi Dalam; Kloset Jongkok; WiFi; Dapur; Gazebo; Parkir Motor; Parkir Sepeda"/>
    <x v="2"/>
    <s v="Rp700.000"/>
    <x v="4"/>
    <d v="1899-12-30T04:01:00"/>
    <x v="2"/>
    <m/>
    <m/>
  </r>
  <r>
    <s v="Kost Pavilion Cimanggis Depok"/>
    <x v="1"/>
    <s v="Cimanggis"/>
    <n v="16"/>
    <s v="4 x 4 meter"/>
    <s v="Termasuk listrik (implied)"/>
    <s v=""/>
    <s v="N/A"/>
    <s v="4 x 4 meter; Termasuk listrik; Kasur; Lemari Baju; Guling; Jendela; Bantal; K. Mandi Dalam; Kloset Duduk; Ember mandi; WiFi; Jual Makanan; Jemuran; Parkir Motor &amp; Sepeda"/>
    <x v="190"/>
    <s v="Rp1.050.000"/>
    <x v="3"/>
    <d v="1899-12-30T05:00:00"/>
    <x v="1"/>
    <m/>
    <s v="Diskon 110rb"/>
  </r>
  <r>
    <s v="Kost Pavilion Grande Jababeka 2 Tipe A Cikarang Utara Bekasi"/>
    <x v="7"/>
    <s v="Cikarang Utara"/>
    <n v="12"/>
    <s v="3 x 4 meter"/>
    <s v="Tidak termasuk listrik"/>
    <s v=""/>
    <s v="N/A"/>
    <s v="3 x 4 meter; Tidak termasuk listrik; AC; Kasur; Meja; TV; Lemari Baju; Ventilasi; Bantal; Cermin; Cleaning service; Guling; K. Mandi Dalam; Kloset Duduk; Wastafel; Shower; Air panas; WiFi; Kulkas; R. Cuci; Laundry; Mesin Cuci; Penjaga Kos; R. Tamu; R. Jemur; R. Makan; R. Santai; Parkir Mobil"/>
    <x v="25"/>
    <s v="Rp1.850.000"/>
    <x v="0"/>
    <m/>
    <x v="2"/>
    <m/>
    <m/>
  </r>
  <r>
    <s v="Kost Pavilion Grande Jababeka 2 Tipe B Cikarang Utara Bekasi"/>
    <x v="7"/>
    <s v="Cikarang Utara"/>
    <n v="12"/>
    <s v="3 x 4 meter"/>
    <s v="Tidak termasuk listrik"/>
    <s v=""/>
    <s v="N/A"/>
    <s v="3 x 4 meter; Tidak termasuk listrik; AC; Kasur; Meja; TV; Lemari Baju; Ventilasi; Bantal; Cermin; Cleaning service; Guling; K. Mandi Dalam; Kloset Duduk; Wastafel; Shower; Air panas; WiFi; Kulkas; R. Cuci; Laundry; Mesin Cuci; Penjaga Kos; R. Tamu; R. Jemur; R. Makan; R. Santai; Parkir Mobil"/>
    <x v="89"/>
    <s v="Rp1.900.000"/>
    <x v="0"/>
    <m/>
    <x v="2"/>
    <m/>
    <m/>
  </r>
  <r>
    <s v="Kost Pavilion Jababeka A1 Cikarang Utara Bekasi"/>
    <x v="7"/>
    <s v="Kecamatan Cikarang Utara"/>
    <n v="12"/>
    <s v="3 x 4 meter"/>
    <s v="Termasuk listrik (implied)"/>
    <s v=""/>
    <s v="N/A"/>
    <s v="3 x 4 meter; Termasuk listrik; AC; Kasur; Meja; TV; Lemari Baju; Bantal; Cermin; Cleaning service; Guling; Kursi; K. Mandi Dalam; Kloset Duduk; Ember mandi; Shower; WiFi; Kulkas; R. Cuci; Laundry; Mesin Cuci; Penjaga Kos; R. Tamu; R. Jemur; R. Makan; R. Santai; Parkir Mobil; Parkir Motor; Parkir Sepeda"/>
    <x v="167"/>
    <s v="Rp1.550.000"/>
    <x v="13"/>
    <d v="1899-12-30T04:03:00"/>
    <x v="0"/>
    <m/>
    <m/>
  </r>
  <r>
    <s v="Kost Pavilion Jababeka Tipe A Cikarang Utara Bekasi"/>
    <x v="7"/>
    <s v="Cikarang Utara"/>
    <n v="12"/>
    <s v="3 x 4 meter"/>
    <s v="Termasuk listrik (implied)"/>
    <s v=""/>
    <s v="N/A"/>
    <s v="3 x 4 meter; Termasuk listrik; AC; Kasur; Meja; TV; Lemari Baju; Ventilasi; Kursi; Cleaning service; Guling; Jendela; K. Mandi Dalam; Kloset Duduk; Shower; WiFi; R. Cuci; Kulkas; R. Tamu; Penjaga Kos; R. Makan; R. Jemur; R. Santai; Dapur; Dispenser; Parkir Mobil; Parkir Motor; Parkir Sepeda"/>
    <x v="19"/>
    <s v="Rp1.800.000"/>
    <x v="0"/>
    <m/>
    <x v="0"/>
    <m/>
    <m/>
  </r>
  <r>
    <s v="Kost Paviliun Kemanggisan Tipe Executive Palmerah Jakarta Barat"/>
    <x v="3"/>
    <s v="Kecamatan Palmerah"/>
    <n v="15"/>
    <s v="5 x 3 meter"/>
    <s v="Termasuk listrik (implied)"/>
    <s v=""/>
    <s v="N/A"/>
    <s v="5 x 3 meter; Termasuk listrik; AC; Kasur; Meja; Meja Rias; TV; Lemari Baju; Ventilasi; Bantal; Cermin; Jendela; K. Mandi Dalam; Kloset Duduk; Wastafel; Shower; WiFi; Kulkas; R. Cuci; Laundry; Mesin Cuci; Penjaga Kos; R. Tamu; R. Jemur; R. Makan; R. Santai; Parkir Mobil; Parkir Motor; Parkir Sepeda"/>
    <x v="170"/>
    <s v="Rp2.250.000"/>
    <x v="3"/>
    <d v="1899-12-30T05:00:00"/>
    <x v="0"/>
    <m/>
    <m/>
  </r>
  <r>
    <s v="Kost PBS Pramuka Tipe A Cempaka Putih Jakarta Pusat"/>
    <x v="9"/>
    <s v="Kecamatan Cempaka Putih"/>
    <n v="17.5"/>
    <s v="5 x 3.5 meter"/>
    <s v="Tidak termasuk listrik"/>
    <s v=""/>
    <s v="N/A"/>
    <s v="5 x 3.5 meter; Tidak termasuk listrik; AC; Kasur; Meja; Kulkas; Lemari Baju; Ventilasi; Bantal; Cermin; Dapur Pribadi; Guling; K. Mandi Dalam; Kloset Duduk; Ember mandi; Wastafel; Shower; Air panas; WiFi; R. Tamu; Dapur; CCTV; Jemuran; Pengurus Kos; Parkir Motor &amp; Sepeda"/>
    <x v="189"/>
    <s v="Rp2.350.000"/>
    <x v="0"/>
    <m/>
    <x v="2"/>
    <m/>
    <m/>
  </r>
  <r>
    <s v="Kost Pelajar Karyawan Tipe Standart Karawaci Tangerang"/>
    <x v="6"/>
    <s v="Kecamatan Karawaci"/>
    <n v="9"/>
    <s v="3 x 3 meter"/>
    <s v="Tidak termasuk listrik"/>
    <s v=""/>
    <s v="N/A"/>
    <s v="3 x 3 meter; Tidak termasuk listrik; AC; Kasur; Meja; Lemari Baju; Ventilasi; Bantal; Cermin; Guling; Jendela; Kursi; K. Mandi Dalam; Kloset Duduk; K. Mandi Luar; Ember mandi; Shower; R. Cuci; Laundry; Penjaga Kos; R. Tamu; R. Jemur; R. Makan; R. Santai; CCTV; Gazebo; Jemuran; Parkir Sepeda; Parkir Motor"/>
    <x v="23"/>
    <s v="Rp1.200.000"/>
    <x v="0"/>
    <m/>
    <x v="0"/>
    <m/>
    <m/>
  </r>
  <r>
    <s v="Kost Pelangi 4 Cileungsi Bogor"/>
    <x v="0"/>
    <s v="Cileungsi"/>
    <n v="9"/>
    <s v="3 x 3 meter"/>
    <s v="Tidak termasuk listrik"/>
    <s v=""/>
    <s v="N/A"/>
    <s v="3 x 3 meter; Tidak termasuk listrik; Kasur; Meja; Kursi; Kipas Angin; Bantal; Guling; Jendela; Kloset Duduk; K. Mandi Luar; Ember mandi; Mesin Cuci; R. Jemur; R. Santai; Dapur; Dispenser; TV; Jemuran; Parkir Motor; Parkir Sepeda"/>
    <x v="31"/>
    <s v="Rp600.000"/>
    <x v="3"/>
    <d v="1899-12-30T05:00:00"/>
    <x v="2"/>
    <m/>
    <m/>
  </r>
  <r>
    <s v="Kost Pelangi TIpe B Kelapa Gading Jakarta Utara"/>
    <x v="4"/>
    <s v="Kelapa Gading"/>
    <n v="6.6000000000000005"/>
    <s v="2.2 x 3 meter"/>
    <s v="Tidak termasuk listrik"/>
    <s v=""/>
    <s v="N/A"/>
    <s v="2.2 x 3 meter; Tidak termasuk listrik; Ventilasi; Kloset Duduk; WiFi; R. Cuci; R. Jemur; Dapur; Balcon; Parkir Motor"/>
    <x v="190"/>
    <s v="Rp1.050.000"/>
    <x v="22"/>
    <d v="1899-12-30T01:05:00"/>
    <x v="1"/>
    <m/>
    <m/>
  </r>
  <r>
    <s v="Kost Pelita Terang Bulan VVIP Cikarang Pusat Bekasi"/>
    <x v="7"/>
    <s v="Cikarang Pusat"/>
    <n v="12"/>
    <s v="3 x 4 meter"/>
    <s v="Tidak termasuk listrik"/>
    <s v=""/>
    <s v="N/A"/>
    <s v="3 x 4 meter; Tidak termasuk listrik; AC; Kasur; Lemari Baju; Ventilasi; Jendela; Wastafel; K. Mandi Dalam; Kloset Duduk; Shower; Air panas; WiFi; Kulkas; R. Cuci; Mesin Cuci; R. Jemur; Dapur; Jemuran; Pengurus Kos; Parkir Mobil; Parkir Motor; Parkir Motor &amp; Sepeda"/>
    <x v="163"/>
    <s v="Rp1.700.000"/>
    <x v="0"/>
    <m/>
    <x v="1"/>
    <m/>
    <m/>
  </r>
  <r>
    <s v="Kost Pemerena Dramaga Bogor"/>
    <x v="0"/>
    <s v="Dramaga"/>
    <n v="12"/>
    <s v="4 x 3 meter"/>
    <s v="Tidak termasuk listrik"/>
    <s v=""/>
    <s v="N/A"/>
    <s v="4 x 3 meter; Tidak termasuk listrik; AC; Kasur; Meja; Lemari Baju; Kursi; K. Mandi Dalam; Kloset Jongkok; Ember mandi; WiFi; Kulkas; R. Tamu; Penjaga Kos; R. Jemur; R. Santai; Dapur; TV; Taman; K. Mandi Luar; Parkir Mobil; Parkir Motor; Parkir Sepeda"/>
    <x v="28"/>
    <s v="Rp1.000.000"/>
    <x v="0"/>
    <m/>
    <x v="2"/>
    <m/>
    <m/>
  </r>
  <r>
    <s v="Kost Peony Flower Peony C Mampang Prapatan Jakarta Selatan"/>
    <x v="5"/>
    <s v="Kecamatan Mampang Prapatan"/>
    <n v="6"/>
    <s v="3 x 2 meter"/>
    <s v="Tidak termasuk listrik"/>
    <s v=""/>
    <s v="N/A"/>
    <s v="3 x 2 meter; Tidak termasuk listrik; Kasur; Lemari Baju; Ventilasi; Kipas Angin; Jendela; K. Mandi Dalam; Kloset Duduk; Ember mandi; Shower; WiFi; Kulkas; Dapur; Balcon; CCTV; Jemuran"/>
    <x v="1"/>
    <s v="Rp1.100.000"/>
    <x v="7"/>
    <d v="1899-12-30T03:06:00"/>
    <x v="2"/>
    <m/>
    <m/>
  </r>
  <r>
    <s v="Kost Perkici Apik Pondok Aren Tangerang Selatan"/>
    <x v="2"/>
    <s v="Ciputat Timur"/>
    <n v="12"/>
    <s v="3 x 4 meter"/>
    <s v="Tidak termasuk listrik"/>
    <s v=""/>
    <s v="N/A"/>
    <s v="3 x 4 meter; Tidak termasuk listrik; AC; Kasur; Meja; Lemari Baju; Bantal; Guling; Kursi; Kloset Duduk; K. Mandi Luar; Ember mandi; Shower; WiFi; Kulkas; R. Tamu; R. Jemur; Dapur; Balcon; Jemuran; Rice Cooker; TV; CCTV; Parkir Motor"/>
    <x v="23"/>
    <s v="Rp1.200.000"/>
    <x v="2"/>
    <d v="1899-12-30T04:08:00"/>
    <x v="2"/>
    <m/>
    <m/>
  </r>
  <r>
    <s v="Kost Perkici Apik Pondok Aren Tangerang Selatan"/>
    <x v="2"/>
    <s v="Ciputat Timur"/>
    <e v="#VALUE!"/>
    <s v="N/A"/>
    <s v="N/A"/>
    <s v=""/>
    <s v="N/A"/>
    <s v=""/>
    <x v="23"/>
    <s v="Rp1.200.000"/>
    <x v="0"/>
    <m/>
    <x v="2"/>
    <m/>
    <m/>
  </r>
  <r>
    <s v="Kost Permata Biru Tipe A Kelapa Gading Jakarta Utara"/>
    <x v="4"/>
    <s v="Kelapa Gading"/>
    <n v="7.5"/>
    <s v="2.5 x 3 meter"/>
    <s v="Tidak termasuk listrik"/>
    <s v=""/>
    <s v="N/A"/>
    <s v="2.5 x 3 meter; Tidak termasuk listrik; AC; Kasur; Lemari Baju; K. Mandi Dalam; Kloset Duduk; Kloset Jongkok; K. Mandi Luar; WiFi; Mesin Cuci; Laundry; Dapur; Parkir Mobil; Parkir Motor"/>
    <x v="18"/>
    <s v="Rp1.300.000"/>
    <x v="7"/>
    <d v="1899-12-30T03:06:00"/>
    <x v="0"/>
    <m/>
    <m/>
  </r>
  <r>
    <s v="Kost Permata Pancoran Mas Depok"/>
    <x v="0"/>
    <s v="Pancoran Mas"/>
    <n v="9"/>
    <s v="3 x 3 meter"/>
    <s v="Termasuk listrik (implied)"/>
    <s v=""/>
    <s v="N/A"/>
    <s v="3 x 3 meter; Termasuk listrik; Kasur; Lemari Baju; Bantal; Cermin; Jendela; Kloset Duduk; Kloset Jongkok; K. Mandi Luar; Ember mandi; Wastafel; Shower; R. Cuci; Penjaga Kos; R. Jemur; R. Santai; Jemuran; R. Keluarga; Parkir Motor"/>
    <x v="14"/>
    <s v="Rp800.000"/>
    <x v="0"/>
    <m/>
    <x v="2"/>
    <m/>
    <m/>
  </r>
  <r>
    <s v="Kost Permata Sukses 2 Tipe A Beji Depok"/>
    <x v="1"/>
    <s v="Kecamatan Beji"/>
    <n v="12"/>
    <s v="3 x 4 meter"/>
    <s v="Tidak termasuk listrik"/>
    <s v=""/>
    <s v="N/A"/>
    <s v="3 x 4 meter; Tidak termasuk listrik; AC; Kasur; Meja; Lemari Baju; Ventilasi; Bantal; Cermin; Guling; Jendela; Kursi; K. Mandi Dalam; Kloset Duduk; Wastafel; Shower; Air panas; WiFi; Kulkas; Laundry; Penjaga Kos; R. Tamu; R. Makan; R. Santai; Dapur; Balcon; CCTV; Parkir Mobil; Parkir Sepeda; Parkir Motor"/>
    <x v="27"/>
    <s v="Rp2.000.000"/>
    <x v="0"/>
    <m/>
    <x v="1"/>
    <m/>
    <m/>
  </r>
  <r>
    <s v="Kost Permata Sukses 2 Tipe B Beji Depok"/>
    <x v="1"/>
    <s v="Kecamatan Beji"/>
    <n v="12"/>
    <s v="3 x 4 meter"/>
    <s v="Tidak termasuk listrik"/>
    <s v=""/>
    <s v="N/A"/>
    <s v="3 x 4 meter; Tidak termasuk listrik; AC; Kasur; Meja; Bantal; Cermin; Jendela; Kursi; Wastafel; K. Mandi Dalam; Kloset Duduk; Shower; Air panas; WiFi; Kulkas; Laundry; Penjaga Kos; R. Tamu; R. Makan; R. Santai; Dapur; Balcon; CCTV; Parkir Mobil; Parkir Motor; Parkir Sepeda"/>
    <x v="89"/>
    <s v="Rp1.900.000"/>
    <x v="10"/>
    <d v="1899-12-30T04:05:00"/>
    <x v="2"/>
    <m/>
    <s v="Diskon 179rb"/>
  </r>
  <r>
    <s v="Kost Permata Tipe D Cipondoh Tangerang"/>
    <x v="6"/>
    <s v="Cipondoh"/>
    <n v="5.95"/>
    <s v="1.7 x 3.5 meter"/>
    <s v="Termasuk listrik (implied)"/>
    <s v=""/>
    <s v="N/A"/>
    <s v="1.7 x 3.5 meter; Termasuk listrik; Kasur; Dispenser; Lemari Baju; Ventilasi; Wastafel; Kipas Angin; Cleaning service; Bantal; K. Mandi Dalam; Kloset Duduk; Kloset Jongkok; K. Mandi Luar; Ember mandi; Shower; Bak mandi; WiFi; R. Cuci; R. Tamu; Laundry; R. Makan; R. Jemur; Mushola; R. Santai; TV; Parkir Mobil; Parkir Motor; Parkir Sepeda"/>
    <x v="14"/>
    <s v="Rp800.000"/>
    <x v="6"/>
    <d v="1899-12-30T04:06:00"/>
    <x v="0"/>
    <m/>
    <m/>
  </r>
  <r>
    <s v="Kost Permata Tipe F1 Cipondoh Tangerang"/>
    <x v="6"/>
    <s v="Cipondoh"/>
    <n v="10"/>
    <s v="2.5 x 4 meter"/>
    <s v="Tidak termasuk listrik"/>
    <s v=""/>
    <s v="N/A"/>
    <s v="2.5 x 4 meter; Tidak termasuk listrik; AC; Kasur; Dispenser; Meja; Lemari Baju; Ventilasi; Bantal; Cermin; Cleaning service; Jendela; K. Mandi Dalam; Kloset Duduk; Kloset Jongkok; K. Mandi Luar; Wastafel; Ember mandi; Shower; Bak mandi; WiFi; R. Cuci; R. Tamu; Laundry; Penjaga Kos; R. Makan; R. Jemur; Mushola; R. Santai; Parkir Mobil; Parkir Motor; Parkir Sepeda"/>
    <x v="163"/>
    <s v="Rp1.700.000"/>
    <x v="4"/>
    <d v="1899-12-30T04:01:00"/>
    <x v="0"/>
    <m/>
    <m/>
  </r>
  <r>
    <s v="Kost Permata Tipe T Plus Cipondoh Tangerang"/>
    <x v="6"/>
    <s v="Cipondoh"/>
    <n v="10"/>
    <s v="4 x 2.5 meter"/>
    <s v="Tidak termasuk listrik"/>
    <s v=""/>
    <s v="N/A"/>
    <s v="4 x 2.5 meter; Tidak termasuk listrik; Ventilasi; Cleaning service; Jendela; K. Mandi Dalam; Kloset Duduk; Ember mandi; Shower; WiFi; Kulkas; R. Tamu; Laundry; Penjaga Kos; R. Makan; R. Jemur; R. Santai; Dispenser; TV; Parkir Mobil; Parkir Motor &amp; Sepeda"/>
    <x v="250"/>
    <s v="Rp1.507.500"/>
    <x v="9"/>
    <d v="1899-12-30T03:04:00"/>
    <x v="1"/>
    <m/>
    <m/>
  </r>
  <r>
    <s v="Kost Pertiwi Matraman Jakarta Timur"/>
    <x v="8"/>
    <s v="Matraman"/>
    <n v="9"/>
    <s v="3 x 3 meter"/>
    <s v="Tidak termasuk listrik"/>
    <s v=""/>
    <s v="N/A"/>
    <s v="3 x 3 meter; Tidak termasuk listrik; AC; Kasur; Meja; TV; Lemari Baju; Bantal; Guling; Jendela; Kursi; K. Mandi Dalam; Kloset Jongkok; Ember mandi; WiFi; Kulkas; R. Tamu; Penjaga Kos; R. Jemur; Dapur; Dispenser; CCTV; Parkir Motor; Parkir Sepeda"/>
    <x v="90"/>
    <s v="Rp1.650.000"/>
    <x v="6"/>
    <d v="1899-12-30T04:06:00"/>
    <x v="2"/>
    <m/>
    <s v="Diskon 87rb"/>
  </r>
  <r>
    <s v="Kost Perum Bambu Kuning Bojong Gede Bogor"/>
    <x v="0"/>
    <s v="Bojong Gede"/>
    <n v="9"/>
    <s v="3 x 3 meter"/>
    <s v="Tidak termasuk listrik"/>
    <s v=""/>
    <s v="N/A"/>
    <s v="3 x 3 meter; Tidak termasuk listrik; Wastafel; K. Mandi Dalam; Bak mandi; R. Cuci; R. Tamu; R. Jemur; Dapur; Taman; Parkir Mobil"/>
    <x v="3"/>
    <s v="Rp1.500.000"/>
    <x v="10"/>
    <d v="1899-12-30T04:05:00"/>
    <x v="0"/>
    <m/>
    <m/>
  </r>
  <r>
    <s v="Kost PHT27 Cikarang Selatan Bekasi"/>
    <x v="7"/>
    <s v="Cikarang Selatan"/>
    <n v="8.3999999999999986"/>
    <s v="3 x 2.8 meter"/>
    <s v="Tidak termasuk listrik"/>
    <s v=""/>
    <s v="N/A"/>
    <s v="3 x 2.8 meter; Tidak termasuk listrik; AC; Kasur; TV; Lemari Baju; Bantal; Cermin; Cleaning service; Guling; Jendela; K. Mandi Dalam; Kloset Duduk; Shower; Air panas; WiFi; Kulkas; Laundry; Mesin Cuci; Penjaga Kos; R. Tamu; R. Jemur; R. Santai; Dapur; Dispenser; Parkir Mobil; Parkir Motor"/>
    <x v="3"/>
    <s v="Rp1.500.000"/>
    <x v="13"/>
    <d v="1899-12-30T04:03:00"/>
    <x v="0"/>
    <m/>
    <m/>
  </r>
  <r>
    <s v="Kost Pilar Residence Kebon Jeruk Jakarta Barat"/>
    <x v="3"/>
    <s v="Kebon Jeruk"/>
    <n v="7.1999999999999993"/>
    <s v="2.4 x 3 meter"/>
    <s v="Tidak termasuk listrik"/>
    <s v=""/>
    <s v="N/A"/>
    <s v="2.4 x 3 meter; Tidak termasuk listrik; AC; Kasur; Meja; Lemari Baju; Ventilasi; Bantal; Cermin; Cleaning service; Jendela; Guling; K. Mandi Dalam; Kloset Duduk; Shower; Air panas; WiFi; R. Cuci; R. Tamu; R. Makan; R. Jemur; Dapur; CCTV; Jemuran; Taman; Pengurus Kos; Parkir Mobil; Parkir Motor; Parkir Sepeda"/>
    <x v="27"/>
    <s v="Rp2.000.000"/>
    <x v="8"/>
    <d v="1899-12-30T04:09:00"/>
    <x v="2"/>
    <m/>
    <s v="Diskon 93rb"/>
  </r>
  <r>
    <s v="Kost Pinang 17a Tipe A Beji Depok"/>
    <x v="1"/>
    <s v="Beji"/>
    <n v="9"/>
    <s v="3 x 3 meter"/>
    <s v="Termasuk listrik (implied)"/>
    <s v=""/>
    <s v="N/A"/>
    <s v="3 x 3 meter; Termasuk listrik; Kasur; Meja; Lemari Baju; Kursi; Kipas Angin; Bantal; Cermin; K. Mandi Dalam; Kloset Jongkok; Ember mandi; WiFi; Penjaga Kos; Dispenser; CCTV; Pengurus Kos; Parkir Motor"/>
    <x v="99"/>
    <s v="Rp900.000"/>
    <x v="6"/>
    <d v="1899-12-30T04:06:00"/>
    <x v="1"/>
    <m/>
    <m/>
  </r>
  <r>
    <s v="Kost Pinky Tipe Executive Pulo Gadung Jakarta Timur"/>
    <x v="8"/>
    <s v="Pulo Gadung"/>
    <n v="9"/>
    <s v="3 x 3 meter"/>
    <s v="Tidak termasuk listrik"/>
    <s v=""/>
    <s v="N/A"/>
    <s v="3 x 3 meter; Tidak termasuk listrik; AC; Kasur; Meja; Lemari Baju; Bantal; Jendela; Kursi; K. Mandi Dalam; Kloset Duduk; Shower; WiFi; Kulkas; R. Cuci; Mesin Cuci; Penjaga Kos; R. Jemur; Dapur; CCTV; Jemuran; Parkir Motor; Parkir Sepeda"/>
    <x v="11"/>
    <s v="Rp1.400.000"/>
    <x v="0"/>
    <m/>
    <x v="2"/>
    <m/>
    <m/>
  </r>
  <r>
    <s v="Kost Pinta Tipe 1 Cileungsi Bogor"/>
    <x v="0"/>
    <s v="Kecamatan Cileungsi"/>
    <n v="9"/>
    <s v="3 x 3 meter"/>
    <s v="Termasuk listrik (implied)"/>
    <s v=""/>
    <s v="N/A"/>
    <s v="3 x 3 meter; Termasuk listrik; AC; Kasur; TV; Lemari Baju; Kulkas; Wastafel; Guling; Bantal; Kloset Duduk; K. Mandi Luar; Ember mandi; Shower; WiFi; R. Tamu; Penjaga Kos; R. Makan; Dapur; CCTV; Jual Makanan; Parkir Mobil; Parkir Motor"/>
    <x v="18"/>
    <s v="Rp1.300.000"/>
    <x v="3"/>
    <d v="1899-12-30T05:00:00"/>
    <x v="0"/>
    <m/>
    <m/>
  </r>
  <r>
    <s v="Kost Pintu Hijau Tipe A Kelapa Gading Jakarta Utara"/>
    <x v="4"/>
    <s v="Kecamatan Kelapa Gading"/>
    <n v="12"/>
    <s v="3 x 4 meter"/>
    <s v="Tidak termasuk listrik"/>
    <s v=""/>
    <s v="N/A"/>
    <s v="3 x 4 meter; Tidak termasuk listrik; AC; Kasur; Meja Rias; Lemari Baju; Bantal; Cermin; Guling; Jendela; Kursi; K. Mandi Dalam; Kloset Duduk; Shower; Air panas; WiFi; Kulkas; R. Cuci; Mesin Cuci; R. Tamu; R. Jemur; Dapur; Dispenser; CCTV; Jemuran; Parkir Mobil; Parkir Motor"/>
    <x v="22"/>
    <s v="Rp2.500.000"/>
    <x v="0"/>
    <m/>
    <x v="2"/>
    <m/>
    <s v="Diskon 200rb"/>
  </r>
  <r>
    <s v="Kost Pinus 3 11 Tipe Non AC Cikarang Selatan Bekasi"/>
    <x v="7"/>
    <s v="Cikarang Selatan"/>
    <n v="9"/>
    <s v="3 x 3 meter"/>
    <s v="Tidak termasuk listrik"/>
    <s v=""/>
    <s v="N/A"/>
    <s v="3 x 3 meter; Tidak termasuk listrik; Kasur; Meja; Lemari Baju; Bantal; Guling; Jendela; Kipas Angin; K. Mandi Dalam; Kloset Duduk; Shower; WiFi; R. Cuci; Kulkas; Mesin Cuci; Laundry; R. Makan; R. Jemur; R. Santai; Dapur; Parkir Mobil"/>
    <x v="20"/>
    <s v="Rp1.250.000"/>
    <x v="0"/>
    <m/>
    <x v="0"/>
    <m/>
    <m/>
  </r>
  <r>
    <s v="Kost Pinus 6 Cikarang Selatan Bekasi"/>
    <x v="7"/>
    <s v="Cikarang Selatan"/>
    <n v="9"/>
    <s v="3 x 3 meter"/>
    <s v="Termasuk listrik (implied)"/>
    <s v=""/>
    <s v="N/A"/>
    <s v="3 x 3 meter; Termasuk listrik; AC; Kasur; Meja; TV; Lemari Baju; Kursi; Cleaning service; TV Kabel; Bantal; Guling; K. Mandi Dalam; Kloset Duduk; Shower; Air panas; WiFi; R. Cuci; Kulkas; Mesin Cuci; Penjaga Kos; Laundry; R. Jemur; R. Makan; R. Santai; Dapur; Parkir Mobil; Parkir Motor; Parkir Sepeda"/>
    <x v="13"/>
    <s v="Rp1.600.000"/>
    <x v="13"/>
    <d v="1899-12-30T04:03:00"/>
    <x v="0"/>
    <m/>
    <m/>
  </r>
  <r>
    <s v="Kost Pinus 7 Tipe B Cikarang Selatan Bekasi"/>
    <x v="7"/>
    <s v="Cikarang Selatan"/>
    <n v="9"/>
    <s v="3 x 3 meter"/>
    <s v="Tidak termasuk listrik"/>
    <s v=""/>
    <s v="N/A"/>
    <s v="3 x 3 meter; Tidak termasuk listrik; AC; Kasur; Meja; Dispenser; TV; Lemari Baju; Kulkas; Ventilasi; Wastafel; Cleaning service; K. Mandi Dalam; Kloset Duduk; Shower; Air panas; WiFi; R. Cuci; R. Tamu; Mesin Cuci; Penjaga Kos; Laundry; R. Jemur; Dapur; Parkir Mobil; Parkir Motor"/>
    <x v="163"/>
    <s v="Rp1.700.000"/>
    <x v="0"/>
    <m/>
    <x v="0"/>
    <m/>
    <m/>
  </r>
  <r>
    <s v="Kost Piter Tipe B Pulo Gadung Jakarta Timur"/>
    <x v="8"/>
    <s v="Pulo Gadung"/>
    <n v="12"/>
    <s v="3 x 4 meter"/>
    <s v="Tidak termasuk listrik"/>
    <s v=""/>
    <s v="N/A"/>
    <s v="3 x 4 meter; Tidak termasuk listrik; AC; Kasur; Lemari Baju; Bantal; Cermin; Guling; K. Mandi Dalam; Kloset Duduk; Kloset Jongkok; K. Mandi Luar; Wastafel; Shower; WiFi; Kulkas; R. Cuci; R. Tamu; Laundry; Mesin Cuci; R. Jemur; Dapur; Dispenser; Balcon; Parkir Motor; Parkir Sepeda"/>
    <x v="23"/>
    <s v="Rp1.200.000"/>
    <x v="0"/>
    <m/>
    <x v="0"/>
    <m/>
    <m/>
  </r>
  <r>
    <s v="Kost Pondok Aisyah Tipe VIP Dramaga Bogor"/>
    <x v="0"/>
    <s v="Dramaga"/>
    <n v="12"/>
    <s v="3 x 4 meter"/>
    <s v="Termasuk listrik (implied)"/>
    <s v=""/>
    <s v="N/A"/>
    <s v="3 x 4 meter; Termasuk listrik; Kasur; Meja; Lemari Baju; Ventilasi; Kursi; Kipas Angin; Bantal; Cermin; Guling; Jendela; K. Mandi Dalam; Kloset Jongkok; Ember mandi; Shower; WiFi; R. Cuci; Kulkas; R. Tamu; Mesin Cuci; Penjaga Kos; R. Jemur; Mushola; R. Makan; R. Santai; Parkir Motor; Parkir Sepeda; Parkir Motor &amp; Sepeda"/>
    <x v="99"/>
    <s v="Rp900.000"/>
    <x v="0"/>
    <m/>
    <x v="2"/>
    <m/>
    <m/>
  </r>
  <r>
    <s v="Kost Pondok Alissa Sawangan Depok"/>
    <x v="1"/>
    <s v="Sawangan"/>
    <n v="9"/>
    <s v="3 x 3 meter"/>
    <s v="Tidak termasuk listrik"/>
    <s v=""/>
    <s v="N/A"/>
    <s v="3 x 3 meter; Tidak termasuk listrik; AC; Kasur; Lemari Baju; Kloset Duduk; K. Mandi Luar; Shower; WiFi; Parkir Mobil"/>
    <x v="30"/>
    <s v="Rp1.150.000"/>
    <x v="0"/>
    <m/>
    <x v="2"/>
    <m/>
    <m/>
  </r>
  <r>
    <s v="Kost Pondok Ananda Tipe A Beji Depok"/>
    <x v="1"/>
    <s v="Kecamatan Beji"/>
    <n v="12"/>
    <s v="3 x 4 meter"/>
    <s v="Tidak termasuk listrik"/>
    <s v=""/>
    <s v="N/A"/>
    <s v="3 x 4 meter; Tidak termasuk listrik; Kasur; Meja; Lemari Baju; Jendela; Kursi; Kipas Angin; K. Mandi Dalam; Kloset Duduk; Ember mandi; Shower; WiFi; Penjaga Kos; R. Jemur; Dapur; Jemuran; Jual Makanan; Pengurus Kos; Parkir Motor; Parkir Sepeda"/>
    <x v="12"/>
    <s v="Rp850.000"/>
    <x v="6"/>
    <d v="1899-12-30T04:06:00"/>
    <x v="1"/>
    <m/>
    <m/>
  </r>
  <r>
    <s v="Kost Pondok Bahagia Gg Ki Pelo Cikarang Utara Bekasi"/>
    <x v="7"/>
    <s v="Cikarang Utara"/>
    <n v="9"/>
    <s v="3 x 3 meter"/>
    <s v="Termasuk listrik (implied)"/>
    <s v=""/>
    <s v="N/A"/>
    <s v="3 x 3 meter; Termasuk listrik; Ventilasi; Dapur Pribadi; Jendela; K. Mandi Dalam; Kloset Jongkok; Ember mandi; R. Cuci; Penjaga Kos; R. Jemur; Balcon; Jemuran; Jual Makanan; Pengurus Kos; Parkir Motor"/>
    <x v="175"/>
    <s v="Rp610.000"/>
    <x v="4"/>
    <d v="1899-12-30T04:01:00"/>
    <x v="0"/>
    <m/>
    <m/>
  </r>
  <r>
    <s v="Kost Pondok Barokah Larangan Tangerang"/>
    <x v="6"/>
    <s v="Larangan"/>
    <n v="12"/>
    <s v="3 x 4 meter"/>
    <s v="Tidak termasuk listrik"/>
    <s v=""/>
    <s v="N/A"/>
    <s v="3 x 4 meter; Tidak termasuk listrik; Kasur; Meja Rias; Lemari Baju; Ventilasi; Jendela; Bantal; Cermin; Guling; Kipas Angin; K. Mandi Dalam; Kloset Duduk; Shower; WiFi; Kulkas; Dapur; CCTV; Parkir Motor"/>
    <x v="1"/>
    <s v="Rp1.100.000"/>
    <x v="2"/>
    <d v="1899-12-30T04:08:00"/>
    <x v="2"/>
    <m/>
    <m/>
  </r>
  <r>
    <s v="Kost Pondok Cattleya UPN Pondok Labu Fatmawati Tipe B Cinere Depok"/>
    <x v="1"/>
    <s v="Cinere"/>
    <n v="6.25"/>
    <s v="2.5 x 2.5 meter"/>
    <s v="Termasuk listrik (implied)"/>
    <s v=""/>
    <s v="N/A"/>
    <s v="2.5 x 2.5 meter; Termasuk listrik; AC; Kasur; Meja; Lemari Baju; Kursi; Cleaning service; Jendela; Bantal; Kloset Duduk; K. Mandi Luar; Shower; WiFi; Kulkas; R. Tamu; Laundry; R. Jemur; Mushola; Dapur; CCTV; Pengurus Kos; Parkir Mobil; Parkir Motor; Parkir Sepeda"/>
    <x v="21"/>
    <s v="Rp1.450.000"/>
    <x v="4"/>
    <d v="1899-12-30T04:01:00"/>
    <x v="2"/>
    <m/>
    <m/>
  </r>
  <r>
    <s v="Kost Pondok Damai Lippo Cikarang Selatan Bekasi"/>
    <x v="7"/>
    <s v="Cikarang Selatan"/>
    <n v="9"/>
    <s v="3 x 3 meter"/>
    <s v="Tidak termasuk listrik"/>
    <s v=""/>
    <s v="N/A"/>
    <s v="3 x 3 meter; Tidak termasuk listrik; AC; Kasur; Meja; Lemari Baju; Ventilasi; Kursi; Cleaning service; microwave; Bantal; Cermin; Kloset Duduk; K. Mandi Luar; Wastafel; Ember mandi; Shower; Air panas; WiFi; Kulkas; R. Cuci; Mesin Cuci; Penjaga Kos; Laundry; R. Makan; R. Jemur; Dapur; Dispenser; Parkir Mobil; Parkir Motor; Parkir Sepeda"/>
    <x v="3"/>
    <s v="Rp1.500.000"/>
    <x v="2"/>
    <d v="1899-12-30T04:08:00"/>
    <x v="0"/>
    <m/>
    <m/>
  </r>
  <r>
    <s v="Kost Pondok Damai Lippo Cikarang Selatan Bekasi"/>
    <x v="7"/>
    <s v="Cikarang Selatan"/>
    <n v="9"/>
    <s v="3 x 3 meter"/>
    <s v="Tidak termasuk listrik"/>
    <s v=""/>
    <s v="N/A"/>
    <s v="3 x 3 meter; Tidak termasuk listrik; AC; Kasur; Meja; Lemari Baju; Ventilasi; Kursi; Cleaning service; microwave; Bantal; Cermin; Kloset Duduk; K. Mandi Luar; Wastafel; Ember mandi; Shower; Air panas; WiFi; Kulkas; R. Cuci; Mesin Cuci; Penjaga Kos; Laundry; R. Makan; R. Jemur; Dapur; Dispenser; Parkir Mobil; Parkir Motor; Parkir Sepeda"/>
    <x v="3"/>
    <s v="Rp1.500.000"/>
    <x v="2"/>
    <d v="1899-12-30T04:08:00"/>
    <x v="0"/>
    <m/>
    <m/>
  </r>
  <r>
    <s v="Kost Pondok Damai Tipe C Larangan Tangerang"/>
    <x v="6"/>
    <s v="Larangan"/>
    <n v="11.399999999999999"/>
    <s v="3 x 3.8 meter"/>
    <s v="Tidak termasuk listrik"/>
    <s v=""/>
    <s v="N/A"/>
    <s v="3 x 3.8 meter; Tidak termasuk listrik; AC; Kasur; TV; Lemari Baju; Kulkas; K. Mandi Dalam; Kloset Duduk; Shower; Air panas; R. Cuci; Laundry; R. Jemur; Parkir Mobil; Parkir Motor; Parkir Sepeda"/>
    <x v="11"/>
    <s v="Rp1.400.000"/>
    <x v="0"/>
    <m/>
    <x v="0"/>
    <m/>
    <m/>
  </r>
  <r>
    <s v="Kost Pondok Damai Tipe D Larangan Tangerang"/>
    <x v="6"/>
    <s v="Larangan"/>
    <n v="16"/>
    <s v="4 x 4 meter"/>
    <s v="Tidak termasuk listrik"/>
    <s v=""/>
    <s v="N/A"/>
    <s v="4 x 4 meter; Tidak termasuk listrik; AC; Kasur; TV; Meja Rias; Lemari Baju; Kulkas; Sofa; K. Mandi Dalam; Kloset Duduk; Shower; Air panas; R. Cuci; Laundry; R. Jemur; Parkir Mobil; Parkir Motor; Parkir Sepeda"/>
    <x v="23"/>
    <s v="Rp1.200.000"/>
    <x v="0"/>
    <m/>
    <x v="0"/>
    <m/>
    <m/>
  </r>
  <r>
    <s v="Kost Pondok Delima 2 Tipe A Dramaga Bogor"/>
    <x v="0"/>
    <s v="Kecamatan Dramaga"/>
    <n v="6"/>
    <s v="2 x 3 meter"/>
    <s v="Tidak termasuk listrik"/>
    <s v=""/>
    <s v="N/A"/>
    <s v="2 x 3 meter; Tidak termasuk listrik; Kasur; Meja; Lemari Baju; Bantal; Guling; Jendela; Kursi; Kloset Jongkok; K. Mandi Luar; Ember mandi; WiFi; Kulkas; R. Cuci; R. Tamu; R. Jemur; R. Santai; Dapur; Balcon; Jemuran; R. Keluarga; Parkir Motor &amp; Sepeda"/>
    <x v="177"/>
    <s v="Rp550.000"/>
    <x v="10"/>
    <d v="1899-12-30T04:05:00"/>
    <x v="2"/>
    <m/>
    <m/>
  </r>
  <r>
    <s v="Kost Pondok Delima Tipe A Dramaga Bogor"/>
    <x v="0"/>
    <s v="Dramaga"/>
    <n v="7.5"/>
    <s v="3 x 2.5 meter"/>
    <s v="Tidak termasuk listrik"/>
    <s v=""/>
    <s v="N/A"/>
    <s v="3 x 2.5 meter; Tidak termasuk listrik; Kasur; Meja; Lemari Baju; Ventilasi; Bantal; Guling; Jendela; Kursi; Kloset Jongkok; K. Mandi Luar; Ember mandi; Wastafel; Bak mandi; WiFi; Kulkas; R. Tamu; R. Jemur; R. Makan; R. Santai; Dapur; Balcon; Jemuran; Parkir Motor &amp; Sepeda"/>
    <x v="31"/>
    <s v="Rp600.000"/>
    <x v="0"/>
    <m/>
    <x v="2"/>
    <m/>
    <m/>
  </r>
  <r>
    <s v="Kost Pondok Delima Tipe B Dramaga Bogor"/>
    <x v="0"/>
    <s v="Dramaga"/>
    <n v="5"/>
    <s v="2 x 2.5 meter"/>
    <s v="Tidak termasuk listrik"/>
    <s v=""/>
    <s v="N/A"/>
    <s v="2 x 2.5 meter; Tidak termasuk listrik; Kasur; Meja; Lemari Baju; Ventilasi; Bantal; Guling; Jendela; Kursi; Kloset Jongkok; K. Mandi Luar; Ember mandi; Wastafel; Bak mandi; WiFi; Kulkas; R. Tamu; R. Jemur; R. Makan; R. Santai; Dapur; Balcon; Jemuran; Parkir Motor &amp; Sepeda"/>
    <x v="177"/>
    <s v="Rp550.000"/>
    <x v="0"/>
    <m/>
    <x v="2"/>
    <m/>
    <m/>
  </r>
  <r>
    <s v="Kost Pondok Dewa Cikarang Utara Bekasi"/>
    <x v="7"/>
    <s v="Cikarang Utara"/>
    <n v="15"/>
    <s v="3 x 5 meter"/>
    <s v="Tidak termasuk listrik"/>
    <s v=""/>
    <s v="N/A"/>
    <s v="3 x 5 meter; Tidak termasuk listrik; AC; Kasur; Meja; Lemari Baju; Ventilasi; Jendela; Bantal; Guling; K. Mandi Dalam; Kloset Jongkok; Ember mandi; WiFi; Kulkas; R. Cuci; R. Jemur; Pengurus Kos; Jemuran; Balcon; Parkir Motor; Parkir Sepeda"/>
    <x v="1"/>
    <s v="Rp1.100.000"/>
    <x v="3"/>
    <d v="1899-12-30T05:00:00"/>
    <x v="1"/>
    <m/>
    <m/>
  </r>
  <r>
    <s v="Kost Pondok Diana Cibinong Bogor"/>
    <x v="0"/>
    <s v="Cibinong"/>
    <n v="12"/>
    <s v="3 x 4 meter"/>
    <s v="Termasuk listrik (implied)"/>
    <s v=""/>
    <s v="N/A"/>
    <s v="3 x 4 meter; Termasuk listrik; Kasur; Meja; Dispenser; Lemari Baju; Kipas Angin; Bantal; Guling; Kloset Jongkok; K. Mandi Luar; Ember mandi; Shower; Bak mandi; R. Cuci; R. Tamu; Laundry; R. Jemur; R. Santai; Parkir Motor"/>
    <x v="14"/>
    <s v="Rp800.000"/>
    <x v="3"/>
    <d v="1899-12-30T05:00:00"/>
    <x v="2"/>
    <m/>
    <m/>
  </r>
  <r>
    <s v="Kost Pondok Fanay Standard Pancoran Mas Depok"/>
    <x v="1"/>
    <s v="Kecamatan Pancoran Mas"/>
    <n v="7.5"/>
    <s v="2.5 x 3 meter"/>
    <s v="Tidak termasuk listrik"/>
    <s v=""/>
    <s v="N/A"/>
    <s v="2.5 x 3 meter; Tidak termasuk listrik; AC; Kasur; Meja; Lemari Baju; Ventilasi; Bantal; Cermin; Guling; Jendela; Kursi; K. Mandi Dalam; Kloset Duduk; Shower; Air panas; WiFi; Kulkas; R. Cuci; Mesin Cuci; R. Jemur; R. Makan; Dapur; Dispenser; CCTV; Jemuran; Parkir Motor &amp; Sepeda"/>
    <x v="3"/>
    <s v="Rp1.500.000"/>
    <x v="3"/>
    <d v="1899-12-30T05:00:00"/>
    <x v="2"/>
    <m/>
    <m/>
  </r>
  <r>
    <s v="Kost Pondok Hijau Dramaga Bogor"/>
    <x v="0"/>
    <s v="Dramaga"/>
    <n v="9"/>
    <s v="3 x 3 meter"/>
    <s v="Termasuk listrik (implied)"/>
    <s v=""/>
    <s v="N/A"/>
    <s v="3 x 3 meter; Termasuk listrik; Kasur; Meja; Lemari Baju; Kloset Jongkok; K. Mandi Luar; Ember mandi; Shower; WiFi; Kulkas; Penjaga Kos; Dapur; Pengurus Kos; Parkir Motor"/>
    <x v="251"/>
    <s v="Rp560.000"/>
    <x v="0"/>
    <m/>
    <x v="2"/>
    <m/>
    <m/>
  </r>
  <r>
    <s v="Kost Pondok Iona Tipe A Ciampea Bogor"/>
    <x v="0"/>
    <s v="Ciampea"/>
    <n v="12"/>
    <s v="3 x 4 meter"/>
    <s v="Termasuk listrik (implied)"/>
    <s v=""/>
    <s v="N/A"/>
    <s v="3 x 4 meter; Termasuk listrik; Kasur; Meja; Lemari Baju; Ventilasi; Kursi; Bantal; Jendela; Kloset Jongkok; K. Mandi Luar; Ember mandi; WiFi; R. Tamu; Penjaga Kos; R. Makan; R. Jemur; R. Santai; Dapur; TV; Taman; R. Keluarga; Parkir Mobil; Parkir Motor; Parkir Sepeda"/>
    <x v="252"/>
    <s v="Rp710.000"/>
    <x v="4"/>
    <d v="1899-12-30T04:01:00"/>
    <x v="0"/>
    <m/>
    <m/>
  </r>
  <r>
    <s v="Kost Pondok Iona Tipe B Ciampea Bogor"/>
    <x v="0"/>
    <s v="Ciampea"/>
    <n v="12"/>
    <s v="3 x 4 meter"/>
    <s v="Termasuk listrik (implied)"/>
    <s v=""/>
    <s v="N/A"/>
    <s v="3 x 4 meter; Termasuk listrik; Kasur; Meja; Lemari Baju; Ventilasi; Kursi; Bantal; Jendela; K. Mandi Dalam; Kloset Jongkok; Ember mandi; WiFi; R. Tamu; Penjaga Kos; R. Makan; R. Jemur; R. Santai; Dapur; TV; Taman; R. Keluarga; Parkir Mobil; Parkir Motor; Parkir Sepeda"/>
    <x v="253"/>
    <s v="Rp820.000"/>
    <x v="24"/>
    <d v="1899-12-30T03:00:00"/>
    <x v="0"/>
    <m/>
    <m/>
  </r>
  <r>
    <s v="Kost Pondok Iona Tipe C Ciampea Bogor"/>
    <x v="0"/>
    <s v="Ciampea"/>
    <n v="21"/>
    <s v="7 x 3 meter"/>
    <s v="Termasuk listrik (implied)"/>
    <s v=""/>
    <s v="N/A"/>
    <s v="7 x 3 meter; Termasuk listrik; Kasur; Meja; Lemari Baju; Ventilasi; Kursi; Bantal; Jendela; K. Mandi Dalam; Kloset Duduk; Bak mandi; WiFi; R. Tamu; Penjaga Kos; R. Makan; R. Jemur; R. Santai; Dapur; TV; Taman; R. Keluarga; Parkir Mobil; Parkir Motor; Parkir Sepeda"/>
    <x v="245"/>
    <s v="Rp1.040.000"/>
    <x v="2"/>
    <d v="1899-12-30T04:08:00"/>
    <x v="0"/>
    <m/>
    <m/>
  </r>
  <r>
    <s v="Kost Pondok Khadijah Executive Dramaga Bogor"/>
    <x v="0"/>
    <s v="Dramaga"/>
    <n v="9"/>
    <s v="3 x 3 meter"/>
    <s v="Tidak termasuk listrik"/>
    <s v=""/>
    <s v="N/A"/>
    <s v="3 x 3 meter; Tidak termasuk listrik; AC; Kasur; Lemari Baju; Ventilasi; Bantal; Jendela; Kursi; Meja makan; K. Mandi Dalam; Kloset Duduk; Ember mandi; Shower; WiFi; Kulkas; R. Jemur; Dapur; Balcon; CCTV; Jemuran; Pengurus Kos; Rooftop; Parkir Motor &amp; Sepeda"/>
    <x v="12"/>
    <s v="Rp850.000"/>
    <x v="0"/>
    <m/>
    <x v="2"/>
    <m/>
    <m/>
  </r>
  <r>
    <s v="Kost Pondok Midini 2 Cikarang Selatan Bekasi"/>
    <x v="7"/>
    <s v="Cikarang Selatan"/>
    <n v="25.6"/>
    <s v="3.2 x 8 meter"/>
    <s v="Tidak termasuk listrik"/>
    <s v=""/>
    <s v="N/A"/>
    <s v="3.2 x 8 meter; Tidak termasuk listrik; AC; Kasur; TV; Lemari Baju; Dapur Pribadi; K. Mandi Dalam; Kloset Duduk; R. Jemur; Parkir Motor"/>
    <x v="23"/>
    <s v="Rp1.200.000"/>
    <x v="0"/>
    <m/>
    <x v="0"/>
    <m/>
    <m/>
  </r>
  <r>
    <s v="Kost Pondok Midini Tipe A Cikarang Selatan Bekasi"/>
    <x v="7"/>
    <s v="Cikarang Selatan"/>
    <n v="21"/>
    <s v="3 x 7 meter"/>
    <s v="Tidak termasuk listrik"/>
    <s v=""/>
    <s v="N/A"/>
    <s v="3 x 7 meter; Tidak termasuk listrik; AC; Kasur; TV; Lemari Baju; Bantal; Dapur Pribadi; Guling; Jendela; K. Mandi Dalam; Kloset Duduk; Jemuran; Pengurus Kos; Parkir Mobil; Parkir Motor"/>
    <x v="190"/>
    <s v="Rp1.050.000"/>
    <x v="0"/>
    <m/>
    <x v="0"/>
    <m/>
    <m/>
  </r>
  <r>
    <s v="Kost Pondok Mitra Tipe B Tanjung Priok Jakarta Utara"/>
    <x v="4"/>
    <s v="Tanjung Priok"/>
    <n v="12"/>
    <s v="3 x 4 meter"/>
    <s v="Tidak termasuk listrik"/>
    <s v=""/>
    <s v="N/A"/>
    <s v="3 x 4 meter; Tidak termasuk listrik; AC; Kasur; Lemari Baju; Ventilasi; Bantal; Guling; Jendela; K. Mandi Dalam; WiFi"/>
    <x v="1"/>
    <s v="Rp1.100.000"/>
    <x v="11"/>
    <d v="1899-12-30T03:08:00"/>
    <x v="0"/>
    <m/>
    <m/>
  </r>
  <r>
    <s v="Kost Pondok Mitra Tipe C Tanjung Priok Jakarta Utara"/>
    <x v="4"/>
    <s v="Kecamatan Tanjung Priok"/>
    <n v="18"/>
    <s v="3 x 6 meter"/>
    <s v="Tidak termasuk listrik"/>
    <s v=""/>
    <s v="N/A"/>
    <s v="3 x 6 meter; Tidak termasuk listrik; Kasur; Lemari Baju; Ventilasi; Kursi; Kipas Angin; Bantal; K. Mandi Dalam; Kloset Jongkok; Ember mandi; WiFi; R. Jemur; CCTV; Parkir Motor"/>
    <x v="1"/>
    <s v="Rp1.100.000"/>
    <x v="3"/>
    <d v="1899-12-30T05:00:00"/>
    <x v="0"/>
    <m/>
    <m/>
  </r>
  <r>
    <s v="Kost Pondok Muslimah Tipe B Gudep Jakarta Timur"/>
    <x v="8"/>
    <s v="Matraman"/>
    <n v="9"/>
    <s v="3 x 3 meter"/>
    <s v="Tidak termasuk listrik"/>
    <s v=""/>
    <s v="N/A"/>
    <s v="3 x 3 meter; Tidak termasuk listrik; Ventilasi; Kloset Duduk; R. Jemur; Dapur; Balcon"/>
    <x v="0"/>
    <s v="Rp950.000"/>
    <x v="6"/>
    <d v="1899-12-30T04:06:00"/>
    <x v="2"/>
    <m/>
    <s v="Diskon 84rb"/>
  </r>
  <r>
    <s v="Kost Pondok Nila Tipe VVIP Karawaci Tangerang"/>
    <x v="6"/>
    <s v="Karawaci"/>
    <n v="9"/>
    <s v="3 x 3 meter"/>
    <s v="Tidak termasuk listrik"/>
    <s v=""/>
    <s v="N/A"/>
    <s v="3 x 3 meter; Tidak termasuk listrik; AC; Kasur; Meja; Lemari Baju; Ventilasi; Bantal; Cermin; Guling; Jendela; Kipas Angin; Kloset Duduk; K. Mandi Luar; Ember mandi; Shower; WiFi; Kulkas; R. Cuci; Mesin Cuci; R. Tamu; R. Jemur; Dapur; CCTV; Jemuran; Pengurus Kos; Parkir Motor &amp; Sepeda"/>
    <x v="23"/>
    <s v="Rp1.200.000"/>
    <x v="0"/>
    <m/>
    <x v="2"/>
    <m/>
    <m/>
  </r>
  <r>
    <s v="Kost Pondok Raos Dramaga Bogor"/>
    <x v="0"/>
    <s v="Kecamatan Dramaga"/>
    <n v="6.75"/>
    <s v="2.5 x 2.7 meter"/>
    <s v="Tidak termasuk listrik"/>
    <s v=""/>
    <s v="N/A"/>
    <s v="2.5 x 2.7 meter; Tidak termasuk listrik; Kasur; Ventilasi; Bantal; Jendela; Kloset Duduk; Kloset Jongkok; K. Mandi Luar; Ember mandi; Shower; R. Cuci; R. Jemur; Dapur; Dispenser; Balcon; Jemuran; Parkir Motor &amp; Sepeda"/>
    <x v="29"/>
    <s v="Rp500.000"/>
    <x v="10"/>
    <d v="1899-12-30T04:05:00"/>
    <x v="2"/>
    <m/>
    <m/>
  </r>
  <r>
    <s v="Kost Pondok Rindang Tipe C Beji Depok"/>
    <x v="1"/>
    <s v="Beji"/>
    <n v="9"/>
    <s v="3 x 3 meter"/>
    <s v="Termasuk listrik (implied)"/>
    <s v=""/>
    <s v="N/A"/>
    <s v="3 x 3 meter; Termasuk listrik; AC; Kasur; Meja; Lemari Baju; Kursi; K. Mandi Dalam; Kloset Duduk; Ember mandi; Shower; Parkir Mobil; Parkir Motor; Parkir Sepeda"/>
    <x v="3"/>
    <s v="Rp1.500.000"/>
    <x v="9"/>
    <d v="1899-12-30T03:04:00"/>
    <x v="1"/>
    <m/>
    <m/>
  </r>
  <r>
    <s v="Kost Pondok Rizquna Beji Depok"/>
    <x v="1"/>
    <s v="Beji"/>
    <n v="7.5"/>
    <s v="2.5 x 3 meter"/>
    <s v="Tidak termasuk listrik"/>
    <s v=""/>
    <s v="N/A"/>
    <s v="2.5 x 3 meter; Tidak termasuk listrik; AC; Kasur; Meja; Lemari Baju; Kursi; K. Mandi Dalam; Kloset Jongkok; Shower; WiFi; Dapur; Parkir Motor; Parkir Sepeda"/>
    <x v="28"/>
    <s v="Rp1.000.000"/>
    <x v="6"/>
    <d v="1899-12-30T04:06:00"/>
    <x v="1"/>
    <m/>
    <s v="Diskon 110rb"/>
  </r>
  <r>
    <s v="Kost Pondok Salam Ciampea Bogor"/>
    <x v="0"/>
    <s v="Kecamatan Ciampea"/>
    <n v="9"/>
    <s v="3 x 3 meter"/>
    <s v="Tidak termasuk listrik"/>
    <s v=""/>
    <s v="N/A"/>
    <s v="3 x 3 meter; Tidak termasuk listrik; Jendela; K. Mandi Dalam; Kloset Jongkok; Shower; R. Tamu; R. Jemur; R. Makan; Dapur; Balcon; Jemuran; R. Keluarga; Parkir Mobil; Parkir Motor; Parkir Sepeda; Parkir Motor &amp; Sepeda"/>
    <x v="20"/>
    <s v="Rp1.250.000"/>
    <x v="0"/>
    <m/>
    <x v="0"/>
    <m/>
    <m/>
  </r>
  <r>
    <s v="Kost Pondok Sofura Beji Depok"/>
    <x v="1"/>
    <s v="Beji"/>
    <n v="12"/>
    <s v="3 x 4 meter"/>
    <s v="Termasuk listrik (implied)"/>
    <s v=""/>
    <s v="N/A"/>
    <s v="3 x 4 meter; Termasuk listrik; Kasur; Meja; Lemari Baju; Jendela; K. Mandi Dalam; Kloset Duduk; Ember mandi; Shower; WiFi; Penjaga Kos; R. Jemur; R. Santai; Jemuran; Pengurus Kos; Taman; Parkir Mobil; Parkir Motor; Parkir Sepeda"/>
    <x v="1"/>
    <s v="Rp1.100.000"/>
    <x v="6"/>
    <d v="1899-12-30T04:06:00"/>
    <x v="1"/>
    <m/>
    <s v="Diskon 90rb"/>
  </r>
  <r>
    <s v="Kost Pondok Terang Tipe A Cibodas Tangerang"/>
    <x v="6"/>
    <s v="Cibodas"/>
    <n v="18"/>
    <s v="3 x 6 meter"/>
    <s v="Tidak termasuk listrik"/>
    <s v=""/>
    <s v="N/A"/>
    <s v="3 x 6 meter; Tidak termasuk listrik; Ventilasi; K. Mandi Dalam; Kloset Jongkok; Ember mandi; R. Jemur; Parkir Motor; Parkir Sepeda"/>
    <x v="29"/>
    <s v="Rp500.000"/>
    <x v="0"/>
    <m/>
    <x v="0"/>
    <m/>
    <m/>
  </r>
  <r>
    <s v="Kost Pondok Tipe Menengah Pulo Gadung Jakarta Timur"/>
    <x v="8"/>
    <s v="Pulo Gadung"/>
    <n v="9"/>
    <s v="3 x 3 meter"/>
    <s v="Termasuk listrik (implied)"/>
    <s v=""/>
    <s v="N/A"/>
    <s v="3 x 3 meter; Termasuk listrik; Kasur; Meja; Ventilasi; Bantal; Jendela; Kipas Angin; K. Mandi Dalam; Kloset Jongkok; K. Mandi Luar; Bak mandi; WiFi; Kulkas; R. Cuci; R. Jemur; R. Santai; Jemuran; Pengurus Kos; TV; Parkir Sepeda; Parkir Motor"/>
    <x v="23"/>
    <s v="Rp1.200.000"/>
    <x v="0"/>
    <m/>
    <x v="2"/>
    <m/>
    <m/>
  </r>
  <r>
    <s v="Kost Pondok Venesia I Babakan Madang Bogor"/>
    <x v="0"/>
    <s v="Kecamatan Babakan Madang"/>
    <n v="9"/>
    <s v="3 x 3 meter"/>
    <s v="Termasuk listrik (implied)"/>
    <s v=""/>
    <s v="N/A"/>
    <s v="3 x 3 meter; Termasuk listrik; AC; Kasur; Meja; Ventilasi; Bantal; Cermin; Guling; Jendela; Kursi; K. Mandi Dalam; Kloset Duduk; Ember mandi; Shower; Air panas; WiFi; Kulkas; Mesin Cuci; R. Tamu; R. Makan; R. Santai; Dapur; Dispenser; Pengurus Kos; Rice Cooker"/>
    <x v="25"/>
    <s v="Rp1.850.000"/>
    <x v="0"/>
    <m/>
    <x v="0"/>
    <m/>
    <m/>
  </r>
  <r>
    <s v="Kost Pratama Tipe B3 Duren Sawit Jakarta Timur"/>
    <x v="8"/>
    <s v="Duren Sawit"/>
    <n v="15"/>
    <s v="2.5 x 6 meter"/>
    <s v="Tidak termasuk listrik"/>
    <s v=""/>
    <s v="N/A"/>
    <s v="2.5 x 6 meter; Tidak termasuk listrik; AC; Kasur; Meja; Lemari Baju; Ventilasi; Bantal; Jendela; Kursi; K. Mandi Dalam; Kloset Duduk; Ember mandi; WiFi; Kulkas; R. Cuci; R. Tamu; Penjaga Kos; R. Jemur; R. Makan; R. Santai; Dapur; Balcon; Parkir Motor"/>
    <x v="13"/>
    <s v="Rp1.600.000"/>
    <x v="3"/>
    <d v="1899-12-30T05:00:00"/>
    <x v="0"/>
    <m/>
    <s v="Diskon 80rb"/>
  </r>
  <r>
    <s v="Kost Pratama Tipe B3 Duren Sawit Jakarta Timur"/>
    <x v="8"/>
    <s v="Duren Sawit"/>
    <n v="15"/>
    <s v="2.5 x 6 meter"/>
    <s v="Tidak termasuk listrik"/>
    <s v=""/>
    <s v="N/A"/>
    <s v="2.5 x 6 meter; Tidak termasuk listrik; AC; Kasur; Meja; Lemari Baju; Ventilasi; Bantal; Jendela; Kursi; K. Mandi Dalam; Kloset Duduk; Ember mandi; WiFi; Kulkas; R. Cuci; R. Tamu; Penjaga Kos; R. Jemur; R. Makan; R. Santai; Dapur; Balcon; Parkir Motor"/>
    <x v="13"/>
    <s v="Rp1.600.000"/>
    <x v="8"/>
    <d v="1899-12-30T04:09:00"/>
    <x v="0"/>
    <m/>
    <s v="Diskon 80rb"/>
  </r>
  <r>
    <s v="Kost Pratama Tipe G2 Duren Sawit Jakarta Timur"/>
    <x v="8"/>
    <s v="Duren Sawit"/>
    <n v="12"/>
    <s v="3 x 4 meter"/>
    <s v="Tidak termasuk listrik"/>
    <s v=""/>
    <s v="N/A"/>
    <s v="3 x 4 meter; Tidak termasuk listrik; AC; Kasur; Meja; Lemari Baju; Ventilasi; Kursi; Bantal; Jendela; K. Mandi Dalam; Kloset Duduk; Ember mandi; WiFi; R. Cuci; Kulkas; R. Tamu; Penjaga Kos; R. Jemur; R. Makan; R. Santai; Dapur; Balcon; Parkir Motor"/>
    <x v="18"/>
    <s v="Rp1.300.000"/>
    <x v="6"/>
    <d v="1899-12-30T04:06:00"/>
    <x v="2"/>
    <m/>
    <m/>
  </r>
  <r>
    <s v="Kost Premier Cengkareng Jakarta Barat"/>
    <x v="3"/>
    <s v="Cengkareng"/>
    <n v="16"/>
    <s v="4 x 4 meter"/>
    <s v="Tidak termasuk listrik"/>
    <s v=""/>
    <s v="N/A"/>
    <s v="4 x 4 meter; Tidak termasuk listrik; AC; Kasur; Meja; Dispenser; TV; Meja Rias; Lemari Baju; Kulkas; Ventilasi; Kursi; K. Mandi Dalam; Kloset Duduk; Wastafel; Ember mandi; Shower; Air panas; WiFi; R. Cuci; R. Tamu; Penjaga Kos; R. Makan; R. Jemur; R. Santai; Dapur; Parkir Mobil; Parkir Motor; Parkir Sepeda"/>
    <x v="176"/>
    <s v="Rp2.300.000"/>
    <x v="3"/>
    <d v="1899-12-30T05:00:00"/>
    <x v="0"/>
    <m/>
    <m/>
  </r>
  <r>
    <s v="Kost Premium Dekat UI Hypocrates Gallery Tipe A Beji Depok"/>
    <x v="1"/>
    <s v="Beji"/>
    <n v="12"/>
    <s v="3 x 4 meter"/>
    <s v="Tidak termasuk listrik"/>
    <s v=""/>
    <s v="N/A"/>
    <s v="3 x 4 meter; Tidak termasuk listrik; AC; Kasur; Meja; Lemari Baju; Jendela; Cermin; Wastafel; K. Mandi Dalam; Kloset Duduk; Shower; Air panas; WiFi; Kulkas; R. Tamu; Penjaga Kos; R. Makan; Dapur; CCTV; Pengurus Kos; TV"/>
    <x v="176"/>
    <s v="Rp2.300.000"/>
    <x v="3"/>
    <d v="1899-12-30T05:00:00"/>
    <x v="2"/>
    <m/>
    <s v="Diskon 220rb"/>
  </r>
  <r>
    <s v="Kost Premium Gading Putih Tipe 1 Kelapa Gading Jakarta Utara"/>
    <x v="4"/>
    <s v="Kelapa Gading"/>
    <n v="11.61"/>
    <s v="2.7 x 4.3 meter"/>
    <s v="Tidak termasuk listrik"/>
    <s v=""/>
    <s v="N/A"/>
    <s v="2.7 x 4.3 meter; Tidak termasuk listrik; AC; Kasur; Meja; Lemari Baju; Ventilasi; Kursi; Cleaning service; Bantal; Cermin; Jendela; K. Mandi Dalam; Kloset Duduk; Wastafel; Shower; Air panas; R. Cuci; Kulkas; R. Tamu; Mesin Cuci; Penjaga Kos; Laundry; R. Jemur; R. Santai; Balcon; CCTV; Parkir Motor; Parkir Sepeda"/>
    <x v="26"/>
    <s v="Rp2.100.000"/>
    <x v="3"/>
    <d v="1899-12-30T05:00:00"/>
    <x v="0"/>
    <m/>
    <s v="Diskon 168rb"/>
  </r>
  <r>
    <s v="Kost Premium Gading Putih Tipe 2 Kelapa Gading Jakarta Utara"/>
    <x v="4"/>
    <s v="Kelapa Gading"/>
    <n v="11.61"/>
    <s v="2.7 x 4.3 meter"/>
    <s v="Tidak termasuk listrik"/>
    <s v=""/>
    <s v="N/A"/>
    <s v="2.7 x 4.3 meter; Tidak termasuk listrik; AC; Kasur; Meja; Lemari Baju; Ventilasi; Kursi; Wastafel; Cleaning service; Bantal; Cermin; K. Mandi Dalam; Kloset Duduk; Shower; Air panas; R. Cuci; Kulkas; R. Tamu; Mesin Cuci; Penjaga Kos; Laundry; R. Jemur; R. Santai; Dapur; Balcon; Parkir Motor; Parkir Sepeda"/>
    <x v="33"/>
    <s v="Rp2.400.000"/>
    <x v="3"/>
    <d v="1899-12-30T05:00:00"/>
    <x v="0"/>
    <m/>
    <m/>
  </r>
  <r>
    <s v="Kost Puan Kelapa Gading Jakarta Utara"/>
    <x v="4"/>
    <s v="Kecamatan Kelapa Gading"/>
    <n v="12"/>
    <s v="3 x 4 meter"/>
    <s v="Termasuk listrik (implied)"/>
    <s v=""/>
    <s v="N/A"/>
    <s v="3 x 4 meter; Termasuk listrik; AC; Kasur; Dispenser; Lemari Baju; Kulkas; Bantal; Cermin; Jendela; Kursi; Cleaning service; Kloset Duduk; K. Mandi Luar; Wastafel; Shower; Air panas; WiFi; R. Cuci; Laundry; Mesin Cuci; Penjaga Kos; Dapur; Jemuran; Jual Makanan; Parkir Mobil; Parkir Sepeda; Parkir Motor; Parkir Motor &amp; Sepeda"/>
    <x v="89"/>
    <s v="Rp1.900.000"/>
    <x v="10"/>
    <d v="1899-12-30T04:05:00"/>
    <x v="0"/>
    <m/>
    <s v="Diskon 168rb"/>
  </r>
  <r>
    <s v="Kost Puchay 2 Cikarang Utara Bekasi"/>
    <x v="7"/>
    <s v="Cikarang Utara"/>
    <n v="10.5"/>
    <s v="3 x 3.5 meter"/>
    <s v="Tidak termasuk listrik"/>
    <s v=""/>
    <s v="N/A"/>
    <s v="3 x 3.5 meter; Tidak termasuk listrik; AC; Kasur; Meja; TV; Lemari Baju; Bantal; Cermin; Cleaning service; Jendela; Kursi; K. Mandi Dalam; Kloset Duduk; Shower; WiFi; Kulkas; R. Cuci; Laundry; R. Tamu; R. Jemur; R. Santai; Dapur; Balcon; CCTV; Parkir Mobil; Parkir Motor; Parkir Sepeda"/>
    <x v="18"/>
    <s v="Rp1.300.000"/>
    <x v="3"/>
    <d v="1899-12-30T05:00:00"/>
    <x v="0"/>
    <m/>
    <m/>
  </r>
  <r>
    <s v="Kost Pulo Asem Utara 3 Standard Pulo Gadung Jakarta Timur"/>
    <x v="8"/>
    <s v="Kecamatan Pulo Gadung"/>
    <n v="9"/>
    <s v="3 x 3 meter"/>
    <s v="Termasuk listrik (implied)"/>
    <s v=""/>
    <s v="N/A"/>
    <s v="3 x 3 meter; Termasuk listrik; AC; Kasur; Meja Rias; Lemari Baju; Bantal; Kipas Angin; Jendela; Kloset Duduk; Kloset Jongkok; Ember mandi; Bak mandi; WiFi; Kulkas; R. Cuci; R. Tamu; R. Jemur; R. Makan; Dapur; CCTV; Balcon; Jemuran; Parkir Motor; Parkir Motor &amp; Sepeda"/>
    <x v="20"/>
    <s v="Rp1.250.000"/>
    <x v="2"/>
    <d v="1899-12-30T04:08:00"/>
    <x v="2"/>
    <m/>
    <m/>
  </r>
  <r>
    <s v="Kost Pundara Cikarang Selatan Bekasi"/>
    <x v="7"/>
    <s v="Cikarang Selatan"/>
    <n v="13.5"/>
    <s v="3 x 4.5 meter"/>
    <s v="Termasuk listrik (implied)"/>
    <s v=""/>
    <s v="N/A"/>
    <s v="3 x 4.5 meter; Termasuk listrik; Kasur; Lemari Baju; Ventilasi; Bantal; Cermin; Guling; Jendela; Kipas Angin; K. Mandi Dalam; Kloset Duduk; Kloset Jongkok; Ember mandi; WiFi; Penjaga Kos; R. Jemur; R. Santai; Taman; Pengurus Kos; Jemuran; Parkir Mobil; Parkir Motor &amp; Sepeda"/>
    <x v="0"/>
    <s v="Rp950.000"/>
    <x v="3"/>
    <d v="1899-12-30T05:00:00"/>
    <x v="0"/>
    <m/>
    <m/>
  </r>
  <r>
    <s v="Kost Puri Asri Executive Limo Depok"/>
    <x v="1"/>
    <s v="Limo"/>
    <n v="9"/>
    <s v="3 x 3 meter"/>
    <s v="Tidak termasuk listrik"/>
    <s v=""/>
    <s v="N/A"/>
    <s v="3 x 3 meter; Tidak termasuk listrik; AC; Meja; Lemari Baju; Kursi; K. Mandi Dalam; Kloset Duduk; Ember mandi; Shower; R. Tamu; R. Jemur; Dapur; Dispenser; Balcon; Parkir Motor"/>
    <x v="18"/>
    <s v="Rp1.300.000"/>
    <x v="0"/>
    <m/>
    <x v="2"/>
    <m/>
    <m/>
  </r>
  <r>
    <s v="Kost Puri Chayankoe Cikarang Barat Bekasi"/>
    <x v="7"/>
    <s v="Cikarang Barat"/>
    <n v="12"/>
    <s v="3 x 4 meter"/>
    <s v="Tidak termasuk listrik"/>
    <s v=""/>
    <s v="N/A"/>
    <s v="3 x 4 meter; Tidak termasuk listrik; AC; Kasur; Lemari Baju; TV Kabel; K. Mandi Dalam; Kloset Duduk; Shower; WiFi; Laundry; Dapur; Parkir Mobil; Parkir Motor"/>
    <x v="18"/>
    <s v="Rp1.300.000"/>
    <x v="10"/>
    <d v="1899-12-30T04:05:00"/>
    <x v="0"/>
    <m/>
    <m/>
  </r>
  <r>
    <s v="Kost Puri Elok Cikarang Pusat Bekasi"/>
    <x v="7"/>
    <s v="Cikarang Pusat"/>
    <n v="12"/>
    <s v="3 x 4 meter"/>
    <s v="Tidak termasuk listrik"/>
    <s v=""/>
    <s v="N/A"/>
    <s v="3 x 4 meter; Tidak termasuk listrik; AC; Kasur; Meja; Lemari Baju; Ventilasi; Bantal; Guling; Jendela; Kursi; K. Mandi Dalam; Kloset Duduk; Shower"/>
    <x v="3"/>
    <s v="Rp1.500.000"/>
    <x v="2"/>
    <d v="1899-12-30T04:08:00"/>
    <x v="0"/>
    <m/>
    <m/>
  </r>
  <r>
    <s v="Kost Puri Elok Jababeka Cikarang Pusat Bekasi"/>
    <x v="7"/>
    <s v="Cikarang Pusat"/>
    <n v="12"/>
    <s v="3 x 4 meter"/>
    <s v="Tidak termasuk listrik"/>
    <s v=""/>
    <s v="N/A"/>
    <s v="3 x 4 meter; Tidak termasuk listrik; AC; Kasur; Meja; Lemari Baju; Ventilasi; Bantal; Guling; Jendela; Kursi; K. Mandi Dalam; Kloset Duduk; Shower; WiFi; Kulkas; R. Tamu; R. Jemur; Dapur; Dispenser; CCTV; Jemuran; TV; K. Mandi Luar; Parkir Mobil; Parkir Motor; Parkir Sepeda"/>
    <x v="3"/>
    <s v="Rp1.500.000"/>
    <x v="2"/>
    <d v="1899-12-30T04:08:00"/>
    <x v="0"/>
    <m/>
    <m/>
  </r>
  <r>
    <s v="Kost Puri G Hara Jatinegara Jakarta Timur"/>
    <x v="8"/>
    <s v="Jatinegara"/>
    <n v="6"/>
    <s v="2 x 3 meter"/>
    <s v="Termasuk listrik (implied)"/>
    <s v=""/>
    <s v="N/A"/>
    <s v="2 x 3 meter; Termasuk listrik; Kasur; Meja; Lemari Baju; Ventilasi; Bantal; Guling; Jendela; Kursi; K. Mandi Dalam; Kloset Duduk; Ember mandi; Shower; WiFi; Penjaga Kos; R. Jemur; R. Santai; Dapur; Dispenser; Balcon; CCTV; Jemuran; Parkir Motor; Parkir Sepeda"/>
    <x v="25"/>
    <s v="Rp1.850.000"/>
    <x v="3"/>
    <d v="1899-12-30T05:00:00"/>
    <x v="1"/>
    <m/>
    <m/>
  </r>
  <r>
    <s v="Kost Puri Lebak Cimanggis Depok"/>
    <x v="1"/>
    <s v="Cimanggis"/>
    <n v="12"/>
    <s v="3 x 4 meter"/>
    <s v="Termasuk listrik (implied)"/>
    <s v=""/>
    <s v="N/A"/>
    <s v="3 x 4 meter; Termasuk listrik; Kasur; Meja; Lemari Baju; Ventilasi; Kursi; Jendela; K. Mandi Dalam; Kloset Duduk; Ember mandi; WiFi; R. Cuci; Kulkas; R. Tamu; Mesin Cuci; Penjaga Kos; Laundry; R. Jemur; Mushola; R. Santai; Parkir Motor; Parkir Sepeda"/>
    <x v="99"/>
    <s v="Rp900.000"/>
    <x v="6"/>
    <d v="1899-12-30T04:06:00"/>
    <x v="1"/>
    <m/>
    <s v="Diskon 90rb"/>
  </r>
  <r>
    <s v="Kost Puri Marissa Ciputat Tangerang Selatan"/>
    <x v="2"/>
    <s v="Ciputat"/>
    <n v="12"/>
    <s v="3 x 4 meter"/>
    <s v="Termasuk listrik (implied)"/>
    <s v=""/>
    <s v="N/A"/>
    <s v="3 x 4 meter; Termasuk listrik; AC; Kasur; Meja; TV; Lemari Baju; Kulkas; Wastafel; Sofa; Bantal; Cermin; K. Mandi Dalam; Kloset Duduk; Ember mandi; Shower; WiFi; Jemuran; Parkir Mobil; Parkir Motor"/>
    <x v="170"/>
    <s v="Rp2.250.000"/>
    <x v="3"/>
    <d v="1899-12-30T05:00:00"/>
    <x v="0"/>
    <m/>
    <m/>
  </r>
  <r>
    <s v="Kost Puri Yosefa 2 Tipe A Cikarang Utara Bekasi"/>
    <x v="7"/>
    <s v="Cikarang Utara"/>
    <n v="12"/>
    <s v="3 x 4 meter"/>
    <s v="Tidak termasuk listrik"/>
    <s v=""/>
    <s v="N/A"/>
    <s v="3 x 4 meter; Tidak termasuk listrik; AC; Kasur; Meja; Lemari Baju; Ventilasi; Kursi; Cleaning service; Bantal; Cermin; Guling; K. Mandi Dalam; Kloset Duduk; Ember mandi; Shower; WiFi; Penjaga Kos; Pengurus Kos; Jemuran; Parkir Motor; Parkir Sepeda"/>
    <x v="23"/>
    <s v="Rp1.200.000"/>
    <x v="6"/>
    <d v="1899-12-30T04:06:00"/>
    <x v="0"/>
    <m/>
    <m/>
  </r>
  <r>
    <s v="Kost Puri Yosefa 3 Cikarang Selatan Bekasi"/>
    <x v="7"/>
    <s v="Cikarang Selatan"/>
    <n v="12"/>
    <s v="3 x 4 meter"/>
    <s v="Tidak termasuk listrik"/>
    <s v=""/>
    <s v="N/A"/>
    <s v="3 x 4 meter; Tidak termasuk listrik; AC; Kasur; Lemari Baju; Ventilasi; Bantal; Cermin; Jendela; K. Mandi Dalam; Kloset Jongkok; Ember mandi; WiFi; Penjaga Kos; R. Santai; Dapur; Pengurus Kos; Jemuran; Balcon; Parkir Motor"/>
    <x v="23"/>
    <s v="Rp1.200.000"/>
    <x v="3"/>
    <d v="1899-12-30T05:00:00"/>
    <x v="0"/>
    <m/>
    <m/>
  </r>
  <r>
    <s v="Kost Purnama Resort Nirmala Tipe B Cengkareng Jakarta Barat"/>
    <x v="3"/>
    <s v="Kecamatan Cengkareng"/>
    <n v="9"/>
    <s v="3 x 3 meter"/>
    <s v="Tidak termasuk listrik"/>
    <s v=""/>
    <s v="N/A"/>
    <s v="3 x 3 meter; Tidak termasuk listrik; AC; Kasur; Meja; Meja Rias; Lemari Baju; Ventilasi; Bantal; Cermin; Guling; Jendela; K. Mandi Dalam; Kloset Duduk; Shower; WiFi; R. Santai; Dapur; Dispenser; Gazebo; Joglo; Parkir Motor; Parkir Sepeda"/>
    <x v="3"/>
    <s v="Rp1.500.000"/>
    <x v="6"/>
    <d v="1899-12-30T04:06:00"/>
    <x v="0"/>
    <m/>
    <m/>
  </r>
  <r>
    <s v="Kost Purnama Resort Palem Kalideres Jakarta Barat"/>
    <x v="3"/>
    <s v="Kecamatan Kalideres"/>
    <n v="9"/>
    <s v="3 x 3 meter"/>
    <s v="Tidak termasuk listrik"/>
    <s v=""/>
    <s v="N/A"/>
    <s v="3 x 3 meter; Tidak termasuk listrik; AC; Kasur; Meja; Meja Rias; Lemari Baju; Ventilasi; Jendela; Bantal; Cermin; Guling; K. Mandi Dalam; Kloset Jongkok; WiFi; Penjaga Kos; Jemuran; CCTV; Pengurus Kos; Taman; Parkir Motor; Parkir Sepeda"/>
    <x v="11"/>
    <s v="Rp1.400.000"/>
    <x v="13"/>
    <d v="1899-12-30T04:03:00"/>
    <x v="0"/>
    <m/>
    <m/>
  </r>
  <r>
    <s v="Kost Puspa Residence 1 Cikarang Utara Bekasi"/>
    <x v="7"/>
    <s v="Cikarang Utara"/>
    <n v="12"/>
    <s v="3 x 4 meter"/>
    <s v="Tidak termasuk listrik"/>
    <s v=""/>
    <s v="N/A"/>
    <s v="3 x 4 meter; Tidak termasuk listrik; AC; Kasur; Meja Rias; Lemari Baju; Kursi; Cleaning service; Bantal; Cermin; Guling; Jendela; K. Mandi Dalam; Kloset Duduk; Kloset Jongkok; K. Mandi Luar; Wastafel; Ember mandi; Shower; WiFi; Kulkas; R. Tamu; R. Makan; R. Jemur; R. Santai; Dapur; Taman; CCTV; Jemuran; Parkir Mobil; Parkir Motor; Parkir Sepeda"/>
    <x v="18"/>
    <s v="Rp1.300.000"/>
    <x v="0"/>
    <m/>
    <x v="2"/>
    <m/>
    <m/>
  </r>
  <r>
    <s v="Kost Puspa Residence 2 Tipe B Cikarang Utara Bekasi"/>
    <x v="7"/>
    <s v="Cikarang Utara"/>
    <n v="12"/>
    <s v="3 x 4 meter"/>
    <s v="Tidak termasuk listrik"/>
    <s v=""/>
    <s v="N/A"/>
    <s v="3 x 4 meter; Tidak termasuk listrik; AC; Kasur; Meja; Lemari Baju; Kursi; Cleaning service; Bantal; Cermin; Guling; K. Mandi Dalam; Kloset Duduk; Wastafel; Ember mandi; Shower; WiFi; Kulkas; R. Tamu; R. Makan; R. Jemur; R. Santai; Dapur; Taman; CCTV; Jemuran; Parkir Mobil; Parkir Motor; Parkir Sepeda"/>
    <x v="3"/>
    <s v="Rp1.500.000"/>
    <x v="0"/>
    <m/>
    <x v="2"/>
    <m/>
    <m/>
  </r>
  <r>
    <s v="Kost Putih 02 Cikarang Utara Bekasi"/>
    <x v="7"/>
    <s v="Cikarang Utara"/>
    <n v="12"/>
    <s v="3 x 4 meter"/>
    <s v="Tidak termasuk listrik"/>
    <s v=""/>
    <s v="N/A"/>
    <s v="3 x 4 meter; Tidak termasuk listrik; AC; Kasur; Lemari Baju; Bantal; Cermin; Guling; Jendela; K. Mandi Dalam; Kloset Jongkok; Shower; WiFi; Penjaga Kos; Dapur; Balcon; CCTV; Jemuran; Pengurus Kos; Rooftop; Parkir Motor; Parkir Sepeda; Parkir Motor &amp; Sepeda"/>
    <x v="99"/>
    <s v="Rp900.000"/>
    <x v="0"/>
    <m/>
    <x v="0"/>
    <m/>
    <m/>
  </r>
  <r>
    <s v="Kost Putih Tipe A Ciputat Timur Tangerang Selatan"/>
    <x v="2"/>
    <s v="Kecamatan Ciputat Timur"/>
    <n v="12"/>
    <s v="3 x 4 meter"/>
    <s v="Tidak termasuk listrik"/>
    <s v=""/>
    <s v="N/A"/>
    <s v="3 x 4 meter; Tidak termasuk listrik; Kasur; Lemari Baju; Bantal; Cermin; Jendela; K. Mandi Dalam; Kloset Jongkok; Shower; WiFi; Jemuran"/>
    <x v="23"/>
    <s v="Rp1.200.000"/>
    <x v="3"/>
    <d v="1899-12-30T05:00:00"/>
    <x v="2"/>
    <m/>
    <m/>
  </r>
  <r>
    <s v="Kost Qing House KG Executive Kelapa Gading Jakarta Utara"/>
    <x v="4"/>
    <s v="Kecamatan Kelapa Gading"/>
    <n v="12"/>
    <s v="3 x 4 meter"/>
    <s v="Tidak termasuk listrik"/>
    <s v=""/>
    <s v="N/A"/>
    <s v="3 x 4 meter; Tidak termasuk listrik; AC; Kasur; Dispenser; Meja; Meja Rias; TV; Kulkas; Lemari Baju; Ventilasi; Bantal; Kloset Duduk; K. Mandi Luar; Wastafel; Shower; WiFi; R. Cuci; Mesin Cuci; Penjaga Kos; R. Tamu; R. Jemur; R. Makan; R. Santai; Dapur; Parkir Mobil; Parkir Motor; Parkir Sepeda; Parkir Motor &amp; Sepeda"/>
    <x v="27"/>
    <s v="Rp2.000.000"/>
    <x v="0"/>
    <m/>
    <x v="2"/>
    <m/>
    <m/>
  </r>
  <r>
    <s v="Kost Qinoy Johar Baru Jakarta Pusat"/>
    <x v="9"/>
    <s v="Kecamatan Johar Baru"/>
    <n v="12"/>
    <s v="3 x 4 meter"/>
    <s v="Termasuk listrik (implied)"/>
    <s v=""/>
    <s v="N/A"/>
    <s v="3 x 4 meter; Termasuk listrik; Kasur; Lemari Baju; Bantal; Guling; Jendela; Kipas Angin; K. Mandi Dalam; Kloset Jongkok; K. Mandi Luar; Ember mandi; Wastafel; WiFi; Kulkas; Mesin Cuci; Penjaga Kos; Dapur; Balcon; CCTV; Jemuran; Rice Cooker; Parkir Motor"/>
    <x v="28"/>
    <s v="Rp1.000.000"/>
    <x v="0"/>
    <m/>
    <x v="0"/>
    <m/>
    <m/>
  </r>
  <r>
    <s v="Kost Qosanque Cakung Jakarta Timur"/>
    <x v="8"/>
    <s v="Cakung"/>
    <n v="5"/>
    <s v="2 x 2.5 meter"/>
    <s v="Termasuk listrik (implied)"/>
    <s v=""/>
    <s v="N/A"/>
    <s v="2 x 2.5 meter; Termasuk listrik; Kasur; Meja; TV; Lemari Baju; Ventilasi; Jendela; Kipas Angin; Kursi; Bantal; Kloset Jongkok; K. Mandi Luar; Ember mandi; Shower; WiFi; R. Tamu; R. Jemur; R. Santai; Dapur; CCTV; Jemuran; Pengurus Kos; Parkir Motor"/>
    <x v="0"/>
    <s v="Rp950.000"/>
    <x v="0"/>
    <m/>
    <x v="1"/>
    <m/>
    <m/>
  </r>
  <r>
    <s v="Kost Qta Tipe A Cikarang Selatan Bekasi"/>
    <x v="7"/>
    <s v="Cikarang Selatan"/>
    <n v="9"/>
    <s v="3 x 3 meter"/>
    <s v="Termasuk listrik (implied)"/>
    <s v=""/>
    <s v="N/A"/>
    <s v="3 x 3 meter; Termasuk listrik; AC; Kasur; Meja; Lemari Baju; Ventilasi; Bantal; Jendela; Kipas Angin; K. Mandi Dalam; Kloset Duduk; Kloset Jongkok; K. Mandi Luar; Ember mandi; Shower; WiFi; Kulkas; R. Jemur; Dapur; Jemuran; Parkir Mobil; Parkir Motor; Parkir Sepeda; Parkir Motor &amp; Sepeda"/>
    <x v="18"/>
    <s v="Rp1.300.000"/>
    <x v="0"/>
    <m/>
    <x v="2"/>
    <m/>
    <m/>
  </r>
  <r>
    <s v="Kost Queen Sunter Tipe A Jakarta Utara"/>
    <x v="4"/>
    <s v="Tanjung Priok"/>
    <n v="7.5"/>
    <s v="2.5 x 3 meter"/>
    <s v="Tidak termasuk listrik"/>
    <s v=""/>
    <s v="N/A"/>
    <s v="2.5 x 3 meter; Tidak termasuk listrik; AC; Kasur; Meja; TV; Meja Rias; Lemari Baju; Kursi; Cermin; Bantal; Guling; K. Mandi Dalam; Kloset Duduk; Wastafel; Shower; Bak mandi; Air panas; WiFi; Penjaga Kos; Parkir Mobil; Parkir Motor"/>
    <x v="22"/>
    <s v="Rp2.500.000"/>
    <x v="3"/>
    <d v="1899-12-30T05:00:00"/>
    <x v="0"/>
    <m/>
    <m/>
  </r>
  <r>
    <s v="Kost Queen Sunter Tipe D Jakarta Utara"/>
    <x v="4"/>
    <s v="Tanjung Priok"/>
    <e v="#VALUE!"/>
    <s v="N/A"/>
    <s v="N/A"/>
    <s v=""/>
    <s v="N/A"/>
    <s v="WiFi; Penjaga Kos"/>
    <x v="27"/>
    <s v="Rp2.000.000"/>
    <x v="0"/>
    <m/>
    <x v="0"/>
    <m/>
    <m/>
  </r>
  <r>
    <s v="Kost R 15 Tipe A Cempaka Putih Jakarta Pusat"/>
    <x v="9"/>
    <s v="Cempaka Putih"/>
    <n v="9"/>
    <s v="3 x 3 meter"/>
    <s v="Termasuk listrik (implied)"/>
    <s v=""/>
    <s v="N/A"/>
    <s v="3 x 3 meter; Termasuk listrik; Kasur; Lemari Baju; Bantal; Guling; Jendela; Kipas Angin; K. Mandi Dalam; Kloset Duduk; Ember mandi; Shower; WiFi; R. Jemur; Balcon; Jemuran; Pengurus Kos; Parkir Motor"/>
    <x v="11"/>
    <s v="Rp1.400.000"/>
    <x v="10"/>
    <d v="1899-12-30T04:05:00"/>
    <x v="0"/>
    <m/>
    <m/>
  </r>
  <r>
    <s v="Kost R Serpong Tangerang Selatan"/>
    <x v="2"/>
    <s v="Kecamatan Serpong"/>
    <n v="9"/>
    <s v="3 x 3 meter"/>
    <s v="Tidak termasuk listrik"/>
    <s v=""/>
    <s v="N/A"/>
    <s v="3 x 3 meter; Tidak termasuk listrik; AC; Kasur; Meja; Lemari Baju; Bantal; Cermin; Guling; K. Mandi Dalam; Kloset Duduk; WiFi; Laundry; R. Tamu; R. Jemur; Dapur; CCTV; Jemuran; Pengurus Kos; Parkir Motor; Parkir Sepeda; Parkir Motor &amp; Sepeda"/>
    <x v="23"/>
    <s v="Rp1.200.000"/>
    <x v="2"/>
    <d v="1899-12-30T04:08:00"/>
    <x v="2"/>
    <m/>
    <m/>
  </r>
  <r>
    <s v="Kost Raden Tipe A Pulo Gadung Jakarta Timur"/>
    <x v="8"/>
    <s v="Pulo Gadung"/>
    <n v="13.75"/>
    <s v="2.5 x 5.5 meter"/>
    <s v="Tidak termasuk listrik"/>
    <s v=""/>
    <s v="N/A"/>
    <s v="2.5 x 5.5 meter; Tidak termasuk listrik; Kasur; Bantal; Dapur Pribadi; K. Mandi Dalam; Kloset Jongkok; Ember mandi; WiFi; Dapur; Jemuran; Parkir Motor"/>
    <x v="23"/>
    <s v="Rp1.200.000"/>
    <x v="12"/>
    <d v="1899-12-30T04:04:00"/>
    <x v="1"/>
    <m/>
    <s v="Diskon 106rb"/>
  </r>
  <r>
    <s v="Kost Rafa Rafi 2 Tipe B Cibinong Bogor"/>
    <x v="0"/>
    <s v="Cibinong"/>
    <n v="15"/>
    <s v="3 x 5 meter"/>
    <s v="Tidak termasuk listrik"/>
    <s v=""/>
    <s v="N/A"/>
    <s v="3 x 5 meter; Tidak termasuk listrik; AC; Kasur; Meja; Kulkas; Lemari Baju; Bantal; Cermin; Guling; Jendela; Kursi; K. Mandi Dalam; Kloset Duduk; Shower; Air panas; WiFi; R. Cuci; Penjaga Kos; R. Tamu; R. Jemur; R. Santai; Dapur; Balcon; CCTV; Parkir Mobil; Parkir Motor; Parkir Sepeda"/>
    <x v="163"/>
    <s v="Rp1.700.000"/>
    <x v="0"/>
    <m/>
    <x v="0"/>
    <m/>
    <m/>
  </r>
  <r>
    <s v="Kost Rafaelina Tipe A Pamulang Tangerang Selatan"/>
    <x v="2"/>
    <s v="Pamulang"/>
    <n v="12"/>
    <s v="3 x 4 meter"/>
    <s v="Termasuk listrik (implied)"/>
    <s v=""/>
    <s v="N/A"/>
    <s v="3 x 4 meter; Termasuk listrik; AC; Kasur; Meja; Lemari Baju; Ventilasi; Bantal; Cermin; Cleaning service; Guling; Jendela; K. Mandi Dalam; Kloset Duduk; Ember mandi; Wastafel; Shower; Air panas; WiFi; R. Jemur; Dapur; CCTV; Jemuran; Taman; Parkir Motor"/>
    <x v="13"/>
    <s v="Rp1.600.000"/>
    <x v="0"/>
    <m/>
    <x v="2"/>
    <m/>
    <m/>
  </r>
  <r>
    <s v="Kost Rafidah Bilqis Tipe A Kramatjati Jakarta Timur"/>
    <x v="8"/>
    <s v="Kramat Jati"/>
    <n v="12"/>
    <s v="3 x 4 meter"/>
    <s v="Termasuk listrik (implied)"/>
    <s v=""/>
    <s v="N/A"/>
    <s v="3 x 4 meter; Termasuk listrik; AC; Kasur; Lemari Baju; Bantal; Cermin; Guling; Jendela; K. Mandi Dalam; Kloset Jongkok; Ember mandi; WiFi; R. Jemur; Balcon; Jemuran; CCTV; Parkir Motor; Parkir Sepeda; Parkir Motor &amp; Sepeda"/>
    <x v="19"/>
    <s v="Rp1.800.000"/>
    <x v="5"/>
    <d v="1899-12-30T04:00:00"/>
    <x v="0"/>
    <m/>
    <m/>
  </r>
  <r>
    <s v="Kost Rafka 1 Limo Depok"/>
    <x v="1"/>
    <s v="Kecamatan Limo"/>
    <n v="12"/>
    <s v="3 x 4 meter"/>
    <s v="Tidak termasuk listrik"/>
    <s v=""/>
    <s v="N/A"/>
    <s v="3 x 4 meter; Tidak termasuk listrik; AC; Kasur; Lemari Baju; Ventilasi; Bantal; Dapur Pribadi; Guling; Jendela; Wastafel; K. Mandi Dalam; Kloset Duduk; Shower; WiFi; CCTV; Parkir Motor; Parkir Sepeda; Parkir Motor &amp; Sepeda"/>
    <x v="18"/>
    <s v="Rp1.300.000"/>
    <x v="0"/>
    <m/>
    <x v="2"/>
    <m/>
    <m/>
  </r>
  <r>
    <s v="Kost Rainbow Tanjung Priok Jakarta Utara"/>
    <x v="4"/>
    <s v="Tanjung Priok"/>
    <n v="12"/>
    <s v="3 x 4 meter"/>
    <s v="Tidak termasuk listrik"/>
    <s v=""/>
    <s v="N/A"/>
    <s v="3 x 4 meter; Tidak termasuk listrik; AC; Kasur; TV; Kulkas; Lemari Baju; Ventilasi; Bantal; Guling; Jendela; Kursi; Kloset Duduk; K. Mandi Luar; Shower; WiFi; R. Cuci; Penjaga Kos; R. Tamu; R. Jemur; R. Makan; R. Santai; Dapur; CCTV; Parkir Mobil; Parkir Motor; Parkir Sepeda"/>
    <x v="27"/>
    <s v="Rp2.000.000"/>
    <x v="6"/>
    <d v="1899-12-30T04:06:00"/>
    <x v="0"/>
    <m/>
    <s v="Diskon 100rb"/>
  </r>
  <r>
    <s v="Kost Raj Tio Tipe A Tanjung Priok Jakarta Utara"/>
    <x v="4"/>
    <s v="Tanjung Priok"/>
    <n v="9"/>
    <s v="3 x 3 meter"/>
    <s v="Termasuk listrik (implied)"/>
    <s v=""/>
    <s v="N/A"/>
    <s v="3 x 3 meter; Termasuk listrik; Kasur; Meja; TV; Lemari Baju; Ventilasi; Bantal; Cermin; Guling; Jendela; Kipas Angin; K. Mandi Dalam; Kloset Jongkok; K. Mandi Luar; Ember mandi; Shower; WiFi; R. Cuci; R. Tamu; R. Jemur; R. Santai; Dapur; Balcon; CCTV; R. Keluarga; Parkir Motor; Parkir Sepeda"/>
    <x v="17"/>
    <s v="Rp650.000"/>
    <x v="0"/>
    <m/>
    <x v="0"/>
    <m/>
    <m/>
  </r>
  <r>
    <s v="Kost Rani Tipe A Pondok Aren Tangerang Selatan"/>
    <x v="2"/>
    <s v="Kecamatan Pondok Aren"/>
    <n v="9"/>
    <s v="3 x 3 meter"/>
    <s v="Tidak termasuk listrik"/>
    <s v=""/>
    <s v="N/A"/>
    <s v="3 x 3 meter; Tidak termasuk listrik; AC; Kasur; Ventilasi; K. Mandi Dalam; Kloset Duduk; Ember mandi; Shower; Kulkas; R. Jemur; Dapur; Balcon; CCTV; Jemuran; Jual Makanan; Pengurus Kos; Taman; Parkir Motor"/>
    <x v="1"/>
    <s v="Rp1.100.000"/>
    <x v="2"/>
    <d v="1899-12-30T04:08:00"/>
    <x v="2"/>
    <m/>
    <m/>
  </r>
  <r>
    <s v="Kost Rantau Tipe A Pinang Tangerang"/>
    <x v="6"/>
    <s v="Pinang"/>
    <n v="9"/>
    <s v="3 x 3 meter"/>
    <s v="Tidak termasuk listrik"/>
    <s v=""/>
    <s v="N/A"/>
    <s v="3 x 3 meter; Tidak termasuk listrik; Lemari Baju; Kipas Angin; Wastafel; Ember mandi; Shower; Bak mandi; R. Cuci; R. Tamu; Laundry; R. Jemur; Dapur; Dispenser; K. Mandi Luar; Parkir Mobil; Parkir Motor; Parkir Sepeda"/>
    <x v="60"/>
    <s v="Rp835.000"/>
    <x v="3"/>
    <d v="1899-12-30T05:00:00"/>
    <x v="0"/>
    <m/>
    <m/>
  </r>
  <r>
    <s v="Kost Rawakopi Cinere Depok"/>
    <x v="1"/>
    <s v="Cinere"/>
    <n v="12"/>
    <s v="3 x 4 meter"/>
    <s v="Tidak termasuk listrik"/>
    <s v=""/>
    <s v="N/A"/>
    <s v="3 x 4 meter; Tidak termasuk listrik; AC; Kasur; TV; Lemari Baju; Ventilasi; Bantal; Cermin; Guling; Jendela; Kursi; K. Mandi Dalam; Kloset Duduk; Wastafel; Shower; Air panas; WiFi; R. Tamu; R. Makan; Dapur; Parkir Mobil; Parkir Motor; Parkir Sepeda"/>
    <x v="199"/>
    <s v="Rp2.700.000"/>
    <x v="2"/>
    <d v="1899-12-30T04:08:00"/>
    <x v="0"/>
    <m/>
    <m/>
  </r>
  <r>
    <s v="Kost Raya Kelapa Gading North Jakarta"/>
    <x v="4"/>
    <s v="Kelapa Gading"/>
    <n v="12"/>
    <s v="3 x 4 meter"/>
    <s v="Tidak termasuk listrik"/>
    <s v=""/>
    <s v="N/A"/>
    <s v="3 x 4 meter; Tidak termasuk listrik; AC; Kasur; Ventilasi; Bantal; Cleaning service; Jendela; TV Kabel; K. Mandi Dalam; Kloset Duduk; Kloset Jongkok; Shower; WiFi; Kulkas; Laundry; Mesin Cuci; Penjaga Kos; R. Jemur; R. Makan; Dapur; Dispenser; CCTV; Parkir Motor"/>
    <x v="25"/>
    <s v="Rp1.850.000"/>
    <x v="8"/>
    <d v="1899-12-30T04:09:00"/>
    <x v="0"/>
    <m/>
    <s v="Diskon 140rb"/>
  </r>
  <r>
    <s v="Kost Raya Permai DE 15 Kelapa Gading Jakarta Utara"/>
    <x v="4"/>
    <s v="Kelapa Gading"/>
    <n v="9.8999999999999986"/>
    <s v="3 x 3.3 meter"/>
    <s v="Tidak termasuk listrik"/>
    <s v=""/>
    <s v="N/A"/>
    <s v="3 x 3.3 meter; Tidak termasuk listrik; AC; Kasur; Meja; Lemari Baju; Kursi; Cleaning service; K. Mandi Dalam; Kloset Duduk; K. Mandi Luar; Wastafel; Ember mandi; Shower; WiFi; Kulkas; R. Tamu; Mesin Cuci; Penjaga Kos; R. Makan; R. Santai; Dispenser; R. Keluarga; Balcon; Parkir Mobil; Parkir Motor; Parkir Sepeda"/>
    <x v="11"/>
    <s v="Rp1.400.000"/>
    <x v="0"/>
    <m/>
    <x v="0"/>
    <m/>
    <m/>
  </r>
  <r>
    <s v="Kost Rayka Tipe A Cikarang Pusat Bekasi"/>
    <x v="7"/>
    <s v="Cikarang Pusat"/>
    <n v="12"/>
    <s v="3 x 4 meter"/>
    <s v="Tidak termasuk listrik"/>
    <s v=""/>
    <s v="N/A"/>
    <s v="3 x 4 meter; Tidak termasuk listrik; AC; Kasur; Meja; Lemari Baju; Bantal; Cermin; Guling; Jendela; Kipas Angin; Kursi; K. Mandi Dalam; Kloset Jongkok; K. Mandi Luar; Ember mandi; Shower; WiFi; Kulkas; R. Cuci; R. Tamu; Penjaga Kos; Mushola; R. Jemur; R. Santai; Dapur; Balcon; Parkir Mobil; Parkir Motor"/>
    <x v="3"/>
    <s v="Rp1.500.000"/>
    <x v="0"/>
    <m/>
    <x v="2"/>
    <m/>
    <m/>
  </r>
  <r>
    <s v="Kost RegFel Kota Wisata Gunung Putri Bogor"/>
    <x v="0"/>
    <s v="Gunung Putri"/>
    <n v="12"/>
    <s v="3 x 4 meter"/>
    <s v="Termasuk listrik (implied)"/>
    <s v=""/>
    <s v="N/A"/>
    <s v="3 x 4 meter; Termasuk listrik; AC; Kasur; Meja; Lemari Baju; Kursi; Wastafel; Bantal; Guling; Jendela; K. Mandi Dalam; Kloset Duduk; Shower; Air panas; WiFi; R. Cuci; Kulkas; R. Tamu; Mesin Cuci; Penjaga Kos; R. Makan; R. Jemur; Dapur; Dispenser; Parkir Mobil; Parkir Motor"/>
    <x v="170"/>
    <s v="Rp2.250.000"/>
    <x v="3"/>
    <d v="1899-12-30T05:00:00"/>
    <x v="2"/>
    <m/>
    <m/>
  </r>
  <r>
    <s v="Kost RegFel Residence 2 Gunung Putri Bogor"/>
    <x v="0"/>
    <s v="Kecamatan Gunung Putri"/>
    <n v="12"/>
    <s v="3 x 4 meter"/>
    <s v="Termasuk listrik (implied)"/>
    <s v=""/>
    <s v="N/A"/>
    <s v="3 x 4 meter; Termasuk listrik; AC; Kasur; Meja; Lemari Baju; Bantal; Cermin; Guling; Jendela; Kloset Duduk; K. Mandi Luar; Wastafel; Shower; Air panas; WiFi; Kulkas; Laundry; Dapur; Dispenser; CCTV; Parkir Mobil; Parkir Motor; Parkir Sepeda"/>
    <x v="27"/>
    <s v="Rp2.000.000"/>
    <x v="3"/>
    <d v="1899-12-30T05:00:00"/>
    <x v="2"/>
    <m/>
    <m/>
  </r>
  <r>
    <s v="Kost Renata Tipe A Kelapa Gading Jakarta Utara"/>
    <x v="4"/>
    <s v="Kelapa Gading"/>
    <n v="16"/>
    <s v="4 x 4 meter"/>
    <s v="Tidak termasuk listrik"/>
    <s v=""/>
    <s v="N/A"/>
    <s v="4 x 4 meter; Tidak termasuk listrik; AC; Kasur; Meja; Lemari Baju; Kursi; Wastafel; K. Mandi Dalam; Kloset Duduk; Shower; Air panas; WiFi; Kulkas; R. Cuci; Laundry; R. Tamu; Penjaga Kos; R. Jemur; Dapur; Dispenser; TV; Parkir Mobil; Parkir Motor"/>
    <x v="22"/>
    <s v="Rp2.500.000"/>
    <x v="3"/>
    <d v="1899-12-30T05:00:00"/>
    <x v="0"/>
    <m/>
    <m/>
  </r>
  <r>
    <s v="Kost Residence Siliwangi Pancoran Mas Depok"/>
    <x v="1"/>
    <s v="Pancoran Mas"/>
    <n v="9"/>
    <s v="3 x 3 meter"/>
    <s v="Tidak termasuk listrik"/>
    <s v=""/>
    <s v="N/A"/>
    <s v="3 x 3 meter; Tidak termasuk listrik; AC; Kasur; Dispenser; Meja; Lemari Baju; Bantal; Jendela; K. Mandi Dalam; Kloset Duduk; Ember mandi; Shower; WiFi; R. Jemur; R. Santai; Dapur; CCTV; Jemuran; Parkir Motor"/>
    <x v="20"/>
    <s v="Rp1.250.000"/>
    <x v="10"/>
    <d v="1899-12-30T04:05:00"/>
    <x v="0"/>
    <m/>
    <s v="Diskon 112rb"/>
  </r>
  <r>
    <s v="Kost Rid House I Tipe D Ciputat Timur Tangerang Selatan"/>
    <x v="2"/>
    <s v="Kecamatan Ciputat Timur"/>
    <n v="24"/>
    <s v="7.5 x 3.2 meter"/>
    <s v="Tidak termasuk listrik"/>
    <s v=""/>
    <s v="N/A"/>
    <s v="7.5 x 3.2 meter; Tidak termasuk listrik; Kasur; Lemari Baju; Ventilasi; Jendela; Kipas Angin; K. Mandi Dalam; Kloset Jongkok; Ember mandi; WiFi; Balcon"/>
    <x v="1"/>
    <s v="Rp1.100.000"/>
    <x v="3"/>
    <d v="1899-12-30T05:00:00"/>
    <x v="2"/>
    <m/>
    <s v="Diskon 72rb"/>
  </r>
  <r>
    <s v="Kost Ridhan Tipe A Cibodas Tangerang"/>
    <x v="6"/>
    <s v="Kecamatan Cibodas"/>
    <n v="12"/>
    <s v="3 x 4 meter"/>
    <s v="Tidak termasuk listrik"/>
    <s v=""/>
    <s v="N/A"/>
    <s v="3 x 4 meter; Tidak termasuk listrik; AC; Kasur; Meja; TV; Lemari Baju; Bantal; Cermin; Jendela; K. Mandi Dalam; Kloset Duduk; Shower; WiFi; R. Cuci; Penjaga Kos; R. Jemur; Dapur; Dispenser; Balcon; CCTV; Jemuran; Pengurus Kos; Parkir Mobil; Parkir Motor; Parkir Sepeda"/>
    <x v="13"/>
    <s v="Rp1.600.000"/>
    <x v="7"/>
    <d v="1899-12-30T03:06:00"/>
    <x v="0"/>
    <m/>
    <m/>
  </r>
  <r>
    <s v="Kost Ridwan I Ciputat Tangerang Selatan"/>
    <x v="2"/>
    <s v="Ciputat"/>
    <n v="25"/>
    <s v="5 x 5 meter"/>
    <s v="Tidak termasuk listrik"/>
    <s v=""/>
    <s v="N/A"/>
    <s v="5 x 5 meter; Tidak termasuk listrik; AC; Kasur; Meja; Meja Rias; Lemari Baju; Kursi; K. Mandi Dalam; Kloset Duduk; Ember mandi; Shower; WiFi; Kulkas; R. Tamu; Mesin Cuci; R. Jemur; Dapur; Taman; Parkir Mobil; Parkir Motor; Parkir Sepeda"/>
    <x v="20"/>
    <s v="Rp1.250.000"/>
    <x v="8"/>
    <d v="1899-12-30T04:09:00"/>
    <x v="2"/>
    <m/>
    <s v="Diskon 70rb"/>
  </r>
  <r>
    <s v="Kost Rie Cozy Bsd Homey Serpong Tangerang Selatan"/>
    <x v="2"/>
    <s v="Kecamatan Serpong"/>
    <n v="12"/>
    <s v="3 x 4 meter"/>
    <s v="Tidak termasuk listrik"/>
    <s v=""/>
    <s v="N/A"/>
    <s v="3 x 4 meter; Tidak termasuk listrik; AC; Kasur; Meja; Meja Rias; Lemari Baju; Ventilasi; Bantal; Cermin; Guling; Jendela; K. Mandi Dalam; Kloset Duduk; Wastafel; Ember mandi; Shower; Air panas; WiFi; Kulkas; R. Cuci; Laundry; Mesin Cuci; Penjaga Kos; R. Tamu; R. Jemur; R. Makan; R. Santai; Parkir Mobil; Parkir Motor"/>
    <x v="176"/>
    <s v="Rp2.300.000"/>
    <x v="3"/>
    <d v="1899-12-30T05:00:00"/>
    <x v="0"/>
    <m/>
    <m/>
  </r>
  <r>
    <s v="Kost Rimba Homestay Tipe Large Deluxe Tambun Selatan Bekasi"/>
    <x v="7"/>
    <s v="Tambun Selatan"/>
    <n v="25"/>
    <s v="5 x 5 meter"/>
    <s v="Termasuk listrik (implied)"/>
    <s v=""/>
    <s v="N/A"/>
    <s v="5 x 5 meter; Termasuk listrik; Kasur; Dispenser; Meja; Lemari Baju; Ventilasi; Bantal; Dapur Pribadi; Guling; Jendela; Kipas Angin; K. Mandi Dalam; Kloset Duduk; Ember mandi; Shower; WiFi; R. Jemur; CCTV; Jemuran; Pengurus Kos; Parkir Mobil; Parkir Motor; Parkir Sepeda; Parkir Motor &amp; Sepeda"/>
    <x v="21"/>
    <s v="Rp1.450.000"/>
    <x v="3"/>
    <d v="1899-12-30T05:00:00"/>
    <x v="0"/>
    <m/>
    <m/>
  </r>
  <r>
    <s v="Kost Rindu II Executive Serpong Tangerang Selatan"/>
    <x v="2"/>
    <s v="Kecamatan Serpong"/>
    <n v="12"/>
    <s v="3 x 4 meter"/>
    <s v="Tidak termasuk listrik"/>
    <s v=""/>
    <s v="N/A"/>
    <s v="3 x 4 meter; Tidak termasuk listrik; AC; Kasur; Dispenser; Meja; Kulkas; Lemari Baju; Ventilasi; Bantal; Cermin; Guling; K. Mandi Dalam; Kloset Duduk; Ember mandi; Wastafel; Shower; WiFi; R. Jemur; Dapur; Balcon; Jemuran; Taman; Parkir Mobil; Parkir Motor; Parkir Sepeda; Parkir Motor &amp; Sepeda"/>
    <x v="166"/>
    <s v="Rp1.750.000"/>
    <x v="6"/>
    <d v="1899-12-30T04:06:00"/>
    <x v="0"/>
    <m/>
    <m/>
  </r>
  <r>
    <s v="Kost Rini Green Exclusive Serpong BSD Tipe R1 Serpong Tangerang Selatan"/>
    <x v="2"/>
    <s v="Kecamatan Serpong"/>
    <n v="15"/>
    <s v="3 x 5 meter"/>
    <s v="Tidak termasuk listrik"/>
    <s v=""/>
    <s v="N/A"/>
    <s v="3 x 5 meter; Tidak termasuk listrik; AC; Kasur; Meja; Lemari Baju; Ventilasi; Bantal; Cermin; Jendela; Kursi; K. Mandi Dalam; Kloset Duduk; Shower; Kulkas; R. Cuci; Laundry; Mesin Cuci; R. Jemur; R. Makan; Dapur; Balcon; CCTV; Jemuran; Parkir Mobil; Parkir Motor"/>
    <x v="19"/>
    <s v="Rp1.800.000"/>
    <x v="0"/>
    <m/>
    <x v="2"/>
    <m/>
    <m/>
  </r>
  <r>
    <s v="Kost Rizki 1 Gunung Putri Bogor"/>
    <x v="0"/>
    <s v="Kecamatan Gunung Putri"/>
    <n v="9"/>
    <s v="3 x 3 meter"/>
    <s v="Tidak termasuk listrik"/>
    <s v=""/>
    <s v="N/A"/>
    <s v="3 x 3 meter; Tidak termasuk listrik; Ventilasi; Kloset Duduk; Penjaga Kos; R. Jemur; Jemuran; Pengurus Kos; Parkir Motor"/>
    <x v="29"/>
    <s v="Rp500.000"/>
    <x v="0"/>
    <m/>
    <x v="0"/>
    <m/>
    <m/>
  </r>
  <r>
    <s v="Kost Rizki Santen Tipe A Cikarang Utara Bekasi"/>
    <x v="7"/>
    <s v="Cikarang Utara"/>
    <n v="9"/>
    <s v="3 x 3 meter"/>
    <s v="Termasuk listrik (implied)"/>
    <s v=""/>
    <s v="N/A"/>
    <s v="3 x 3 meter; Termasuk listrik; Kasur; Lemari Baju; Kipas Angin; Kloset Jongkok; K. Mandi Luar; Mesin Cuci; Dapur; Parkir Motor; Parkir Sepeda"/>
    <x v="29"/>
    <s v="Rp500.000"/>
    <x v="3"/>
    <d v="1899-12-30T05:00:00"/>
    <x v="2"/>
    <m/>
    <m/>
  </r>
  <r>
    <s v="Kost Rizky VIP Lantai 1 Grogol Petamburan Jakarta Barat"/>
    <x v="3"/>
    <s v="Grogol Petamburan"/>
    <n v="14.28"/>
    <s v="3.4 x 4.2 meter"/>
    <s v="Tidak termasuk listrik"/>
    <s v=""/>
    <s v="N/A"/>
    <s v="3.4 x 4.2 meter; Tidak termasuk listrik; AC; Kasur; Meja; TV; Lemari Baju; Kulkas; Bantal; Cermin; Kursi; Jendela; K. Mandi Dalam; Kloset Duduk; Wastafel; Ember mandi; Shower; Air panas; WiFi; Mesin Cuci; Penjaga Kos; R. Tamu; Dapur; Balcon; CCTV; Jemuran; Parkir Motor &amp; Sepeda"/>
    <x v="32"/>
    <s v="Rp2.600.000"/>
    <x v="0"/>
    <m/>
    <x v="2"/>
    <m/>
    <m/>
  </r>
  <r>
    <s v="Kost RKN Tapos Depok"/>
    <x v="1"/>
    <s v="Tapos"/>
    <n v="9"/>
    <s v="3 x 3 meter"/>
    <s v="Tidak termasuk listrik"/>
    <s v=""/>
    <s v="N/A"/>
    <s v="3 x 3 meter; Tidak termasuk listrik; AC; Kasur; Meja; Lemari Baju; Kulkas; Ventilasi; Bantal; Cleaning service; Guling; Jendela; K. Mandi Dalam; Kloset Duduk; K. Mandi Luar; Ember mandi; Wastafel; Shower; WiFi; R. Cuci; Penjaga Kos; R. Tamu; Laundry; R. Jemur; R. Makan; R. Santai; Dapur; Parkir Mobil; Parkir Motor; Parkir Sepeda"/>
    <x v="20"/>
    <s v="Rp1.250.000"/>
    <x v="0"/>
    <m/>
    <x v="2"/>
    <m/>
    <m/>
  </r>
  <r>
    <s v="Kost Roa Duren Sawit Jakarta Timur"/>
    <x v="8"/>
    <s v="Duren Sawit"/>
    <n v="25"/>
    <s v="5 x 5 meter"/>
    <s v="Tidak termasuk listrik"/>
    <s v=""/>
    <s v="N/A"/>
    <s v="5 x 5 meter; Tidak termasuk listrik; AC; Kasur; Meja; TV; Lemari Baju; Bantal; Dapur Pribadi; Guling; Jendela; Kursi; K. Mandi Dalam; Kloset Duduk; Ember mandi; Shower; WiFi; Dapur; Balcon; CCTV; Jemuran; Parkir Motor"/>
    <x v="22"/>
    <s v="Rp2.500.000"/>
    <x v="6"/>
    <d v="1899-12-30T04:06:00"/>
    <x v="0"/>
    <m/>
    <m/>
  </r>
  <r>
    <s v="Kost Romario Sunter Tipe B Tanjung Priok Jakarta Utara"/>
    <x v="4"/>
    <s v="Tanjung Priok"/>
    <n v="9"/>
    <s v="3 x 3 meter"/>
    <s v="Tidak termasuk listrik"/>
    <s v=""/>
    <s v="N/A"/>
    <s v="3 x 3 meter; Tidak termasuk listrik; AC; Kasur; Lemari Baju; K. Mandi Dalam; Kloset Duduk; Kloset Jongkok; WiFi; Kulkas; R. Tamu; Dapur; Dispenser; TV; Parkir Motor"/>
    <x v="13"/>
    <s v="Rp1.600.000"/>
    <x v="0"/>
    <m/>
    <x v="0"/>
    <m/>
    <m/>
  </r>
  <r>
    <s v="Kost Rosela Tipe B Serpong Utara Tangerang Selatan"/>
    <x v="2"/>
    <s v="Serpong Utara"/>
    <n v="9"/>
    <s v="3 x 3 meter"/>
    <s v="Tidak termasuk listrik"/>
    <s v=""/>
    <s v="N/A"/>
    <s v="3 x 3 meter; Tidak termasuk listrik; AC; Kasur; Meja; Lemari Baju; Ventilasi; Kursi; Bantal; Guling; Jendela; Cermin; K. Mandi Dalam; Kloset Duduk; K. Mandi Luar; Ember mandi; Wastafel; Shower; Air panas; WiFi; R. Cuci; Kulkas; R. Tamu; R. Makan; R. Jemur; Dapur; Jemuran; Parkir Mobil; Parkir Motor; Parkir Sepeda"/>
    <x v="3"/>
    <s v="Rp1.500.000"/>
    <x v="0"/>
    <m/>
    <x v="2"/>
    <m/>
    <m/>
  </r>
  <r>
    <s v="Kost ROW 39 Kenari Kernolong Tipe B Senen Jakarta Pusat"/>
    <x v="9"/>
    <s v="Kecamatan Senen"/>
    <n v="16"/>
    <s v="4 x 4 meter"/>
    <s v="Tidak termasuk listrik"/>
    <s v=""/>
    <s v="N/A"/>
    <s v="4 x 4 meter; Tidak termasuk listrik; AC; Kasur; Meja; Meja Rias; TV; Lemari Baju; Ventilasi; Bantal; Cermin; Guling; K. Mandi Dalam; Kloset Duduk; Wastafel; Shower; Air panas; WiFi; Kulkas; R. Cuci; Mesin Cuci; Penjaga Kos; R. Tamu; R. Jemur; R. Makan; R. Santai; Dapur; Parkir Motor; Parkir Motor &amp; Sepeda"/>
    <x v="211"/>
    <s v="Rp3.200.000"/>
    <x v="0"/>
    <m/>
    <x v="0"/>
    <m/>
    <m/>
  </r>
  <r>
    <s v="Kost Rresidence Tipe D Kemayoran Jakarta Pusat"/>
    <x v="9"/>
    <s v="Kecamatan Kemayoran"/>
    <n v="12"/>
    <s v="3 x 4 meter"/>
    <s v="Tidak termasuk listrik"/>
    <s v=""/>
    <s v="N/A"/>
    <s v="3 x 4 meter; Tidak termasuk listrik; AC; Kasur; Meja; Meja Rias; Lemari Baju; Ventilasi; Bantal; Cermin; Jendela; Guling; K. Mandi Dalam; Kloset Duduk; K. Mandi Luar; Shower; Air panas; WiFi; Kulkas; R. Cuci; Mesin Cuci; Penjaga Kos; R. Jemur; R. Santai; Dapur; Balcon; CCTV; Parkir Motor; Parkir Sepeda; Parkir Motor &amp; Sepeda"/>
    <x v="33"/>
    <s v="Rp2.400.000"/>
    <x v="3"/>
    <d v="1899-12-30T05:00:00"/>
    <x v="0"/>
    <m/>
    <s v="Diskon 120rb"/>
  </r>
  <r>
    <s v="Kost Ruko Cikarang Selatan Bekasi"/>
    <x v="7"/>
    <s v="Cikarang Selatan"/>
    <n v="12"/>
    <s v="3 x 4 meter"/>
    <s v="Tidak termasuk listrik"/>
    <s v=""/>
    <s v="N/A"/>
    <s v="3 x 4 meter; Tidak termasuk listrik; Kasur; Lemari Baju; Bantal; Kipas Angin; Kloset Duduk; K. Mandi Luar; Wastafel; Ember mandi; Shower; WiFi; Kulkas; Penjaga Kos; Laundry; Mesin Cuci; R. Makan; Mushola; R. Jemur; R. Santai; Dapur; Parkir Mobil; Parkir Motor; Parkir Sepeda; Parkir Motor &amp; Sepeda"/>
    <x v="254"/>
    <s v="Rp609.999"/>
    <x v="3"/>
    <d v="1899-12-30T05:00:00"/>
    <x v="0"/>
    <m/>
    <m/>
  </r>
  <r>
    <s v="Kost Ruko Mahkota Mas Tipe A Tangerang Tangerang"/>
    <x v="6"/>
    <s v="Kecamatan Tangerang"/>
    <n v="4"/>
    <s v="2 x 2 meter"/>
    <s v="Tidak termasuk listrik"/>
    <s v=""/>
    <s v="N/A"/>
    <s v="2 x 2 meter; Tidak termasuk listrik; AC; Kasur; Meja; Lemari Baju; Bantal; Cermin; Kloset Duduk; K. Mandi Luar; Ember mandi; Shower; WiFi; R. Cuci; Penjaga Kos; R. Tamu; R. Jemur; R. Makan; R. Santai; Dapur; CCTV; Jemuran; Parkir Mobil; Parkir Motor; Parkir Sepeda"/>
    <x v="2"/>
    <s v="Rp700.000"/>
    <x v="0"/>
    <m/>
    <x v="0"/>
    <m/>
    <m/>
  </r>
  <r>
    <s v="Kost Ruko52 Residence Tipe A Pamulang Tangerang Selatan"/>
    <x v="2"/>
    <s v="Kecamatan Pamulang"/>
    <n v="42"/>
    <s v="3.5 x 12 meter"/>
    <s v="Tidak termasuk listrik"/>
    <s v=""/>
    <s v="N/A"/>
    <s v="3.5 x 12 meter; Tidak termasuk listrik; Ventilasi; Jendela; K. Mandi Dalam; Kloset Jongkok; Ember mandi; CCTV; Pengurus Kos; Parkir Motor; Parkir Sepeda"/>
    <x v="23"/>
    <s v="Rp1.200.000"/>
    <x v="3"/>
    <d v="1899-12-30T05:00:00"/>
    <x v="0"/>
    <m/>
    <s v="Diskon 125rb"/>
  </r>
  <r>
    <s v="Kost Ruma Cemara CH4 Meadow Green C Cikarang Selatan Bekasi"/>
    <x v="7"/>
    <s v="Cikarang Selatan"/>
    <n v="9"/>
    <s v="3 x 3 meter"/>
    <s v="Tidak termasuk listrik"/>
    <s v=""/>
    <s v="N/A"/>
    <s v="3 x 3 meter; Tidak termasuk listrik; AC; Kasur; Dispenser; Meja; TV; Lemari Baju; Bantal; Cermin; Cleaning service; Guling; K. Mandi Dalam; Kloset Duduk; Wastafel; Shower; Air panas; WiFi; Kulkas; Laundry; R. Tamu; R. Makan; R. Santai; Dapur; CCTV; Pengurus Kos; Parkir Mobil; Parkir Motor &amp; Sepeda"/>
    <x v="22"/>
    <s v="Rp2.500.000"/>
    <x v="0"/>
    <m/>
    <x v="0"/>
    <m/>
    <m/>
  </r>
  <r>
    <s v="Kost Ruma Cemara CH4 Meadow Green C Cikarang Selatan Bekasi"/>
    <x v="7"/>
    <s v="Cikarang Selatan"/>
    <n v="9"/>
    <s v="3 x 3 meter"/>
    <s v="Tidak termasuk listrik"/>
    <s v=""/>
    <s v="N/A"/>
    <s v="3 x 3 meter; Tidak termasuk listrik; AC; Kasur; Dispenser; Meja; TV; Lemari Baju; Bantal; Cermin; Cleaning service; Guling; K. Mandi Dalam; Kloset Duduk; Wastafel; Shower; Air panas"/>
    <x v="22"/>
    <s v="Rp2.500.000"/>
    <x v="0"/>
    <m/>
    <x v="0"/>
    <m/>
    <m/>
  </r>
  <r>
    <s v="Kost Ruma Cemara CH4 Meadow Green C Cikarang Selatan Bekasi"/>
    <x v="7"/>
    <s v="Cikarang Selatan"/>
    <n v="9"/>
    <s v="3 x 3 meter"/>
    <s v="Tidak termasuk listrik"/>
    <s v=""/>
    <s v="N/A"/>
    <s v="3 x 3 meter; Tidak termasuk listrik; AC; Kasur; Dispenser; Meja; TV; Lemari Baju; Bantal; Cermin; Cleaning service; Guling"/>
    <x v="22"/>
    <s v="Rp2.500.000"/>
    <x v="0"/>
    <m/>
    <x v="0"/>
    <m/>
    <m/>
  </r>
  <r>
    <s v="Kost Ruma Cemara CH4 Meadow Green C Cikarang Selatan Bekasi"/>
    <x v="7"/>
    <s v="Cikarang Selatan"/>
    <n v="9"/>
    <s v="3 x 3 meter"/>
    <s v="Tidak termasuk listrik"/>
    <s v=""/>
    <s v="N/A"/>
    <s v="3 x 3 meter; Tidak termasuk listrik; AC; Kasur; Dispenser; Meja; TV; Lemari Baju; Bantal; Cermin; Cleaning service; Guling; K. Mandi Dalam; Kloset Duduk; Wastafel; Shower; Air panas; WiFi; Kulkas; Laundry; R. Tamu; R. Makan; R. Santai; Dapur; CCTV; Pengurus Kos; Parkir Mobil; Parkir Motor &amp; Sepeda"/>
    <x v="22"/>
    <s v="Rp2.500.000"/>
    <x v="0"/>
    <m/>
    <x v="0"/>
    <m/>
    <m/>
  </r>
  <r>
    <s v="Kost Ruma Cemara VVIP Cikarang Selatan Bekasi"/>
    <x v="7"/>
    <s v="Cikarang Selatan"/>
    <n v="17.5"/>
    <s v="3.5 x 5 meter"/>
    <s v="Tidak termasuk listrik"/>
    <s v=""/>
    <s v="N/A"/>
    <s v="3.5 x 5 meter; Tidak termasuk listrik; AC; Kasur; Meja; TV; Lemari Baju; Bantal; Cermin; Cleaning service; Guling; Jendela; K. Mandi Dalam; Kloset Duduk; Wastafel; Shower; Air panas; WiFi; Kulkas; Laundry; R. Tamu; R. Makan; R. Santai; Dapur; Dispenser; CCTV; R. Keluarga; Parkir Mobil"/>
    <x v="7"/>
    <s v="Rp3.500.000"/>
    <x v="0"/>
    <m/>
    <x v="0"/>
    <m/>
    <m/>
  </r>
  <r>
    <s v="Kost Ruma Cemara VVIP Cikarang Selatan Bekasi"/>
    <x v="7"/>
    <s v="Cikarang Selatan"/>
    <n v="17.5"/>
    <s v="3.5 x 5 meter"/>
    <s v="Tidak termasuk listrik"/>
    <s v=""/>
    <s v="N/A"/>
    <s v="3.5 x 5 meter; Tidak termasuk listrik; AC; Kasur; Meja; TV; Lemari Baju; Bantal; Cermin; Cleaning service; Guling; Jendela; K. Mandi Dalam; Kloset Duduk; Wastafel; Shower; Air panas; Parkir Mobil"/>
    <x v="7"/>
    <s v="Rp3.500.000"/>
    <x v="0"/>
    <m/>
    <x v="0"/>
    <m/>
    <m/>
  </r>
  <r>
    <s v="Kost Ruma Residence Deltamas Cikarang Pusat Bekasi"/>
    <x v="7"/>
    <s v="Kecamatan Cikarang Pusat"/>
    <n v="14.850000000000001"/>
    <s v="2.7 x 5.5 meter"/>
    <s v="Tidak termasuk listrik"/>
    <s v=""/>
    <s v="N/A"/>
    <s v="2.7 x 5.5 meter; Tidak termasuk listrik; AC; Kasur; Meja; Lemari Baju; Ventilasi; Bantal; Dapur Pribadi; Guling; Jendela; Kursi; K. Mandi Dalam; Kloset Duduk; Kloset Jongkok; Ember mandi; Shower; WiFi; Penjaga Kos; R. Jemur; Dapur; Balcon; CCTV; Pengurus Kos; Parkir Motor; Parkir Sepeda"/>
    <x v="23"/>
    <s v="Rp1.200.000"/>
    <x v="0"/>
    <m/>
    <x v="0"/>
    <m/>
    <m/>
  </r>
  <r>
    <s v="Kost Ruma Residence Tipe A Cikarang Utara Bekasi"/>
    <x v="7"/>
    <s v="Kecamatan Cikarang Utara"/>
    <n v="12"/>
    <s v="3 x 4 meter"/>
    <s v="Tidak termasuk listrik"/>
    <s v=""/>
    <s v="N/A"/>
    <s v="3 x 4 meter; Tidak termasuk listrik; AC; Kasur; Lemari Baju; Bantal; Guling; Jendela; K. Mandi Dalam; Kloset Duduk; Ember mandi; Shower; WiFi; Penjaga Kos; R. Jemur; Dapur; Balcon; CCTV; Jemuran; Jual Makanan; Pengurus Kos"/>
    <x v="28"/>
    <s v="Rp1.000.000"/>
    <x v="20"/>
    <d v="1899-12-30T02:01:00"/>
    <x v="0"/>
    <m/>
    <m/>
  </r>
  <r>
    <s v="Kost Ruma Residence Tipe B Cikarang Utara Bekasi"/>
    <x v="7"/>
    <s v="Kecamatan Cikarang Utara"/>
    <n v="12"/>
    <s v="3 x 4 meter"/>
    <s v="Tidak termasuk listrik"/>
    <s v=""/>
    <s v="N/A"/>
    <s v="3 x 4 meter; Tidak termasuk listrik; AC; Kasur; Lemari Baju; Ventilasi; Bantal; Guling; Jendela; K. Mandi Dalam; Kloset Duduk; Ember mandi; Shower; WiFi; Penjaga Kos; R. Jemur; Dapur; Balcon; CCTV; Jemuran; Jual Makanan; Pengurus Kos; Parkir Motor; Parkir Sepeda"/>
    <x v="23"/>
    <s v="Rp1.200.000"/>
    <x v="6"/>
    <d v="1899-12-30T04:06:00"/>
    <x v="0"/>
    <m/>
    <m/>
  </r>
  <r>
    <s v="Kost Rumah 4C Tipe C Pulogadung Jakarta Timur"/>
    <x v="8"/>
    <s v="Kecamatan Pulo Gadung"/>
    <n v="7.0400000000000009"/>
    <s v="2.2 x 3.2 meter"/>
    <s v="Termasuk listrik (implied)"/>
    <s v=""/>
    <s v="N/A"/>
    <s v="2.2 x 3.2 meter; Termasuk listrik; Kasur; Lemari Baju; Ventilasi; Jendela; K. Mandi Dalam; Kloset Jongkok; Shower; WiFi; Penjaga Kos; R. Santai; Dapur; Jemuran; K. Mandi Luar; Pengurus Kos; Parkir Mobil; Parkir Motor; Parkir Sepeda"/>
    <x v="1"/>
    <s v="Rp1.100.000"/>
    <x v="0"/>
    <m/>
    <x v="1"/>
    <m/>
    <m/>
  </r>
  <r>
    <s v="Kost Rumah Aghva Tipe B Cibodas Tangerang"/>
    <x v="6"/>
    <s v="Cibodas"/>
    <n v="12"/>
    <s v="3 x 4 meter"/>
    <s v="Termasuk listrik (implied)"/>
    <s v=""/>
    <s v="N/A"/>
    <s v="3 x 4 meter; Termasuk listrik; Kasur; Lemari Baju; Kipas Angin; Kloset Jongkok; K. Mandi Luar; Ember mandi; Bak mandi; Laundry; R. Jemur; R. Santai; Dapur; Parkir Mobil; Parkir Motor; Parkir Sepeda"/>
    <x v="188"/>
    <s v="Rp525.000"/>
    <x v="0"/>
    <m/>
    <x v="2"/>
    <m/>
    <m/>
  </r>
  <r>
    <s v="Kost Rumah An Nisa 1 Karang Tengah Tangerang"/>
    <x v="6"/>
    <s v="Karang Tengah"/>
    <n v="12"/>
    <s v="3 x 4 meter"/>
    <s v="Tidak termasuk listrik"/>
    <s v=""/>
    <s v="N/A"/>
    <s v="3 x 4 meter; Tidak termasuk listrik; AC; Kasur; Meja Rias; Lemari Baju; Bantal; Cermin; Jendela; K. Mandi Dalam; Kloset Duduk; Shower; WiFi; Kulkas; R. Tamu; R. Makan; R. Jemur; R. Santai; Dapur; Dispenser; TV; R. Keluarga; Parkir Mobil; Parkir Motor; Parkir Sepeda"/>
    <x v="20"/>
    <s v="Rp1.250.000"/>
    <x v="3"/>
    <d v="1899-12-30T05:00:00"/>
    <x v="2"/>
    <m/>
    <m/>
  </r>
  <r>
    <s v="Kost Rumah An Nisa 2 Karang Tengah Tangerang"/>
    <x v="6"/>
    <s v="Karang Tengah"/>
    <n v="12"/>
    <s v="3 x 4 meter"/>
    <s v="Tidak termasuk listrik"/>
    <s v=""/>
    <s v="N/A"/>
    <s v="3 x 4 meter; Tidak termasuk listrik; AC; Kasur; Meja; Lemari Baju; Bantal; Cermin; Jendela; K. Mandi Dalam; Kloset Duduk; Shower; WiFi; Kulkas; R. Tamu; R. Makan; R. Jemur; R. Santai; Dapur; Dispenser; TV; Taman; Parkir Mobil; Parkir Motor; Parkir Sepeda"/>
    <x v="18"/>
    <s v="Rp1.300.000"/>
    <x v="3"/>
    <d v="1899-12-30T05:00:00"/>
    <x v="2"/>
    <m/>
    <m/>
  </r>
  <r>
    <s v="Kost Rumah Anjani Beji Depok"/>
    <x v="1"/>
    <s v="Beji"/>
    <n v="9"/>
    <s v="3 x 3 meter"/>
    <s v="Termasuk listrik (implied)"/>
    <s v=""/>
    <s v="N/A"/>
    <s v="3 x 3 meter; Termasuk listrik; Kasur; Meja; Lemari Baju; Bantal; Cermin; Guling; Kursi; K. Mandi Dalam; Kloset Duduk; Ember mandi; WiFi; Kulkas; Laundry; Penjaga Kos; R. Jemur; R. Makan; Dapur; Jemuran; Pengurus Kos; Parkir Motor; Parkir Sepeda"/>
    <x v="10"/>
    <s v="Rp750.000"/>
    <x v="8"/>
    <d v="1899-12-30T04:09:00"/>
    <x v="2"/>
    <m/>
    <s v="Diskon 80rb"/>
  </r>
  <r>
    <s v="Kost Rumah Bunda 3 Beji Depok"/>
    <x v="1"/>
    <s v="Beji"/>
    <n v="12"/>
    <s v="3 x 4 meter"/>
    <s v="Tidak termasuk listrik"/>
    <s v=""/>
    <s v="N/A"/>
    <s v="3 x 4 meter; Tidak termasuk listrik; AC; Kasur; Meja; TV; Lemari Baju; Bantal; Cermin; Guling; Jendela; Kursi; K. Mandi Dalam; Kloset Duduk; Ember mandi; Shower; WiFi; Kulkas; R. Santai; Dispenser; Dapur; Pengurus Kos; Parkir Motor; Parkir Sepeda"/>
    <x v="18"/>
    <s v="Rp1.300.000"/>
    <x v="3"/>
    <d v="1899-12-30T05:00:00"/>
    <x v="1"/>
    <m/>
    <m/>
  </r>
  <r>
    <s v="Kost Rumah Fitri BPM Non AC Pancoran Mas Depok"/>
    <x v="1"/>
    <s v="Pancoran Mas"/>
    <n v="9"/>
    <s v="3 x 3 meter"/>
    <s v="Termasuk listrik (implied)"/>
    <s v=""/>
    <s v="N/A"/>
    <s v="3 x 3 meter; Termasuk listrik; Kasur; Meja; Lemari Baju; Bantal; Jendela; Kursi; K. Mandi Dalam; Kloset Duduk; Ember mandi; Shower; WiFi; Kulkas; R. Cuci; R. Jemur; Dapur; Jemuran; Pengurus Kos; R. Keluarga; TV; Parkir Mobil; Parkir Motor"/>
    <x v="0"/>
    <s v="Rp950.000"/>
    <x v="0"/>
    <m/>
    <x v="2"/>
    <m/>
    <m/>
  </r>
  <r>
    <s v="Kost Rumah Gading Elok Barat Kelapa Gading Jakarta Utara"/>
    <x v="4"/>
    <s v="Kecamatan Kelapa Gading"/>
    <e v="#VALUE!"/>
    <s v="N/A"/>
    <s v="N/A"/>
    <s v=""/>
    <s v="N/A"/>
    <s v=""/>
    <x v="13"/>
    <s v="Rp1.600.000"/>
    <x v="0"/>
    <m/>
    <x v="0"/>
    <m/>
    <m/>
  </r>
  <r>
    <s v="Kost Rumah Gemma Tipe A Cibinong Bogor"/>
    <x v="0"/>
    <s v="Kecamatan Cibinong"/>
    <n v="12"/>
    <s v="3 x 4 meter"/>
    <s v="Tidak termasuk listrik"/>
    <s v=""/>
    <s v="N/A"/>
    <s v="3 x 4 meter; Tidak termasuk listrik; Kasur; Meja; Lemari Baju; Bantal; Jendela; Kipas Angin; Kloset Jongkok; Ember mandi; WiFi; Kulkas; R. Tamu; R. Jemur; R. Santai; Dapur; Jemuran; Pengurus Kos; R. Keluarga; Parkir Motor; Parkir Sepeda; Parkir Motor &amp; Sepeda"/>
    <x v="14"/>
    <s v="Rp800.000"/>
    <x v="0"/>
    <m/>
    <x v="0"/>
    <m/>
    <m/>
  </r>
  <r>
    <s v="Kost Rumah GH97 Tipe A Pinang Tangerang"/>
    <x v="6"/>
    <s v="Kecamatan Pinang"/>
    <n v="12"/>
    <s v="3 x 4 meter"/>
    <s v="Tidak termasuk listrik"/>
    <s v=""/>
    <s v="N/A"/>
    <s v="3 x 4 meter; Tidak termasuk listrik; AC; Kasur; Dispenser; Meja; TV; Lemari Baju; Ventilasi; Bantal; Cermin; Guling; K. Mandi Dalam; Kloset Duduk; Wastafel; Shower; WiFi; Penjaga Kos; R. Jemur; R. Santai; Balcon; CCTV; Gazebo; Jemuran; Jual Makanan; Parkir Mobil; Parkir Motor; Parkir Sepeda; Parkir Motor &amp; Sepeda"/>
    <x v="3"/>
    <s v="Rp1.500.000"/>
    <x v="0"/>
    <m/>
    <x v="0"/>
    <m/>
    <m/>
  </r>
  <r>
    <s v="Kost Rumah Jojo Beji Depok"/>
    <x v="1"/>
    <s v="Kecamatan Beji"/>
    <n v="9"/>
    <s v="3 x 3 meter"/>
    <s v="Tidak termasuk listrik"/>
    <s v=""/>
    <s v="N/A"/>
    <s v="3 x 3 meter; Tidak termasuk listrik; AC; Kasur; Meja; Lemari Baju; Ventilasi; Bantal; Cermin; Guling; Jendela; Wastafel; K. Mandi Dalam; Kloset Duduk; Shower; WiFi; Kulkas; R. Cuci; Mesin Cuci; Penjaga Kos; R. Tamu; Mushola; R. Jemur; R. Makan; R. Santai; Parkir Motor; Parkir Sepeda"/>
    <x v="11"/>
    <s v="Rp1.400.000"/>
    <x v="4"/>
    <d v="1899-12-30T04:01:00"/>
    <x v="1"/>
    <m/>
    <m/>
  </r>
  <r>
    <s v="Kost Rumah Kaca Metland Cileungsi Bogor"/>
    <x v="0"/>
    <s v="Cileungsi"/>
    <n v="12"/>
    <s v="3 x 4 meter"/>
    <s v="Tidak termasuk listrik"/>
    <s v=""/>
    <s v="N/A"/>
    <s v="3 x 4 meter; Tidak termasuk listrik; AC; Kasur; Meja; Lemari Baju; Jendela; K. Mandi Dalam; Kloset Duduk; Kloset Jongkok; K. Mandi Luar; Ember mandi; WiFi; R. Cuci; Kulkas; Penjaga Kos; R. Jemur; R. Makan; Dapur; Jemuran; Balcon; Parkir Mobil; Parkir Motor; Parkir Sepeda"/>
    <x v="231"/>
    <s v="Rp885.000"/>
    <x v="6"/>
    <d v="1899-12-30T04:06:00"/>
    <x v="0"/>
    <m/>
    <m/>
  </r>
  <r>
    <s v="Kost Rumah Kamang Residence Tipe Studio Pasar Minggu Jakarta Selatan"/>
    <x v="5"/>
    <s v="Pasar Minggu"/>
    <n v="19.25"/>
    <s v="3.5 x 5.5 meter"/>
    <s v="Termasuk listrik (implied)"/>
    <s v=""/>
    <s v="N/A"/>
    <s v="3.5 x 5.5 meter; Termasuk listrik; AC; Kasur; Meja; Dispenser; TV; Lemari Baju; Kulkas; Ventilasi; Kursi; Wastafel; K. Mandi Dalam; Kloset Duduk; Shower; Air panas; WiFi; R. Cuci; R. Tamu; Mesin Cuci; Penjaga Kos; Laundry; R. Makan; Mushola; R. Santai; Parkir Mobil; Parkir Motor; Parkir Sepeda"/>
    <x v="255"/>
    <s v="Rp4.200.000"/>
    <x v="6"/>
    <d v="1899-12-30T04:06:00"/>
    <x v="0"/>
    <m/>
    <m/>
  </r>
  <r>
    <s v="Kost Rumah Kedua Tipe Mezzanine Tangerang"/>
    <x v="6"/>
    <s v="Kecamatan Tangerang"/>
    <n v="12"/>
    <s v="3 x 4 meter"/>
    <s v="Tidak termasuk listrik"/>
    <s v=""/>
    <s v="N/A"/>
    <s v="3 x 4 meter; Tidak termasuk listrik; AC; Kasur; Meja; Lemari Baju; Ventilasi; Bantal; Cermin; Cleaning service; Guling; Jendela; K. Mandi Dalam; Kloset Duduk; Wastafel; Shower; Air panas; WiFi; Kulkas; Laundry; Penjaga Kos; R. Tamu; R. Jemur; R. Makan; R. Santai; Dapur; Dispenser; Parkir Mobil; Parkir Motor; Parkir Sepeda"/>
    <x v="165"/>
    <s v="Rp2.150.000"/>
    <x v="6"/>
    <d v="1899-12-30T04:06:00"/>
    <x v="0"/>
    <m/>
    <s v="Diskon 105rb"/>
  </r>
  <r>
    <s v="Kost Rumah Marshall Tipe A Cikarang Utara Bekasi"/>
    <x v="7"/>
    <s v="Kecamatan Cikarang Utara"/>
    <n v="12"/>
    <s v="3 x 4 meter"/>
    <s v="Tidak termasuk listrik"/>
    <s v=""/>
    <s v="N/A"/>
    <s v="3 x 4 meter; Tidak termasuk listrik; AC; Kasur; Meja; Lemari Baju; Ventilasi; Bantal; Jendela; K. Mandi Dalam; Kloset Duduk; Shower; WiFi; Kulkas; Laundry; Dapur; Dispenser; Parkir Motor"/>
    <x v="3"/>
    <s v="Rp1.500.000"/>
    <x v="3"/>
    <d v="1899-12-30T05:00:00"/>
    <x v="1"/>
    <m/>
    <m/>
  </r>
  <r>
    <s v="Kost Rumah Milanos Kelapa Gading Jakarta Utara"/>
    <x v="4"/>
    <s v="Kelapa Gading"/>
    <n v="9"/>
    <s v="3 x 3 meter"/>
    <s v="Tidak termasuk listrik"/>
    <s v=""/>
    <s v="N/A"/>
    <s v="3 x 3 meter; Tidak termasuk listrik; AC; Kasur; Lemari Baju; Bantal; Jendela; K. Mandi Dalam; Kloset Duduk; Shower; WiFi; Mesin Cuci; R. Jemur; Dapur; Balcon; Jual Makanan; Jemuran; CCTV; Parkir Motor"/>
    <x v="3"/>
    <s v="Rp1.500.000"/>
    <x v="0"/>
    <m/>
    <x v="0"/>
    <m/>
    <m/>
  </r>
  <r>
    <s v="Kost Rumah Niaga Raya 11 Tipe C Karang Tengah Tangerang"/>
    <x v="6"/>
    <s v="Karang Tengah"/>
    <n v="12"/>
    <s v="3 x 4 meter"/>
    <s v="Tidak termasuk listrik"/>
    <s v=""/>
    <s v="N/A"/>
    <s v="3 x 4 meter; Tidak termasuk listrik; AC; Kasur; Meja; TV; Lemari Baju; Kursi; K. Mandi Dalam; Kloset Duduk; K. Mandi Luar; Wastafel; WiFi; R. Tamu; R. Santai; Dapur; Parkir Motor"/>
    <x v="13"/>
    <s v="Rp1.600.000"/>
    <x v="0"/>
    <m/>
    <x v="0"/>
    <m/>
    <m/>
  </r>
  <r>
    <s v="Kost Rumah Niaga Raya 11 Tipe D Karang Tengah Tangerang"/>
    <x v="6"/>
    <s v="Karang Tengah"/>
    <n v="16"/>
    <s v="4 x 4 meter"/>
    <s v="Tidak termasuk listrik"/>
    <s v=""/>
    <s v="N/A"/>
    <s v="4 x 4 meter; Tidak termasuk listrik; AC; Kasur; Meja; Lemari Baju; Kursi; Wastafel; K. Mandi Dalam; Kloset Duduk; K. Mandi Luar; WiFi; R. Makan; R. Santai; Dapur; TV; Parkir Motor"/>
    <x v="163"/>
    <s v="Rp1.700.000"/>
    <x v="3"/>
    <d v="1899-12-30T05:00:00"/>
    <x v="0"/>
    <m/>
    <m/>
  </r>
  <r>
    <s v="Kost Rumah Nimas Sawangan Depok"/>
    <x v="1"/>
    <s v="Sawangan"/>
    <n v="12"/>
    <s v="3 x 4 meter"/>
    <s v="Tidak termasuk listrik"/>
    <s v=""/>
    <s v="N/A"/>
    <s v="3 x 4 meter; Tidak termasuk listrik; AC; Kasur; Meja; Lemari Baju; Ventilasi; Bantal; Jendela; Kipas Angin; K. Mandi Dalam; Kloset Duduk; Kloset Jongkok; Ember mandi; Bak mandi; R. Cuci; Kulkas; R. Tamu; R. Jemur; R. Makan; R. Santai; Dapur; Jemuran; Jual Makanan; Pengurus Kos; Parkir Mobil; Parkir Motor; Parkir Sepeda"/>
    <x v="28"/>
    <s v="Rp1.000.000"/>
    <x v="0"/>
    <m/>
    <x v="2"/>
    <m/>
    <m/>
  </r>
  <r>
    <s v="Kost Rumah Pepaya Sebelah Kampus UI Beji Depok"/>
    <x v="1"/>
    <s v="Kecamatan Beji"/>
    <n v="7.5"/>
    <s v="3 x 2.5 meter"/>
    <s v="Tidak termasuk listrik"/>
    <s v=""/>
    <s v="N/A"/>
    <s v="3 x 2.5 meter; Tidak termasuk listrik; AC; Kasur; Meja; Lemari Baju; Kursi; K. Mandi Dalam; WiFi; R. Tamu; R. Santai; Dapur; Parkir Motor"/>
    <x v="5"/>
    <s v="Rp1.350.000"/>
    <x v="4"/>
    <d v="1899-12-30T04:01:00"/>
    <x v="1"/>
    <m/>
    <m/>
  </r>
  <r>
    <s v="Kost Rumah Permata Sukses Beji Depok"/>
    <x v="1"/>
    <s v="Kecamatan Beji"/>
    <n v="16"/>
    <s v="4 x 4 meter"/>
    <s v="Tidak termasuk listrik"/>
    <s v=""/>
    <s v="N/A"/>
    <s v="4 x 4 meter; Tidak termasuk listrik; AC; Kasur; Meja; Lemari Baju; Kursi; Wastafel; Cleaning service; K. Mandi Dalam; Kloset Duduk; Shower; Air panas; WiFi; R. Cuci; R. Tamu; Penjaga Kos; R. Makan; R. Jemur; R. Santai; Dapur; Kartu Akses; TV; Parkir Mobil; Parkir Motor; Parkir Sepeda"/>
    <x v="27"/>
    <s v="Rp2.000.000"/>
    <x v="3"/>
    <d v="1899-12-30T05:00:00"/>
    <x v="2"/>
    <m/>
    <s v="Diskon 179rb"/>
  </r>
  <r>
    <s v="Kost Rumah Tenjo Bogor"/>
    <x v="0"/>
    <s v="Kecamatan Tenjo"/>
    <n v="12"/>
    <s v="3 x 4 meter"/>
    <s v="Tidak termasuk listrik"/>
    <s v=""/>
    <s v="N/A"/>
    <s v="3 x 4 meter; Tidak termasuk listrik; AC; Kloset Duduk; R. Cuci; R. Tamu; R. Jemur; R. Makan; R. Santai; Dapur; Balcon; Kartu Akses; R. Keluarga; Taman; Parkir Mobil; Parkir Motor; Parkir Sepeda; Parkir Motor &amp; Sepeda"/>
    <x v="27"/>
    <s v="Rp2.000.000"/>
    <x v="0"/>
    <m/>
    <x v="0"/>
    <m/>
    <m/>
  </r>
  <r>
    <s v="Kost Rumah Tipe Standard Pademangan Jakarta Utara"/>
    <x v="4"/>
    <s v="Kecamatan Pademangan"/>
    <n v="9"/>
    <s v="3 x 3 meter"/>
    <s v="Tidak termasuk listrik"/>
    <s v=""/>
    <s v="N/A"/>
    <s v="3 x 3 meter; Tidak termasuk listrik; AC; Kasur; Dispenser; Lemari Baju; Cleaning service; Jendela; Bantal; Cermin; Wastafel; K. Mandi Dalam; Kloset Duduk; Kloset Jongkok; K. Mandi Luar; Shower; WiFi; R. Cuci; R. Makan; R. Jemur; Dapur; CCTV; Pengurus Kos; R. Keluarga; Parkir Motor; Parkir Sepeda"/>
    <x v="19"/>
    <s v="Rp1.800.000"/>
    <x v="2"/>
    <d v="1899-12-30T04:08:00"/>
    <x v="0"/>
    <m/>
    <s v="Diskon 152rb"/>
  </r>
  <r>
    <s v="Kost Rumah Zakia Tipe A Dramaga Bogor"/>
    <x v="0"/>
    <s v="Kecamatan Dramaga"/>
    <n v="9"/>
    <s v="3 x 3 meter"/>
    <s v="Tidak termasuk listrik"/>
    <s v=""/>
    <s v="N/A"/>
    <s v="3 x 3 meter; Tidak termasuk listrik; AC; Kasur; Meja; Lemari Baju; Kulkas; Kursi; Cleaning service; Bantal; Cermin; Guling; K. Mandi Dalam; Kloset Duduk; Shower; WiFi; R. Jemur; Dapur; TV; Balcon; CCTV; Jual Makanan; Pengurus Kos; Jemuran; Parkir Mobil; Parkir Motor; Parkir Sepeda"/>
    <x v="166"/>
    <s v="Rp1.750.000"/>
    <x v="0"/>
    <m/>
    <x v="2"/>
    <m/>
    <m/>
  </r>
  <r>
    <s v="Kost Rumo Haya Tipe Balkon Cimanggis Depok"/>
    <x v="1"/>
    <s v="Kecamatan Cimanggis"/>
    <n v="9"/>
    <s v="3 x 3 meter"/>
    <s v="Termasuk listrik (implied)"/>
    <s v=""/>
    <s v="N/A"/>
    <s v="3 x 3 meter; Termasuk listrik; AC; Kasur; Dispenser; Meja; Kulkas; Lemari Baju; Bantal; Cermin; Guling; Jendela; K. Mandi Dalam; Kloset Duduk; Shower; WiFi; R. Cuci; Mesin Cuci; R. Tamu; Mushola; R. Jemur; R. Santai; Dapur; Parkir Mobil; Parkir Motor; Parkir Motor &amp; Sepeda"/>
    <x v="27"/>
    <s v="Rp2.000.000"/>
    <x v="0"/>
    <m/>
    <x v="1"/>
    <m/>
    <m/>
  </r>
  <r>
    <s v="Kost Saadi Cipondoh Tangerang"/>
    <x v="6"/>
    <s v="Kecamatan Cipondoh"/>
    <n v="7.839999999999999"/>
    <s v="2.8 x 2.8 meter"/>
    <s v="Tidak termasuk listrik"/>
    <s v=""/>
    <s v="N/A"/>
    <s v="2.8 x 2.8 meter; Tidak termasuk listrik; Kasur; Lemari Baju; Ventilasi; Bantal; Kipas Angin; K. Mandi Dalam; Kloset Jongkok; Ember mandi; WiFi; R. Jemur; Dispenser; Balcon; CCTV; Pengurus Kos; Parkir Motor; Parkir Sepeda"/>
    <x v="12"/>
    <s v="Rp850.000"/>
    <x v="3"/>
    <d v="1899-12-30T05:00:00"/>
    <x v="0"/>
    <m/>
    <m/>
  </r>
  <r>
    <s v="Kost Sabana Bojong Gede Bogor"/>
    <x v="0"/>
    <s v="Bojong Gede"/>
    <n v="9"/>
    <s v="3 x 3 meter"/>
    <s v="Termasuk listrik (implied)"/>
    <s v=""/>
    <s v="N/A"/>
    <s v="3 x 3 meter; Termasuk listrik; Kasur; Meja Rias; Lemari Baju; Ventilasi; Cleaning service; Jendela; Bantal; K. Mandi Dalam; Kloset Jongkok; K. Mandi Luar; Ember mandi; WiFi; R. Cuci; Kulkas; R. Tamu; Penjaga Kos; Laundry; R. Makan; R. Jemur; R. Santai; Dapur; Parkir Mobil; Parkir Motor; Parkir Sepeda"/>
    <x v="256"/>
    <s v="Rp495.000"/>
    <x v="6"/>
    <d v="1899-12-30T04:06:00"/>
    <x v="2"/>
    <m/>
    <m/>
  </r>
  <r>
    <s v="Kost Sadinda Linda Safitri Tipe Executive A Kebayoran Baru Jakarta Selatan"/>
    <x v="5"/>
    <s v="Kecamatan Kebayoran Baru"/>
    <n v="16"/>
    <s v="4 x 4 meter"/>
    <s v="Tidak termasuk listrik"/>
    <s v=""/>
    <s v="N/A"/>
    <s v="4 x 4 meter; Tidak termasuk listrik; AC; Kasur; Meja; Dispenser; TV; Meja Rias; Lemari Baju; Kulkas; Ventilasi; Kursi; K. Mandi Dalam; Kloset Duduk; Wastafel; Ember mandi; Shower; Air panas; WiFi; R. Cuci; R. Tamu; Penjaga Kos; R. Makan; R. Jemur; R. Santai; Dapur; Parkir Mobil; Parkir Motor; Parkir Sepeda"/>
    <x v="186"/>
    <s v="Rp3.000.000"/>
    <x v="24"/>
    <d v="1899-12-30T03:00:00"/>
    <x v="0"/>
    <m/>
    <s v="Diskon 145rb"/>
  </r>
  <r>
    <s v="Kost Safar Nama 1 Koja Jakarta Utara"/>
    <x v="4"/>
    <s v="Koja"/>
    <n v="12"/>
    <s v="3 x 4 meter"/>
    <s v="Tidak termasuk listrik"/>
    <s v=""/>
    <s v="N/A"/>
    <s v="3 x 4 meter; Tidak termasuk listrik; AC; Kasur; Meja; Lemari Baju; Ventilasi; Bantal; Guling; Jendela; Kursi; K. Mandi Dalam; Kloset Duduk; Ember mandi; Shower; Bak mandi; WiFi; Kulkas; Penjaga Kos; R. Tamu; R. Jemur; R. Santai; Dapur; Dispenser; Balcon; CCTV; Parkir Motor"/>
    <x v="13"/>
    <s v="Rp1.600.000"/>
    <x v="14"/>
    <d v="1899-12-30T03:05:00"/>
    <x v="2"/>
    <m/>
    <m/>
  </r>
  <r>
    <s v="Kost Sahabat Tipe A Cempaka Putih Jakarta Pusat"/>
    <x v="9"/>
    <s v="Kecamatan Cempaka Putih"/>
    <n v="9"/>
    <s v="3 x 3 meter"/>
    <s v="Tidak termasuk listrik"/>
    <s v=""/>
    <s v="N/A"/>
    <s v="3 x 3 meter; Tidak termasuk listrik; AC; Kasur; Lemari Baju; Ventilasi; Bantal; Jendela; K. Mandi Dalam; Ember mandi; WiFi; R. Cuci; Penjaga Kos; Laundry; R. Jemur; Mushola; R. Santai; Dapur; K. Mandi Luar; CCTV; Parkir Motor; Parkir Sepeda"/>
    <x v="1"/>
    <s v="Rp1.100.000"/>
    <x v="6"/>
    <d v="1899-12-30T04:06:00"/>
    <x v="0"/>
    <m/>
    <s v="Diskon 63rb"/>
  </r>
  <r>
    <s v="Kost Sakura AC Pinang Tangerang"/>
    <x v="6"/>
    <s v="Kecamatan Pinang"/>
    <n v="12"/>
    <s v="3 x 4 meter"/>
    <s v="Tidak termasuk listrik"/>
    <s v=""/>
    <s v="N/A"/>
    <s v="3 x 4 meter; Tidak termasuk listrik; AC; Kasur; Lemari Baju; Cermin; Bantal; Guling; Kloset Jongkok; K. Mandi Luar; Ember mandi; Shower; WiFi; R. Cuci; Kulkas; Mesin Cuci; R. Tamu; R. Jemur; R. Santai; Dapur; Jemuran; Jual Makanan; Parkir Motor; Parkir Sepeda"/>
    <x v="23"/>
    <s v="Rp1.200.000"/>
    <x v="0"/>
    <m/>
    <x v="2"/>
    <m/>
    <m/>
  </r>
  <r>
    <s v="Kost Sakura Tipe A Cikarang Selatan Bekasi"/>
    <x v="7"/>
    <s v="Cikarang Selatan"/>
    <n v="12"/>
    <s v="3 x 4 meter"/>
    <s v="Tidak termasuk listrik"/>
    <s v=""/>
    <s v="N/A"/>
    <s v="3 x 4 meter; Tidak termasuk listrik; AC; Kasur; Dispenser; Lemari Baju; K. Mandi Dalam; Kloset Duduk; Shower; Air panas; WiFi; R. Cuci; Kulkas; R. Tamu; Mesin Cuci; Laundry; R. Makan; R. Jemur; R. Santai; Dapur; Parkir Mobil; Parkir Motor; Parkir Sepeda"/>
    <x v="13"/>
    <s v="Rp1.600.000"/>
    <x v="17"/>
    <d v="1899-12-30T03:09:00"/>
    <x v="0"/>
    <m/>
    <m/>
  </r>
  <r>
    <s v="Kost Sal Tipe A Limo Depok"/>
    <x v="1"/>
    <s v="Limo"/>
    <n v="15"/>
    <s v="3 x 5 meter"/>
    <s v="Tidak termasuk listrik"/>
    <s v=""/>
    <s v="N/A"/>
    <s v="3 x 5 meter; Tidak termasuk listrik; AC; Kasur; Meja; Lemari Baju; Bantal; Cermin; Wastafel; K. Mandi Dalam; Kloset Jongkok; Ember mandi; WiFi; Kulkas; Penjaga Kos; R. Tamu; R. Jemur; Dapur; Balcon; CCTV; Jemuran; Jual Makanan; Parkir Mobil; Parkir Motor; Parkir Sepeda"/>
    <x v="11"/>
    <s v="Rp1.400.000"/>
    <x v="0"/>
    <m/>
    <x v="2"/>
    <m/>
    <m/>
  </r>
  <r>
    <s v="Kost Salira 1 Tipe A Cibinong Bogor"/>
    <x v="0"/>
    <s v="Cibinong"/>
    <n v="12"/>
    <s v="3 x 4 meter"/>
    <s v="Termasuk listrik (implied)"/>
    <s v=""/>
    <s v="N/A"/>
    <s v="3 x 4 meter; Termasuk listrik; AC; Kasur; Meja; Lemari Baju; Ventilasi; Cermin; Guling; TV Kabel; Jendela; Kursi; K. Mandi Dalam; Kloset Duduk; Ember mandi; WiFi; Kulkas; R. Cuci; R. Tamu; Mesin Cuci; R. Jemur; R. Santai; Dapur; Dispenser; Jemuran; Parkir Mobil; Parkir Motor; Parkir Sepeda"/>
    <x v="3"/>
    <s v="Rp1.500.000"/>
    <x v="10"/>
    <d v="1899-12-30T04:05:00"/>
    <x v="0"/>
    <m/>
    <m/>
  </r>
  <r>
    <s v="Kost Salira New Cibinong Bogor"/>
    <x v="0"/>
    <s v="Cibinong"/>
    <n v="12"/>
    <s v="3 x 4 meter"/>
    <s v="Tidak termasuk listrik"/>
    <s v=""/>
    <s v="N/A"/>
    <s v="3 x 4 meter; Tidak termasuk listrik; AC; Kasur; Meja; Lemari Baju; Ventilasi; Bantal; Cermin; Dapur Pribadi; Jendela; Kursi; K. Mandi Dalam; Kloset Duduk; Ember mandi; Wastafel; WiFi; R. Cuci; Kulkas; R. Tamu; Mesin Cuci; R. Jemur; R. Santai; CCTV; Jemuran; Pengurus Kos; Parkir Motor; Parkir Sepeda; Parkir Motor &amp; Sepeda"/>
    <x v="23"/>
    <s v="Rp1.200.000"/>
    <x v="15"/>
    <d v="1899-12-30T03:01:00"/>
    <x v="0"/>
    <m/>
    <m/>
  </r>
  <r>
    <s v="Kost Salkia Tipe Ac Beji Depok"/>
    <x v="1"/>
    <s v="Kecamatan Beji"/>
    <n v="12"/>
    <s v="3 x 4 meter"/>
    <s v="Termasuk listrik (implied)"/>
    <s v=""/>
    <s v="N/A"/>
    <s v="3 x 4 meter; Termasuk listrik; AC; Kasur; Meja; Lemari Baju; Ventilasi; Bantal; Guling; Jendela; Kursi; Wastafel; K. Mandi Dalam; Kloset Duduk; Shower; WiFi; Kulkas; Penjaga Kos; R. Tamu; Mushola; R. Jemur; R. Santai; Dapur; Dispenser; Gazebo; Parkir Mobil; Parkir Motor; Parkir Sepeda"/>
    <x v="163"/>
    <s v="Rp1.700.000"/>
    <x v="10"/>
    <d v="1899-12-30T04:05:00"/>
    <x v="2"/>
    <m/>
    <s v="Diskon 179rb"/>
  </r>
  <r>
    <s v="Kost Sambina Empang Bahagia Grogol Petamburan Jakarta Barat"/>
    <x v="3"/>
    <s v="Grogol Petamburan"/>
    <n v="12"/>
    <s v="3 x 4 meter"/>
    <s v="Tidak termasuk listrik"/>
    <s v=""/>
    <s v="N/A"/>
    <s v="3 x 4 meter; Tidak termasuk listrik; AC; Kasur; Meja; TV; Kulkas; Lemari Baju; Ventilasi; Bantal; Cermin; Cleaning service; K. Mandi Dalam; Kloset Duduk; Wastafel; Shower; Air panas; WiFi; Laundry; Penjaga Kos; R. Makan; R. Santai; Dapur; Dispenser; Balcon; CCTV; Parkir Mobil; Parkir Motor; Parkir Sepeda; Parkir Motor &amp; Sepeda"/>
    <x v="8"/>
    <s v="Rp3.800.000"/>
    <x v="0"/>
    <m/>
    <x v="0"/>
    <m/>
    <m/>
  </r>
  <r>
    <s v="Kost Samitra Tipe AC Cimanggis Depok"/>
    <x v="1"/>
    <s v="Cimanggis"/>
    <n v="12"/>
    <s v="3 x 4 meter"/>
    <s v="Termasuk listrik (implied)"/>
    <s v=""/>
    <s v="N/A"/>
    <s v="3 x 4 meter; Termasuk listrik; AC; Kasur; Meja; Lemari Baju; Ventilasi; Kursi; Kipas Angin; Cleaning service; Bantal; Cermin; K. Mandi Dalam; Kloset Duduk; K. Mandi Luar; Shower; WiFi; R. Cuci; Kulkas; R. Tamu; Mesin Cuci; Laundry; R. Jemur; R. Santai; Dapur; TV; Parkir Mobil; Parkir Motor; Parkir Sepeda"/>
    <x v="21"/>
    <s v="Rp1.450.000"/>
    <x v="2"/>
    <d v="1899-12-30T04:08:00"/>
    <x v="1"/>
    <m/>
    <m/>
  </r>
  <r>
    <s v="Kost Sandratex Ciputat Timur Tangerang Selatan"/>
    <x v="2"/>
    <s v="Kecamatan Ciputat Timur"/>
    <n v="9"/>
    <s v="3 x 3 meter"/>
    <s v="Tidak termasuk listrik"/>
    <s v=""/>
    <s v="N/A"/>
    <s v="3 x 3 meter; Tidak termasuk listrik; Kasur; Meja; Lemari Baju; Ventilasi; Kipas Angin; Bantal; Guling; Jendela; Sofa; Cermin; K. Mandi Dalam; Kloset Jongkok; Ember mandi; Shower; WiFi; R. Cuci; R. Tamu; R. Jemur; R. Santai; Dapur; Balcon; CCTV; Gazebo; Jemuran; Parkir Motor; Parkir Sepeda"/>
    <x v="99"/>
    <s v="Rp900.000"/>
    <x v="0"/>
    <m/>
    <x v="2"/>
    <m/>
    <m/>
  </r>
  <r>
    <s v="Kost Santoso Tipe B Tarumajaya Bekasi"/>
    <x v="7"/>
    <s v="Kecamatan Tarumajaya"/>
    <n v="9"/>
    <s v="3 x 3 meter"/>
    <s v="Tidak termasuk listrik"/>
    <s v=""/>
    <s v="N/A"/>
    <s v="3 x 3 meter; Tidak termasuk listrik; AC; Kasur; Lemari Baju; Bantal; Cermin; K. Mandi Luar; Wastafel; Shower; Air panas; Kulkas; R. Cuci; R. Jemur; Dapur; Dispenser; Parkir Mobil; Parkir Motor"/>
    <x v="99"/>
    <s v="Rp900.000"/>
    <x v="7"/>
    <d v="1899-12-30T03:06:00"/>
    <x v="1"/>
    <m/>
    <m/>
  </r>
  <r>
    <s v="Kost Saphire House Tipe B Executive Kembangan Jakarta Barat"/>
    <x v="3"/>
    <s v="Kecamatan Kembangan"/>
    <n v="16"/>
    <s v="4 x 4 meter"/>
    <s v="Tidak termasuk listrik"/>
    <s v=""/>
    <s v="N/A"/>
    <s v="4 x 4 meter; Tidak termasuk listrik; AC; Kasur; Meja; TV; Lemari Baju; Ventilasi; Kursi; Wastafel; Cleaning service; Bantal; K. Mandi Dalam; Kloset Duduk; Shower; Air panas; WiFi; R. Tamu; Penjaga Kos; R. Santai; Dispenser; R. Keluarga; Gazebo; Balcon; Kartu Akses; Parkir Mobil; Parkir Motor"/>
    <x v="194"/>
    <s v="Rp2.750.000"/>
    <x v="8"/>
    <d v="1899-12-30T04:09:00"/>
    <x v="0"/>
    <m/>
    <m/>
  </r>
  <r>
    <s v="Kost Sati 2 Cikarang Pusat Bekasi"/>
    <x v="7"/>
    <s v="Cikarang Pusat"/>
    <n v="9"/>
    <s v="3 x 3 meter"/>
    <s v="Tidak termasuk listrik"/>
    <s v=""/>
    <s v="N/A"/>
    <s v="3 x 3 meter; Tidak termasuk listrik; AC; Kasur; Lemari Baju; Ventilasi; Bantal; Jendela; K. Mandi Dalam; Kloset Jongkok; Ember mandi; WiFi; Kartu Akses; Jual Makanan; Parkir Motor"/>
    <x v="1"/>
    <s v="Rp1.100.000"/>
    <x v="0"/>
    <m/>
    <x v="2"/>
    <m/>
    <m/>
  </r>
  <r>
    <s v="Kost Sde Larangan Tangerang"/>
    <x v="6"/>
    <s v="Kecamatan Larangan"/>
    <n v="12"/>
    <s v="3 x 4 meter"/>
    <s v="Tidak termasuk listrik"/>
    <s v=""/>
    <s v="N/A"/>
    <s v="3 x 4 meter; Tidak termasuk listrik; AC; Kasur; Meja; Lemari Baju; Ventilasi; Bantal; Cermin; Jendela; Kursi; K. Mandi Dalam; Kloset Duduk; Shower; Air panas; WiFi; Kulkas; R. Cuci; R. Tamu; R. Jemur; R. Makan; R. Santai; Dapur; Balcon; CCTV; Parkir Mobil; Parkir Motor; Parkir Sepeda; Parkir Motor &amp; Sepeda"/>
    <x v="90"/>
    <s v="Rp1.650.000"/>
    <x v="2"/>
    <d v="1899-12-30T04:08:00"/>
    <x v="2"/>
    <m/>
    <s v="Diskon 75rb"/>
  </r>
  <r>
    <s v="Kost Senantiasa Premium Tangerang"/>
    <x v="6"/>
    <s v="Tangerang"/>
    <n v="12"/>
    <s v="3 x 4 meter"/>
    <s v="Tidak termasuk listrik"/>
    <s v=""/>
    <s v="N/A"/>
    <s v="3 x 4 meter; Tidak termasuk listrik; Kasur; Lemari Baju; Ventilasi; Bantal; Cermin; Guling; Jendela; Kipas Angin; K. Mandi Dalam; Kloset Duduk; Ember mandi; Shower; WiFi; Kulkas; R. Tamu; R. Jemur; R. Makan; R. Santai; Dapur; Jemuran; Jual Makanan; Pengurus Kos; Parkir Motor; Parkir Sepeda"/>
    <x v="11"/>
    <s v="Rp1.400.000"/>
    <x v="0"/>
    <m/>
    <x v="2"/>
    <m/>
    <m/>
  </r>
  <r>
    <s v="Kost Sendy Cibatu Cikarang Selatan Bekasi"/>
    <x v="7"/>
    <s v="Cikarang Selatan"/>
    <n v="9"/>
    <s v="3 x 3 meter"/>
    <s v="Termasuk listrik (implied)"/>
    <s v=""/>
    <s v="N/A"/>
    <s v="3 x 3 meter; Termasuk listrik; Kasur; Lemari Baju; Kulkas; Kipas Angin; TV Kabel; K. Mandi Dalam; WiFi; Laundry; Dapur; Parkir Mobil"/>
    <x v="23"/>
    <s v="Rp1.200.000"/>
    <x v="0"/>
    <m/>
    <x v="0"/>
    <m/>
    <m/>
  </r>
  <r>
    <s v="Kost Serumah Bareng Tipe C Tangerang"/>
    <x v="6"/>
    <s v="Kecamatan Tangerang"/>
    <n v="6.25"/>
    <s v="2.5 x 2.5 meter"/>
    <s v="Termasuk listrik (implied)"/>
    <s v=""/>
    <s v="N/A"/>
    <s v="2.5 x 2.5 meter; Termasuk listrik; AC; Kasur; Meja; Lemari Baju; Ventilasi; Cleaning service; Bantal; Cermin; Guling; Jendela; K. Mandi Dalam; Kloset Duduk; K. Mandi Luar; Wastafel; Shower; WiFi; Kulkas; R. Cuci; Laundry; Penjaga Kos; Mesin Cuci; R. Jemur; R. Makan; Dapur; Dispenser; Parkir Mobil; Parkir Motor; Parkir Sepeda; Parkir Motor &amp; Sepeda"/>
    <x v="27"/>
    <s v="Rp2.000.000"/>
    <x v="0"/>
    <m/>
    <x v="2"/>
    <m/>
    <m/>
  </r>
  <r>
    <s v="Kost Shabira Pulo Gadung Jakarta Timur"/>
    <x v="8"/>
    <s v="Pulo Gadung"/>
    <n v="12"/>
    <s v="3 x 4 meter"/>
    <s v="Tidak termasuk listrik"/>
    <s v=""/>
    <s v="N/A"/>
    <s v="3 x 4 meter; Tidak termasuk listrik; AC; Kasur; Meja; Lemari Baju; Bantal; Jendela; Guling; Kursi; K. Mandi Dalam; Kloset Duduk; Ember mandi; Shower; WiFi; Kulkas; Dapur; Jemuran; Kartu Akses; CCTV; Parkir Motor &amp; Sepeda"/>
    <x v="13"/>
    <s v="Rp1.600.000"/>
    <x v="8"/>
    <d v="1899-12-30T04:09:00"/>
    <x v="0"/>
    <m/>
    <s v="Diskon 170rb"/>
  </r>
  <r>
    <s v="Kost Shambala 2 Ciampea Bogor"/>
    <x v="0"/>
    <s v="Kecamatan Ciampea"/>
    <n v="18"/>
    <s v="3 x 6 meter"/>
    <s v="Termasuk listrik (implied)"/>
    <s v=""/>
    <s v="N/A"/>
    <s v="3 x 6 meter; Termasuk listrik; Kasur; Meja; Lemari Baju; Jendela; K. Mandi Dalam; Kloset Duduk; WiFi; R. Jemur; R. Makan; R. Santai; Dapur; Jemuran; Parkir Mobil; Parkir Motor; Parkir Sepeda"/>
    <x v="225"/>
    <s v="Rp670.000"/>
    <x v="0"/>
    <m/>
    <x v="0"/>
    <m/>
    <m/>
  </r>
  <r>
    <s v="Kost Si Ganteng Beji Depok"/>
    <x v="1"/>
    <s v="Beji"/>
    <n v="9.4500000000000011"/>
    <s v="2.7 x 3.5 meter"/>
    <s v="Tidak termasuk listrik"/>
    <s v=""/>
    <s v="N/A"/>
    <s v="2.7 x 3.5 meter; Tidak termasuk listrik; AC; Kasur; Meja; Lemari Baju; Bantal; Jendela; Kursi; K. Mandi Dalam; Kloset Duduk; Shower; WiFi; Kulkas; R. Santai; Dapur; Parkir Motor; Parkir Motor &amp; Sepeda"/>
    <x v="23"/>
    <s v="Rp1.200.000"/>
    <x v="6"/>
    <d v="1899-12-30T04:06:00"/>
    <x v="1"/>
    <m/>
    <s v="Diskon 110rb"/>
  </r>
  <r>
    <s v="Kost Simbah Non AC Kramatjati Jakarta Timur"/>
    <x v="8"/>
    <s v="Kramat Jati"/>
    <n v="9"/>
    <s v="3 x 3 meter"/>
    <s v="Tidak termasuk listrik"/>
    <s v=""/>
    <s v="N/A"/>
    <s v="3 x 3 meter; Tidak termasuk listrik; Kasur; Lemari Baju; Jendela; Kloset Jongkok; Shower; Bak mandi; WiFi; R. Jemur; Dapur; Balcon; Jemuran; Taman; Parkir Motor"/>
    <x v="17"/>
    <s v="Rp650.000"/>
    <x v="5"/>
    <d v="1899-12-30T04:00:00"/>
    <x v="2"/>
    <m/>
    <m/>
  </r>
  <r>
    <s v="Kost Sinar Mulya Batuceper Tangerang"/>
    <x v="6"/>
    <s v="Kecamatan Batuceper"/>
    <n v="18"/>
    <s v="4 x 4.5 meter"/>
    <s v="Tidak termasuk listrik"/>
    <s v=""/>
    <s v="N/A"/>
    <s v="4 x 4.5 meter; Tidak termasuk listrik; AC; Kasur; Meja; Lemari Baju; Jendela; Bantal; Kursi; Cermin; K. Mandi Dalam; Kloset Jongkok; Ember mandi; R. Cuci; R. Jemur; Dapur; CCTV; Jemuran; Pengurus Kos; Parkir Motor; Parkir Sepeda"/>
    <x v="99"/>
    <s v="Rp900.000"/>
    <x v="0"/>
    <m/>
    <x v="0"/>
    <m/>
    <m/>
  </r>
  <r>
    <s v="Kost Singgahsini 123 Tipe A Cengkareng Jakarta Barat"/>
    <x v="3"/>
    <s v="Cengkareng"/>
    <n v="12.15"/>
    <s v="2.7 x 4.5 meter"/>
    <s v="Tidak termasuk listrik"/>
    <n v="2425000"/>
    <s v="Rp2.425.000"/>
    <s v="2.7 x 4.5 meter; Tidak termasuk listrik; AC; Kasur; TV; Lemari Baju; Bantal; Cermin; Guling; Jendela; K. Mandi Dalam; Kloset Duduk; Shower; Air panas; WiFi; Penjaga Kos; K. Mandi Luar; CCTV; Parkir Motor &amp; Sepeda"/>
    <x v="257"/>
    <s v="Rp2.233.000"/>
    <x v="2"/>
    <d v="1899-12-30T04:08:00"/>
    <x v="0"/>
    <m/>
    <s v="Diskon 192rb"/>
  </r>
  <r>
    <s v="Kost Singgahsini 123 Tipe C Cengkareng Jakarta Barat"/>
    <x v="3"/>
    <s v="Cengkareng"/>
    <n v="8.3999999999999986"/>
    <s v="3 x 2.8 meter"/>
    <s v="Tidak termasuk listrik"/>
    <s v=""/>
    <s v="N/A"/>
    <s v="3 x 2.8 meter; Tidak termasuk listrik; AC; Kasur; Lemari Baju; Bantal; Cermin; Guling; Jendela; K. Mandi Dalam; Kloset Duduk; Shower; Air panas; WiFi; Penjaga Kos; K. Mandi Luar; CCTV; Parkir Motor &amp; Sepeda"/>
    <x v="111"/>
    <s v="Rp1.975.000"/>
    <x v="10"/>
    <d v="1899-12-30T04:05:00"/>
    <x v="0"/>
    <m/>
    <s v="Diskon 180rb"/>
  </r>
  <r>
    <s v="Kost Singgahsini 123 Tipe D Cengkareng Jakarta Barat"/>
    <x v="3"/>
    <s v="Cengkareng"/>
    <n v="7.5"/>
    <s v="2.5 x 3 meter"/>
    <s v="Tidak termasuk listrik"/>
    <s v=""/>
    <s v="N/A"/>
    <s v="2.5 x 3 meter; Tidak termasuk listrik; AC; Kasur; Lemari Baju; Bantal; Cermin; Guling; Jendela; K. Mandi Dalam; Kloset Duduk; Shower; Air panas; WiFi; Penjaga Kos; K. Mandi Luar; CCTV; Parkir Motor &amp; Sepeda"/>
    <x v="52"/>
    <s v="Rp1.875.000"/>
    <x v="10"/>
    <d v="1899-12-30T04:05:00"/>
    <x v="0"/>
    <m/>
    <s v="Diskon 180rb"/>
  </r>
  <r>
    <s v="Kost Singgahsini 21 Tipe A Cengkareng Jakarta Barat"/>
    <x v="3"/>
    <s v="Cengkareng"/>
    <n v="16"/>
    <s v="4 x 4 meter"/>
    <s v="Tidak termasuk listrik"/>
    <n v="2125000"/>
    <s v="Rp2.125.000"/>
    <s v="4 x 4 meter; Tidak termasuk listrik; AC; Kasur; Meja; Lemari Baju; Ventilasi; Jendela; Kursi; Bantal; Cermin; K. Mandi Dalam; Kloset Duduk; Shower; Air panas; WiFi; Penjaga Kos; CCTV; Balcon; Parkir Mobil; Parkir Motor &amp; Sepeda"/>
    <x v="258"/>
    <s v="Rp1.957.000"/>
    <x v="6"/>
    <d v="1899-12-30T04:06:00"/>
    <x v="0"/>
    <m/>
    <s v="Diskon 168rb"/>
  </r>
  <r>
    <s v="Kost Singgahsini 21 Tipe B Cengkareng Jakarta Barat"/>
    <x v="3"/>
    <s v="Cengkareng"/>
    <n v="7.68"/>
    <s v="3.2 x 2.4 meter"/>
    <s v="Tidak termasuk listrik"/>
    <n v="1875000"/>
    <s v="Rp1.875.000"/>
    <s v="3.2 x 2.4 meter; Tidak termasuk listrik; AC; Kasur; Meja; Lemari Baju; Jendela; Kursi; Bantal; Guling; K. Mandi Dalam; Kloset Duduk; Shower; Air panas; WiFi; Penjaga Kos; CCTV; Balcon; Parkir Mobil; Parkir Motor &amp; Sepeda"/>
    <x v="259"/>
    <s v="Rp1.727.000"/>
    <x v="0"/>
    <m/>
    <x v="0"/>
    <m/>
    <s v="Diskon 148rb"/>
  </r>
  <r>
    <s v="Kost Singgahsini 3L Residence Tipe A Kelapa Gading Jakarta Utara"/>
    <x v="4"/>
    <s v="Kecamatan Kelapa Gading"/>
    <n v="10.5"/>
    <s v="3 x 3.5 meter"/>
    <s v="Tidak termasuk listrik"/>
    <n v="2025000"/>
    <s v="Rp2.025.000"/>
    <s v="3 x 3.5 meter; Tidak termasuk listrik; AC; Kasur; Meja; Lemari Baju; Ventilasi; Kursi; Bantal; Cermin; Jendela; Kloset Duduk; K. Mandi Luar; Shower; Air panas; WiFi; Kulkas; Penjaga Kos; Dapur; Dispenser; CCTV; Parkir Mobil; Parkir Motor; Parkir Motor &amp; Sepeda"/>
    <x v="104"/>
    <s v="Rp1.865.000"/>
    <x v="8"/>
    <d v="1899-12-30T04:09:00"/>
    <x v="0"/>
    <m/>
    <s v="Diskon 160rb"/>
  </r>
  <r>
    <s v="Kost Singgahsini 3L Residence Tipe B Kelapa Gading Jakarta Utara"/>
    <x v="4"/>
    <s v="Kecamatan Kelapa Gading"/>
    <n v="9"/>
    <s v="2.5 x 3.6 meter"/>
    <s v="Tidak termasuk listrik"/>
    <s v=""/>
    <s v="N/A"/>
    <s v="2.5 x 3.6 meter; Tidak termasuk listrik; AC; Kasur; Meja; Lemari Baju; Ventilasi; Kursi; Bantal; Cermin; Jendela; Kloset Duduk; K. Mandi Luar; Shower; Air panas; WiFi; Kulkas; Penjaga Kos; Dapur; Dispenser; CCTV; Parkir Mobil; Parkir Motor; Parkir Motor &amp; Sepeda"/>
    <x v="52"/>
    <s v="Rp1.875.000"/>
    <x v="2"/>
    <d v="1899-12-30T04:08:00"/>
    <x v="0"/>
    <m/>
    <s v="Diskon 160rb"/>
  </r>
  <r>
    <s v="Kost Singgahsini 3L Residence Tipe C Kelapa Gading Jakarta Utara"/>
    <x v="4"/>
    <s v="Kecamatan Kelapa Gading"/>
    <n v="6.8999999999999995"/>
    <s v="2.3 x 3 meter"/>
    <s v="Tidak termasuk listrik"/>
    <s v=""/>
    <s v="N/A"/>
    <s v="2.3 x 3 meter; Tidak termasuk listrik; AC; Kasur; Meja; Lemari Baju; Ventilasi; Kursi; Bantal; Cermin; Jendela; Kloset Duduk; Shower; Air panas; WiFi; Kulkas; Penjaga Kos; Dapur; Dispenser; K. Mandi Luar; CCTV; Parkir Mobil; Parkir Motor; Parkir Motor &amp; Sepeda"/>
    <x v="44"/>
    <s v="Rp1.725.000"/>
    <x v="2"/>
    <d v="1899-12-30T04:08:00"/>
    <x v="0"/>
    <m/>
    <s v="Diskon 160rb"/>
  </r>
  <r>
    <s v="Kost Singgahsini 77 Tipe D Cengkareng Jakarta Barat"/>
    <x v="3"/>
    <s v="Cengkareng"/>
    <n v="6.8999999999999995"/>
    <s v="3.0 x 2.3 meter"/>
    <s v="Tidak termasuk listrik"/>
    <n v="1925000"/>
    <s v="Rp1.925.000"/>
    <s v="3.0 x 2.3 meter; Tidak termasuk listrik; AC; Kasur; Meja; Lemari Baju; Kursi; Bantal; Cermin; Guling; Jendela; K. Mandi Dalam; Kloset Duduk; Shower; WiFi; Kulkas; R. Jemur; Dispenser; CCTV; Parkir Mobil; Parkir Motor; Parkir Sepeda"/>
    <x v="142"/>
    <s v="Rp1.830.000"/>
    <x v="2"/>
    <d v="1899-12-30T04:08:00"/>
    <x v="2"/>
    <m/>
    <s v="Diskon 95rb"/>
  </r>
  <r>
    <s v="Kost Singgahsini 88 Tipe A Cengkareng Jakarta Barat"/>
    <x v="3"/>
    <s v="Cengkareng"/>
    <n v="18"/>
    <s v="4 x 4.5 meter"/>
    <s v="Tidak termasuk listrik"/>
    <s v=""/>
    <s v="N/A"/>
    <s v="4 x 4.5 meter; Tidak termasuk listrik; AC; Kasur; Meja; TV; Lemari Baju; Kursi; Jendela; Bantal; K. Mandi Dalam; Kloset Duduk; Shower; Air panas; WiFi; Penjaga Kos; R. Santai; Kartu Akses; CCTV; Balcon; Parkir Motor &amp; Sepeda"/>
    <x v="260"/>
    <s v="Rp2.525.000"/>
    <x v="6"/>
    <d v="1899-12-30T04:06:00"/>
    <x v="2"/>
    <m/>
    <s v="Diskon 164rb"/>
  </r>
  <r>
    <s v="Kost Singgahsini 88 Tipe C Cengkareng Jakarta Barat"/>
    <x v="3"/>
    <s v="Cengkareng"/>
    <n v="7.26"/>
    <s v="3.3 x 2.2 meter"/>
    <s v="Tidak termasuk listrik"/>
    <n v="2075000"/>
    <s v="Rp2.075.000"/>
    <s v="3.3 x 2.2 meter; Tidak termasuk listrik; AC; Kasur; TV; Lemari Baju; Jendela; Bantal; K. Mandi Dalam; Kloset Duduk; Shower; Air panas; WiFi; Penjaga Kos; R. Santai; Kartu Akses; CCTV; Balcon; Parkir Motor &amp; Sepeda"/>
    <x v="261"/>
    <s v="Rp1.911.000"/>
    <x v="12"/>
    <d v="1899-12-30T04:04:00"/>
    <x v="2"/>
    <m/>
    <s v="Diskon 164rb"/>
  </r>
  <r>
    <s v="Kost Singgahsini 99 Residence Tipe A Palmerah Jakarta Barat"/>
    <x v="3"/>
    <s v="Palmerah"/>
    <n v="14"/>
    <s v="4 x 3.5 meter"/>
    <s v="Tidak termasuk listrik"/>
    <n v="2825000"/>
    <s v="Rp2.825.000"/>
    <s v="4 x 3.5 meter; Tidak termasuk listrik; AC; Kasur; Meja; Lemari Baju; Kursi; Jendela; Bantal; K. Mandi Dalam; Kloset Duduk; Wastafel; Shower; Air panas; WiFi; R. Cuci; Kulkas; R. Tamu; Penjaga Kos; R. Jemur; Dapur; CCTV; Rooftop; Balcon; Parkir Mobil; Parkir Motor &amp; Sepeda"/>
    <x v="141"/>
    <s v="Rp2.685.000"/>
    <x v="3"/>
    <d v="1899-12-30T05:00:00"/>
    <x v="0"/>
    <m/>
    <s v="Diskon 140rb"/>
  </r>
  <r>
    <s v="Kost Singgahsini 99 Residence Tipe B Palmerah Jakarta Barat"/>
    <x v="3"/>
    <s v="Palmerah"/>
    <n v="11.2"/>
    <s v="4 x 2.8 meter"/>
    <s v="Tidak termasuk listrik"/>
    <n v="2425000"/>
    <s v="Rp2.425.000"/>
    <s v="4 x 2.8 meter; Tidak termasuk listrik; AC; Kasur; Meja; Lemari Baju; Kursi; Bantal; K. Mandi Dalam; Kloset Duduk; Shower; Air panas; WiFi; R. Cuci; Kulkas; R. Tamu; Penjaga Kos; R. Jemur; Dapur; CCTV; Rooftop; Balcon; Parkir Mobil; Parkir Motor &amp; Sepeda"/>
    <x v="257"/>
    <s v="Rp2.233.000"/>
    <x v="13"/>
    <d v="1899-12-30T04:03:00"/>
    <x v="0"/>
    <m/>
    <s v="Diskon 192rb"/>
  </r>
  <r>
    <s v="Kost Singgahsini Abdul Majid Dalam Tipe B Cilandak Jakarta Selatan"/>
    <x v="5"/>
    <s v="Cilandak"/>
    <n v="8.32"/>
    <s v="2.6 x 3.2 meter"/>
    <s v="Tidak termasuk listrik"/>
    <s v=""/>
    <s v="N/A"/>
    <s v="2.6 x 3.2 meter; Tidak termasuk listrik; AC; Kasur; Lemari Baju; Ventilasi; Bantal; Jendela; K. Mandi Dalam; Kloset Duduk; Shower; WiFi; Penjaga Kos; R. Santai; Dapur; Parkir Motor; Parkir Sepeda"/>
    <x v="262"/>
    <s v="Rp1.652.500"/>
    <x v="6"/>
    <d v="1899-12-30T04:06:00"/>
    <x v="0"/>
    <m/>
    <s v="Diskon 95rb"/>
  </r>
  <r>
    <s v="Kost Singgahsini Abdul Majid Dalam Tipe C Cilandak Jakarta Selatan"/>
    <x v="5"/>
    <s v="Cilandak"/>
    <n v="9"/>
    <s v="3 x 3 meter"/>
    <s v="Tidak termasuk listrik"/>
    <s v=""/>
    <s v="N/A"/>
    <s v="3 x 3 meter; Tidak termasuk listrik; AC; Kasur; K. Mandi Dalam; Kloset Duduk; WiFi; Penjaga Kos; R. Santai; Dapur; Parkir Sepeda; Parkir Motor &amp; Sepeda"/>
    <x v="243"/>
    <s v="Rp1.675.000"/>
    <x v="8"/>
    <d v="1899-12-30T04:09:00"/>
    <x v="0"/>
    <m/>
    <s v="Diskon 95rb"/>
  </r>
  <r>
    <s v="Kost Singgahsini Abel Tipe A Kalideres Jakarta Barat"/>
    <x v="3"/>
    <s v="Kali Deres"/>
    <n v="12.8"/>
    <s v="4 x 3.2 meter"/>
    <s v="Tidak termasuk listrik"/>
    <s v=""/>
    <s v="N/A"/>
    <s v="4 x 3.2 meter; Tidak termasuk listrik; AC; Kasur; Meja; Lemari Baju; Ventilasi; Kursi; Bantal; Cermin; Guling; Jendela; K. Mandi Dalam; Kloset Duduk; Shower; WiFi; Kulkas; Penjaga Kos; R. Makan; Dapur; Dispenser; K. Mandi Luar; CCTV; Parkir Mobil; Parkir Motor; Parkir Sepeda"/>
    <x v="52"/>
    <s v="Rp1.875.000"/>
    <x v="2"/>
    <d v="1899-12-30T04:08:00"/>
    <x v="2"/>
    <m/>
    <m/>
  </r>
  <r>
    <s v="Kost Singgahsini Abel Tipe B Kalideres Jakarta Barat"/>
    <x v="3"/>
    <s v="Kali Deres"/>
    <n v="11.520000000000001"/>
    <s v="3.6 x 3.2 meter"/>
    <s v="Tidak termasuk listrik"/>
    <s v=""/>
    <s v="N/A"/>
    <s v="3.6 x 3.2 meter; Tidak termasuk listrik; AC; Kasur; Meja; Lemari Baju; Ventilasi; Kursi; Bantal; Cermin; Guling; Jendela; Kloset Duduk; K. Mandi Luar; Wastafel; Shower; WiFi; Kulkas; Penjaga Kos; R. Makan; Dapur; Dispenser; CCTV; Parkir Mobil; Parkir Motor; Parkir Sepeda"/>
    <x v="44"/>
    <s v="Rp1.725.000"/>
    <x v="6"/>
    <d v="1899-12-30T04:06:00"/>
    <x v="2"/>
    <m/>
    <s v="Diskon 180rb"/>
  </r>
  <r>
    <s v="Kost Singgahsini Ada Lika Halim Perdana Kusuma Tipe A Makasar Jakarta Timur"/>
    <x v="8"/>
    <s v="Makasar"/>
    <n v="5.28"/>
    <s v="2.4 x 2.2 meter"/>
    <s v="Tidak termasuk listrik"/>
    <n v="1480000"/>
    <s v="Rp1.480.000"/>
    <s v="2.4 x 2.2 meter; Tidak termasuk listrik; AC; Kasur; Meja; Lemari Baju; Ventilasi; Kursi; Bantal; Guling; K. Mandi Dalam; Kloset Duduk; Ember mandi; Shower; WiFi; R. Tamu; R. Jemur; Dapur; CCTV; Parkir Mobil; Parkir Motor; Parkir Sepeda"/>
    <x v="263"/>
    <s v="Rp1.406.000"/>
    <x v="8"/>
    <d v="1899-12-30T04:09:00"/>
    <x v="1"/>
    <m/>
    <s v="Diskon 74rb"/>
  </r>
  <r>
    <s v="Kost Singgahsini Ada Lika Halim Perdana Kusuma Tipe B Makasar Jakarta Timur"/>
    <x v="8"/>
    <s v="Makasar"/>
    <n v="5.28"/>
    <s v="2.4 x 2.2 meter"/>
    <s v="Tidak termasuk listrik"/>
    <n v="1350000"/>
    <s v="Rp1.350.000"/>
    <s v="2.4 x 2.2 meter; Tidak termasuk listrik; AC; Kasur; Meja; Lemari Baju; Kursi; Bantal; Guling; Jendela; Kloset Duduk; Kloset Jongkok; K. Mandi Luar; Shower; WiFi; R. Tamu; R. Jemur; Dapur; CCTV; Parkir Mobil; Parkir Motor; Parkir Sepeda"/>
    <x v="264"/>
    <s v="Rp1.282.500"/>
    <x v="8"/>
    <d v="1899-12-30T04:09:00"/>
    <x v="1"/>
    <m/>
    <s v="Diskon 68rb"/>
  </r>
  <r>
    <s v="Kost Singgahsini Ada Lika Halim Perdana Kusuma Tipe C Makasar Jakarta Timur"/>
    <x v="8"/>
    <s v="Makasar"/>
    <n v="5.28"/>
    <s v="2.4 x 2.2 meter"/>
    <s v="Tidak termasuk listrik"/>
    <n v="1000000"/>
    <s v="Rp1.000.000"/>
    <s v="2.4 x 2.2 meter; Tidak termasuk listrik; Kasur; Meja; Lemari Baju; Kursi; Kipas Angin; Jendela; Kloset Duduk; Kloset Jongkok; K. Mandi Luar; Shower; WiFi; R. Tamu; R. Jemur; Dapur; CCTV; Parkir Mobil; Parkir Motor; Parkir Sepeda"/>
    <x v="0"/>
    <s v="Rp950.000"/>
    <x v="2"/>
    <d v="1899-12-30T04:08:00"/>
    <x v="1"/>
    <m/>
    <s v="Diskon 50rb"/>
  </r>
  <r>
    <s v="Kost Singgahsini Agde Living 2 Tipe A Kalibata Jakarta Selatan"/>
    <x v="5"/>
    <s v="Pancoran"/>
    <n v="12.25"/>
    <s v="3.5 x 3.5 meter"/>
    <s v="Tidak termasuk listrik"/>
    <n v="2325000"/>
    <s v="Rp2.325.000"/>
    <s v="3.5 x 3.5 meter; Tidak termasuk listrik; AC; Kasur; Meja; TV; Lemari Baju; Kursi; Jendela; Bantal; Cermin; Guling; K. Mandi Dalam; Kloset Duduk; Wastafel; Shower; Air panas; WiFi; Penjaga Kos; R. Jemur; Dapur; Dispenser; Parkir Mobil; Parkir Motor &amp; Sepeda"/>
    <x v="265"/>
    <s v="Rp2.141.000"/>
    <x v="8"/>
    <d v="1899-12-30T04:09:00"/>
    <x v="0"/>
    <m/>
    <s v="Diskon 184rb"/>
  </r>
  <r>
    <s v="Kost Singgahsini Aglonema Lebak Bulus Tipe A Cilandak Jakarta Selatan"/>
    <x v="5"/>
    <s v="Kecamatan Cilandak"/>
    <n v="7.4399999999999995"/>
    <s v="3.1 x 2.4 meter"/>
    <s v="Termasuk listrik (implied)"/>
    <s v=""/>
    <s v="N/A"/>
    <s v="3.1 x 2.4 meter; Termasuk listrik; AC; Kasur; Meja; Lemari Baju; Kursi; Bantal; Cermin; Guling; Jendela; K. Mandi Dalam; Kloset Duduk; Ember mandi; Shower; WiFi; Kulkas; R. Tamu; Penjaga Kos; R. Makan; R. Jemur; Dapur; Parkir Mobil; Parkir Motor; Parkir Sepeda"/>
    <x v="153"/>
    <s v="Rp2.125.000"/>
    <x v="8"/>
    <d v="1899-12-30T04:09:00"/>
    <x v="0"/>
    <m/>
    <m/>
  </r>
  <r>
    <s v="Kost Singgahsini Akifa Tipe A Pasar Rebo Jakarta Timur"/>
    <x v="8"/>
    <s v="Pasar Rebo"/>
    <n v="12.25"/>
    <s v="3.5 x 3.5 meter"/>
    <s v="Tidak termasuk listrik"/>
    <n v="1255000"/>
    <s v="Rp1.255.000"/>
    <s v="3.5 x 3.5 meter; Tidak termasuk listrik; AC; Kasur; Lemari Baju; Ventilasi; Jendela; Bantal; Cermin; Guling; Kloset Duduk; K. Mandi Luar; Ember mandi; WiFi; R. Cuci; Kulkas; Penjaga Kos; Dapur; Parkir Motor &amp; Sepeda"/>
    <x v="266"/>
    <s v="Rp1.156.600"/>
    <x v="8"/>
    <d v="1899-12-30T04:09:00"/>
    <x v="2"/>
    <m/>
    <s v="Diskon 98rb"/>
  </r>
  <r>
    <s v="Kost Singgahsini Al Farisy Tipe A Kalideres Jakarta Barat"/>
    <x v="6"/>
    <s v="Kalideres"/>
    <n v="12"/>
    <s v="3 x 4 meter"/>
    <s v="Tidak termasuk listrik"/>
    <s v=""/>
    <s v="N/A"/>
    <s v="3 x 4 meter; Tidak termasuk listrik; AC; Kasur; Meja; Lemari Baju; Kursi; Bantal; Cermin; Guling; Jendela; K. Mandi Dalam; Kloset Jongkok; Ember mandi; WiFi; R. Tamu; Penjaga Kos; R. Jemur; Dapur; Jemuran; Parkir Mobil; Parkir Motor; Parkir Sepeda"/>
    <x v="34"/>
    <s v="Rp1.325.000"/>
    <x v="8"/>
    <d v="1899-12-30T04:09:00"/>
    <x v="0"/>
    <m/>
    <m/>
  </r>
  <r>
    <s v="Kost Singgahsini Al Farisy Tipe B Kalideres Jakarta Barat"/>
    <x v="6"/>
    <s v="Kalideres"/>
    <n v="12"/>
    <s v="3 x 4 meter"/>
    <s v="Tidak termasuk listrik"/>
    <s v=""/>
    <s v="N/A"/>
    <s v="3 x 4 meter; Tidak termasuk listrik; Kasur; Meja; Lemari Baju; Kursi; Kipas Angin; Bantal; Cermin; Guling; Jendela; K. Mandi Dalam; Kloset Jongkok; Ember mandi; WiFi; R. Tamu; Penjaga Kos; R. Jemur; Dapur; Jemuran; Parkir Mobil; Parkir Motor; Parkir Sepeda"/>
    <x v="100"/>
    <s v="Rp1.025.000"/>
    <x v="8"/>
    <d v="1899-12-30T04:09:00"/>
    <x v="0"/>
    <m/>
    <m/>
  </r>
  <r>
    <s v="Kost Singgahsini Al Karim STAN Tipe A Pondok Aren Tangerang Selatan"/>
    <x v="2"/>
    <s v="Pondok Aren"/>
    <n v="10.240000000000002"/>
    <s v="3.2 x 3.2 meter"/>
    <s v="Tidak termasuk listrik"/>
    <s v=""/>
    <s v="N/A"/>
    <s v="3.2 x 3.2 meter; Tidak termasuk listrik; AC; Kasur; Meja; Lemari Baju; Ventilasi; Kursi; Bantal; Jendela; K. Mandi Dalam; Kloset Duduk; Ember mandi; Shower; WiFi; Kulkas; R. Tamu; Penjaga Kos; R. Makan; R. Jemur; Dapur; K. Mandi Luar; Jemuran; Parkir Motor; Parkir Sepeda; Parkir Motor &amp; Sepeda"/>
    <x v="267"/>
    <s v="Rp1.240.000"/>
    <x v="2"/>
    <d v="1899-12-30T04:08:00"/>
    <x v="2"/>
    <m/>
    <s v="Diskon 43rb"/>
  </r>
  <r>
    <s v="Kost Singgahsini Alamanda BSD Tipe A Serpong Tangerang Selatan"/>
    <x v="2"/>
    <s v="Serpong"/>
    <n v="9"/>
    <s v="2.5 x 3.6 meter"/>
    <s v="Tidak termasuk listrik"/>
    <n v="1525000"/>
    <s v="Rp1.525.000"/>
    <s v="2.5 x 3.6 meter; Tidak termasuk listrik; AC; Kasur; Ventilasi; Bantal; Jendela; K. Mandi Dalam; Kloset Jongkok; Shower; WiFi; Mesin Cuci; Penjaga Kos; R. Jemur; R. Makan; Dapur; Pengurus Kos; Jemuran; Parkir Motor &amp; Sepeda"/>
    <x v="21"/>
    <s v="Rp1.450.000"/>
    <x v="8"/>
    <d v="1899-12-30T04:09:00"/>
    <x v="0"/>
    <m/>
    <s v="Diskon 75rb"/>
  </r>
  <r>
    <s v="Kost Singgahsini Alamanda BSD Tipe B Serpong Tangerang Selatan"/>
    <x v="2"/>
    <s v="Serpong"/>
    <n v="9"/>
    <s v="2.5 x 3.6 meter"/>
    <s v="Tidak termasuk listrik"/>
    <n v="1475000"/>
    <s v="Rp1.475.000"/>
    <s v="2.5 x 3.6 meter; Tidak termasuk listrik; AC; Kasur; Jendela; Bantal; Kloset Duduk; K. Mandi Luar; Shower; WiFi; Mesin Cuci; Penjaga Kos; R. Jemur; R. Makan; Dapur; Jemuran; Parkir Motor &amp; Sepeda"/>
    <x v="268"/>
    <s v="Rp1.402.500"/>
    <x v="25"/>
    <d v="1899-12-30T03:03:00"/>
    <x v="0"/>
    <m/>
    <s v="Diskon 73rb"/>
  </r>
  <r>
    <s v="Kost Singgahsini Alamanda BSD Tipe C Serpong Tangerang Selatan"/>
    <x v="2"/>
    <s v="Serpong"/>
    <n v="9"/>
    <s v="2.5 x 3.6 meter"/>
    <s v="Tidak termasuk listrik"/>
    <n v="975000"/>
    <s v="Rp975.000"/>
    <s v="2.5 x 3.6 meter; Tidak termasuk listrik; Kasur; Lemari Baju; Bantal; K. Mandi Dalam; Kloset Duduk; Bak mandi; WiFi; Mesin Cuci; Penjaga Kos; R. Jemur; R. Makan; Dapur; Jemuran; Parkir Motor &amp; Sepeda"/>
    <x v="39"/>
    <s v="Rp927.500"/>
    <x v="12"/>
    <d v="1899-12-30T04:04:00"/>
    <x v="0"/>
    <m/>
    <s v="Diskon 48rb"/>
  </r>
  <r>
    <s v="Kost Singgahsini Alaya Pejompongan Tipe A Tanah Abang Jakarta Pusat"/>
    <x v="9"/>
    <s v="Tanah Abang"/>
    <n v="12.96"/>
    <s v="3.6 x 3.6 meter"/>
    <s v="Termasuk listrik (implied)"/>
    <s v=""/>
    <s v="N/A"/>
    <s v="3.6 x 3.6 meter; Termasuk listrik; AC; Kasur; Meja; Lemari Baju; Ventilasi; Kursi; Bantal; Jendela; K. Mandi Dalam; Kloset Duduk; Kloset Jongkok; Shower; WiFi; Kulkas; R. Tamu; Penjaga Kos; R. Makan; R. Jemur; Dapur; Dispenser; K. Mandi Luar; Jemuran; Parkir Mobil; Parkir Motor; Parkir Sepeda"/>
    <x v="269"/>
    <s v="Rp1.995.000"/>
    <x v="6"/>
    <d v="1899-12-30T04:06:00"/>
    <x v="0"/>
    <m/>
    <s v="Diskon 72rb"/>
  </r>
  <r>
    <s v="Kost Singgahsini Alaya Pejompongan Tipe B Tanah Abang Jakarta Pusat"/>
    <x v="9"/>
    <s v="Tanah Abang"/>
    <n v="5.25"/>
    <s v="2.1 x 2.5 meter"/>
    <s v="Termasuk listrik (implied)"/>
    <n v="1465000"/>
    <s v="Rp1.465.000"/>
    <s v="2.1 x 2.5 meter; Termasuk listrik; AC; Kasur; Meja; Lemari Baju; Ventilasi; Kursi; Bantal; Cermin; Jendela; Kloset Duduk; K. Mandi Luar; Shower; WiFi; Kulkas; R. Tamu; Penjaga Kos; R. Makan; R. Jemur; Dapur; Dispenser; Jemuran; Parkir Mobil; Parkir Motor; Parkir Sepeda"/>
    <x v="270"/>
    <s v="Rp1.393.000"/>
    <x v="6"/>
    <d v="1899-12-30T04:06:00"/>
    <x v="0"/>
    <m/>
    <s v="Diskon 72rb"/>
  </r>
  <r>
    <s v="Kost Singgahsini Alena House Tipe A Duren Sawit Jakarta Timur"/>
    <x v="8"/>
    <s v="Duren Sawit"/>
    <n v="10.8"/>
    <s v="3 x 3.6 meter"/>
    <s v="Tidak termasuk listrik"/>
    <s v=""/>
    <s v="N/A"/>
    <s v="3 x 3.6 meter; Tidak termasuk listrik; AC; Kasur; Meja; Lemari Baju; Ventilasi; Kursi; Bantal; Cermin; Guling; Jendela; K. Mandi Dalam; Kloset Duduk; Shower; WiFi; R. Cuci; Kulkas; R. Tamu; Mesin Cuci; Penjaga Kos; R. Makan; R. Jemur; Dapur; Dispenser; Parkir Mobil; Parkir Motor &amp; Sepeda"/>
    <x v="44"/>
    <s v="Rp1.725.000"/>
    <x v="8"/>
    <d v="1899-12-30T04:09:00"/>
    <x v="2"/>
    <m/>
    <s v="Diskon 108rb"/>
  </r>
  <r>
    <s v="Kost Singgahsini Alena House Tipe B Duren Sawit Jakarta Timur"/>
    <x v="8"/>
    <s v="Duren Sawit"/>
    <n v="9"/>
    <s v="3.6 x 2.5 meter"/>
    <s v="Tidak termasuk listrik"/>
    <s v=""/>
    <s v="N/A"/>
    <s v="3.6 x 2.5 meter; Tidak termasuk listrik; AC; Kasur; Meja; Lemari Baju; Ventilasi; Kursi; Bantal; Cermin; Guling; Jendela; K. Mandi Dalam; Kloset Duduk; Shower; WiFi; R. Cuci; Kulkas; R. Tamu; Mesin Cuci; Penjaga Kos; R. Makan; R. Jemur; Dapur; Dispenser; Parkir Mobil; Parkir Motor &amp; Sepeda"/>
    <x v="78"/>
    <s v="Rp1.625.000"/>
    <x v="8"/>
    <d v="1899-12-30T04:09:00"/>
    <x v="2"/>
    <m/>
    <s v="Diskon 108rb"/>
  </r>
  <r>
    <s v="Kost Singgahsini Alena House Tipe C Duren Sawit Jakarta Timur"/>
    <x v="8"/>
    <s v="Duren Sawit"/>
    <n v="6.25"/>
    <s v="2.5 x 2.5 meter"/>
    <s v="Tidak termasuk listrik"/>
    <n v="1375000"/>
    <s v="Rp1.375.000"/>
    <s v="2.5 x 2.5 meter; Tidak termasuk listrik; AC; Kasur; Meja; Lemari Baju; Ventilasi; Kursi; Bantal; Cermin; Guling; Jendela; Kloset Duduk; K. Mandi Luar; Shower; WiFi; R. Cuci; Kulkas; R. Tamu; Mesin Cuci; Penjaga Kos; R. Makan; R. Jemur; Dapur; Dispenser; Parkir Mobil; Parkir Motor &amp; Sepeda"/>
    <x v="271"/>
    <s v="Rp1.267.000"/>
    <x v="4"/>
    <d v="1899-12-30T04:01:00"/>
    <x v="2"/>
    <m/>
    <s v="Diskon 108rb"/>
  </r>
  <r>
    <s v="Kost Singgahsini Alexandria Keagungan Gajah Mada Tipe B Taman Sari Jakarta Barat"/>
    <x v="3"/>
    <s v="Taman Sari"/>
    <n v="42"/>
    <s v="7 x 6 meter"/>
    <s v="Tidak termasuk listrik"/>
    <n v="1705000"/>
    <s v="Rp1.705.000"/>
    <s v="7 x 6 meter; Tidak termasuk listrik; AC; Kasur; Meja; Lemari Baju; Bantal; Jendela; K. Mandi Dalam; Kloset Duduk; Shower; WiFi; R. Jemur; CCTV; Parkir Motor; Parkir Sepeda"/>
    <x v="272"/>
    <s v="Rp1.621.000"/>
    <x v="2"/>
    <d v="1899-12-30T04:08:00"/>
    <x v="1"/>
    <m/>
    <s v="Diskon 84rb"/>
  </r>
  <r>
    <s v="Kost Singgahsini Alexandria Keagungan Gajah Mada Tipe C Taman Sari Jakarta Barat"/>
    <x v="3"/>
    <s v="Taman Sari"/>
    <n v="21"/>
    <s v="7 x 3 meter"/>
    <s v="Tidak termasuk listrik"/>
    <n v="1285000"/>
    <s v="Rp1.285.000"/>
    <s v="7 x 3 meter; Tidak termasuk listrik; AC; Kasur; Lemari Baju; Ventilasi; Bantal; K. Mandi Dalam; Kloset Jongkok; Ember mandi; WiFi; R. Jemur; CCTV; Parkir Motor; Parkir Sepeda"/>
    <x v="273"/>
    <s v="Rp1.222.000"/>
    <x v="2"/>
    <d v="1899-12-30T04:08:00"/>
    <x v="1"/>
    <m/>
    <s v="Diskon 63rb"/>
  </r>
  <r>
    <s v="Kost Singgahsini Alfakoz Casagoya Tipe A Kebon Jeruk Jakarta Barat"/>
    <x v="3"/>
    <s v="Kebon Jeruk"/>
    <n v="13.640000000000002"/>
    <s v="4.4 x 3.1 meter"/>
    <s v="Tidak termasuk listrik"/>
    <n v="1925000"/>
    <s v="Rp1.925.000"/>
    <s v="4.4 x 3.1 meter; Tidak termasuk listrik; AC; Kasur; Meja; Lemari Baju; Ventilasi; Kursi; Jendela; Bantal; Cermin; Guling; K. Mandi Dalam; Kloset Duduk; Wastafel; Shower; WiFi; Penjaga Kos; R. Jemur; Dapur; Rooftop; Parkir Motor &amp; Sepeda"/>
    <x v="142"/>
    <s v="Rp1.830.000"/>
    <x v="2"/>
    <d v="1899-12-30T04:08:00"/>
    <x v="0"/>
    <m/>
    <s v="Diskon 95rb"/>
  </r>
  <r>
    <s v="Kost Singgahsini Alfakoz Casagoya Tipe B Kebon Jeruk Jakarta Barat"/>
    <x v="3"/>
    <s v="Kebon Jeruk"/>
    <n v="11.47"/>
    <s v="3.1 x 3.7 meter"/>
    <s v="Tidak termasuk listrik"/>
    <n v="1825000"/>
    <s v="Rp1.825.000"/>
    <s v="3.1 x 3.7 meter; Tidak termasuk listrik; AC; Kasur; Meja; Lemari Baju; Ventilasi; Kursi; Jendela; Bantal; Cermin; Guling; K. Mandi Dalam; Kloset Duduk; Wastafel; Shower; WiFi; Penjaga Kos; R. Jemur; Dapur; Rooftop; Parkir Motor &amp; Sepeda"/>
    <x v="143"/>
    <s v="Rp1.735.000"/>
    <x v="2"/>
    <d v="1899-12-30T04:08:00"/>
    <x v="0"/>
    <m/>
    <s v="Diskon 90rb"/>
  </r>
  <r>
    <s v="Kost Singgahsini Alfakoz Casagoya Tipe C Kebon Jeruk Jakarta Barat"/>
    <x v="3"/>
    <s v="Kebon Jeruk"/>
    <n v="7.75"/>
    <s v="3.1 x 2.5 meter"/>
    <s v="Tidak termasuk listrik"/>
    <n v="1725000"/>
    <s v="Rp1.725.000"/>
    <s v="3.1 x 2.5 meter; Tidak termasuk listrik; AC; Kasur; Meja; Lemari Baju; Kursi; Jendela; Wastafel; Bantal; Cermin; Guling; K. Mandi Dalam; Kloset Duduk; Shower; WiFi; Penjaga Kos; R. Jemur; Dapur; Rooftop; Parkir Motor &amp; Sepeda"/>
    <x v="103"/>
    <s v="Rp1.640.000"/>
    <x v="2"/>
    <d v="1899-12-30T04:08:00"/>
    <x v="0"/>
    <m/>
    <s v="Diskon 85rb"/>
  </r>
  <r>
    <s v="Kost Singgahsini Alhidayah EMH-4 Tipe A Beji Depok"/>
    <x v="1"/>
    <s v="Beji"/>
    <n v="20.639999999999997"/>
    <s v="4.3 x 4.8 meter"/>
    <s v="Tidak termasuk listrik"/>
    <n v="1875000"/>
    <s v="Rp1.875.000"/>
    <s v="4.3 x 4.8 meter; Tidak termasuk listrik; AC; Kasur; Meja; Lemari Baju; Ventilasi; Kursi; Bantal; Guling; Jendela; K. Mandi Dalam; Kloset Duduk; Shower; WiFi; R. Cuci; R. Tamu; R. Jemur; Dapur; K. Mandi Luar; Parkir Mobil; Parkir Motor; Parkir Sepeda; Parkir Motor &amp; Sepeda"/>
    <x v="112"/>
    <s v="Rp1.690.000"/>
    <x v="13"/>
    <d v="1899-12-30T04:03:00"/>
    <x v="2"/>
    <m/>
    <s v="Diskon 185rb"/>
  </r>
  <r>
    <s v="Kost Singgahsini Alhidayah EMH-4 Tipe B Beji Depok"/>
    <x v="1"/>
    <s v="Beji"/>
    <n v="12"/>
    <s v="3 x 4 meter"/>
    <s v="Tidak termasuk listrik"/>
    <n v="1445000"/>
    <s v="Rp1.445.000"/>
    <s v="3 x 4 meter; Tidak termasuk listrik; AC; Kasur; Meja; Lemari Baju; Kursi; Bantal; Guling; Jendela; K. Mandi Dalam; Kloset Duduk; Shower; WiFi; R. Cuci; R. Tamu; R. Jemur; Dapur; K. Mandi Luar; Parkir Mobil; Parkir Motor; Parkir Sepeda; Parkir Motor &amp; Sepeda"/>
    <x v="274"/>
    <s v="Rp1.303.000"/>
    <x v="8"/>
    <d v="1899-12-30T04:09:00"/>
    <x v="2"/>
    <m/>
    <s v="Diskon 142rb"/>
  </r>
  <r>
    <s v="Kost Singgahsini Amanah Pondok Kelapa Tipe A Duren Sawit Jakarta Timur"/>
    <x v="8"/>
    <s v="Duren Sawit"/>
    <n v="17.600000000000001"/>
    <s v="4.4 x 4 meter"/>
    <s v="Tidak termasuk listrik"/>
    <n v="1525000"/>
    <s v="Rp1.525.000"/>
    <s v="4.4 x 4 meter; Tidak termasuk listrik; AC; Kasur; Meja; Lemari Baju; Ventilasi; Kursi; Bantal; Cermin; Guling; Jendela; K. Mandi Dalam; Kloset Duduk; Shower; WiFi; R. Tamu; Penjaga Kos; R. Makan; R. Jemur; Dapur; Jemuran; Parkir Motor &amp; Sepeda"/>
    <x v="21"/>
    <s v="Rp1.450.000"/>
    <x v="8"/>
    <d v="1899-12-30T04:09:00"/>
    <x v="1"/>
    <m/>
    <s v="Diskon 75rb"/>
  </r>
  <r>
    <s v="Kost Singgahsini Amanah Pondok Kelapa Tipe B Duren Sawit Jakarta Timur"/>
    <x v="8"/>
    <s v="Duren Sawit"/>
    <n v="10.5"/>
    <s v="3.5 x 3 meter"/>
    <s v="Tidak termasuk listrik"/>
    <n v="1325000"/>
    <s v="Rp1.325.000"/>
    <s v="3.5 x 3 meter; Tidak termasuk listrik; AC; Kasur; Lemari Baju; Ventilasi; Bantal; Cermin; Guling; Jendela; K. Mandi Dalam; Kloset Jongkok; Ember mandi; Shower; WiFi; R. Tamu; Penjaga Kos; R. Makan; R. Jemur; Dapur; Jemuran; Parkir Motor &amp; Sepeda"/>
    <x v="147"/>
    <s v="Rp1.260.000"/>
    <x v="2"/>
    <d v="1899-12-30T04:08:00"/>
    <x v="1"/>
    <m/>
    <s v="Diskon 65rb"/>
  </r>
  <r>
    <s v="Kost Singgahsini Amanah Pondok Kelapa Tipe C Duren Sawit Jakarta Timur"/>
    <x v="8"/>
    <s v="Duren Sawit"/>
    <n v="10.5"/>
    <s v="3.5 x 3 meter"/>
    <s v="Tidak termasuk listrik"/>
    <s v=""/>
    <s v="N/A"/>
    <s v="3.5 x 3 meter; Tidak termasuk listrik; AC; Kasur; Lemari Baju; Ventilasi; Bantal; Cermin; Guling; Jendela; K. Mandi Dalam; Kloset Jongkok; Ember mandi; Shower; WiFi; R. Tamu; Penjaga Kos; R. Makan; R. Jemur; Dapur; Jemuran; Parkir Motor &amp; Sepeda"/>
    <x v="125"/>
    <s v="Rp1.125.000"/>
    <x v="6"/>
    <d v="1899-12-30T04:06:00"/>
    <x v="1"/>
    <m/>
    <s v="Diskon 65rb"/>
  </r>
  <r>
    <s v="Kost Singgahsini Amelia Condet Tipe A Kramatjati Jakarta Timur"/>
    <x v="8"/>
    <s v="Kramat Jati"/>
    <n v="9"/>
    <s v="3 x 3 meter"/>
    <s v="Tidak termasuk listrik"/>
    <n v="1725000"/>
    <s v="Rp1.725.000"/>
    <s v="3 x 3 meter; Tidak termasuk listrik; AC; Kasur; Meja; Lemari Baju; Kursi; Bantal; Guling; Jendela; K. Mandi Dalam; Kloset Duduk; Shower; WiFi; Kulkas; R. Tamu; R. Jemur; R. Santai; Dapur; Dispenser; Gazebo; CCTV; Parkir Mobil; Parkir Motor"/>
    <x v="103"/>
    <s v="Rp1.640.000"/>
    <x v="2"/>
    <d v="1899-12-30T04:08:00"/>
    <x v="2"/>
    <m/>
    <s v="Diskon 85rb"/>
  </r>
  <r>
    <s v="Kost Singgahsini Amelia Condet Tipe B Kramatjati Jakarta Timur"/>
    <x v="8"/>
    <s v="Kramat Jati"/>
    <n v="12"/>
    <s v="4 x 3 meter"/>
    <s v="Tidak termasuk listrik"/>
    <n v="1925000"/>
    <s v="Rp1.925.000"/>
    <s v="4 x 3 meter; Tidak termasuk listrik; AC; Kasur; Meja; Lemari Baju; Kursi; Bantal; Guling; Jendela; K. Mandi Dalam; Kloset Duduk; K. Mandi Luar; Shower; WiFi; Kulkas; R. Tamu; R. Jemur; R. Santai; Dapur; Dispenser; Gazebo; CCTV; Parkir Mobil; Parkir Motor"/>
    <x v="142"/>
    <s v="Rp1.830.000"/>
    <x v="8"/>
    <d v="1899-12-30T04:09:00"/>
    <x v="2"/>
    <m/>
    <s v="Diskon 95rb"/>
  </r>
  <r>
    <s v="Kost Singgahsini Ananda 123 Tipe B Kebayoran Lama Jakarta Selatan"/>
    <x v="5"/>
    <s v="Kebayoran Lama"/>
    <n v="7.5"/>
    <s v="2.5 x 3 meter"/>
    <s v="Termasuk listrik (implied)"/>
    <s v=""/>
    <s v="N/A"/>
    <s v="2.5 x 3 meter; Termasuk listrik; AC; Kasur; Meja; Lemari Baju; Ventilasi; Kursi; Bantal; Guling; Jendela; K. Mandi Dalam; Kloset Duduk; Ember mandi; Shower; WiFi; R. Tamu; Penjaga Kos; R. Jemur; Dapur; CCTV; Jemuran; Parkir Mobil; Parkir Motor &amp; Sepeda"/>
    <x v="153"/>
    <s v="Rp2.125.000"/>
    <x v="2"/>
    <d v="1899-12-30T04:08:00"/>
    <x v="1"/>
    <m/>
    <m/>
  </r>
  <r>
    <s v="Kost Singgahsini Ananda 123 Tipe C Kebayoran Lama Jakarta Selatan"/>
    <x v="5"/>
    <s v="Kebayoran Lama"/>
    <n v="5.7200000000000006"/>
    <s v="2.6 x 2.2 meter"/>
    <s v="Termasuk listrik (implied)"/>
    <s v=""/>
    <s v="N/A"/>
    <s v="2.6 x 2.2 meter; Termasuk listrik; AC; Kasur; Lemari Baju; Bantal; Guling; Kloset Duduk; K. Mandi Luar; Ember mandi; Shower; WiFi; R. Tamu; Penjaga Kos; R. Jemur; Dapur; CCTV; Jemuran; Parkir Mobil; Parkir Motor &amp; Sepeda"/>
    <x v="44"/>
    <s v="Rp1.725.000"/>
    <x v="2"/>
    <d v="1899-12-30T04:08:00"/>
    <x v="1"/>
    <m/>
    <m/>
  </r>
  <r>
    <s v="Kost Singgahsini Andara Cinere Depok"/>
    <x v="1"/>
    <s v="Kecamatan Cinere"/>
    <n v="16"/>
    <s v="4 x 4 meter"/>
    <s v="Tidak termasuk listrik"/>
    <n v="2125000"/>
    <s v="Rp2.125.000"/>
    <s v="4 x 4 meter; Tidak termasuk listrik; AC; Kasur; Meja; Lemari Baju; Kursi; Bantal; Jendela; K. Mandi Dalam; Kloset Duduk; Wastafel; Shower; Air panas; WiFi; Kulkas; R. Tamu; Dapur; Dispenser; Parkir Mobil; Parkir Motor"/>
    <x v="275"/>
    <s v="Rp1.915.000"/>
    <x v="6"/>
    <d v="1899-12-30T04:06:00"/>
    <x v="2"/>
    <m/>
    <s v="Diskon 210rb"/>
  </r>
  <r>
    <s v="Kost Singgahsini Andatu Residence Tipe A Tangerang"/>
    <x v="6"/>
    <s v="Tangerang"/>
    <n v="14.79"/>
    <s v="5.1 x 2.9 meter"/>
    <s v="Tidak termasuk listrik"/>
    <n v="1625000"/>
    <s v="Rp1.625.000"/>
    <s v="5.1 x 2.9 meter; Tidak termasuk listrik; AC; Kasur; Meja; Lemari Baju; Kursi; Jendela; K. Mandi Dalam; Kloset Duduk; Bak mandi; WiFi; Penjaga Kos; Laundry; CCTV; Parkir Mobil; Parkir Motor &amp; Sepeda"/>
    <x v="276"/>
    <s v="Rp1.545.000"/>
    <x v="2"/>
    <d v="1899-12-30T04:08:00"/>
    <x v="0"/>
    <m/>
    <s v="Diskon 80rb"/>
  </r>
  <r>
    <s v="Kost Singgahsini Anggrek Bulan Tipe A Matraman Jakarta Timur"/>
    <x v="8"/>
    <s v="Kecamatan Matraman"/>
    <n v="9"/>
    <s v="3 x 3 meter"/>
    <s v="Termasuk listrik (implied)"/>
    <n v="1375000"/>
    <s v="Rp1.375.000"/>
    <s v="3 x 3 meter; Termasuk listrik; AC; Kasur; Lemari Baju; Bantal; Guling; Jendela; K. Mandi Dalam; Kloset Jongkok; Ember mandi; WiFi; Kulkas; R. Tamu; TV; Parkir Motor; Parkir Sepeda"/>
    <x v="271"/>
    <s v="Rp1.267.000"/>
    <x v="10"/>
    <d v="1899-12-30T04:05:00"/>
    <x v="0"/>
    <m/>
    <s v="Diskon 108rb"/>
  </r>
  <r>
    <s v="Kost Singgahsini Anisa Kebon Kacang 6 Tipe A Tanah Abang Jakarta Pusat"/>
    <x v="9"/>
    <s v="Tanah Abang"/>
    <n v="43.2"/>
    <s v="7.2 x 6 meter"/>
    <s v="Tidak termasuk listrik"/>
    <s v=""/>
    <s v="N/A"/>
    <s v="7.2 x 6 meter; Tidak termasuk listrik; AC; Kasur; Meja; Lemari Baju; Kursi; Bantal; Guling; K. Mandi Dalam; Kloset Duduk; Shower; WiFi; R. Tamu; Penjaga Kos; R. Makan; R. Jemur; Dapur; CCTV; Parkir Mobil; Parkir Motor"/>
    <x v="277"/>
    <s v="Rp3.025.000"/>
    <x v="3"/>
    <d v="1899-12-30T05:00:00"/>
    <x v="2"/>
    <m/>
    <s v="Diskon 150rb"/>
  </r>
  <r>
    <s v="Kost Singgahsini Anisa Kebon Kacang 6 Tipe B Tanah Abang Jakarta Pusat"/>
    <x v="9"/>
    <s v="Tanah Abang"/>
    <n v="19.25"/>
    <s v="5.5 x 3.5 meter"/>
    <s v="Tidak termasuk listrik"/>
    <s v=""/>
    <s v="N/A"/>
    <s v="5.5 x 3.5 meter; Tidak termasuk listrik; AC; Kasur; Meja; Lemari Baju; Kursi; Bantal; Guling; K. Mandi Dalam; Kloset Duduk; Shower; WiFi; R. Tamu; Penjaga Kos; R. Makan; R. Jemur; Dapur; CCTV; Parkir Mobil; Parkir Motor"/>
    <x v="278"/>
    <s v="Rp2.725.000"/>
    <x v="8"/>
    <d v="1899-12-30T04:09:00"/>
    <x v="2"/>
    <m/>
    <m/>
  </r>
  <r>
    <s v="Kost Singgahsini Anisa Kebon Kacang 6 Tipe C Tanah Abang Jakarta Pusat"/>
    <x v="9"/>
    <s v="Tanah Abang"/>
    <n v="10.5"/>
    <s v="3 x 3.5 meter"/>
    <s v="Tidak termasuk listrik"/>
    <s v=""/>
    <s v="N/A"/>
    <s v="3 x 3.5 meter; Tidak termasuk listrik; AC; Kasur; Meja; Lemari Baju; Ventilasi; Kursi; Bantal; Guling; Jendela; K. Mandi Dalam; Kloset Duduk; Wastafel; Shower; WiFi; R. Tamu; Penjaga Kos; R. Makan; R. Jemur; Dapur; CCTV; Parkir Mobil; Parkir Motor"/>
    <x v="279"/>
    <s v="Rp2.575.000"/>
    <x v="8"/>
    <d v="1899-12-30T04:09:00"/>
    <x v="2"/>
    <m/>
    <m/>
  </r>
  <r>
    <s v="Kost Singgahsini Anisa Kebon Kacang 6 Tipe E Tanah Abang Jakarta Pusat"/>
    <x v="9"/>
    <s v="Tanah Abang"/>
    <n v="7.5"/>
    <s v="3 x 2.5 meter"/>
    <s v="Tidak termasuk listrik"/>
    <s v=""/>
    <s v="N/A"/>
    <s v="3 x 2.5 meter; Tidak termasuk listrik; AC; Kasur; Meja; Lemari Baju; Kursi; Bantal; Guling; Jendela; K. Mandi Dalam; Kloset Duduk; Wastafel; Shower; WiFi; R. Tamu; Penjaga Kos; R. Makan; R. Jemur; Dapur; CCTV; Parkir Mobil; Parkir Motor"/>
    <x v="233"/>
    <s v="Rp2.325.000"/>
    <x v="6"/>
    <d v="1899-12-30T04:06:00"/>
    <x v="2"/>
    <m/>
    <s v="Diskon 107rb"/>
  </r>
  <r>
    <s v="Kost Singgahsini AOS Home Tipe A Setiabudi Jakarta Selatan"/>
    <x v="5"/>
    <s v="Kecamatan Setiabudi"/>
    <n v="9"/>
    <s v="3 x 3 meter"/>
    <s v="Termasuk listrik (implied)"/>
    <n v="2625000"/>
    <s v="Rp2.625.000"/>
    <s v="3 x 3 meter; Termasuk listrik; AC; Kasur; Meja; Lemari Baju; Kursi; Wastafel; Bantal; Jendela; K. Mandi Dalam; Kloset Duduk; Shower; WiFi; Penjaga Kos; Parkir Mobil; Parkir Motor; Parkir Sepeda; Parkir Motor &amp; Sepeda"/>
    <x v="280"/>
    <s v="Rp2.495.000"/>
    <x v="10"/>
    <d v="1899-12-30T04:05:00"/>
    <x v="0"/>
    <m/>
    <s v="Diskon 130rb"/>
  </r>
  <r>
    <s v="Kost Singgahsini Apel 166 Tipe A Tanjung Duren Grogol Jakarta Barat"/>
    <x v="3"/>
    <s v="Grogol Petamburan"/>
    <n v="9.8999999999999986"/>
    <s v="3 x 3.3 meter"/>
    <s v="Termasuk listrik (implied)"/>
    <s v=""/>
    <s v="N/A"/>
    <s v="3 x 3.3 meter; Termasuk listrik; AC; Kasur; Meja; Lemari Baju; Kursi; K. Mandi Dalam; Kloset Duduk; Wastafel; Shower; Air panas; WiFi; Kulkas; R. Tamu; Penjaga Kos; Laundry; R. Jemur; Taman; Parkir Mobil; Parkir Motor; Parkir Sepeda; Parkir Motor &amp; Sepeda"/>
    <x v="238"/>
    <s v="Rp2.050.000"/>
    <x v="6"/>
    <d v="1899-12-30T04:06:00"/>
    <x v="0"/>
    <m/>
    <s v="Diskon 98rb"/>
  </r>
  <r>
    <s v="Kost Singgahsini Apel 166 Tipe B Tanjung Duren Grogol Jakarta Barat"/>
    <x v="3"/>
    <s v="Grogol Petamburan"/>
    <n v="9.8999999999999986"/>
    <s v="3 x 3.3 meter"/>
    <s v="Termasuk listrik (implied)"/>
    <s v=""/>
    <s v="N/A"/>
    <s v="3 x 3.3 meter; Termasuk listrik; AC; Kasur; Meja; Lemari Baju; Kulkas; Kursi; K. Mandi Dalam; Kloset Duduk; Wastafel; Shower; Air panas; WiFi; R. Tamu; Penjaga Kos; Laundry; R. Jemur; Taman; Parkir Mobil; Parkir Motor; Parkir Sepeda; Parkir Motor &amp; Sepeda"/>
    <x v="22"/>
    <s v="Rp2.500.000"/>
    <x v="2"/>
    <d v="1899-12-30T04:08:00"/>
    <x v="0"/>
    <m/>
    <s v="Diskon 200rb"/>
  </r>
  <r>
    <s v="Kost Singgahsini Ara H17 Tipe A Cinere Depok"/>
    <x v="1"/>
    <s v="Cinere"/>
    <n v="10.5"/>
    <s v="3.5 x 3 meter"/>
    <s v="Tidak termasuk listrik"/>
    <n v="1775000"/>
    <s v="Rp1.775.000"/>
    <s v="3.5 x 3 meter; Tidak termasuk listrik; AC; Kasur; Meja; Lemari Baju; Kursi; K. Mandi Dalam; Kloset Duduk; Shower; WiFi; Kulkas; R. Tamu; Penjaga Kos; R. Makan; R. Jemur; Parkir Motor &amp; Sepeda"/>
    <x v="13"/>
    <s v="Rp1.600.000"/>
    <x v="2"/>
    <d v="1899-12-30T04:08:00"/>
    <x v="2"/>
    <m/>
    <s v="Diskon 175rb"/>
  </r>
  <r>
    <s v="Kost Singgahsini Ara H17 Tipe B Cinere Depok"/>
    <x v="1"/>
    <s v="Cinere"/>
    <n v="9"/>
    <s v="3 x 3 meter"/>
    <s v="Tidak termasuk listrik"/>
    <n v="1525000"/>
    <s v="Rp1.525.000"/>
    <s v="3 x 3 meter; Tidak termasuk listrik; AC; Kasur; Meja; Lemari Baju; Kursi; K. Mandi Dalam; Kloset Duduk; Shower; WiFi; Kulkas; R. Tamu; Penjaga Kos; R. Makan; R. Jemur; Parkir Motor &amp; Sepeda"/>
    <x v="54"/>
    <s v="Rp1.375.000"/>
    <x v="2"/>
    <d v="1899-12-30T04:08:00"/>
    <x v="2"/>
    <m/>
    <s v="Diskon 150rb"/>
  </r>
  <r>
    <s v="Kost Singgahsini Arkana Tipe A Pulo Gadung Jakarta Timur"/>
    <x v="8"/>
    <s v="Pulo Gadung"/>
    <n v="15.179999999999998"/>
    <s v="4.6 x 3.3 meter"/>
    <s v="Tidak termasuk listrik"/>
    <n v="2825000"/>
    <s v="Rp2.825.000"/>
    <s v="4.6 x 3.3 meter; Tidak termasuk listrik; AC; Kasur; Meja; Lemari Baju; Ventilasi; Kursi; Bantal; Cermin; Jendela; K. Mandi Dalam; Kloset Duduk; Shower; Air panas; WiFi; R. Cuci; Kulkas; R. Tamu; Mesin Cuci; Penjaga Kos; R. Makan; R. Jemur; Dapur; Dispenser; Parkir Mobil; Parkir Motor &amp; Sepeda"/>
    <x v="141"/>
    <s v="Rp2.685.000"/>
    <x v="10"/>
    <d v="1899-12-30T04:05:00"/>
    <x v="2"/>
    <m/>
    <s v="Diskon 140rb"/>
  </r>
  <r>
    <s v="Kost Singgahsini Arkana Tipe B Pulo Gadung Jakarta Timur"/>
    <x v="8"/>
    <s v="Pulo Gadung"/>
    <n v="12.209999999999999"/>
    <s v="3.7 x 3.3 meter"/>
    <s v="Tidak termasuk listrik"/>
    <s v=""/>
    <s v="N/A"/>
    <s v="3.7 x 3.3 meter; Tidak termasuk listrik; AC; Kasur; Meja; Lemari Baju; Ventilasi; Kursi; Bantal; Cermin; Jendela; K. Mandi Dalam; Kloset Duduk; Shower; Air panas; WiFi; R. Cuci; Kulkas; R. Tamu; Mesin Cuci; Penjaga Kos; R. Makan; R. Jemur; Dapur; Dispenser; Parkir Mobil; Parkir Motor &amp; Sepeda"/>
    <x v="281"/>
    <s v="Rp2.375.000"/>
    <x v="3"/>
    <d v="1899-12-30T05:00:00"/>
    <x v="2"/>
    <m/>
    <s v="Diskon 108rb"/>
  </r>
  <r>
    <s v="Kost Singgahsini Arkana Tipe C Pulo Gadung Jakarta Timur"/>
    <x v="8"/>
    <s v="Pulo Gadung"/>
    <n v="12.209999999999999"/>
    <s v="3.7 x 3.3 meter"/>
    <s v="Tidak termasuk listrik"/>
    <n v="2275000"/>
    <s v="Rp2.275.000"/>
    <s v="3.7 x 3.3 meter; Tidak termasuk listrik; AC; Kasur; Meja; Lemari Baju; Ventilasi; Kursi; Bantal; Cermin; Jendela; K. Mandi Dalam; Kloset Duduk; Shower; WiFi; R. Cuci; Kulkas; R. Tamu; Mesin Cuci; Penjaga Kos; R. Makan; R. Jemur; Dapur; Dispenser; Parkir Mobil; Parkir Motor &amp; Sepeda"/>
    <x v="282"/>
    <s v="Rp2.162.500"/>
    <x v="2"/>
    <d v="1899-12-30T04:08:00"/>
    <x v="2"/>
    <m/>
    <s v="Diskon 113rb"/>
  </r>
  <r>
    <s v="Kost Singgahsini Arkana Tipe D Pulo Gadung Jakarta Timur"/>
    <x v="8"/>
    <s v="Pulo Gadung"/>
    <n v="12.209999999999999"/>
    <s v="3.7 x 3.3 meter"/>
    <s v="Tidak termasuk listrik"/>
    <n v="2175000"/>
    <s v="Rp2.175.000"/>
    <s v="3.7 x 3.3 meter; Tidak termasuk listrik; AC; Kasur; Meja; Lemari Baju; Ventilasi; Kursi; Bantal; Cermin; Jendela; K. Mandi Dalam; Kloset Duduk; Shower; WiFi; R. Cuci; Kulkas; R. Tamu; Mesin Cuci; Penjaga Kos; R. Makan; R. Jemur; Dapur; Dispenser; Parkir Mobil; Parkir Motor &amp; Sepeda"/>
    <x v="283"/>
    <s v="Rp2.067.500"/>
    <x v="2"/>
    <d v="1899-12-30T04:08:00"/>
    <x v="2"/>
    <m/>
    <s v="Diskon 108rb"/>
  </r>
  <r>
    <s v="Kost Singgahsini Arte Cipete Utara Tipe D Kebayoran Baru Jakarta Selatan"/>
    <x v="5"/>
    <s v="Kebayoran Baru"/>
    <n v="14.399999999999999"/>
    <s v="3 x 4.8 meter"/>
    <s v="Tidak termasuk listrik"/>
    <n v="3525000"/>
    <s v="Rp3.525.000"/>
    <s v="3 x 4.8 meter; Tidak termasuk listrik; AC; Kasur; Meja; TV; Lemari Baju; Kursi; Jendela; Bantal; K. Mandi Dalam; Kloset Duduk; Shower; Air panas; WiFi; Penjaga Kos; CCTV; Parkir Motor &amp; Sepeda"/>
    <x v="284"/>
    <s v="Rp3.350.000"/>
    <x v="6"/>
    <d v="1899-12-30T04:06:00"/>
    <x v="0"/>
    <m/>
    <s v="Diskon 175rb"/>
  </r>
  <r>
    <s v="Kost Singgahsini Arti Peni Tipe B Matraman Jakarta Timur"/>
    <x v="8"/>
    <s v="Matraman"/>
    <n v="7.8000000000000007"/>
    <s v="3 x 2.6 meter"/>
    <s v="Tidak termasuk listrik"/>
    <n v="1605000"/>
    <s v="Rp1.605.000"/>
    <s v="3 x 2.6 meter; Tidak termasuk listrik; AC; Kasur; Meja; Lemari Baju; Kursi; Jendela; Bantal; K. Mandi Dalam; Kloset Duduk; Ember mandi; Shower; WiFi; R. Tamu; Penjaga Kos; R. Jemur; Jemuran; K. Mandi Luar; Parkir Mobil; Parkir Motor &amp; Sepeda"/>
    <x v="285"/>
    <s v="Rp1.526.000"/>
    <x v="2"/>
    <d v="1899-12-30T04:08:00"/>
    <x v="0"/>
    <m/>
    <s v="Diskon 79rb"/>
  </r>
  <r>
    <s v="Kost Singgahsini Arti Peni Tipe C Matraman Jakarta Timur"/>
    <x v="8"/>
    <s v="Matraman"/>
    <n v="7.8000000000000007"/>
    <s v="3 x 2.6 meter"/>
    <s v="Tidak termasuk listrik"/>
    <s v=""/>
    <s v="N/A"/>
    <s v="3 x 2.6 meter; Tidak termasuk listrik; AC; Kasur; Meja; Lemari Baju; Ventilasi; Kursi; Bantal; Kloset Duduk; K. Mandi Luar; Ember mandi; Shower; WiFi; R. Tamu; Penjaga Kos; R. Jemur; Jemuran; Parkir Mobil; Parkir Motor &amp; Sepeda"/>
    <x v="63"/>
    <s v="Rp1.275.000"/>
    <x v="10"/>
    <d v="1899-12-30T04:05:00"/>
    <x v="0"/>
    <m/>
    <s v="Diskon 79rb"/>
  </r>
  <r>
    <s v="Kost Singgahsini Arvani Tipe A Pulo Gadung Jakarta Timur"/>
    <x v="8"/>
    <s v="Cakung"/>
    <n v="10.8"/>
    <s v="4 x 2.7 meter"/>
    <s v="Tidak termasuk listrik"/>
    <s v=""/>
    <s v="N/A"/>
    <s v="4 x 2.7 meter; Tidak termasuk listrik; AC; Kasur; Meja; Lemari Baju; Kursi; Bantal; Cermin; Guling; Jendela; K. Mandi Dalam; Kloset Duduk; Shower; Air panas; WiFi; R. Cuci; Kulkas; R. Tamu; Mesin Cuci; Penjaga Kos; R. Jemur; Dapur; Dispenser; CCTV; Parkir Motor &amp; Sepeda"/>
    <x v="163"/>
    <s v="Rp1.700.000"/>
    <x v="8"/>
    <d v="1899-12-30T04:09:00"/>
    <x v="2"/>
    <m/>
    <s v="Diskon 87rb"/>
  </r>
  <r>
    <s v="Kost Singgahsini Arvani Tipe B Pulo Gadung Jakarta Timur"/>
    <x v="8"/>
    <s v="Cakung"/>
    <n v="8.8000000000000007"/>
    <s v="4 x 2.2 meter"/>
    <s v="Tidak termasuk listrik"/>
    <s v=""/>
    <s v="N/A"/>
    <s v="4 x 2.2 meter; Tidak termasuk listrik; AC; Kasur; Meja; Lemari Baju; Kursi; Bantal; Cermin; Guling; Jendela; K. Mandi Dalam; Kloset Duduk; Shower; Air panas; WiFi; R. Cuci; Kulkas; R. Tamu; Mesin Cuci; Penjaga Kos; R. Jemur; Dapur; Dispenser; CCTV; Parkir Motor &amp; Sepeda"/>
    <x v="13"/>
    <s v="Rp1.600.000"/>
    <x v="2"/>
    <d v="1899-12-30T04:08:00"/>
    <x v="2"/>
    <m/>
    <s v="Diskon 87rb"/>
  </r>
  <r>
    <s v="Kost Singgahsini Arvindo Tipe A Palmerah Jakarta Barat"/>
    <x v="3"/>
    <s v="Kecamatan Palmerah"/>
    <n v="9"/>
    <s v="3 x 3 meter"/>
    <s v="Termasuk listrik (implied)"/>
    <n v="2275000"/>
    <s v="Rp2.275.000"/>
    <s v="3 x 3 meter; Termasuk listrik; AC; Kasur; Meja; Lemari Baju; Kursi; Bantal; Jendela; K. Mandi Dalam; Kloset Duduk; Shower; WiFi; R. Tamu; R. Jemur; Dapur; CCTV; Parkir Motor; Parkir Sepeda"/>
    <x v="286"/>
    <s v="Rp2.175.000"/>
    <x v="8"/>
    <d v="1899-12-30T04:09:00"/>
    <x v="0"/>
    <m/>
    <s v="Diskon 100rb"/>
  </r>
  <r>
    <s v="Kost Singgahsini Arya Tipe A Beji Depok"/>
    <x v="1"/>
    <s v="Beji"/>
    <n v="10.240000000000002"/>
    <s v="3.2 x 3.2 meter"/>
    <s v="Tidak termasuk listrik"/>
    <n v="1200000"/>
    <s v="Rp1.200.000"/>
    <s v="3.2 x 3.2 meter; Tidak termasuk listrik; AC; Kasur; Meja; Lemari Baju; Ventilasi; Kursi; Jendela; Bantal; Cermin; K. Mandi Dalam; Kloset Duduk; Ember mandi; Shower; WiFi; Kulkas; Penjaga Kos; Dapur; Parkir Motor &amp; Sepeda"/>
    <x v="287"/>
    <s v="Rp1.080.000"/>
    <x v="6"/>
    <d v="1899-12-30T04:06:00"/>
    <x v="1"/>
    <m/>
    <s v="Diskon 120rb"/>
  </r>
  <r>
    <s v="Kost Singgahsini Asia Baru 40A Tipe A Kebon Jeruk Jakarta Barat"/>
    <x v="3"/>
    <s v="Kebon Jeruk"/>
    <n v="9.8999999999999986"/>
    <s v="3 x 3.3 meter"/>
    <s v="Termasuk listrik (implied)"/>
    <n v="1800000"/>
    <s v="Rp1.800.000"/>
    <s v="3 x 3.3 meter; Termasuk listrik; AC; Kasur; Meja; Lemari Baju; Ventilasi; Kursi; Bantal; K. Mandi Dalam; Kloset Duduk; Ember mandi; WiFi; R. Tamu; R. Jemur; Dapur; CCTV; Parkir Mobil; Parkir Motor; Parkir Sepeda; Parkir Motor &amp; Sepeda"/>
    <x v="288"/>
    <s v="Rp1.622.500"/>
    <x v="2"/>
    <d v="1899-12-30T04:08:00"/>
    <x v="0"/>
    <m/>
    <s v="Diskon 178rb"/>
  </r>
  <r>
    <s v="Kost Singgahsini Asia Baru 40A Tipe C Kebon Jeruk Jakarta Barat"/>
    <x v="3"/>
    <s v="Kebon Jeruk"/>
    <n v="13.299999999999999"/>
    <s v="3.5 x 3.8 meter"/>
    <s v="Termasuk listrik (implied)"/>
    <n v="1675000"/>
    <s v="Rp1.675.000"/>
    <s v="3.5 x 3.8 meter; Termasuk listrik; AC; Kasur; Meja; Lemari Baju; Ventilasi; Kursi; Bantal; Guling; Jendela; K. Mandi Dalam; Kloset Duduk; Ember mandi; WiFi; R. Tamu; R. Jemur; Dapur; CCTV; Parkir Mobil; Parkir Motor; Parkir Sepeda; Parkir Motor &amp; Sepeda"/>
    <x v="289"/>
    <s v="Rp1.510.000"/>
    <x v="2"/>
    <d v="1899-12-30T04:08:00"/>
    <x v="0"/>
    <m/>
    <s v="Diskon 165rb"/>
  </r>
  <r>
    <s v="Kost Singgahsini Atelier Tipe A Grogol Petamburan Jakarta Barat"/>
    <x v="3"/>
    <s v="Grogol Petamburan"/>
    <n v="6.6000000000000005"/>
    <s v="3 x 2.2 meter"/>
    <s v="Tidak termasuk listrik"/>
    <n v="1825000"/>
    <s v="Rp1.825.000"/>
    <s v="3 x 2.2 meter; Tidak termasuk listrik; AC; Kasur; Meja; Lemari Baju; Bantal; Jendela; K. Mandi Dalam; Kloset Duduk; Shower; WiFi; Kulkas; Mesin Cuci; Penjaga Kos; Laundry; R. Jemur; Dapur; CCTV; Rooftop; Parkir Motor &amp; Sepeda"/>
    <x v="143"/>
    <s v="Rp1.735.000"/>
    <x v="12"/>
    <d v="1899-12-30T04:04:00"/>
    <x v="0"/>
    <m/>
    <s v="Diskon 90rb"/>
  </r>
  <r>
    <s v="Kost Singgahsini Atelier Tipe B Grogol Petamburan Jakarta Barat"/>
    <x v="3"/>
    <s v="Grogol Petamburan"/>
    <n v="6.6000000000000005"/>
    <s v="3 x 2.2 meter"/>
    <s v="Tidak termasuk listrik"/>
    <n v="1725000"/>
    <s v="Rp1.725.000"/>
    <s v="3 x 2.2 meter; Tidak termasuk listrik; AC; Kasur; Meja; Lemari Baju; Bantal; Jendela; K. Mandi Dalam; Kloset Duduk; Shower; WiFi; Kulkas; Mesin Cuci; Penjaga Kos; Laundry; R. Jemur; Dapur; CCTV; Rooftop; Parkir Motor &amp; Sepeda"/>
    <x v="103"/>
    <s v="Rp1.640.000"/>
    <x v="10"/>
    <d v="1899-12-30T04:05:00"/>
    <x v="0"/>
    <m/>
    <s v="Diskon 85rb"/>
  </r>
  <r>
    <s v="Kost Singgahsini Atelier Tipe C Grogol Petamburan Jakarta Barat"/>
    <x v="3"/>
    <s v="Grogol Petamburan"/>
    <n v="6.6000000000000005"/>
    <s v="3 x 2.2 meter"/>
    <s v="Tidak termasuk listrik"/>
    <s v=""/>
    <s v="N/A"/>
    <s v="3 x 2.2 meter; Tidak termasuk listrik; AC; Kasur; Meja; Lemari Baju; Bantal; Jendela; K. Mandi Dalam; Kloset Duduk; Shower; WiFi; Kulkas; Mesin Cuci; Penjaga Kos; Laundry; R. Jemur; Dapur; CCTV; Rooftop; Parkir Motor &amp; Sepeda"/>
    <x v="78"/>
    <s v="Rp1.625.000"/>
    <x v="12"/>
    <d v="1899-12-30T04:04:00"/>
    <x v="0"/>
    <m/>
    <s v="Diskon 85rb"/>
  </r>
  <r>
    <s v="Kost Singgahsini Attahiriyah Pejaten Tipe A Pasar Minggu Jakarta Selatan"/>
    <x v="5"/>
    <s v="Pasar Minggu"/>
    <n v="20"/>
    <s v="4 x 5 meter"/>
    <s v="Tidak termasuk listrik"/>
    <n v="2055000"/>
    <s v="Rp2.055.000"/>
    <s v="4 x 5 meter; Tidak termasuk listrik; AC; Kasur; Meja; Lemari Baju; Ventilasi; Kursi; Bantal; Jendela; K. Mandi Dalam; Kloset Duduk; Wastafel; Shower; WiFi; R. Tamu; R. Jemur; Dapur; Parkir Mobil; Parkir Motor"/>
    <x v="290"/>
    <s v="Rp1.953.500"/>
    <x v="2"/>
    <d v="1899-12-30T04:08:00"/>
    <x v="0"/>
    <m/>
    <s v="Diskon 102rb"/>
  </r>
  <r>
    <s v="Kost Singgahsini Audio 20 Tipe B Kebayoran Lama Jakarta Selatan"/>
    <x v="5"/>
    <s v="Kebayoran Lama"/>
    <n v="8.3999999999999986"/>
    <s v="3 x 2.8 meter"/>
    <s v="Tidak termasuk listrik"/>
    <n v="2125000"/>
    <s v="Rp2.125.000"/>
    <s v="3 x 2.8 meter; Tidak termasuk listrik; AC; Kasur; Meja; Lemari Baju; Kursi; Jendela; Bantal; Kloset Duduk; K. Mandi Luar; Shower; Air panas; WiFi; Kulkas; R. Tamu; Penjaga Kos; R. Makan; Dapur; Taman; CCTV; Rooftop; Parkir Mobil; Parkir Motor &amp; Sepeda"/>
    <x v="291"/>
    <s v="Rp2.020.000"/>
    <x v="2"/>
    <d v="1899-12-30T04:08:00"/>
    <x v="0"/>
    <m/>
    <s v="Diskon 105rb"/>
  </r>
  <r>
    <s v="Kost Singgahsini Avina Cilandak KKO Tipe A Ragunan Jakarta Selatan"/>
    <x v="5"/>
    <s v="Pasar Minggu"/>
    <n v="6"/>
    <s v="3 x 2 meter"/>
    <s v="Tidak termasuk listrik"/>
    <s v=""/>
    <s v="N/A"/>
    <s v="3 x 2 meter; Tidak termasuk listrik; AC; Kasur; Meja; Lemari Baju; Kursi; Bantal; Jendela; Kloset Duduk; K. Mandi Luar; Wastafel; Shower; WiFi; Kulkas; R. Tamu; Penjaga Kos; R. Makan; R. Jemur; R. Santai; Dapur; CCTV; Parkir Motor; Parkir Sepeda"/>
    <x v="78"/>
    <s v="Rp1.625.000"/>
    <x v="3"/>
    <d v="1899-12-30T05:00:00"/>
    <x v="2"/>
    <m/>
    <m/>
  </r>
  <r>
    <s v="Kost Singgahsini Az Zahro Batu Alam Tipe B Kramatjati Jakarta Timur"/>
    <x v="8"/>
    <s v="Kramat Jati"/>
    <n v="18"/>
    <s v="3 x 6 meter"/>
    <s v="Tidak termasuk listrik"/>
    <n v="2725000"/>
    <s v="Rp2.725.000"/>
    <s v="3 x 6 meter; Tidak termasuk listrik; AC; Kasur; Meja; Dispenser; Lemari Baju; Kursi; Wastafel; Sofa; Bantal; Cermin; K. Mandi Dalam; Kloset Duduk; Shower; Air panas; WiFi; Dapur; Locker; CCTV; Parkir Mobil; Parkir Motor; Parkir Sepeda"/>
    <x v="292"/>
    <s v="Rp2.590.000"/>
    <x v="8"/>
    <d v="1899-12-30T04:09:00"/>
    <x v="2"/>
    <m/>
    <s v="Diskon 135rb"/>
  </r>
  <r>
    <s v="Kost Singgahsini Az Zahro Batu Alam Tipe C Kramatjati Jakarta Timur"/>
    <x v="8"/>
    <s v="Kramat Jati"/>
    <n v="8"/>
    <s v="4 x 2 meter"/>
    <s v="Tidak termasuk listrik"/>
    <n v="1825000"/>
    <s v="Rp1.825.000"/>
    <s v="4 x 2 meter; Tidak termasuk listrik; AC; Kasur; Lemari Baju; Ventilasi; Kursi; Bantal; Cermin; Jendela; K. Mandi Dalam; Kloset Duduk; Shower; Air panas; WiFi; Locker; CCTV; Parkir Mobil; Parkir Motor &amp; Sepeda"/>
    <x v="143"/>
    <s v="Rp1.735.000"/>
    <x v="3"/>
    <d v="1899-12-30T05:00:00"/>
    <x v="2"/>
    <m/>
    <s v="Diskon 90rb"/>
  </r>
  <r>
    <s v="Kost Singgahsini b211 The Syariah Residence MRT-Fatmawati Tipe A Cilandak Jakarta Selatan"/>
    <x v="5"/>
    <s v="Cilandak"/>
    <n v="15.75"/>
    <s v="4.5 x 3.5 meter"/>
    <s v="Tidak termasuk listrik"/>
    <s v=""/>
    <s v="N/A"/>
    <s v="4.5 x 3.5 meter; Tidak termasuk listrik; AC; Kasur; Meja; TV; Lemari Baju; Kursi; Wastafel; K. Mandi Dalam; Kloset Duduk; Shower; Air panas; WiFi; Kulkas; R. Tamu; Penjaga Kos; R. Makan; R. Jemur; R. Santai; Dapur; Dispenser; Rice Cooker; Parkir Mobil; Parkir Motor"/>
    <x v="293"/>
    <s v="Rp2.995.000"/>
    <x v="6"/>
    <d v="1899-12-30T04:06:00"/>
    <x v="0"/>
    <m/>
    <s v="Diskon 146rb"/>
  </r>
  <r>
    <s v="Kost Singgahsini Bahagia 7 Tipe A Grogol Petamburan Jakarta Barat"/>
    <x v="3"/>
    <s v="Grogol Petamburan"/>
    <n v="13.5"/>
    <s v="4.5 x 3 meter"/>
    <s v="Tidak termasuk listrik"/>
    <s v=""/>
    <s v="N/A"/>
    <s v="4.5 x 3 meter; Tidak termasuk listrik; AC; Kasur; Meja; Lemari Baju; Kursi; Bantal; Cermin; Guling; Jendela; K. Mandi Dalam; Kloset Duduk; Shower; WiFi; Kulkas; R. Tamu; Penjaga Kos; R. Santai; Dapur; Dispenser; CCTV; Rooftop; Parkir Mobil; Parkir Motor; Parkir Sepeda; Parkir Motor &amp; Sepeda"/>
    <x v="277"/>
    <s v="Rp3.025.000"/>
    <x v="3"/>
    <d v="1899-12-30T05:00:00"/>
    <x v="0"/>
    <m/>
    <s v="Diskon 192rb"/>
  </r>
  <r>
    <s v="Kost Singgahsini Bahagia 7 Tipe B Grogol Petamburan Jakarta Barat"/>
    <x v="3"/>
    <s v="Grogol Petamburan"/>
    <n v="12"/>
    <s v="4 x 3 meter"/>
    <s v="Tidak termasuk listrik"/>
    <n v="2425000"/>
    <s v="Rp2.425.000"/>
    <s v="4 x 3 meter; Tidak termasuk listrik; AC; Kasur; Meja; Lemari Baju; Kursi; Bantal; Cermin; Guling; Jendela; K. Mandi Dalam; Kloset Duduk; Shower; WiFi; Kulkas; R. Tamu; Penjaga Kos; R. Santai; Dapur; Dispenser; CCTV; Rooftop; Parkir Mobil; Parkir Motor; Parkir Sepeda; Parkir Motor &amp; Sepeda"/>
    <x v="257"/>
    <s v="Rp2.233.000"/>
    <x v="10"/>
    <d v="1899-12-30T04:05:00"/>
    <x v="0"/>
    <m/>
    <s v="Diskon 192rb"/>
  </r>
  <r>
    <s v="Kost Singgahsini Bahagia 7 Tipe D Grogol Petamburan Jakarta Barat"/>
    <x v="3"/>
    <s v="Grogol Petamburan"/>
    <n v="9"/>
    <s v="3 x 3 meter"/>
    <s v="Tidak termasuk listrik"/>
    <s v=""/>
    <s v="N/A"/>
    <s v="3 x 3 meter; Tidak termasuk listrik; AC; Kasur; Meja; Lemari Baju; Kursi; Bantal; Cermin; Guling; Jendela; K. Mandi Dalam; Kloset Duduk; Shower; WiFi; Kulkas; R. Tamu; Penjaga Kos; R. Santai; Dapur; Dispenser; CCTV; Rooftop; Parkir Mobil; Parkir Motor; Parkir Sepeda; Parkir Motor &amp; Sepeda"/>
    <x v="228"/>
    <s v="Rp1.925.000"/>
    <x v="8"/>
    <d v="1899-12-30T04:09:00"/>
    <x v="0"/>
    <m/>
    <s v="Diskon 192rb"/>
  </r>
  <r>
    <s v="Kost Singgahsini Baitussalam Kukusan Tipe A Beji Depok"/>
    <x v="1"/>
    <s v="Kecamatan Beji"/>
    <n v="10.5"/>
    <s v="3 x 3.5 meter"/>
    <s v="Tidak termasuk listrik"/>
    <n v="1195000"/>
    <s v="Rp1.195.000"/>
    <s v="3 x 3.5 meter; Tidak termasuk listrik; AC; Kasur; Meja; Lemari Baju; Kursi; Bantal; Cermin; Guling; Jendela; Kloset Duduk; K. Mandi Luar; Ember mandi; Shower; WiFi; R. Cuci; Kulkas; R. Tamu; R. Jemur; Dapur; Parkir Sepeda"/>
    <x v="294"/>
    <s v="Rp1.078.000"/>
    <x v="8"/>
    <d v="1899-12-30T04:09:00"/>
    <x v="2"/>
    <m/>
    <s v="Diskon 117rb"/>
  </r>
  <r>
    <s v="Kost Singgahsini Baitussalam Kukusan Tipe B Beji Depok"/>
    <x v="1"/>
    <s v="Kecamatan Beji"/>
    <n v="12"/>
    <s v="3 x 4 meter"/>
    <s v="Tidak termasuk listrik"/>
    <n v="1275000"/>
    <s v="Rp1.275.000"/>
    <s v="3 x 4 meter; Tidak termasuk listrik; AC; Kasur; Meja; Lemari Baju; Bantal; Guling; Jendela; K. Mandi Dalam; Kloset Duduk; Ember mandi; Shower; WiFi; R. Cuci; Kulkas; R. Tamu; R. Jemur; Dapur; K. Mandi Luar; Parkir Sepeda"/>
    <x v="30"/>
    <s v="Rp1.150.000"/>
    <x v="2"/>
    <d v="1899-12-30T04:08:00"/>
    <x v="2"/>
    <m/>
    <s v="Diskon 125rb"/>
  </r>
  <r>
    <s v="Kost Singgahsini Baitussalam Kukusan Tipe C Beji Depok"/>
    <x v="1"/>
    <s v="Beji"/>
    <n v="7.5"/>
    <s v="3 x 2.5 meter"/>
    <s v="Tidak termasuk listrik"/>
    <n v="875000"/>
    <s v="Rp875.000"/>
    <s v="3 x 2.5 meter; Tidak termasuk listrik; AC; Kasur; Meja; Lemari Baju; Kursi; Bantal; Guling; Jendela; Kloset Duduk; K. Mandi Luar; Ember mandi; Shower; WiFi; R. Cuci; Kulkas; R. Tamu; Mesin Cuci; R. Makan; R. Jemur; Dapur; TV; Parkir Motor; Parkir Sepeda"/>
    <x v="295"/>
    <s v="Rp790.000"/>
    <x v="8"/>
    <d v="1899-12-30T04:09:00"/>
    <x v="2"/>
    <m/>
    <s v="Diskon 85rb"/>
  </r>
  <r>
    <s v="Kost Singgahsini Baitussalam Kukusan Tipe D Beji Depok"/>
    <x v="1"/>
    <s v="Beji"/>
    <n v="9"/>
    <s v="3 x 3 meter"/>
    <s v="Tidak termasuk listrik"/>
    <n v="1325000"/>
    <s v="Rp1.325.000"/>
    <s v="3 x 3 meter; Tidak termasuk listrik; AC; Kasur; Meja; Lemari Baju; Bantal; Cermin; Guling; Jendela; K. Mandi Dalam; Kloset Duduk; K. Mandi Luar; Shower; WiFi; R. Cuci; Kulkas; R. Tamu; Mesin Cuci; R. Makan; R. Jemur; Dapur; TV; Parkir Motor; Parkir Sepeda"/>
    <x v="116"/>
    <s v="Rp1.195.000"/>
    <x v="2"/>
    <d v="1899-12-30T04:08:00"/>
    <x v="2"/>
    <m/>
    <s v="Diskon 130rb"/>
  </r>
  <r>
    <s v="Kost Singgahsini Baitussalam Kukusan Tipe E Beji Depok"/>
    <x v="1"/>
    <s v="Beji"/>
    <n v="8.3999999999999986"/>
    <s v="3 x 2.8 meter"/>
    <s v="Tidak termasuk listrik"/>
    <n v="1125000"/>
    <s v="Rp1.125.000"/>
    <s v="3 x 2.8 meter; Tidak termasuk listrik; AC; Kasur; Meja; Lemari Baju; Ventilasi; Kursi; Bantal; Guling; Jendela; Kloset Duduk; K. Mandi Luar; Ember mandi; Shower; WiFi; R. Cuci; Kulkas; R. Tamu; R. Jemur; Dapur; Jemuran; Parkir Motor; Parkir Sepeda"/>
    <x v="129"/>
    <s v="Rp1.015.000"/>
    <x v="3"/>
    <d v="1899-12-30T05:00:00"/>
    <x v="2"/>
    <m/>
    <s v="Diskon 110rb"/>
  </r>
  <r>
    <s v="Kost Singgahsini Baitussalam Tipe A Kemayoran Jakarta Pusat"/>
    <x v="9"/>
    <s v="Kemayoran"/>
    <n v="11.7"/>
    <s v="3.9 x 3 meter"/>
    <s v="Tidak termasuk listrik"/>
    <n v="2000000"/>
    <s v="Rp2.000.000"/>
    <s v="3.9 x 3 meter; Tidak termasuk listrik; AC; Kasur; Lemari Baju; Jendela; Bantal; Guling; K. Mandi Dalam; Kloset Duduk; Shower; WiFi; Kulkas; R. Tamu; Penjaga Kos; R. Jemur; Dapur; Dispenser; Rooftop; Parkir Motor &amp; Sepeda"/>
    <x v="89"/>
    <s v="Rp1.900.000"/>
    <x v="6"/>
    <d v="1899-12-30T04:06:00"/>
    <x v="2"/>
    <m/>
    <s v="Diskon 100rb"/>
  </r>
  <r>
    <s v="Kost Singgahsini Balaira Tipe A Duren Sawit Jakarta Timur"/>
    <x v="8"/>
    <s v="Duren Sawit"/>
    <n v="13.5"/>
    <s v="2.7 x 5 meter"/>
    <s v="Tidak termasuk listrik"/>
    <n v="2025000"/>
    <s v="Rp2.025.000"/>
    <s v="2.7 x 5 meter; Tidak termasuk listrik; AC; Kasur; Meja; Lemari Baju; Kursi; Bantal; Cermin; Jendela; K. Mandi Dalam; Kloset Duduk; Shower; WiFi; Kulkas; Penjaga Kos; R. Jemur; Dapur; Gazebo; CCTV; Jemuran; Parkir Mobil; Parkir Motor; Parkir Sepeda"/>
    <x v="228"/>
    <s v="Rp1.925.000"/>
    <x v="8"/>
    <d v="1899-12-30T04:09:00"/>
    <x v="0"/>
    <m/>
    <s v="Diskon 100rb"/>
  </r>
  <r>
    <s v="Kost Singgahsini Balaira Tipe B Duren Sawit Jakarta Timur"/>
    <x v="8"/>
    <s v="Duren Sawit"/>
    <n v="12"/>
    <s v="3 x 4 meter"/>
    <s v="Tidak termasuk listrik"/>
    <n v="2025000"/>
    <s v="Rp2.025.000"/>
    <s v="3 x 4 meter; Tidak termasuk listrik; AC; Kasur; Meja; Lemari Baju; Ventilasi; Kursi; Bantal; Cermin; Jendela; K. Mandi Dalam; Kloset Duduk; Shower; WiFi; Kulkas; Penjaga Kos; R. Jemur; Dapur; Gazebo; CCTV; Jemuran; Parkir Mobil; Parkir Motor &amp; Sepeda"/>
    <x v="228"/>
    <s v="Rp1.925.000"/>
    <x v="6"/>
    <d v="1899-12-30T04:06:00"/>
    <x v="0"/>
    <m/>
    <s v="Diskon 100rb"/>
  </r>
  <r>
    <s v="Kost Singgahsini Balaira Tipe D Duren Sawit Jakarta Timur"/>
    <x v="8"/>
    <s v="Duren Sawit"/>
    <n v="9"/>
    <s v="3 x 3 meter"/>
    <s v="Tidak termasuk listrik"/>
    <n v="1825000"/>
    <s v="Rp1.825.000"/>
    <s v="3 x 3 meter; Tidak termasuk listrik; AC; Kasur; Meja; Lemari Baju; Ventilasi; Kursi; Bantal; Cermin; Jendela; K. Mandi Dalam; Kloset Duduk; Shower; WiFi; Kulkas; Penjaga Kos; R. Jemur; Dapur; Gazebo; CCTV; Jemuran; Parkir Mobil; Parkir Motor &amp; Sepeda"/>
    <x v="143"/>
    <s v="Rp1.735.000"/>
    <x v="6"/>
    <d v="1899-12-30T04:06:00"/>
    <x v="0"/>
    <m/>
    <s v="Diskon 90rb"/>
  </r>
  <r>
    <s v="Kost Singgahsini Bambang Tipe B Makasar Jakarta Timur"/>
    <x v="8"/>
    <s v="Makasar"/>
    <n v="7.5"/>
    <s v="2.5 x 3 meter"/>
    <s v="Termasuk listrik (implied)"/>
    <n v="1525000"/>
    <s v="Rp1.525.000"/>
    <s v="2.5 x 3 meter; Termasuk listrik; Kasur; Meja; Lemari Baju; Ventilasi; Kursi; Bantal; Cermin; Jendela; Kipas Angin; K. Mandi Dalam; Kloset Jongkok; Ember mandi; Shower; WiFi; R. Tamu; R. Makan; R. Jemur; Jemuran; Parkir Mobil; Parkir Motor &amp; Sepeda"/>
    <x v="92"/>
    <s v="Rp1.405.000"/>
    <x v="3"/>
    <d v="1899-12-30T05:00:00"/>
    <x v="0"/>
    <m/>
    <s v="Diskon 120rb"/>
  </r>
  <r>
    <s v="Kost Singgahsini Bambang Tipe C Makasar Jakarta Timur"/>
    <x v="8"/>
    <s v="Makasar"/>
    <n v="7.5"/>
    <s v="2.5 x 3 meter"/>
    <s v="Termasuk listrik (implied)"/>
    <n v="1725000"/>
    <s v="Rp1.725.000"/>
    <s v="2.5 x 3 meter; Termasuk listrik; AC; Kasur; Meja; Lemari Baju; Ventilasi; Kursi; Bantal; Cermin; Jendela; K. Mandi Dalam; Kloset Jongkok; Ember mandi; Shower; WiFi; R. Tamu; R. Makan; R. Jemur; Jemuran; Parkir Mobil; Parkir Motor &amp; Sepeda"/>
    <x v="103"/>
    <s v="Rp1.640.000"/>
    <x v="2"/>
    <d v="1899-12-30T04:08:00"/>
    <x v="0"/>
    <m/>
    <s v="Diskon 85rb"/>
  </r>
  <r>
    <s v="Kost Singgahsini Banco 6 Tipe B Mampang Prapatan Jakarta Selatan"/>
    <x v="5"/>
    <s v="Mampang Prapatan"/>
    <n v="15.2"/>
    <s v="4 x 3.8 meter"/>
    <s v="Tidak termasuk listrik"/>
    <s v=""/>
    <s v="N/A"/>
    <s v="4 x 3.8 meter; Tidak termasuk listrik; AC; Kasur; Meja; Lemari Baju; Ventilasi; Kursi; Jendela; Bantal; Guling; K. Mandi Dalam; Kloset Duduk; Wastafel; Shower; Air panas; WiFi; R. Cuci; Kulkas; R. Tamu; Mesin Cuci; Penjaga Kos; R. Makan; R. Jemur; Dapur; Dispenser; Parkir Mobil; Parkir Motor &amp; Sepeda"/>
    <x v="296"/>
    <s v="Rp3.365.000"/>
    <x v="6"/>
    <d v="1899-12-30T04:06:00"/>
    <x v="0"/>
    <m/>
    <s v="Diskon 168rb"/>
  </r>
  <r>
    <s v="Kost Singgahsini Banjarsari IV Tipe A Cilandak Jakarta Selatan"/>
    <x v="5"/>
    <s v="Cilandak"/>
    <n v="8.9599999999999991"/>
    <s v="3.2 x 2.8 meter"/>
    <s v="Tidak termasuk listrik"/>
    <s v=""/>
    <s v="N/A"/>
    <s v="3.2 x 2.8 meter; Tidak termasuk listrik; AC; Kasur; Meja; Lemari Baju; Kursi; Wastafel; Bantal; Cermin; Guling; Jendela; K. Mandi Dalam; Kloset Duduk; Shower; WiFi; Kulkas; R. Jemur; Dapur; Dispenser; CCTV; Parkir Mobil; Parkir Motor; Parkir Sepeda"/>
    <x v="260"/>
    <s v="Rp2.525.000"/>
    <x v="8"/>
    <d v="1899-12-30T04:09:00"/>
    <x v="2"/>
    <m/>
    <m/>
  </r>
  <r>
    <s v="Kost Singgahsini Bapusta Rawamangun Tipe A Pulo Gadung Jakarta Timur"/>
    <x v="8"/>
    <s v="Pulo Gadung"/>
    <n v="12.25"/>
    <s v="3.5 x 3.5 meter"/>
    <s v="Tidak termasuk listrik"/>
    <n v="2675000"/>
    <s v="Rp2.675.000"/>
    <s v="3.5 x 3.5 meter; Tidak termasuk listrik; AC; Kasur; Meja; Lemari Baju; Kursi; Jendela; Bantal; Guling; K. Mandi Dalam; Kloset Duduk; Wastafel; Shower; Air panas"/>
    <x v="297"/>
    <s v="Rp2.463.000"/>
    <x v="8"/>
    <d v="1899-12-30T04:09:00"/>
    <x v="0"/>
    <m/>
    <s v="Diskon 212rb"/>
  </r>
  <r>
    <s v="Kost Singgahsini Bapusta Rawamangun Tipe B Pulo Gadung Jakarta Timur"/>
    <x v="8"/>
    <s v="Pulo Gadung"/>
    <n v="12.25"/>
    <s v="3.5 x 3.5 meter"/>
    <s v="Tidak termasuk listrik"/>
    <s v=""/>
    <s v="N/A"/>
    <s v="3.5 x 3.5 meter; Tidak termasuk listrik; AC; Kasur; Meja; Lemari Baju; Kursi; Jendela; Bantal; Guling; K. Mandi Dalam; Kloset Duduk; Wastafel; Shower; Air panas; WiFi; Kulkas; R. Tamu; Penjaga Kos; Laundry; R. Jemur; Dapur; Dispenser; Kartu Akses; CCTV; Parkir Mobil; Parkir Motor &amp; Sepeda"/>
    <x v="298"/>
    <s v="Rp2.775.000"/>
    <x v="3"/>
    <d v="1899-12-30T05:00:00"/>
    <x v="0"/>
    <m/>
    <s v="Diskon 212rb"/>
  </r>
  <r>
    <s v="Kost Singgahsini Barada Cipondoh Tipe A Tangerang"/>
    <x v="6"/>
    <s v="Cipondoh"/>
    <n v="9"/>
    <s v="3 x 3 meter"/>
    <s v="Tidak termasuk listrik"/>
    <n v="1525000"/>
    <s v="Rp1.525.000"/>
    <s v="3 x 3 meter; Tidak termasuk listrik; AC; Kasur; TV; Lemari Baju; Bantal; Cermin; Guling; Jendela; K. Mandi Dalam; Kloset Duduk; Shower; Air panas; WiFi; Kulkas; R. Tamu; R. Makan; R. Jemur; Dapur; CCTV; Parkir Mobil; Parkir Motor; Parkir Sepeda"/>
    <x v="21"/>
    <s v="Rp1.450.000"/>
    <x v="8"/>
    <d v="1899-12-30T04:09:00"/>
    <x v="0"/>
    <m/>
    <s v="Diskon 75rb"/>
  </r>
  <r>
    <s v="Kost Singgahsini Barada Cipondoh Tipe B Tangerang"/>
    <x v="6"/>
    <s v="Cipondoh"/>
    <n v="13.68"/>
    <s v="3.8 x 3.6 meter"/>
    <s v="Tidak termasuk listrik"/>
    <n v="1825000"/>
    <s v="Rp1.825.000"/>
    <s v="3.8 x 3.6 meter; Tidak termasuk listrik; AC; Kasur; Meja; TV; Lemari Baju; Kursi; Bantal; Cermin; Guling; Jendela; K. Mandi Dalam; Kloset Duduk; Shower; Air panas; WiFi; Kulkas; R. Tamu; R. Makan; R. Jemur; Dapur; CCTV; Parkir Mobil; Parkir Motor; Parkir Sepeda"/>
    <x v="143"/>
    <s v="Rp1.735.000"/>
    <x v="2"/>
    <d v="1899-12-30T04:08:00"/>
    <x v="0"/>
    <m/>
    <s v="Diskon 90rb"/>
  </r>
  <r>
    <s v="Kost Singgahsini Barada Cipondoh Tipe C Tangerang"/>
    <x v="6"/>
    <s v="Cipondoh"/>
    <e v="#VALUE!"/>
    <s v="N/A"/>
    <s v="Tidak termasuk listrik"/>
    <n v="2050000"/>
    <s v="Rp2.050.000"/>
    <s v="3.5 x 8. meter; Tidak termasuk listrik; AC; Kasur; Meja; TV; Lemari Baju; Kursi; Bantal; Cermin; Guling; Jendela; K. Mandi Dalam; Kloset Duduk; Kloset Jongkok; Ember mandi; Air panas; WiFi; Kulkas; R. Tamu; R. Makan; R. Jemur; Dapur; CCTV; Parkir Mobil; Parkir Motor; Parkir Sepeda"/>
    <x v="299"/>
    <s v="Rp1.948.750"/>
    <x v="2"/>
    <d v="1899-12-30T04:08:00"/>
    <x v="0"/>
    <m/>
    <s v="Diskon 101rb"/>
  </r>
  <r>
    <s v="Kost Singgahsini Batik Tipe A Bendungan Hilir Jakarta Pusat"/>
    <x v="9"/>
    <s v="Kecamatan Tanah Abang"/>
    <n v="9"/>
    <s v="3 x 3 meter"/>
    <s v="Termasuk listrik (implied)"/>
    <s v=""/>
    <s v="N/A"/>
    <s v="3 x 3 meter; Termasuk listrik; AC; Kasur; Meja; Lemari Baju; Kursi; Wastafel; Bantal; Cermin; Jendela; K. Mandi Dalam; Kloset Duduk; Shower; Bak mandi; WiFi; R. Cuci; Kulkas; Laundry; R. Makan; Dapur; Parkir Mobil; Parkir Motor; Parkir Sepeda; Parkir Motor &amp; Sepeda"/>
    <x v="300"/>
    <s v="Rp2.425.000"/>
    <x v="10"/>
    <d v="1899-12-30T04:05:00"/>
    <x v="2"/>
    <m/>
    <m/>
  </r>
  <r>
    <s v="Kost Singgahsini Batik Tipe B Bendungan Hilir Jakarta Pusat"/>
    <x v="9"/>
    <s v="Kecamatan Tanah Abang"/>
    <n v="9"/>
    <s v="3 x 3 meter"/>
    <s v="Termasuk listrik (implied)"/>
    <s v=""/>
    <s v="N/A"/>
    <s v="3 x 3 meter; Termasuk listrik; AC; Kasur; Meja; Lemari Baju; Kursi; Bantal; Cermin; Jendela; Kloset Duduk; K. Mandi Luar; Shower; Bak mandi; WiFi; R. Cuci; Kulkas; Laundry; R. Makan; Dapur; Parkir Mobil; Parkir Motor; Parkir Sepeda; Parkir Motor &amp; Sepeda"/>
    <x v="111"/>
    <s v="Rp1.975.000"/>
    <x v="6"/>
    <d v="1899-12-30T04:06:00"/>
    <x v="2"/>
    <m/>
    <m/>
  </r>
  <r>
    <s v="Kost Singgahsini Batik Tipe C Bendungan Hilir Jakarta Pusat"/>
    <x v="9"/>
    <s v="Tanah Abang"/>
    <n v="7.5"/>
    <s v="3 x 2.5 meter"/>
    <s v="Tidak termasuk listrik"/>
    <s v=""/>
    <s v="N/A"/>
    <s v="3 x 2.5 meter; Tidak termasuk listrik; Kasur; Meja; Lemari Baju; Kursi; Kipas Angin; Bantal; Cermin; Guling; Jendela; Kloset Duduk; K. Mandi Luar; Wastafel; Shower; WiFi; Kulkas; Laundry; R. Makan; Dapur; Parkir Mobil; Parkir Motor; Parkir Sepeda; Parkir Motor &amp; Sepeda"/>
    <x v="44"/>
    <s v="Rp1.725.000"/>
    <x v="3"/>
    <d v="1899-12-30T05:00:00"/>
    <x v="2"/>
    <m/>
    <m/>
  </r>
  <r>
    <s v="Kost Singgahsini Bella Swadarma VI Tipe A Pesanggrahan Jakarta Selatan"/>
    <x v="5"/>
    <s v="Pesanggrahan"/>
    <n v="21.08"/>
    <s v="6.2 x 3.4 meter"/>
    <s v="Tidak termasuk listrik"/>
    <n v="2725000"/>
    <s v="Rp2.725.000"/>
    <s v="6.2 x 3.4 meter; Tidak termasuk listrik; AC; Kasur; TV; Lemari Baju; Cermin; Jendela; Bantal; Guling; K. Mandi Dalam; Kloset Duduk; Shower; Air panas; WiFi; Kulkas; R. Tamu; R. Makan; Dapur; Dispenser; CCTV; Rooftop; Parkir Mobil; Parkir Motor &amp; Sepeda"/>
    <x v="292"/>
    <s v="Rp2.590.000"/>
    <x v="3"/>
    <d v="1899-12-30T05:00:00"/>
    <x v="2"/>
    <m/>
    <s v="Diskon 135rb"/>
  </r>
  <r>
    <s v="Kost Singgahsini Bella Swadarma VI Tipe B Pesanggrahan Jakarta Selatan"/>
    <x v="5"/>
    <s v="Pesanggrahan"/>
    <n v="12.600000000000001"/>
    <s v="4.2 x 3 meter"/>
    <s v="Tidak termasuk listrik"/>
    <n v="2375000"/>
    <s v="Rp2.375.000"/>
    <s v="4.2 x 3 meter; Tidak termasuk listrik; AC; Kasur; TV; Lemari Baju; Jendela; Bantal; Guling; K. Mandi Dalam; Kloset Duduk; Shower; Air panas; WiFi; Kulkas; R. Tamu; R. Makan; Dapur; Dispenser; CCTV; Rooftop; Parkir Mobil; Parkir Motor &amp; Sepeda"/>
    <x v="301"/>
    <s v="Rp2.257.500"/>
    <x v="12"/>
    <d v="1899-12-30T04:04:00"/>
    <x v="2"/>
    <m/>
    <s v="Diskon 118rb"/>
  </r>
  <r>
    <s v="Kost Singgahsini Bella Vita Tipe A Salemba Jakarta Pusat"/>
    <x v="9"/>
    <s v="Senen"/>
    <n v="12"/>
    <s v="4 x 3 meter"/>
    <s v="Tidak termasuk listrik"/>
    <n v="2725000"/>
    <s v="Rp2.725.000"/>
    <s v="4 x 3 meter; Tidak termasuk listrik; AC; Kasur; Meja; TV; Lemari Baju; Ventilasi; Kursi; Wastafel; Bantal; Cermin; K. Mandi Dalam; Kloset Duduk; Shower; WiFi; R. Tamu; Penjaga Kos; R. Jemur; Dispenser; CCTV; Rooftop; Parkir Motor &amp; Sepeda"/>
    <x v="302"/>
    <s v="Rp2.509.000"/>
    <x v="6"/>
    <d v="1899-12-30T04:06:00"/>
    <x v="0"/>
    <m/>
    <s v="Diskon 216rb"/>
  </r>
  <r>
    <s v="Kost Singgahsini Bella Vita Tipe B Salemba Jakarta Pusat"/>
    <x v="9"/>
    <s v="Senen"/>
    <n v="12"/>
    <s v="4 x 3 meter"/>
    <s v="Tidak termasuk listrik"/>
    <n v="2025000"/>
    <s v="Rp2.025.000"/>
    <s v="4 x 3 meter; Tidak termasuk listrik; AC; Kasur; Lemari Baju; Kursi; Wastafel; Bantal; Cermin; Guling; Jendela; K. Mandi Dalam; Kloset Duduk; Shower; WiFi; R. Tamu; Penjaga Kos; R. Jemur; Dispenser; CCTV; Rooftop; Parkir Motor &amp; Sepeda"/>
    <x v="104"/>
    <s v="Rp1.865.000"/>
    <x v="4"/>
    <d v="1899-12-30T04:01:00"/>
    <x v="0"/>
    <m/>
    <s v="Diskon 160rb"/>
  </r>
  <r>
    <s v="Kost Singgahsini Bendi XIV Tipe A Kebayoran Lama Jakarta Selatan"/>
    <x v="5"/>
    <s v="Kecamatan Kebayoran Lama"/>
    <n v="6"/>
    <s v="2 x 3 meter"/>
    <s v="Tidak termasuk listrik"/>
    <s v=""/>
    <s v="N/A"/>
    <s v="2 x 3 meter; Tidak termasuk listrik; AC; Kasur; Meja; Lemari Baju; Kursi; Bantal; Guling; Jendela; Kloset Duduk; K. Mandi Luar; Wastafel; Shower; Air panas; WiFi; Kulkas; R. Makan; Dapur; Dispenser; CCTV; Parkir Mobil; Parkir Motor; Parkir Sepeda; Parkir Motor &amp; Sepeda"/>
    <x v="303"/>
    <s v="Rp2.055.000"/>
    <x v="2"/>
    <d v="1899-12-30T04:08:00"/>
    <x v="2"/>
    <m/>
    <s v="Diskon 100rb"/>
  </r>
  <r>
    <s v="Kost Singgahsini Bendi XIV Tipe B Kebayoran Lama Jakarta Selatan"/>
    <x v="5"/>
    <s v="Kecamatan Kebayoran Lama"/>
    <n v="6"/>
    <s v="2 x 3 meter"/>
    <s v="Tidak termasuk listrik"/>
    <s v=""/>
    <s v="N/A"/>
    <s v="2 x 3 meter; Tidak termasuk listrik; AC; Kasur; Meja; Lemari Baju; Kursi; Bantal; Guling; Jendela; K. Mandi Dalam; Kloset Duduk; Wastafel; Shower; Air panas; WiFi; Kulkas; R. Makan; Dapur; Dispenser; CCTV; Parkir Mobil; Parkir Motor; Parkir Sepeda; Parkir Motor &amp; Sepeda"/>
    <x v="304"/>
    <s v="Rp2.455.000"/>
    <x v="6"/>
    <d v="1899-12-30T04:06:00"/>
    <x v="2"/>
    <m/>
    <s v="Diskon 120rb"/>
  </r>
  <r>
    <s v="Kost Singgahsini Bendungan Hilir 95 Tipe A Tanah Abang Jakarta Pusat"/>
    <x v="9"/>
    <s v="Kecamatan Tanah Abang"/>
    <n v="12.25"/>
    <s v="3.5 x 3.5 meter"/>
    <s v="Tidak termasuk listrik"/>
    <s v=""/>
    <s v="N/A"/>
    <s v="3.5 x 3.5 meter; Tidak termasuk listrik; AC; Kasur; Meja; Lemari Baju; Bantal; Cermin; Guling; Jendela; Kloset Duduk; K. Mandi Luar; Shower; WiFi; Dapur; CCTV; Parkir Motor; Parkir Sepeda"/>
    <x v="58"/>
    <s v="Rp1.525.000"/>
    <x v="6"/>
    <d v="1899-12-30T04:06:00"/>
    <x v="0"/>
    <m/>
    <s v="Diskon 83rb"/>
  </r>
  <r>
    <s v="Kost Singgahsini Benito Tipe A Serpong Tangerang Selatan"/>
    <x v="2"/>
    <s v="Serpong Utara"/>
    <n v="6"/>
    <s v="2 x 3 meter"/>
    <s v="Termasuk listrik (implied)"/>
    <s v=""/>
    <s v="N/A"/>
    <s v="2 x 3 meter; Termasuk listrik; Kasur; Meja; Lemari Baju; Ventilasi; Kursi; Bantal; Kloset Duduk; K. Mandi Luar; Shower; Air panas; WiFi; Kulkas; R. Tamu; Penjaga Kos; R. Makan; R. Jemur; R. Santai; Dapur; Dispenser; TV; Parkir Mobil; Parkir Motor; Parkir Sepeda"/>
    <x v="100"/>
    <s v="Rp1.025.000"/>
    <x v="2"/>
    <d v="1899-12-30T04:08:00"/>
    <x v="0"/>
    <m/>
    <s v="Diskon 55rb"/>
  </r>
  <r>
    <s v="Kost Singgahsini Benito Tipe B Serpong Tangerang Selatan"/>
    <x v="2"/>
    <s v="Serpong Utara"/>
    <n v="6"/>
    <s v="2 x 3 meter"/>
    <s v="Termasuk listrik (implied)"/>
    <s v=""/>
    <s v="N/A"/>
    <s v="2 x 3 meter; Termasuk listrik; AC; Kasur; Meja; Lemari Baju; Ventilasi; Bantal; Kloset Duduk; K. Mandi Luar; Shower; Air panas; WiFi; Kulkas; R. Tamu; Penjaga Kos; R. Makan; R. Jemur; R. Santai; Dapur; Dispenser; TV; Parkir Mobil; Parkir Motor; Parkir Sepeda"/>
    <x v="44"/>
    <s v="Rp1.725.000"/>
    <x v="12"/>
    <d v="1899-12-30T04:04:00"/>
    <x v="0"/>
    <m/>
    <s v="Diskon 55rb"/>
  </r>
  <r>
    <s v="Kost Singgahsini Benito Tipe C Serpong Tangerang Selatan"/>
    <x v="2"/>
    <s v="Serpong Utara"/>
    <n v="9"/>
    <s v="3 x 3 meter"/>
    <s v="Termasuk listrik (implied)"/>
    <n v="2125000"/>
    <s v="Rp2.125.000"/>
    <s v="3 x 3 meter; Termasuk listrik; AC; Kasur; Meja; Lemari Baju; Ventilasi; Kursi; Bantal; K. Mandi Dalam; Kloset Duduk; Wastafel; Shower; Air panas; WiFi; Kulkas; R. Tamu; Penjaga Kos; R. Makan; R. Jemur; R. Santai; Dapur; Dispenser; TV; Parkir Mobil; Parkir Motor; Parkir Sepeda"/>
    <x v="291"/>
    <s v="Rp2.020.000"/>
    <x v="10"/>
    <d v="1899-12-30T04:05:00"/>
    <x v="0"/>
    <m/>
    <s v="Diskon 105rb"/>
  </r>
  <r>
    <s v="Kost Singgahsini Benito Tipe D Serpong Tangerang Selatan"/>
    <x v="2"/>
    <s v="Serpong Utara"/>
    <n v="16"/>
    <s v="4 x 4 meter"/>
    <s v="Termasuk listrik (implied)"/>
    <n v="3025000"/>
    <s v="Rp3.025.000"/>
    <s v="4 x 4 meter; Termasuk listrik; AC; Kasur; Meja; TV; Meja Rias; Lemari Baju; Kursi; Bantal; Cermin; Jendela; K. Mandi Dalam; Kloset Duduk; Wastafel; Shower; Air panas; WiFi; Kulkas; R. Tamu; Penjaga Kos; R. Makan; R. Jemur; R. Santai; Dapur; Dispenser; Parkir Mobil; Parkir Motor; Parkir Sepeda"/>
    <x v="305"/>
    <s v="Rp2.875.000"/>
    <x v="2"/>
    <d v="1899-12-30T04:08:00"/>
    <x v="0"/>
    <m/>
    <s v="Diskon 150rb"/>
  </r>
  <r>
    <s v="Kost Singgahsini Benito Tipe E Serpong Tangerang Selatan"/>
    <x v="2"/>
    <s v="Serpong Utara"/>
    <n v="6"/>
    <s v="2 x 3 meter"/>
    <s v="Termasuk listrik (implied)"/>
    <n v="1125000"/>
    <s v="Rp1.125.000"/>
    <s v="2 x 3 meter; Termasuk listrik; Kasur; Meja; Lemari Baju; Ventilasi; Kursi; Bantal; Jendela; Kloset Jongkok; K. Mandi Luar; Bak mandi; WiFi; Kulkas; R. Tamu; Penjaga Kos; R. Makan; R. Jemur; R. Santai; Dapur; Dispenser; TV; Parkir Mobil; Parkir Sepeda; Parkir Motor &amp; Sepeda"/>
    <x v="67"/>
    <s v="Rp1.070.000"/>
    <x v="13"/>
    <d v="1899-12-30T04:03:00"/>
    <x v="0"/>
    <m/>
    <s v="Diskon 55rb"/>
  </r>
  <r>
    <s v="Kost Singgahsini Beranda Kanaya Tipe A Senen Jakarta Pusat"/>
    <x v="9"/>
    <s v="Senen"/>
    <n v="13.939999999999998"/>
    <s v="4.1 x 3.4 meter"/>
    <s v="Tidak termasuk listrik"/>
    <n v="2075000"/>
    <s v="Rp2.075.000"/>
    <s v="4.1 x 3.4 meter; Tidak termasuk listrik; AC; Kasur; Meja; Lemari Baju; Kursi; Bantal; Cermin; Guling; Jendela; K. Mandi Dalam; Kloset Duduk; Shower; WiFi; Kulkas; R. Tamu; Penjaga Kos; R. Makan; Dapur; Taman; CCTV; Parkir Motor &amp; Sepeda"/>
    <x v="306"/>
    <s v="Rp1.972.500"/>
    <x v="8"/>
    <d v="1899-12-30T04:09:00"/>
    <x v="2"/>
    <m/>
    <s v="Diskon 103rb"/>
  </r>
  <r>
    <s v="Kost Singgahsini Berkah Bintaro Tipe A Pesanggrahan Jakarta Selatan"/>
    <x v="5"/>
    <s v="Pesanggrahan"/>
    <n v="7"/>
    <s v="2.8 x 2.5 meter"/>
    <s v="Termasuk listrik (implied)"/>
    <s v=""/>
    <s v="N/A"/>
    <s v="2.8 x 2.5 meter; Termasuk listrik; AC; Kasur; Meja; Lemari Baju; Ventilasi; Kursi; Bantal; Cermin; Guling; Jendela; K. Mandi Dalam; Kloset Duduk; Shower; WiFi; R. Tamu; R. Makan; Dapur; Dispenser; K. Mandi Luar; Parkir Mobil; Parkir Motor; Parkir Sepeda"/>
    <x v="243"/>
    <s v="Rp1.675.000"/>
    <x v="3"/>
    <d v="1899-12-30T05:00:00"/>
    <x v="2"/>
    <m/>
    <s v="Diskon 75rb"/>
  </r>
  <r>
    <s v="Kost Singgahsini Berkah Bintaro Tipe B Pesanggrahan Jakarta Selatan"/>
    <x v="5"/>
    <s v="Pesanggrahan"/>
    <n v="5.75"/>
    <s v="2.3 x 2.5 meter"/>
    <s v="Termasuk listrik (implied)"/>
    <s v=""/>
    <s v="N/A"/>
    <s v="2.3 x 2.5 meter; Termasuk listrik; AC; Kasur; Meja; Lemari Baju; Ventilasi; Kursi; Bantal; Cermin; Guling; Jendela; Kloset Duduk; K. Mandi Luar; Shower; WiFi; R. Tamu; R. Makan; Dapur; Dispenser; Parkir Mobil; Parkir Motor; Parkir Sepeda"/>
    <x v="102"/>
    <s v="Rp1.475.000"/>
    <x v="8"/>
    <d v="1899-12-30T04:09:00"/>
    <x v="2"/>
    <m/>
    <s v="Diskon 75rb"/>
  </r>
  <r>
    <s v="Kost Singgahsini Bintaro Executive Tipe A Pondok Aren Tangerang Selatan"/>
    <x v="2"/>
    <s v="Pondok Aren"/>
    <n v="9"/>
    <s v="3 x 3 meter"/>
    <s v="Tidak termasuk listrik"/>
    <n v="2000000"/>
    <s v="Rp2.000.000"/>
    <s v="3 x 3 meter; Tidak termasuk listrik; AC; Kasur; Lemari Baju; Wastafel; Bantal; Cermin; K. Mandi Dalam; Kloset Duduk; Shower; WiFi; R. Cuci; Kulkas; R. Tamu; Penjaga Kos; R. Jemur; Jemuran; Parkir Mobil; Parkir Motor &amp; Sepeda"/>
    <x v="89"/>
    <s v="Rp1.900.000"/>
    <x v="6"/>
    <d v="1899-12-30T04:06:00"/>
    <x v="0"/>
    <m/>
    <s v="Diskon 100rb"/>
  </r>
  <r>
    <s v="Kost Singgahsini Bintaro Executive Tipe B Pondok Aren Tangerang Selatan"/>
    <x v="2"/>
    <s v="Pondok Aren"/>
    <n v="7.5"/>
    <s v="3 x 2.5 meter"/>
    <s v="Tidak termasuk listrik"/>
    <n v="1500000"/>
    <s v="Rp1.500.000"/>
    <s v="3 x 2.5 meter; Tidak termasuk listrik; AC; Kasur; Meja Rias; Lemari Baju; Bantal; Cermin; K. Mandi Dalam; Kloset Duduk; Shower; WiFi; R. Cuci; Kulkas; R. Tamu; Penjaga Kos; R. Jemur; Jemuran; Parkir Mobil; Parkir Motor &amp; Sepeda"/>
    <x v="126"/>
    <s v="Rp1.425.000"/>
    <x v="10"/>
    <d v="1899-12-30T04:05:00"/>
    <x v="0"/>
    <m/>
    <s v="Diskon 75rb"/>
  </r>
  <r>
    <s v="Kost Singgahsini Bintaro Executive Tipe C Pondok Aren Tangerang Selatan"/>
    <x v="2"/>
    <s v="Pondok Aren"/>
    <n v="3.61"/>
    <s v="1.9 x 1.9 meter"/>
    <s v="Tidak termasuk listrik"/>
    <n v="1200000"/>
    <s v="Rp1.200.000"/>
    <s v="1.9 x 1.9 meter; Tidak termasuk listrik; Kasur; Lemari Baju; Kipas Angin; Bantal; Kloset Duduk; K. Mandi Luar; Ember mandi; WiFi; R. Cuci; Kulkas; R. Tamu; Penjaga Kos; R. Jemur; Jemuran; Parkir Mobil; Parkir Motor &amp; Sepeda"/>
    <x v="307"/>
    <s v="Rp1.104.000"/>
    <x v="6"/>
    <d v="1899-12-30T04:06:00"/>
    <x v="0"/>
    <m/>
    <s v="Diskon 96rb"/>
  </r>
  <r>
    <s v="Kost Singgahsini BINUS Melrose Laluna Residence Tipe A Palmerah Jakarta Barat"/>
    <x v="3"/>
    <s v="Palmerah"/>
    <n v="5"/>
    <s v="2 x 2.5 meter"/>
    <s v="Tidak termasuk listrik"/>
    <n v="1975000"/>
    <s v="Rp1.975.000"/>
    <s v="2 x 2.5 meter; Tidak termasuk listrik; AC; Kasur; Meja; Lemari Baju; Kursi; Bantal; Jendela; K. Mandi Dalam; Kloset Duduk; Wastafel; Shower; WiFi; R. Cuci; R. Jemur; Parkir Mobil; Parkir Motor"/>
    <x v="308"/>
    <s v="Rp1.877.500"/>
    <x v="12"/>
    <d v="1899-12-30T04:04:00"/>
    <x v="0"/>
    <m/>
    <s v="Diskon 98rb"/>
  </r>
  <r>
    <s v="Kost Singgahsini Black House Tipe A Kebayoran Baru Jakarta Selatan"/>
    <x v="5"/>
    <s v="Kecamatan Kebayoran Baru"/>
    <n v="15"/>
    <s v="3 x 5 meter"/>
    <s v="Tidak termasuk listrik"/>
    <n v="3525000"/>
    <s v="Rp3.525.000"/>
    <s v="3 x 5 meter; Tidak termasuk listrik; AC; Kasur; Lemari Baju; Bantal; Cermin; Guling; Jendela; K. Mandi Dalam; Kloset Duduk; Shower; Air panas; WiFi; Kulkas; R. Tamu; Penjaga Kos; R. Makan; Dapur; Dispenser; K. Mandi Luar; CCTV; Parkir Mobil; Parkir Motor; Parkir Sepeda"/>
    <x v="309"/>
    <s v="Rp3.245.000"/>
    <x v="2"/>
    <d v="1899-12-30T04:08:00"/>
    <x v="0"/>
    <m/>
    <s v="Diskon 280rb"/>
  </r>
  <r>
    <s v="Kost Singgahsini Blessing House BSD Tipe A Serpong Tangerang Selatan"/>
    <x v="2"/>
    <s v="Serpong"/>
    <n v="16.32"/>
    <s v="5.1 x 3.2 meter"/>
    <s v="Tidak termasuk listrik"/>
    <n v="1525000"/>
    <s v="Rp1.525.000"/>
    <s v="5.1 x 3.2 meter; Tidak termasuk listrik; AC; Kasur; Lemari Baju; Ventilasi; Bantal; Cermin; Jendela; K. Mandi Dalam; Kloset Duduk; Shower; Air panas; WiFi; Kulkas; Penjaga Kos; R. Jemur; Dapur; Parkir Mobil; Parkir Motor &amp; Sepeda"/>
    <x v="21"/>
    <s v="Rp1.450.000"/>
    <x v="8"/>
    <d v="1899-12-30T04:09:00"/>
    <x v="0"/>
    <m/>
    <s v="Diskon 75rb"/>
  </r>
  <r>
    <s v="Kost Singgahsini Blessing House BSD Tipe B Serpong Tangerang Selatan"/>
    <x v="2"/>
    <s v="Serpong"/>
    <n v="9.3000000000000007"/>
    <s v="3 x 3.1 meter"/>
    <s v="Tidak termasuk listrik"/>
    <n v="1275000"/>
    <s v="Rp1.275.000"/>
    <s v="3 x 3.1 meter; Tidak termasuk listrik; AC; Kasur; Lemari Baju; Ventilasi; Bantal; Cermin; Jendela; K. Mandi Dalam; Kloset Duduk; Shower; Air panas; WiFi; Kulkas; Penjaga Kos; R. Jemur; Dapur; Parkir Mobil; Parkir Motor &amp; Sepeda"/>
    <x v="73"/>
    <s v="Rp1.212.500"/>
    <x v="25"/>
    <d v="1899-12-30T03:03:00"/>
    <x v="0"/>
    <m/>
    <s v="Diskon 63rb"/>
  </r>
  <r>
    <s v="Kost Singgahsini Blue N Yellow Tipe A Cilincing Jakarta Utara"/>
    <x v="4"/>
    <s v="Cilincing"/>
    <n v="9"/>
    <s v="3 x 3 meter"/>
    <s v="Tidak termasuk listrik"/>
    <n v="1325000"/>
    <s v="Rp1.325.000"/>
    <s v="3 x 3 meter; Tidak termasuk listrik; AC; Kasur; Bantal; Jendela; K. Mandi Dalam; Kloset Duduk; Ember mandi; WiFi; Penjaga Kos; R. Jemur; Jemuran; Parkir Mobil; Parkir Motor &amp; Sepeda"/>
    <x v="147"/>
    <s v="Rp1.260.000"/>
    <x v="0"/>
    <m/>
    <x v="0"/>
    <m/>
    <s v="Diskon 65rb"/>
  </r>
  <r>
    <s v="Kost Singgahsini Blue N Yellow Tipe B Cilincing Jakarta Utara"/>
    <x v="4"/>
    <s v="Cilincing"/>
    <n v="9"/>
    <s v="3 x 3 meter"/>
    <s v="Tidak termasuk listrik"/>
    <n v="925000"/>
    <s v="Rp925.000"/>
    <s v="3 x 3 meter; Tidak termasuk listrik; Kasur; Kipas Angin; Bantal; Jendela; K. Mandi Dalam; Kloset Duduk; Ember mandi; WiFi; Penjaga Kos; R. Jemur; Jemuran; Parkir Mobil; Parkir Motor &amp; Sepeda"/>
    <x v="16"/>
    <s v="Rp880.000"/>
    <x v="12"/>
    <d v="1899-12-30T04:04:00"/>
    <x v="0"/>
    <m/>
    <s v="Diskon 45rb"/>
  </r>
  <r>
    <s v="Kost Singgahsini Blueberry 1 Tipe B Sawah Besar Jakarta Pusat"/>
    <x v="9"/>
    <s v="Sawah Besar"/>
    <n v="14.700000000000001"/>
    <s v="4.2 x 3.5 meter"/>
    <s v="Tidak termasuk listrik"/>
    <s v=""/>
    <s v="N/A"/>
    <s v="4.2 x 3.5 meter; Tidak termasuk listrik; AC; Kasur; Meja; TV; Lemari Baju; Ventilasi; Kursi; Bantal; Cermin; K. Mandi Dalam; Kloset Duduk; Wastafel; Shower; Air panas; WiFi; R. Tamu; Dapur; CCTV; Parkir Mobil; Parkir Motor"/>
    <x v="300"/>
    <s v="Rp2.425.000"/>
    <x v="6"/>
    <d v="1899-12-30T04:06:00"/>
    <x v="0"/>
    <m/>
    <s v="Diskon 118rb"/>
  </r>
  <r>
    <s v="Kost Singgahsini Blueberry 1 Tipe C Sawah Besar Jakarta Pusat"/>
    <x v="9"/>
    <s v="Sawah Besar"/>
    <n v="12.600000000000001"/>
    <s v="4.2 x 3 meter"/>
    <s v="Tidak termasuk listrik"/>
    <s v=""/>
    <s v="N/A"/>
    <s v="4.2 x 3 meter; Tidak termasuk listrik; AC; Kasur; Meja; TV; Lemari Baju; Kursi; Bantal; Cermin; K. Mandi Dalam; Kloset Duduk; Wastafel; Shower; Air panas; WiFi; R. Tamu; Dapur; CCTV; Parkir Mobil; Parkir Motor"/>
    <x v="310"/>
    <s v="Rp2.075.000"/>
    <x v="6"/>
    <d v="1899-12-30T04:06:00"/>
    <x v="0"/>
    <m/>
    <s v="Diskon 110rb"/>
  </r>
  <r>
    <s v="Kost Singgahsini Bluhaus Meruya Tipe A Kembangan Jakarta Barat"/>
    <x v="3"/>
    <s v="Kembangan"/>
    <n v="16.12"/>
    <s v="5.2 x 3.1 meter"/>
    <s v="Tidak termasuk listrik"/>
    <s v=""/>
    <s v="N/A"/>
    <s v="5.2 x 3.1 meter; Tidak termasuk listrik; AC; Kasur; Meja; Lemari Baju; Kursi; K. Mandi Dalam; Kloset Duduk; Shower; WiFi; Kulkas; R. Tamu; Penjaga Kos; R. Makan; Dapur; Parkir Mobil; Parkir Motor &amp; Sepeda"/>
    <x v="232"/>
    <s v="Rp2.225.000"/>
    <x v="10"/>
    <d v="1899-12-30T04:05:00"/>
    <x v="0"/>
    <m/>
    <s v="Diskon 176rb"/>
  </r>
  <r>
    <s v="Kost Singgahsini Bluhaus Meruya Tipe B Kembangan Jakarta Barat"/>
    <x v="3"/>
    <s v="Kembangan"/>
    <n v="8.68"/>
    <s v="3.1 x 2.8 meter"/>
    <s v="Tidak termasuk listrik"/>
    <s v=""/>
    <s v="N/A"/>
    <s v="3.1 x 2.8 meter; Tidak termasuk listrik; AC; Kasur; Meja; Lemari Baju; Kursi; K. Mandi Dalam; Kloset Duduk; Shower; WiFi; Kulkas; R. Tamu; Penjaga Kos; R. Makan; Dapur; Parkir Mobil; Parkir Motor &amp; Sepeda"/>
    <x v="228"/>
    <s v="Rp1.925.000"/>
    <x v="8"/>
    <d v="1899-12-30T04:09:00"/>
    <x v="0"/>
    <m/>
    <m/>
  </r>
  <r>
    <s v="Kost Singgahsini BnB Tipe B Kembangan Jakarta Barat"/>
    <x v="3"/>
    <s v="Kembangan"/>
    <n v="12.18"/>
    <s v="4.2 x 2.9 meter"/>
    <s v="Tidak termasuk listrik"/>
    <s v=""/>
    <s v="N/A"/>
    <s v="4.2 x 2.9 meter; Tidak termasuk listrik; Kasur; Meja; Lemari Baju; Jendela; K. Mandi Dalam; Kloset Jongkok; Shower; WiFi; Kulkas; R. Tamu; Penjaga Kos; R. Jemur; Dapur; Parkir Motor &amp; Sepeda"/>
    <x v="28"/>
    <s v="Rp1.000.000"/>
    <x v="6"/>
    <d v="1899-12-30T04:06:00"/>
    <x v="0"/>
    <m/>
    <m/>
  </r>
  <r>
    <s v="Kost Singgahsini Boboyu Tipe A Pondok Aren Tangerang Selatan"/>
    <x v="2"/>
    <s v="Pondok Aren"/>
    <n v="12"/>
    <s v="4 x 3 meter"/>
    <s v="Tidak termasuk listrik"/>
    <n v="2225000"/>
    <s v="Rp2.225.000"/>
    <s v="4 x 3 meter; Tidak termasuk listrik; AC; Kasur; Meja; TV; Lemari Baju; Kursi; Jendela; Bantal; Guling; K. Mandi Dalam; Kloset Duduk; Wastafel; Shower; Air panas; WiFi; Kulkas; R. Tamu; R. Makan; R. Jemur; Dapur; Dispenser; Kartu Akses; CCTV; Parkir Motor &amp; Sepeda"/>
    <x v="311"/>
    <s v="Rp2.115.000"/>
    <x v="3"/>
    <d v="1899-12-30T05:00:00"/>
    <x v="0"/>
    <m/>
    <s v="Diskon 110rb"/>
  </r>
  <r>
    <s v="Kost Singgahsini Boboyu Tipe B Pondok Aren Tangerang Selatan"/>
    <x v="2"/>
    <s v="Pondok Aren"/>
    <n v="12"/>
    <s v="4 x 3 meter"/>
    <s v="Tidak termasuk listrik"/>
    <s v=""/>
    <s v="N/A"/>
    <s v="4 x 3 meter; Tidak termasuk listrik; AC; Kasur; Meja; TV; Lemari Baju; Kursi; Jendela; Wastafel; Bantal; Cermin; K. Mandi Dalam; Kloset Duduk; Shower; Air panas; WiFi; Kulkas; R. Tamu; R. Makan; R. Jemur; Dapur; Dispenser; Kartu Akses; CCTV; Parkir Motor &amp; Sepeda"/>
    <x v="111"/>
    <s v="Rp1.975.000"/>
    <x v="8"/>
    <d v="1899-12-30T04:09:00"/>
    <x v="0"/>
    <m/>
    <s v="Diskon 110rb"/>
  </r>
  <r>
    <s v="Kost Singgahsini BSD 36 Tipe A Serpong Tangerang Selatan"/>
    <x v="2"/>
    <s v="Serpong"/>
    <n v="9"/>
    <s v="3 x 3 meter"/>
    <s v="Tidak termasuk listrik"/>
    <s v=""/>
    <s v="N/A"/>
    <s v="3 x 3 meter; Tidak termasuk listrik; AC; Kasur; Lemari Baju; Wastafel; K. Mandi Dalam; Kloset Duduk; Shower; Penjaga Kos; R. Jemur; Mushola; R. Santai; Dapur; Taman; Parkir Mobil; Parkir Motor"/>
    <x v="312"/>
    <s v="Rp1.775.000"/>
    <x v="6"/>
    <d v="1899-12-30T04:06:00"/>
    <x v="2"/>
    <m/>
    <m/>
  </r>
  <r>
    <s v="Kost Singgahsini BSD 36 Tipe B Serpong Tangerang Selatan"/>
    <x v="2"/>
    <s v="Serpong"/>
    <n v="9"/>
    <s v="3 x 3 meter"/>
    <s v="Tidak termasuk listrik"/>
    <s v=""/>
    <s v="N/A"/>
    <s v="3 x 3 meter; Tidak termasuk listrik; AC; Kasur; Lemari Baju; Wastafel; K. Mandi Dalam; Kloset Duduk; Shower; Penjaga Kos; R. Jemur; Mushola; R. Santai; Dapur; Taman; Parkir Mobil; Parkir Motor"/>
    <x v="78"/>
    <s v="Rp1.625.000"/>
    <x v="2"/>
    <d v="1899-12-30T04:08:00"/>
    <x v="2"/>
    <m/>
    <m/>
  </r>
  <r>
    <s v="Kost Singgahsini BSD Anggrek Jingga 1 Tipe A Serpong Tangerang Selatan"/>
    <x v="2"/>
    <s v="Serpong"/>
    <n v="9.1"/>
    <s v="3.5 x 2.6 meter"/>
    <s v="Termasuk listrik (implied)"/>
    <s v=""/>
    <s v="N/A"/>
    <s v="3.5 x 2.6 meter; Termasuk listrik; AC; Kasur; Meja; Lemari Baju; Kursi; Bantal; Cermin; Jendela; K. Mandi Dalam; Kloset Duduk; Wastafel; Shower; Air panas; WiFi; Kulkas; R. Tamu; R. Jemur; Dapur; Dispenser; TV; K. Mandi Luar; CCTV; Parkir Mobil; Parkir Motor"/>
    <x v="153"/>
    <s v="Rp2.125.000"/>
    <x v="2"/>
    <d v="1899-12-30T04:08:00"/>
    <x v="1"/>
    <m/>
    <m/>
  </r>
  <r>
    <s v="Kost Singgahsini BSD Anggrek Jingga 1 Tipe B Serpong Tangerang Selatan"/>
    <x v="2"/>
    <s v="Serpong"/>
    <n v="9.1"/>
    <s v="3.5 x 2.6 meter"/>
    <s v="Termasuk listrik (implied)"/>
    <s v=""/>
    <s v="N/A"/>
    <s v="3.5 x 2.6 meter; Termasuk listrik; AC; Kasur; Meja; Lemari Baju; Kursi; Bantal; Cermin; Jendela; K. Mandi Dalam; Kloset Duduk; Wastafel; Shower; Air panas; WiFi; Kulkas; R. Tamu; R. Jemur; Dapur; Dispenser; TV; K. Mandi Luar; CCTV; Parkir Mobil; Parkir Motor"/>
    <x v="154"/>
    <s v="Rp1.825.000"/>
    <x v="8"/>
    <d v="1899-12-30T04:09:00"/>
    <x v="1"/>
    <m/>
    <m/>
  </r>
  <r>
    <s v="Kost Singgahsini BSD Anggrek Loka AR15 Tipe B Serpong Tangerang Selatan"/>
    <x v="2"/>
    <s v="Serpong"/>
    <n v="10.26"/>
    <s v="3.8 x 2.7 meter"/>
    <s v="Tidak termasuk listrik"/>
    <n v="1825000"/>
    <s v="Rp1.825.000"/>
    <s v="3.8 x 2.7 meter; Tidak termasuk listrik; AC; Kasur; Meja; TV; Lemari Baju; Kursi; Bantal; Guling; Jendela; Kloset Duduk; K. Mandi Luar; Shower; WiFi; Kulkas; R. Tamu; Mesin Cuci; Dapur; Dispenser; Rice Cooker; Parkir Mobil; Parkir Motor; Parkir Sepeda"/>
    <x v="313"/>
    <s v="Rp1.701.000"/>
    <x v="2"/>
    <d v="1899-12-30T04:08:00"/>
    <x v="0"/>
    <m/>
    <s v="Diskon 124rb"/>
  </r>
  <r>
    <s v="Kost Singgahsini BSD Anggrek Loka AR15 Tipe C Serpong Tangerang Selatan"/>
    <x v="2"/>
    <s v="Serpong"/>
    <n v="11.02"/>
    <s v="3.8 x 2.9 meter"/>
    <s v="Tidak termasuk listrik"/>
    <s v=""/>
    <s v="N/A"/>
    <s v="3.8 x 2.9 meter; Tidak termasuk listrik; AC; Kasur; Meja; TV; Lemari Baju; Kursi; Bantal; Guling; Jendela; K. Mandi Dalam; Kloset Duduk; Kloset Jongkok; Shower; WiFi; Kulkas; R. Tamu; Mesin Cuci; Dapur; Dispenser; Rice Cooker; Parkir Mobil; Parkir Motor; Parkir Sepeda"/>
    <x v="52"/>
    <s v="Rp1.875.000"/>
    <x v="6"/>
    <d v="1899-12-30T04:06:00"/>
    <x v="0"/>
    <m/>
    <s v="Diskon 124rb"/>
  </r>
  <r>
    <s v="Kost Singgahsini BSD Anggrek Loka AR15 Tipe D Serpong Tangerang Selatan"/>
    <x v="2"/>
    <s v="Serpong"/>
    <n v="8.91"/>
    <s v="3.3 x 2.7 meter"/>
    <s v="Tidak termasuk listrik"/>
    <s v=""/>
    <s v="N/A"/>
    <s v="3.3 x 2.7 meter; Tidak termasuk listrik; Kasur; Meja; Lemari Baju; Kursi; Bantal; Guling; Jendela; Kloset Duduk; K. Mandi Luar; Shower; WiFi; Kulkas; R. Tamu; Mesin Cuci; Dapur; Dispenser; Rice Cooker; Parkir Mobil; Parkir Motor; Parkir Sepeda"/>
    <x v="314"/>
    <s v="Rp1.445.000"/>
    <x v="8"/>
    <d v="1899-12-30T04:09:00"/>
    <x v="0"/>
    <m/>
    <s v="Diskon 124rb"/>
  </r>
  <r>
    <s v="Kost Singgahsini Buana Gandaria Tipe A Kebayoran Lama Jakarta Selatan"/>
    <x v="5"/>
    <s v="Kebayoran Lama"/>
    <n v="9.7999999999999989"/>
    <s v="2.8 x 3.5 meter"/>
    <s v="Tidak termasuk listrik"/>
    <s v=""/>
    <s v="N/A"/>
    <s v="2.8 x 3.5 meter; Tidak termasuk listrik; AC; Kasur; Meja; Lemari Baju; Kursi; Bantal; Cermin; Guling; Jendela; K. Mandi Dalam; Kloset Duduk; Shower; WiFi; R. Cuci; Mesin Cuci; Penjaga Kos; R. Jemur; Dapur; Dispenser; Parkir Motor &amp; Sepeda"/>
    <x v="154"/>
    <s v="Rp1.825.000"/>
    <x v="12"/>
    <d v="1899-12-30T04:04:00"/>
    <x v="0"/>
    <m/>
    <m/>
  </r>
  <r>
    <s v="Kost Singgahsini Buana Seven Tipe A Kebayoran Lama Jakarta Selatan"/>
    <x v="5"/>
    <s v="Kebayoran Lama"/>
    <n v="9"/>
    <s v="3 x 3 meter"/>
    <s v="Termasuk listrik (implied)"/>
    <s v=""/>
    <s v="N/A"/>
    <s v="3 x 3 meter; Termasuk listrik; AC; Kasur; Meja; Lemari Baju; Kursi; Bantal; Cermin; Guling; Jendela; Kloset Duduk; K. Mandi Luar; Wastafel; Shower; WiFi; R. Cuci; R. Tamu; Penjaga Kos; R. Jemur; Dapur; Dispenser; TV; Parkir Mobil; Parkir Motor"/>
    <x v="315"/>
    <s v="Rp1.805.000"/>
    <x v="10"/>
    <d v="1899-12-30T04:05:00"/>
    <x v="1"/>
    <m/>
    <m/>
  </r>
  <r>
    <s v="Kost Singgahsini Bukit Duri 42 Tipe A Tebet Jakarta Selatan"/>
    <x v="5"/>
    <s v="Tebet"/>
    <n v="12"/>
    <s v="4 x 3 meter"/>
    <s v="Tidak termasuk listrik"/>
    <n v="2365000"/>
    <s v="Rp2.365.000"/>
    <s v="4 x 3 meter; Tidak termasuk listrik; AC; Kasur; Meja; Lemari Baju; Ventilasi; Kursi; Cermin; Jendela; Bantal; K. Mandi Dalam; Kloset Duduk; Ember mandi; Shower; WiFi; Kulkas; R. Tamu; Penjaga Kos; Dapur; Parkir Mobil; Parkir Motor &amp; Sepeda"/>
    <x v="316"/>
    <s v="Rp2.248.000"/>
    <x v="12"/>
    <d v="1899-12-30T04:04:00"/>
    <x v="2"/>
    <m/>
    <s v="Diskon 117rb"/>
  </r>
  <r>
    <s v="Kost Singgahsini Bukit Duri 42 Tipe B Tebet Jakarta Selatan"/>
    <x v="5"/>
    <s v="Tebet"/>
    <n v="9"/>
    <s v="3 x 3 meter"/>
    <s v="Tidak termasuk listrik"/>
    <n v="1825000"/>
    <s v="Rp1.825.000"/>
    <s v="3 x 3 meter; Tidak termasuk listrik; AC; Kasur; Meja; Lemari Baju; Ventilasi; Kursi; Bantal; Cermin; Jendela; Kloset Duduk; K. Mandi Luar; Ember mandi; Shower; WiFi; Kulkas; R. Tamu; Penjaga Kos; Dapur; Parkir Mobil; Parkir Motor &amp; Sepeda"/>
    <x v="143"/>
    <s v="Rp1.735.000"/>
    <x v="2"/>
    <d v="1899-12-30T04:08:00"/>
    <x v="2"/>
    <m/>
    <s v="Diskon 90rb"/>
  </r>
  <r>
    <s v="Kost Singgahsini Bunda Tsamara Tipe A Tangerang"/>
    <x v="6"/>
    <s v="Benda"/>
    <e v="#VALUE!"/>
    <s v="N/A"/>
    <s v="N/A"/>
    <n v="1925000"/>
    <s v="Rp1.925.000"/>
    <s v=""/>
    <x v="142"/>
    <s v="Rp1.830.000"/>
    <x v="3"/>
    <d v="1899-12-30T05:00:00"/>
    <x v="0"/>
    <m/>
    <s v="Diskon 95rb"/>
  </r>
  <r>
    <s v="Kost Singgahsini Bunggur Wanita Tipe A Kebayoran Lama Jakarta Selatan"/>
    <x v="5"/>
    <s v="Kebayoran Lama"/>
    <n v="12"/>
    <s v="4 x 3 meter"/>
    <s v="Tidak termasuk listrik"/>
    <s v=""/>
    <s v="N/A"/>
    <s v="4 x 3 meter; Tidak termasuk listrik; AC; Kasur; Meja; Lemari Baju; Kursi; Cleaning service; K. Mandi Luar; Shower; WiFi; R. Cuci; R. Tamu; R. Makan; R. Jemur; R. Santai; R. Keluarga; Balcon; Parkir Motor; Parkir Sepeda"/>
    <x v="317"/>
    <s v="Rp1.395.000"/>
    <x v="13"/>
    <d v="1899-12-30T04:03:00"/>
    <x v="2"/>
    <m/>
    <s v="Diskon 75rb"/>
  </r>
  <r>
    <s v="Kost Singgahsini Bunggur Wanita Tipe B Kebayoran Lama Jakarta Selatan"/>
    <x v="5"/>
    <s v="Kecamatan Kebayoran Lama"/>
    <n v="12"/>
    <s v="4 x 3 meter"/>
    <s v="Tidak termasuk listrik"/>
    <s v=""/>
    <s v="N/A"/>
    <s v="4 x 3 meter; Tidak termasuk listrik; AC; Kasur; Meja; Lemari Baju; Kursi; Cleaning service; K. Mandi Luar; Shower; WiFi; R. Cuci; R. Tamu; R. Makan; R. Jemur; R. Santai; R. Keluarga; Balcon; Parkir Motor; Parkir Sepeda"/>
    <x v="318"/>
    <s v="Rp1.255.000"/>
    <x v="6"/>
    <d v="1899-12-30T04:06:00"/>
    <x v="2"/>
    <m/>
    <m/>
  </r>
  <r>
    <s v="Kost Singgahsini Bunggur Wanita Tipe C Kebayoran Lama Jakarta Selatan"/>
    <x v="5"/>
    <s v="Kecamatan Kebayoran Lama"/>
    <n v="12"/>
    <s v="4 x 3 meter"/>
    <s v="Tidak termasuk listrik"/>
    <s v=""/>
    <s v="N/A"/>
    <s v="4 x 3 meter; Tidak termasuk listrik; AC; Kasur; Meja; Lemari Baju; Kursi; Cleaning service; K. Mandi Luar; Shower; WiFi; R. Cuci; R. Tamu; R. Makan; R. Jemur; R. Santai; R. Keluarga; Balcon; Parkir Motor; Parkir Sepeda"/>
    <x v="126"/>
    <s v="Rp1.425.000"/>
    <x v="2"/>
    <d v="1899-12-30T04:08:00"/>
    <x v="2"/>
    <m/>
    <s v="Diskon 75rb"/>
  </r>
  <r>
    <s v="Kost Singgahsini Cahaya Mansion Tipe A Tebet Jakarta Selatan"/>
    <x v="5"/>
    <s v="Tebet"/>
    <n v="11.2"/>
    <s v="4 x 2.8 meter"/>
    <s v="Tidak termasuk listrik"/>
    <n v="3425000"/>
    <s v="Rp3.425.000"/>
    <s v="4 x 2.8 meter; Tidak termasuk listrik; AC; Kasur; Meja; TV; Lemari Baju; Kursi; Wastafel; Bantal; Jendela; K. Mandi Dalam; Kloset Duduk; Shower; Air panas; WiFi; Kulkas; Penjaga Kos; Laundry; Dapur; Dispenser; CCTV; Parkir Mobil; Parkir Motor &amp; Sepeda"/>
    <x v="319"/>
    <s v="Rp3.153.000"/>
    <x v="2"/>
    <d v="1899-12-30T04:08:00"/>
    <x v="0"/>
    <m/>
    <s v="Diskon 272rb"/>
  </r>
  <r>
    <s v="Kost Singgahsini Cahaya Mansion Tipe D Tebet Jakarta Selatan"/>
    <x v="5"/>
    <s v="Tebet"/>
    <n v="11.2"/>
    <s v="4 x 2.8 meter"/>
    <s v="Tidak termasuk listrik"/>
    <n v="2825000"/>
    <s v="Rp2.825.000"/>
    <s v="4 x 2.8 meter; Tidak termasuk listrik; AC; Kasur; Meja; TV; Lemari Baju; Kursi; Wastafel; Bantal; Jendela; K. Mandi Dalam; Kloset Duduk; Shower; Air panas; WiFi; Kulkas; Penjaga Kos; Laundry; Dapur; Dispenser; CCTV; Parkir Mobil; Parkir Motor &amp; Sepeda"/>
    <x v="141"/>
    <s v="Rp2.685.000"/>
    <x v="6"/>
    <d v="1899-12-30T04:06:00"/>
    <x v="0"/>
    <m/>
    <s v="Diskon 140rb"/>
  </r>
  <r>
    <s v="Kost Singgahsini Cahaya Mansion Tipe D Tebet Jakarta Selatan"/>
    <x v="5"/>
    <s v="Tebet"/>
    <e v="#VALUE!"/>
    <s v="N/A"/>
    <s v="N/A"/>
    <n v="2825000"/>
    <s v="Rp2.825.000"/>
    <s v=""/>
    <x v="141"/>
    <s v="Rp2.685.000"/>
    <x v="6"/>
    <d v="1899-12-30T04:06:00"/>
    <x v="0"/>
    <m/>
    <s v="Diskon 140rb"/>
  </r>
  <r>
    <s v="Kost Singgahsini Casa De Salam Tipe A Kramat Jati Jakarta Timur"/>
    <x v="8"/>
    <s v="Kramat Jati"/>
    <n v="10.5"/>
    <s v="3.5 x 3 meter"/>
    <s v="Tidak termasuk listrik"/>
    <s v=""/>
    <s v="N/A"/>
    <s v="3.5 x 3 meter; Tidak termasuk listrik; AC; Kasur; Meja; Lemari Baju; Ventilasi; Kursi; Bantal; Jendela; K. Mandi Dalam; Kloset Duduk; Shower; WiFi; Penjaga Kos; CCTV; Parkir Mobil; Parkir Motor &amp; Sepeda"/>
    <x v="52"/>
    <s v="Rp1.875.000"/>
    <x v="13"/>
    <d v="1899-12-30T04:03:00"/>
    <x v="0"/>
    <m/>
    <s v="Diskon 160rb"/>
  </r>
  <r>
    <s v="Kost Singgahsini Casa Kalasa Tipe B Mampang Prapatan Jakarta Selatan"/>
    <x v="5"/>
    <s v="Mampang Prapatan"/>
    <n v="8.68"/>
    <s v="3.1 x 2.8 meter"/>
    <s v="Tidak termasuk listrik"/>
    <s v=""/>
    <s v="N/A"/>
    <s v="3.1 x 2.8 meter; Tidak termasuk listrik; AC; Kasur; Meja; Lemari Baju; Kursi; Bantal; Cermin; Guling; Jendela; K. Mandi Dalam; Kloset Duduk; Wastafel; Shower; WiFi; Penjaga Kos; Dapur; CCTV; Parkir Mobil; Parkir Motor; Parkir Sepeda"/>
    <x v="320"/>
    <s v="Rp2.675.000"/>
    <x v="8"/>
    <d v="1899-12-30T04:09:00"/>
    <x v="0"/>
    <m/>
    <s v="Diskon 140rb"/>
  </r>
  <r>
    <s v="Kost Singgahsini Casa Kalasa Tipe C Mampang Prapatan Jakarta Selatan"/>
    <x v="5"/>
    <s v="Mampang Prapatan"/>
    <n v="10.639999999999999"/>
    <s v="3.8 x 2.8 meter"/>
    <s v="Tidak termasuk listrik"/>
    <s v=""/>
    <s v="N/A"/>
    <s v="3.8 x 2.8 meter; Tidak termasuk listrik; AC; Kasur; Meja; Lemari Baju; Ventilasi; Kursi; Bantal; Cermin; Guling; Jendela; K. Mandi Dalam; Kloset Duduk; Wastafel; Shower; WiFi; Penjaga Kos; Dapur; CCTV; Parkir Mobil; Parkir Motor; Parkir Sepeda"/>
    <x v="260"/>
    <s v="Rp2.525.000"/>
    <x v="8"/>
    <d v="1899-12-30T04:09:00"/>
    <x v="0"/>
    <m/>
    <s v="Diskon 115rb"/>
  </r>
  <r>
    <s v="Kost Singgahsini Casa Tebet Mas Indah Tipe A Tebet Jakarta Selatan"/>
    <x v="5"/>
    <s v="Kecamatan Tebet"/>
    <n v="12.96"/>
    <s v="3.6 x 3.6 meter"/>
    <s v="Tidak termasuk listrik"/>
    <s v=""/>
    <s v="N/A"/>
    <s v="3.6 x 3.6 meter; Tidak termasuk listrik; AC; Kasur; Meja; TV; Lemari Baju; Ventilasi; Kursi; Bantal; Jendela; K. Mandi Dalam; Kloset Duduk; Wastafel; Shower; Air panas; WiFi; Kulkas; R. Tamu; Laundry; R. Santai; Dapur; Balcon; Parkir Mobil; Parkir Motor"/>
    <x v="321"/>
    <s v="Rp3.825.000"/>
    <x v="2"/>
    <d v="1899-12-30T04:08:00"/>
    <x v="2"/>
    <m/>
    <m/>
  </r>
  <r>
    <s v="Kost Singgahsini Casa Tebet Mas Indah Tipe B Tebet Jakarta Selatan"/>
    <x v="5"/>
    <s v="Kecamatan Tebet"/>
    <n v="9.8999999999999986"/>
    <s v="3.3 x 3 meter"/>
    <s v="Tidak termasuk listrik"/>
    <s v=""/>
    <s v="N/A"/>
    <s v="3.3 x 3 meter; Tidak termasuk listrik; AC; Kasur; Meja; TV; Lemari Baju; Ventilasi; Kursi; Bantal; Cermin; Jendela; K. Mandi Dalam; Kloset Duduk; Wastafel; Shower; Air panas; WiFi; Kulkas; R. Tamu; Laundry; R. Santai; Dapur; Balcon; Parkir Mobil; Parkir Motor"/>
    <x v="322"/>
    <s v="Rp3.525.000"/>
    <x v="8"/>
    <d v="1899-12-30T04:09:00"/>
    <x v="2"/>
    <m/>
    <m/>
  </r>
  <r>
    <s v="Kost Singgahsini Casa Tebet Mas Indah Tipe C Tebet Jakarta Selatan"/>
    <x v="5"/>
    <s v="Tebet"/>
    <n v="12"/>
    <s v="3 x 4 meter"/>
    <s v="Tidak termasuk listrik"/>
    <s v=""/>
    <s v="N/A"/>
    <s v="3 x 4 meter; Tidak termasuk listrik; AC; Kasur; Meja; Lemari Baju; Ventilasi; Kursi; Bantal; Cermin; Jendela; Kloset Duduk; K. Mandi Luar; Wastafel; Shower; Air panas; WiFi; Kulkas; R. Tamu; Laundry; R. Santai; Dapur; Balcon; CCTV; Parkir Mobil; Parkir Motor; Parkir Sepeda"/>
    <x v="323"/>
    <s v="Rp3.225.000"/>
    <x v="8"/>
    <d v="1899-12-30T04:09:00"/>
    <x v="2"/>
    <m/>
    <m/>
  </r>
  <r>
    <s v="Kost Singgahsini Casablanca III Tipe A Bogor"/>
    <x v="0"/>
    <s v="Babakan Madang"/>
    <n v="9.6000000000000014"/>
    <s v="3.2 x 3 meter"/>
    <s v="Tidak termasuk listrik"/>
    <n v="1525000"/>
    <s v="Rp1.525.000"/>
    <s v="3.2 x 3 meter; Tidak termasuk listrik; AC; Kasur; Meja; Lemari Baju; Kursi; Bantal; Cermin; Jendela; Kloset Duduk; K. Mandi Luar; Wastafel; Shower; WiFi; Kulkas; R. Tamu; R. Makan; R. Jemur; Dapur; Dispenser; TV; CCTV; Rice Cooker; Parkir Mobil; Parkir Motor; Parkir Sepeda"/>
    <x v="21"/>
    <s v="Rp1.450.000"/>
    <x v="3"/>
    <d v="1899-12-30T05:00:00"/>
    <x v="2"/>
    <m/>
    <s v="Diskon 75rb"/>
  </r>
  <r>
    <s v="Kost Singgahsini Casablanca III Tipe B Bogor"/>
    <x v="0"/>
    <s v="Babakan Madang"/>
    <n v="9"/>
    <s v="3 x 3 meter"/>
    <s v="Tidak termasuk listrik"/>
    <n v="4525000"/>
    <s v="Rp4.525.000"/>
    <s v="3 x 3 meter; Tidak termasuk listrik; AC; Kasur; Meja; Lemari Baju; Kursi; Bantal; Cermin; Jendela; K. Mandi Dalam; Kloset Duduk; Wastafel; Shower; Air panas; WiFi; Kulkas; R. Tamu; R. Makan; R. Jemur; Dapur; Dispenser; TV; CCTV; Rice Cooker; Parkir Mobil; Parkir Motor; Parkir Sepeda"/>
    <x v="324"/>
    <s v="Rp4.165.000"/>
    <x v="8"/>
    <d v="1899-12-30T04:09:00"/>
    <x v="2"/>
    <m/>
    <s v="Diskon 360rb"/>
  </r>
  <r>
    <s v="Kost Singgahsini Casablanca III Tipe C Bogor"/>
    <x v="0"/>
    <s v="Babakan Madang"/>
    <n v="14.399999999999999"/>
    <s v="4.8 x 3 meter"/>
    <s v="Tidak termasuk listrik"/>
    <n v="2525000"/>
    <s v="Rp2.525.000"/>
    <s v="4.8 x 3 meter; Tidak termasuk listrik; AC; Kasur; Meja; Lemari Baju; Kursi; K. Mandi Dalam; Kloset Duduk; Air panas; WiFi; Kulkas; R. Tamu; R. Makan; R. Jemur; Dapur; Dispenser; TV; CCTV; Rice Cooker; Parkir Mobil; Parkir Motor; Parkir Sepeda"/>
    <x v="33"/>
    <s v="Rp2.400.000"/>
    <x v="0"/>
    <m/>
    <x v="2"/>
    <m/>
    <s v="Diskon 125rb"/>
  </r>
  <r>
    <s v="Kost Singgahsini Casablanca III Tipe D Bogor"/>
    <x v="0"/>
    <s v="Babakan Madang"/>
    <n v="9"/>
    <s v="3 x 3 meter"/>
    <s v="Tidak termasuk listrik"/>
    <n v="1825000"/>
    <s v="Rp1.825.000"/>
    <s v="3 x 3 meter; Tidak termasuk listrik; AC; Kasur; Meja; Lemari Baju; Kursi; K. Mandi Dalam; Kloset Duduk; Air panas; WiFi; Kulkas; R. Tamu; R. Makan; R. Jemur; Dapur; Dispenser; TV; CCTV; Rice Cooker; Parkir Mobil; Parkir Motor; Parkir Sepeda; Parkir Motor &amp; Sepeda"/>
    <x v="143"/>
    <s v="Rp1.735.000"/>
    <x v="0"/>
    <m/>
    <x v="2"/>
    <m/>
    <s v="Diskon 90rb"/>
  </r>
  <r>
    <s v="Kost Singgahsini Cempaka Putih 15 Tipe A Jakarta Pusat"/>
    <x v="9"/>
    <s v="Kecamatan Cempaka Putih"/>
    <n v="12"/>
    <s v="4 x 3 meter"/>
    <s v="Tidak termasuk listrik"/>
    <s v=""/>
    <s v="N/A"/>
    <s v="4 x 3 meter; Tidak termasuk listrik; AC; Kasur; Meja; Lemari Baju; Kursi; Bantal; Cermin; Guling; Jendela; K. Mandi Dalam; Kloset Duduk; Shower; WiFi; R. Cuci; Kulkas; R. Tamu; Penjaga Kos; R. Makan; Dapur; Parkir Mobil"/>
    <x v="228"/>
    <s v="Rp1.925.000"/>
    <x v="2"/>
    <d v="1899-12-30T04:08:00"/>
    <x v="0"/>
    <m/>
    <m/>
  </r>
  <r>
    <s v="Kost Singgahsini Cempaka Putih 15 Tipe B Jakarta Pusat"/>
    <x v="9"/>
    <s v="Kecamatan Cempaka Putih"/>
    <n v="12.8"/>
    <s v="4 x 3.2 meter"/>
    <s v="Tidak termasuk listrik"/>
    <s v=""/>
    <s v="N/A"/>
    <s v="4 x 3.2 meter; Tidak termasuk listrik; AC; Kasur; Meja; Lemari Baju; Kursi; K. Mandi Dalam; Kloset Duduk; Shower; WiFi; R. Cuci; Kulkas; R. Tamu; Penjaga Kos; R. Makan; Dapur; Parkir Mobil"/>
    <x v="311"/>
    <s v="Rp2.115.000"/>
    <x v="6"/>
    <d v="1899-12-30T04:06:00"/>
    <x v="0"/>
    <m/>
    <m/>
  </r>
  <r>
    <s v="Kost Singgahsini Cempaka Putih 15 Tipe C Jakarta Pusat"/>
    <x v="9"/>
    <s v="Kecamatan Cempaka Putih"/>
    <n v="14"/>
    <s v="4 x 3.5 meter"/>
    <s v="Tidak termasuk listrik"/>
    <s v=""/>
    <s v="N/A"/>
    <s v="4 x 3.5 meter; Tidak termasuk listrik; AC; Kasur; Meja; Lemari Baju; Kursi; Bantal; Cermin; Guling; Jendela; K. Mandi Dalam; Kloset Duduk; Shower; WiFi; R. Cuci; Kulkas; R. Tamu; Penjaga Kos; R. Makan; Dapur; Parkir Mobil"/>
    <x v="232"/>
    <s v="Rp2.225.000"/>
    <x v="8"/>
    <d v="1899-12-30T04:09:00"/>
    <x v="0"/>
    <m/>
    <m/>
  </r>
  <r>
    <s v="Kost Singgahsini Cendrawasih I Tipe A Cilandak Jakarta Selatan"/>
    <x v="5"/>
    <s v="Cilandak"/>
    <n v="8.58"/>
    <s v="2.6 x 3.3 meter"/>
    <s v="Termasuk listrik (implied)"/>
    <s v=""/>
    <s v="N/A"/>
    <s v="2.6 x 3.3 meter; Termasuk listrik; AC; Kasur; Lemari Baju; Bantal; Cermin; Jendela; K. Mandi Dalam; Kloset Duduk; Wastafel; Shower; WiFi; Kulkas; R. Tamu; R. Jemur; Dapur; Parkir Mobil; Parkir Motor; Parkir Sepeda"/>
    <x v="279"/>
    <s v="Rp2.575.000"/>
    <x v="6"/>
    <d v="1899-12-30T04:06:00"/>
    <x v="0"/>
    <m/>
    <s v="Diskon 216rb"/>
  </r>
  <r>
    <s v="Kost Singgahsini Cendrawasih I Tipe B Cilandak Jakarta Selatan"/>
    <x v="5"/>
    <s v="Cilandak"/>
    <n v="14"/>
    <s v="3.5 x 4 meter"/>
    <s v="Termasuk listrik (implied)"/>
    <s v=""/>
    <s v="N/A"/>
    <s v="3.5 x 4 meter; Termasuk listrik; AC; Kasur; TV; Lemari Baju; Bantal; Cermin; Jendela; K. Mandi Dalam; Kloset Duduk; Wastafel; Shower; WiFi; Kulkas; R. Tamu; R. Jemur; Dapur; Parkir Mobil; Parkir Motor; Parkir Sepeda"/>
    <x v="325"/>
    <s v="Rp2.845.000"/>
    <x v="10"/>
    <d v="1899-12-30T04:05:00"/>
    <x v="0"/>
    <m/>
    <s v="Diskon 216rb"/>
  </r>
  <r>
    <s v="Kost Singgahsini Cherry Suites Tipe B Kebayoran Baru Jakarta Selatan"/>
    <x v="5"/>
    <s v="Kebayoran Baru"/>
    <n v="13.5"/>
    <s v="3 x 4.5 meter"/>
    <s v="Tidak termasuk listrik"/>
    <s v=""/>
    <s v="N/A"/>
    <s v="3 x 4.5 meter; Tidak termasuk listrik; AC; Kasur; Meja; TV; Lemari Baju; Kulkas; Kursi; Bantal; Cermin; Guling; K. Mandi Dalam; Kloset Duduk; Wastafel; Shower; Air panas; WiFi; R. Tamu; Penjaga Kos; R. Makan; R. Jemur; Dapur; Dispenser; CCTV; Jemuran; Rooftop; Parkir Motor &amp; Sepeda"/>
    <x v="200"/>
    <s v="Rp3.700.000"/>
    <x v="3"/>
    <d v="1899-12-30T05:00:00"/>
    <x v="0"/>
    <m/>
    <s v="Diskon 272rb"/>
  </r>
  <r>
    <s v="Kost Singgahsini Chika 19 Tipe A Pondok Aren Tangerang Selatan"/>
    <x v="2"/>
    <s v="Pondok Aren"/>
    <n v="9"/>
    <s v="3 x 3 meter"/>
    <s v="Tidak termasuk listrik"/>
    <n v="2175000"/>
    <s v="Rp2.175.000"/>
    <s v="3 x 3 meter; Tidak termasuk listrik; AC; Kasur; TV; Lemari Baju; Cermin; K. Mandi Dalam; Kloset Duduk; Shower; Air panas; WiFi; Laundry; Mesin Cuci; Dapur; Dispenser; CCTV; Rooftop; Parkir Motor &amp; Sepeda"/>
    <x v="283"/>
    <s v="Rp2.067.500"/>
    <x v="6"/>
    <d v="1899-12-30T04:06:00"/>
    <x v="2"/>
    <m/>
    <s v="Diskon 108rb"/>
  </r>
  <r>
    <s v="Kost Singgahsini Cipinang Baru Raya Tipe A Pulo Gadung Jakarta Timur"/>
    <x v="8"/>
    <s v="Pulo Gadung"/>
    <n v="10.5"/>
    <s v="3 x 3.5 meter"/>
    <s v="Tidak termasuk listrik"/>
    <n v="1525000"/>
    <s v="Rp1.525.000"/>
    <s v="3 x 3.5 meter; Tidak termasuk listrik; AC; Kasur; Lemari Baju; Bantal; Guling; Jendela; Kloset Duduk; Kloset Jongkok; K. Mandi Luar; Ember mandi; Shower; WiFi; R. Tamu; R. Jemur; Dapur; TV; Jemuran; Parkir Mobil; Parkir Motor; Parkir Sepeda"/>
    <x v="21"/>
    <s v="Rp1.450.000"/>
    <x v="3"/>
    <d v="1899-12-30T05:00:00"/>
    <x v="0"/>
    <m/>
    <s v="Diskon 75rb"/>
  </r>
  <r>
    <s v="Kost Singgahsini Cira 29A Tipe B Kebayoran Lama Jakarta Selatan"/>
    <x v="5"/>
    <s v="Kebayoran Lama"/>
    <n v="12"/>
    <s v="3 x 4 meter"/>
    <s v="Termasuk listrik (implied)"/>
    <n v="1825000"/>
    <s v="Rp1.825.000"/>
    <s v="3 x 4 meter; Termasuk listrik; AC; Kasur; Meja; Lemari Baju; Ventilasi; Kursi; Bantal; Cermin; Guling; Jendela; Kloset Duduk; K. Mandi Luar; Shower; WiFi; Penjaga Kos; R. Jemur; Mushola; Dapur; Dispenser; Jemuran; Rooftop; Parkir Motor &amp; Sepeda"/>
    <x v="143"/>
    <s v="Rp1.735.000"/>
    <x v="2"/>
    <d v="1899-12-30T04:08:00"/>
    <x v="1"/>
    <m/>
    <s v="Diskon 90rb"/>
  </r>
  <r>
    <s v="Kost Singgahsini Cireundeu 2 Tipe A Ciputat Timur Tangerang Selatan"/>
    <x v="2"/>
    <s v="Ciputat Timur"/>
    <n v="10.15"/>
    <s v="3.5 x 2.9 meter"/>
    <s v="Tidak termasuk listrik"/>
    <s v=""/>
    <s v="N/A"/>
    <s v="3.5 x 2.9 meter; Tidak termasuk listrik; AC; Kasur; Meja; Lemari Baju; Ventilasi; Kursi; Bantal; Guling; K. Mandi Dalam; Kloset Duduk; Wastafel; Shower; Air panas; WiFi; Mesin Cuci; Penjaga Kos; Dapur; CCTV; Parkir Mobil; Parkir Motor &amp; Sepeda"/>
    <x v="58"/>
    <s v="Rp1.525.000"/>
    <x v="6"/>
    <d v="1899-12-30T04:06:00"/>
    <x v="0"/>
    <m/>
    <m/>
  </r>
  <r>
    <s v="Kost Singgahsini Cireundeu 9 Tipe A Ciputat Timur Tangerang Selatan"/>
    <x v="2"/>
    <s v="Ciputat Timur"/>
    <n v="9"/>
    <s v="3 x 3 meter"/>
    <s v="Tidak termasuk listrik"/>
    <s v=""/>
    <s v="N/A"/>
    <s v="3 x 3 meter; Tidak termasuk listrik; AC; Kasur; Meja; TV; Kursi; Bantal; Jendela; K. Mandi Dalam; Kloset Duduk; Wastafel; Shower; Air panas; WiFi; R. Cuci; Kulkas; R. Tamu; Penjaga Kos; R. Jemur; Dapur; CCTV; Rice Cooker; Parkir Mobil; Parkir Motor &amp; Sepeda"/>
    <x v="154"/>
    <s v="Rp1.825.000"/>
    <x v="10"/>
    <d v="1899-12-30T04:05:00"/>
    <x v="0"/>
    <m/>
    <m/>
  </r>
  <r>
    <s v="Kost Singgahsini Citron Tipe C Cipete Raya Jakarta Selatan"/>
    <x v="5"/>
    <s v="Cilandak"/>
    <n v="20"/>
    <s v="5 x 4 meter"/>
    <s v="Tidak termasuk listrik"/>
    <n v="3875000"/>
    <s v="Rp3.875.000"/>
    <s v="5 x 4 meter; Tidak termasuk listrik; AC; Kasur; Meja; TV; Lemari Baju; Kursi; Bantal; Cermin; Guling; K. Mandi Dalam; Kloset Duduk; Wastafel; Shower; Air panas; WiFi; Kulkas; R. Tamu; R. Makan; R. Jemur; Dapur; Dispenser; Rooftop; Parkir Mobil; Parkir Motor; Parkir Sepeda; Parkir Motor &amp; Sepeda"/>
    <x v="326"/>
    <s v="Rp3.682.500"/>
    <x v="6"/>
    <d v="1899-12-30T04:06:00"/>
    <x v="0"/>
    <m/>
    <s v="Diskon 193rb"/>
  </r>
  <r>
    <s v="Kost Singgahsini Clean Room SPR Tipe A Taman Sari Jakarta Barat"/>
    <x v="3"/>
    <s v="Taman Sari"/>
    <n v="12.96"/>
    <s v="3.6 x 3.6 meter"/>
    <s v="Tidak termasuk listrik"/>
    <s v=""/>
    <s v="N/A"/>
    <s v="3.6 x 3.6 meter; Tidak termasuk listrik; AC; Kasur; Meja; Lemari Baju; Kursi; Bantal; K. Mandi Dalam; Kloset Duduk; Shower; Air panas; WiFi; Kulkas; Penjaga Kos; CCTV; Parkir Motor; Parkir Sepeda"/>
    <x v="51"/>
    <s v="Rp2.025.000"/>
    <x v="5"/>
    <d v="1899-12-30T04:00:00"/>
    <x v="0"/>
    <m/>
    <s v="Diskon 144rb"/>
  </r>
  <r>
    <s v="Kost Singgahsini Clean Room SPR Tipe B Taman Sari Jakarta Barat"/>
    <x v="3"/>
    <s v="Taman Sari"/>
    <n v="10.56"/>
    <s v="3.2 x 3.3 meter"/>
    <s v="Tidak termasuk listrik"/>
    <s v=""/>
    <s v="N/A"/>
    <s v="3.2 x 3.3 meter; Tidak termasuk listrik; AC; Kasur; Meja; Lemari Baju; Kursi; Bantal; Cermin; K. Mandi Dalam; Kloset Duduk; Wastafel; Shower; Air panas; WiFi; Kulkas; Penjaga Kos; CCTV; Parkir Motor; Parkir Sepeda"/>
    <x v="228"/>
    <s v="Rp1.925.000"/>
    <x v="2"/>
    <d v="1899-12-30T04:08:00"/>
    <x v="0"/>
    <m/>
    <s v="Diskon 144rb"/>
  </r>
  <r>
    <s v="Kost Singgahsini Clean Room SPR Tipe C Taman Sari Jakarta Barat"/>
    <x v="3"/>
    <s v="Taman Sari"/>
    <n v="11.16"/>
    <s v="3.1 x 3.6 meter"/>
    <s v="Tidak termasuk listrik"/>
    <n v="1825000"/>
    <s v="Rp1.825.000"/>
    <s v="3.1 x 3.6 meter; Tidak termasuk listrik; AC; Kasur; Meja; Lemari Baju; Kursi; Bantal; Cermin; Jendela; K. Mandi Dalam; Kloset Duduk; Wastafel; Shower; Air panas; WiFi; Kulkas; Penjaga Kos; CCTV; Parkir Motor; Parkir Sepeda"/>
    <x v="53"/>
    <s v="Rp1.681.000"/>
    <x v="10"/>
    <d v="1899-12-30T04:05:00"/>
    <x v="0"/>
    <m/>
    <s v="Diskon 144rb"/>
  </r>
  <r>
    <s v="Kost Singgahsini Cleo Damai 2 Tipe A Kebayoran Baru Jakarta Selatan"/>
    <x v="5"/>
    <s v="Kebayoran Baru"/>
    <n v="18"/>
    <s v="4.5 x 4 meter"/>
    <s v="Tidak termasuk listrik"/>
    <s v=""/>
    <s v="N/A"/>
    <s v="4.5 x 4 meter; Tidak termasuk listrik; AC; Kasur; Meja; TV; Lemari Baju; Kursi; Jendela; Bantal; K. Mandi Dalam; Kloset Duduk; Wastafel; Shower; Air panas; WiFi; Kulkas; R. Tamu; Penjaga Kos; Dapur; Dispenser; CCTV; Parkir Motor &amp; Sepeda"/>
    <x v="327"/>
    <s v="Rp3.625.000"/>
    <x v="6"/>
    <d v="1899-12-30T04:06:00"/>
    <x v="0"/>
    <m/>
    <m/>
  </r>
  <r>
    <s v="Kost Singgahsini Condet Raya 3 Tipe A Kramat Jati Jakarta Timur"/>
    <x v="8"/>
    <s v="Kramat Jati"/>
    <n v="7.5"/>
    <s v="2.5 x 3 meter"/>
    <s v="Termasuk listrik (implied)"/>
    <n v="1775000"/>
    <s v="Rp1.775.000"/>
    <s v="2.5 x 3 meter; Termasuk listrik; AC; Kasur; Meja; Lemari Baju; Kursi; Bantal; Jendela; K. Mandi Dalam; Kloset Duduk; Kloset Jongkok; Shower; WiFi; Kulkas; R. Tamu; Mesin Cuci; R. Makan; R. Jemur; Dapur; TV; K. Mandi Luar; CCTV; Parkir Mobil; Parkir Motor; Parkir Sepeda"/>
    <x v="152"/>
    <s v="Rp1.635.000"/>
    <x v="2"/>
    <d v="1899-12-30T04:08:00"/>
    <x v="0"/>
    <m/>
    <s v="Diskon 140rb"/>
  </r>
  <r>
    <s v="Kost Singgahsini Condet Raya 3 Tipe B Kramat Jati Jakarta Timur"/>
    <x v="8"/>
    <s v="Kramat Jati"/>
    <n v="7.5"/>
    <s v="2.5 x 3 meter"/>
    <s v="Termasuk listrik (implied)"/>
    <n v="1675000"/>
    <s v="Rp1.675.000"/>
    <s v="2.5 x 3 meter; Termasuk listrik; AC; Kasur; Meja; Lemari Baju; Kursi; Bantal; Jendela; K. Mandi Dalam; Kloset Duduk; Shower; WiFi; Kulkas; R. Tamu; Mesin Cuci; R. Makan; R. Jemur; Dapur; TV; K. Mandi Luar; CCTV; Parkir Mobil; Parkir Motor; Parkir Sepeda"/>
    <x v="328"/>
    <s v="Rp1.592.500"/>
    <x v="10"/>
    <d v="1899-12-30T04:05:00"/>
    <x v="0"/>
    <m/>
    <s v="Diskon 83rb"/>
  </r>
  <r>
    <s v="Kost Singgahsini Condet Raya 3 Tipe D Kramat Jati Jakarta Timur"/>
    <x v="8"/>
    <s v="Kramat Jati"/>
    <n v="7.5"/>
    <s v="2.5 x 3 meter"/>
    <s v="Termasuk listrik (implied)"/>
    <n v="1125000"/>
    <s v="Rp1.125.000"/>
    <s v="2.5 x 3 meter; Termasuk listrik; Kasur; Meja; Kursi; Bantal; K. Mandi Dalam; Kloset Duduk; Kloset Jongkok; K. Mandi Luar; Ember mandi; Shower; WiFi; Kulkas; R. Tamu; Mesin Cuci; R. Makan; R. Jemur; Dapur; TV; CCTV; Parkir Mobil; Parkir Motor; Parkir Sepeda"/>
    <x v="41"/>
    <s v="Rp1.037.000"/>
    <x v="10"/>
    <d v="1899-12-30T04:05:00"/>
    <x v="0"/>
    <m/>
    <s v="Diskon 88rb"/>
  </r>
  <r>
    <s v="Kost Singgahsini Condet Raya 3 Tipe E Kramat Jati Jakarta Timur"/>
    <x v="8"/>
    <s v="Kramat Jati"/>
    <n v="8.3999999999999986"/>
    <s v="2.8 x 3 meter"/>
    <s v="Termasuk listrik (implied)"/>
    <n v="975000"/>
    <s v="Rp975.000"/>
    <s v="2.8 x 3 meter; Termasuk listrik; Kasur; Meja; Lemari Baju; Kursi; Bantal; Kloset Jongkok; K. Mandi Luar; Ember mandi; Shower; WiFi; Kulkas; R. Tamu; Mesin Cuci; R. Makan; R. Jemur; Dapur; TV; CCTV; Parkir Mobil; Parkir Motor; Parkir Sepeda"/>
    <x v="39"/>
    <s v="Rp927.500"/>
    <x v="6"/>
    <d v="1899-12-30T04:06:00"/>
    <x v="0"/>
    <m/>
    <s v="Diskon 48rb"/>
  </r>
  <r>
    <s v="Kost Singgahsini Coteca BINUS Anggrek Tipe A Rawa Belong Jakarta Barat"/>
    <x v="3"/>
    <s v="Kecamatan Palmerah"/>
    <n v="8.75"/>
    <s v="2.5 x 3.5 meter"/>
    <s v="Tidak termasuk listrik"/>
    <n v="1975000"/>
    <s v="Rp1.975.000"/>
    <s v="2.5 x 3.5 meter; Tidak termasuk listrik; AC; Kasur; Meja; Lemari Baju; Kursi; Bantal; Jendela; K. Mandi Dalam; Kloset Duduk; Wastafel; Shower; WiFi; R. Cuci; Kulkas; R. Tamu; R. Jemur; Dapur; K. Mandi Luar; Parkir Mobil; Parkir Motor; Parkir Motor &amp; Sepeda"/>
    <x v="308"/>
    <s v="Rp1.877.500"/>
    <x v="6"/>
    <d v="1899-12-30T04:06:00"/>
    <x v="0"/>
    <m/>
    <s v="Diskon 98rb"/>
  </r>
  <r>
    <s v="Kost Singgahsini Coteca BINUS Anggrek Tipe B Rawa Belong Jakarta Barat"/>
    <x v="3"/>
    <s v="Kecamatan Palmerah"/>
    <n v="7.5"/>
    <s v="2.5 x 3 meter"/>
    <s v="Termasuk listrik (implied)"/>
    <n v="1675000"/>
    <s v="Rp1.675.000"/>
    <s v="2.5 x 3 meter; Termasuk listrik; AC; Kasur; Meja; Lemari Baju; Kursi; Bantal; Kloset Duduk; K. Mandi Luar; Wastafel; Shower; WiFi; R. Cuci; Kulkas; R. Tamu; R. Jemur; Dapur; Parkir Mobil; Parkir Motor; Parkir Motor &amp; Sepeda"/>
    <x v="328"/>
    <s v="Rp1.592.500"/>
    <x v="6"/>
    <d v="1899-12-30T04:06:00"/>
    <x v="0"/>
    <m/>
    <s v="Diskon 83rb"/>
  </r>
  <r>
    <s v="Kost Singgahsini Cozy Rawasari Tipe A Cempaka Putih Jakarta Pusat"/>
    <x v="9"/>
    <s v="Cempaka Putih"/>
    <n v="7.1999999999999993"/>
    <s v="3 x 2.4 meter"/>
    <s v="Tidak termasuk listrik"/>
    <n v="2000000"/>
    <s v="Rp2.000.000"/>
    <s v="3 x 2.4 meter; Tidak termasuk listrik; AC; Kasur; Meja; Lemari Baju; Kursi; Bantal; Guling; Jendela; K. Mandi Dalam; Kloset Duduk; Ember mandi; Shower; Air panas; WiFi; Kulkas; R. Tamu; R. Jemur; Dapur; Dispenser; CCTV; Parkir Mobil; Parkir Motor; Parkir Sepeda"/>
    <x v="329"/>
    <s v="Rp1.842.000"/>
    <x v="2"/>
    <d v="1899-12-30T04:08:00"/>
    <x v="0"/>
    <m/>
    <s v="Diskon 158rb"/>
  </r>
  <r>
    <s v="Kost Singgahsini Cozy Rawasari Tipe B Cempaka Putih Jakarta Pusat"/>
    <x v="9"/>
    <s v="Cempaka Putih"/>
    <n v="7.1999999999999993"/>
    <s v="3 x 2.4 meter"/>
    <s v="Tidak termasuk listrik"/>
    <n v="1900000"/>
    <s v="Rp1.900.000"/>
    <s v="3 x 2.4 meter; Tidak termasuk listrik; AC; Kasur; Meja; Lemari Baju; Kursi; Bantal; Cermin; Guling; Jendela; K. Mandi Dalam; Kloset Duduk; Ember mandi; Shower; WiFi; Kulkas; R. Tamu; R. Jemur; Dapur; Dispenser; CCTV; Parkir Mobil; Parkir Motor; Parkir Sepeda"/>
    <x v="166"/>
    <s v="Rp1.750.000"/>
    <x v="2"/>
    <d v="1899-12-30T04:08:00"/>
    <x v="0"/>
    <m/>
    <s v="Diskon 150rb"/>
  </r>
  <r>
    <s v="Kost Singgahsini Cynthia Duren Sawit Jakarta Timur"/>
    <x v="8"/>
    <s v="Kecamatan Duren Sawit"/>
    <n v="12"/>
    <s v="4 x 3 meter"/>
    <s v="Tidak termasuk listrik"/>
    <n v="1625000"/>
    <s v="Rp1.625.000"/>
    <s v="4 x 3 meter; Tidak termasuk listrik; AC; Kasur; Meja; Lemari Baju; Kursi; Cermin; Jendela; K. Mandi Dalam; Kloset Duduk; Shower; WiFi; R. Cuci; R. Jemur; Dapur; Dispenser; Parkir Mobil; Parkir Motor; Parkir Sepeda; Parkir Motor &amp; Sepeda"/>
    <x v="276"/>
    <s v="Rp1.545.000"/>
    <x v="8"/>
    <d v="1899-12-30T04:09:00"/>
    <x v="0"/>
    <m/>
    <s v="Diskon 80rb"/>
  </r>
  <r>
    <s v="Kost Singgahsini D Nahuma Jatiwaringin Tipe A Makasar Jakarta Timur"/>
    <x v="8"/>
    <s v="Makasar"/>
    <n v="16"/>
    <s v="4 x 4 meter"/>
    <s v="Termasuk listrik (implied)"/>
    <n v="2225000"/>
    <s v="Rp2.225.000"/>
    <s v="4 x 4 meter; Termasuk listrik; AC; Kasur; Meja; Meja Rias; Lemari Baju; Ventilasi; Kursi; Jendela; Wastafel; Bantal; K. Mandi Dalam; Kloset Duduk; Ember mandi; Shower; WiFi; R. Tamu; Penjaga Kos; Rooftop; Parkir Mobil; Parkir Motor &amp; Sepeda"/>
    <x v="311"/>
    <s v="Rp2.115.000"/>
    <x v="6"/>
    <d v="1899-12-30T04:06:00"/>
    <x v="0"/>
    <m/>
    <s v="Diskon 110rb"/>
  </r>
  <r>
    <s v="Kost Singgahsini D Nahuma Jatiwaringin Tipe B Makasar Jakarta Timur"/>
    <x v="8"/>
    <s v="Makasar"/>
    <n v="12"/>
    <s v="4 x 3 meter"/>
    <s v="Termasuk listrik (implied)"/>
    <n v="2005000"/>
    <s v="Rp2.005.000"/>
    <s v="4 x 3 meter; Termasuk listrik; AC; Kasur; Meja; Lemari Baju; Kursi; Jendela; Bantal; K. Mandi Dalam; Kloset Duduk; Ember mandi; Shower; WiFi; R. Tamu; Penjaga Kos; Rooftop; Parkir Mobil; Parkir Motor &amp; Sepeda"/>
    <x v="330"/>
    <s v="Rp1.906.000"/>
    <x v="6"/>
    <d v="1899-12-30T04:06:00"/>
    <x v="0"/>
    <m/>
    <s v="Diskon 99rb"/>
  </r>
  <r>
    <s v="Kost Singgahsini D Parama Kelinci Raya Tipe A Sawah Besar Jakarta Pusat"/>
    <x v="9"/>
    <s v="Sawah Besar"/>
    <n v="9.6100000000000012"/>
    <s v="3.1 x 3.1 meter"/>
    <s v="Tidak termasuk listrik"/>
    <n v="2925000"/>
    <s v="Rp2.925.000"/>
    <s v="3.1 x 3.1 meter; Tidak termasuk listrik; AC; Kasur; Meja; TV; Lemari Baju; Kursi; Bantal; Cermin; Guling; Jendela; K. Mandi Dalam; Kloset Duduk; Wastafel; Shower; Air panas; WiFi; Kulkas; Penjaga Kos; R. Jemur; Dapur; Dispenser; CCTV; Parkir Mobil; Parkir Motor &amp; Sepeda"/>
    <x v="331"/>
    <s v="Rp2.691.000"/>
    <x v="6"/>
    <d v="1899-12-30T04:06:00"/>
    <x v="0"/>
    <m/>
    <s v="Diskon 234rb"/>
  </r>
  <r>
    <s v="Kost Singgahsini D Parama Kelinci Raya Tipe B Sawah Besar Jakarta Pusat"/>
    <x v="9"/>
    <s v="Sawah Besar"/>
    <n v="17.64"/>
    <s v="4.2 x 4.2 meter"/>
    <s v="Tidak termasuk listrik"/>
    <n v="3600000"/>
    <s v="Rp3.600.000"/>
    <s v="4.2 x 4.2 meter; Tidak termasuk listrik; AC; Kasur; Meja; TV; Lemari Baju; Kursi; Bantal; Cermin; Guling; Jendela; K. Mandi Dalam; Kloset Duduk; Wastafel; Shower; Air panas; WiFi; Kulkas; Penjaga Kos; R. Jemur; Dapur; Dispenser; CCTV; Parkir Mobil; Parkir Motor &amp; Sepeda"/>
    <x v="332"/>
    <s v="Rp3.312.000"/>
    <x v="2"/>
    <d v="1899-12-30T04:08:00"/>
    <x v="0"/>
    <m/>
    <s v="Diskon 288rb"/>
  </r>
  <r>
    <s v="Kost Singgahsini D Parama Kelinci Raya Tipe C Sawah Besar Jakarta Pusat"/>
    <x v="9"/>
    <s v="Sawah Besar"/>
    <n v="10.5"/>
    <s v="3.5 x 3 meter"/>
    <s v="Tidak termasuk listrik"/>
    <n v="3150000"/>
    <s v="Rp3.150.000"/>
    <s v="3.5 x 3 meter; Tidak termasuk listrik; AC; Kasur; Meja; TV; Lemari Baju; Kursi; Jendela; Bantal; Guling; K. Mandi Dalam; Kloset Duduk; Wastafel; Shower; Air panas; WiFi; Kulkas; Penjaga Kos; R. Jemur; Dapur; Dispenser; CCTV; Parkir Mobil; Parkir Motor &amp; Sepeda"/>
    <x v="333"/>
    <s v="Rp2.992.500"/>
    <x v="5"/>
    <d v="1899-12-30T04:00:00"/>
    <x v="0"/>
    <m/>
    <s v="Diskon 158rb"/>
  </r>
  <r>
    <s v="Kost Singgahsini Da Quinta Kelapa Sawit Tipe A Duren Sawit Jakarta Timur"/>
    <x v="8"/>
    <s v="Duren Sawit"/>
    <n v="12"/>
    <s v="3 x 4 meter"/>
    <s v="Tidak termasuk listrik"/>
    <n v="1675000"/>
    <s v="Rp1.675.000"/>
    <s v="3 x 4 meter; Tidak termasuk listrik; AC; Kasur; Meja; Lemari Baju; Kursi; Bantal; Jendela; K. Mandi Dalam; Kloset Duduk; Shower; WiFi; Kulkas; R. Tamu; R. Makan; R. Jemur; Dapur; Dispenser; Parkir Mobil; Parkir Motor; Parkir Sepeda"/>
    <x v="328"/>
    <s v="Rp1.592.500"/>
    <x v="2"/>
    <d v="1899-12-30T04:08:00"/>
    <x v="0"/>
    <m/>
    <s v="Diskon 83rb"/>
  </r>
  <r>
    <s v="Kost Singgahsini Da Quinta Kelapa Sawit Tipe B Duren Sawit Jakarta Timur"/>
    <x v="8"/>
    <s v="Duren Sawit"/>
    <n v="14"/>
    <s v="3.5 x 4 meter"/>
    <s v="Termasuk listrik (implied)"/>
    <n v="1925000"/>
    <s v="Rp1.925.000"/>
    <s v="3.5 x 4 meter; Termasuk listrik; AC; Kasur; Meja; Lemari Baju; Ventilasi; Kursi; Bantal; Cermin; Jendela; K. Mandi Dalam; Kloset Duduk; Shower; WiFi; Kulkas; R. Tamu; Mesin Cuci; Penjaga Kos; R. Makan; R. Jemur; Dapur; Dispenser; Parkir Mobil; Parkir Motor; Parkir Sepeda"/>
    <x v="142"/>
    <s v="Rp1.830.000"/>
    <x v="10"/>
    <d v="1899-12-30T04:05:00"/>
    <x v="0"/>
    <m/>
    <s v="Diskon 95rb"/>
  </r>
  <r>
    <s v="Kost Singgahsini Daan Mogot 44 Tipe A Tangerang"/>
    <x v="6"/>
    <s v="Tangerang"/>
    <n v="11.7"/>
    <s v="3.9 x 3 meter"/>
    <s v="Tidak termasuk listrik"/>
    <n v="1625000"/>
    <s v="Rp1.625.000"/>
    <s v="3.9 x 3 meter; Tidak termasuk listrik; AC; Kasur; Meja; Lemari Baju; Kursi; Wastafel; Bantal; Jendela; K. Mandi Dalam; Kloset Duduk; Shower; WiFi; R. Tamu; R. Jemur; Dapur; Parkir Motor; Parkir Sepeda; Parkir Motor &amp; Sepeda"/>
    <x v="276"/>
    <s v="Rp1.545.000"/>
    <x v="2"/>
    <d v="1899-12-30T04:08:00"/>
    <x v="2"/>
    <m/>
    <s v="Diskon 80rb"/>
  </r>
  <r>
    <s v="Kost Singgahsini Daan Mogot 44 Tipe B Tangerang"/>
    <x v="6"/>
    <s v="Tangerang"/>
    <n v="11.7"/>
    <s v="3.9 x 3 meter"/>
    <s v="Tidak termasuk listrik"/>
    <n v="1725000"/>
    <s v="Rp1.725.000"/>
    <s v="3.9 x 3 meter; Tidak termasuk listrik; AC; Kasur; Meja; Lemari Baju; Kursi; Wastafel; Bantal; Jendela; K. Mandi Dalam; Kloset Duduk; Shower; WiFi; R. Tamu; R. Jemur; Dapur; Parkir Motor; Parkir Sepeda; Parkir Motor &amp; Sepeda"/>
    <x v="334"/>
    <s v="Rp1.589.000"/>
    <x v="8"/>
    <d v="1899-12-30T04:09:00"/>
    <x v="2"/>
    <m/>
    <s v="Diskon 136rb"/>
  </r>
  <r>
    <s v="Kost Singgahsini Dahlia I Tipe A Kelapa Gading Jakarta Utara"/>
    <x v="4"/>
    <s v="Kelapa Gading"/>
    <n v="9"/>
    <s v="3 x 3 meter"/>
    <s v="Tidak termasuk listrik"/>
    <n v="2025000"/>
    <s v="Rp2.025.000"/>
    <s v="3 x 3 meter; Tidak termasuk listrik; AC; Kasur; Lemari Baju; Ventilasi; Bantal; Cermin; Jendela; K. Mandi Dalam; Kloset Duduk; Shower; WiFi; Kulkas; R. Tamu; Penjaga Kos; Dapur; K. Mandi Luar; Parkir Mobil; Parkir Motor; Parkir Sepeda"/>
    <x v="104"/>
    <s v="Rp1.865.000"/>
    <x v="8"/>
    <d v="1899-12-30T04:09:00"/>
    <x v="2"/>
    <m/>
    <s v="Diskon 160rb"/>
  </r>
  <r>
    <s v="Kost Singgahsini Dahlia I Tipe B Kelapa Gading Jakarta Utara"/>
    <x v="4"/>
    <s v="Kelapa Gading"/>
    <n v="7.1999999999999993"/>
    <s v="3 x 2.4 meter"/>
    <s v="Tidak termasuk listrik"/>
    <s v=""/>
    <s v="N/A"/>
    <s v="3 x 2.4 meter; Tidak termasuk listrik; AC; Kasur; Lemari Baju; Ventilasi; Bantal; Cermin; Jendela; K. Mandi Dalam; Kloset Duduk; Shower; WiFi; Kulkas; R. Tamu; Penjaga Kos; Dapur; K. Mandi Luar; Parkir Mobil; Parkir Motor; Parkir Sepeda"/>
    <x v="52"/>
    <s v="Rp1.875.000"/>
    <x v="8"/>
    <d v="1899-12-30T04:09:00"/>
    <x v="2"/>
    <m/>
    <s v="Diskon 160rb"/>
  </r>
  <r>
    <s v="Kost Singgahsini Dahlia I Tipe C Kelapa Gading Jakarta Utara"/>
    <x v="4"/>
    <s v="Kelapa Gading"/>
    <n v="6.3000000000000007"/>
    <s v="3 x 2.1 meter"/>
    <s v="Tidak termasuk listrik"/>
    <s v=""/>
    <s v="N/A"/>
    <s v="3 x 2.1 meter; Tidak termasuk listrik; AC; Kasur; Lemari Baju; Bantal; Cermin; Jendela; Kloset Duduk; K. Mandi Luar; Shower; WiFi; Kulkas; R. Tamu; Penjaga Kos; Dapur; Parkir Mobil; Parkir Motor; Parkir Sepeda"/>
    <x v="78"/>
    <s v="Rp1.625.000"/>
    <x v="2"/>
    <d v="1899-12-30T04:08:00"/>
    <x v="2"/>
    <m/>
    <s v="Diskon 160rb"/>
  </r>
  <r>
    <s v="Kost Singgahsini Dahlia I Tipe D Kelapa Gading Jakarta Utara"/>
    <x v="4"/>
    <s v="Kelapa Gading"/>
    <n v="5.76"/>
    <s v="2.4 x 2.4 meter"/>
    <s v="Tidak termasuk listrik"/>
    <s v=""/>
    <s v="N/A"/>
    <s v="2.4 x 2.4 meter; Tidak termasuk listrik; AC; Kasur; Lemari Baju; Bantal; Cermin; Jendela; Kloset Duduk; K. Mandi Luar; Shower; WiFi; Kulkas; R. Tamu; Penjaga Kos; Dapur; Parkir Mobil; Parkir Motor; Parkir Sepeda"/>
    <x v="58"/>
    <s v="Rp1.525.000"/>
    <x v="8"/>
    <d v="1899-12-30T04:09:00"/>
    <x v="2"/>
    <m/>
    <s v="Diskon 160rb"/>
  </r>
  <r>
    <s v="Kost Singgahsini Dali Teges Tipe A Menteng Dalam Jakarta Selatan"/>
    <x v="5"/>
    <s v="Kecamatan Tebet"/>
    <n v="9"/>
    <s v="3 x 3 meter"/>
    <s v="Termasuk listrik (implied)"/>
    <s v=""/>
    <s v="N/A"/>
    <s v="3 x 3 meter; Termasuk listrik; AC; Kasur; Meja; Lemari Baju; Ventilasi; Kursi; Bantal; Guling; Jendela; K. Mandi Dalam; Kloset Duduk; K. Mandi Luar; Wastafel; Shower; WiFi; R. Tamu; Penjaga Kos; R. Jemur; Dapur; Dispenser; Jemuran; Parkir Mobil; Parkir Motor; Parkir Motor &amp; Sepeda"/>
    <x v="228"/>
    <s v="Rp1.925.000"/>
    <x v="2"/>
    <d v="1899-12-30T04:08:00"/>
    <x v="1"/>
    <m/>
    <s v="Diskon 224rb"/>
  </r>
  <r>
    <s v="Kost Singgahsini Dali Teges Tipe A Menteng Dalam Jakarta Selatan"/>
    <x v="5"/>
    <s v="Kecamatan Tebet"/>
    <e v="#VALUE!"/>
    <s v="N/A"/>
    <s v="N/A"/>
    <s v=""/>
    <s v="N/A"/>
    <s v=""/>
    <x v="228"/>
    <s v="Rp1.925.000"/>
    <x v="2"/>
    <d v="1899-12-30T04:08:00"/>
    <x v="1"/>
    <m/>
    <m/>
  </r>
  <r>
    <s v="Kost Singgahsini Dali Teges Tipe B Menteng Dalam Jakarta Selatan"/>
    <x v="5"/>
    <s v="Kecamatan Tebet"/>
    <n v="12"/>
    <s v="4 x 3 meter"/>
    <s v="Termasuk listrik (implied)"/>
    <s v=""/>
    <s v="N/A"/>
    <s v="4 x 3 meter; Termasuk listrik; AC; Kasur; Meja; Kursi; Bantal; Guling; K. Mandi Dalam; Kloset Duduk; Shower; WiFi; R. Tamu; Penjaga Kos; R. Jemur; Dapur; Dispenser; K. Mandi Luar; Jemuran; Parkir Mobil; Parkir Motor; Parkir Motor &amp; Sepeda"/>
    <x v="51"/>
    <s v="Rp2.025.000"/>
    <x v="2"/>
    <d v="1899-12-30T04:08:00"/>
    <x v="0"/>
    <m/>
    <s v="Diskon 224rb"/>
  </r>
  <r>
    <s v="Kost Singgahsini Damai Sapphire Tipe A Kebayoran Baru Jakarta Selatan"/>
    <x v="5"/>
    <s v="Kebayoran Baru"/>
    <n v="13.5"/>
    <s v="4.5 x 3 meter"/>
    <s v="Tidak termasuk listrik"/>
    <s v=""/>
    <s v="N/A"/>
    <s v="4.5 x 3 meter; Tidak termasuk listrik; AC; Kasur; Meja; TV; Lemari Baju; Ventilasi; Kursi; Bantal; Jendela; K. Mandi Dalam; Kloset Duduk; Wastafel; Shower; Air panas; WiFi; Kulkas; Dapur; CCTV; Parkir Mobil; Parkir Motor; Parkir Sepeda"/>
    <x v="335"/>
    <s v="Rp4.075.000"/>
    <x v="2"/>
    <d v="1899-12-30T04:08:00"/>
    <x v="0"/>
    <m/>
    <s v="Diskon 193rb"/>
  </r>
  <r>
    <s v="Kost Singgahsini Damai Sapphire Tipe E Kebayoran Baru Jakarta Selatan"/>
    <x v="5"/>
    <s v="Kebayoran Baru"/>
    <n v="13.5"/>
    <s v="4.5 x 3 meter"/>
    <s v="Tidak termasuk listrik"/>
    <s v=""/>
    <s v="N/A"/>
    <s v="4.5 x 3 meter; Tidak termasuk listrik; AC; Kasur; Meja; TV; Lemari Baju; Kursi; Bantal; Jendela; K. Mandi Dalam; Kloset Duduk; Wastafel; Shower; Air panas; WiFi; Kulkas; Dapur; CCTV; Parkir Mobil; Parkir Motor; Parkir Sepeda"/>
    <x v="277"/>
    <s v="Rp3.025.000"/>
    <x v="2"/>
    <d v="1899-12-30T04:08:00"/>
    <x v="0"/>
    <m/>
    <s v="Diskon 145rb"/>
  </r>
  <r>
    <s v="Kost Singgahsini Danysa Tipe A Tebet Jakarta Selatan"/>
    <x v="5"/>
    <s v="Kecamatan Tebet"/>
    <n v="9"/>
    <s v="3 x 3 meter"/>
    <s v="Termasuk listrik (implied)"/>
    <n v="2375000"/>
    <s v="Rp2.375.000"/>
    <s v="3 x 3 meter; Termasuk listrik; AC; Kasur; Meja; Lemari Baju; Ventilasi; Bantal; Cermin; Jendela; K. Mandi Dalam; Kloset Duduk; Shower; WiFi; R. Tamu; Penjaga Kos; R. Jemur; Mushola; Parkir Mobil; Parkir Motor &amp; Sepeda"/>
    <x v="336"/>
    <s v="Rp2.187.000"/>
    <x v="3"/>
    <d v="1899-12-30T05:00:00"/>
    <x v="0"/>
    <m/>
    <s v="Diskon 188rb"/>
  </r>
  <r>
    <s v="Kost Singgahsini Davincy Bintaro Pondok Aren Tangerang Selatan"/>
    <x v="2"/>
    <s v="Kecamatan Pondok Aren"/>
    <n v="15"/>
    <s v="5 x 3 meter"/>
    <s v="Tidak termasuk listrik"/>
    <s v=""/>
    <s v="N/A"/>
    <s v="5 x 3 meter; Tidak termasuk listrik; AC; Kasur; Meja; Lemari Baju; Kursi; Bantal; Cermin; Jendela; K. Mandi Dalam; Kloset Duduk; Shower; WiFi; Kulkas; R. Jemur; Dispenser; Parkir Mobil; Parkir Motor; Parkir Sepeda; Parkir Motor &amp; Sepeda"/>
    <x v="190"/>
    <s v="Rp1.050.000"/>
    <x v="8"/>
    <d v="1899-12-30T04:09:00"/>
    <x v="2"/>
    <m/>
    <m/>
  </r>
  <r>
    <s v="Kost Singgahsini Dbugs Tipe A Ciputat Timur Tangerang Selatan"/>
    <x v="2"/>
    <s v="Ciputat Timur"/>
    <n v="9"/>
    <s v="3 x 3 meter"/>
    <s v="Tidak termasuk listrik"/>
    <s v=""/>
    <s v="N/A"/>
    <s v="3 x 3 meter; Tidak termasuk listrik; AC; Kasur; Meja; Lemari Baju; Kursi; Jendela; Bantal; Cermin; K. Mandi Dalam; Kloset Duduk; Wastafel; Shower; WiFi; Kulkas; R. Tamu; Penjaga Kos; CCTV; Parkir Mobil; Parkir Motor &amp; Sepeda"/>
    <x v="27"/>
    <s v="Rp2.000.000"/>
    <x v="8"/>
    <d v="1899-12-30T04:09:00"/>
    <x v="0"/>
    <m/>
    <m/>
  </r>
  <r>
    <s v="Kost Singgahsini De 80s Tipe A Matraman Jakarta Timur"/>
    <x v="8"/>
    <s v="Matraman"/>
    <n v="12"/>
    <s v="3 x 4 meter"/>
    <s v="Tidak termasuk listrik"/>
    <n v="2425000"/>
    <s v="Rp2.425.000"/>
    <s v="3 x 4 meter; Tidak termasuk listrik; AC; Kasur; Meja; TV; Lemari Baju; Kursi; Bantal; Jendela; K. Mandi Dalam; Kloset Duduk; Shower; Air panas; WiFi; Penjaga Kos; CCTV; Parkir Mobil; Parkir Motor &amp; Sepeda"/>
    <x v="337"/>
    <s v="Rp2.305.000"/>
    <x v="13"/>
    <d v="1899-12-30T04:03:00"/>
    <x v="2"/>
    <m/>
    <s v="Diskon 120rb"/>
  </r>
  <r>
    <s v="Kost Singgahsini De 80s Tipe B Matraman Jakarta Timur"/>
    <x v="8"/>
    <s v="Matraman"/>
    <n v="8.1000000000000014"/>
    <s v="3 x 2.7 meter"/>
    <s v="Tidak termasuk listrik"/>
    <s v=""/>
    <s v="N/A"/>
    <s v="3 x 2.7 meter; Tidak termasuk listrik; AC; Kasur; Meja; TV; Lemari Baju; Kursi; Bantal; Cermin; Jendela; K. Mandi Dalam; Kloset Duduk; Shower; Air panas; WiFi; Penjaga Kos; CCTV; Parkir Mobil; Parkir Motor &amp; Sepeda"/>
    <x v="338"/>
    <s v="Rp2.275.000"/>
    <x v="12"/>
    <d v="1899-12-30T04:04:00"/>
    <x v="2"/>
    <m/>
    <s v="Diskon 120rb"/>
  </r>
  <r>
    <s v="Kost Singgahsini De 80s Tipe C Matraman Jakarta Timur"/>
    <x v="8"/>
    <s v="Matraman"/>
    <n v="8.1000000000000014"/>
    <s v="3 x 2.7 meter"/>
    <s v="Tidak termasuk listrik"/>
    <s v=""/>
    <s v="N/A"/>
    <s v="3 x 2.7 meter; Tidak termasuk listrik; AC; Kasur; Meja; TV; Lemari Baju; Kursi; Bantal; Cermin; Jendela; K. Mandi Dalam; Kloset Duduk; Shower; Air panas; WiFi; Penjaga Kos; CCTV; Parkir Mobil; Parkir Motor &amp; Sepeda"/>
    <x v="51"/>
    <s v="Rp2.025.000"/>
    <x v="10"/>
    <d v="1899-12-30T04:05:00"/>
    <x v="2"/>
    <m/>
    <s v="Diskon 120rb"/>
  </r>
  <r>
    <s v="Kost Singgahsini De 9 House Tipe A Menteng Jakarta Pusat"/>
    <x v="9"/>
    <s v="Menteng"/>
    <n v="10.5"/>
    <s v="3.5 x 3 meter"/>
    <s v="Tidak termasuk listrik"/>
    <n v="2545000"/>
    <s v="Rp2.545.000"/>
    <s v="3.5 x 3 meter; Tidak termasuk listrik; AC; Kasur; Meja; TV; Lemari Baju; Ventilasi; Kursi; Bantal; Guling; Jendela; K. Mandi Dalam; Kloset Duduk; Shower; Air panas; WiFi; Kulkas; Penjaga Kos; R. Makan; R. Jemur; Dapur; CCTV; Parkir Mobil; Parkir Motor &amp; Sepeda"/>
    <x v="339"/>
    <s v="Rp2.293.000"/>
    <x v="6"/>
    <d v="1899-12-30T04:06:00"/>
    <x v="0"/>
    <m/>
    <s v="Diskon 252rb"/>
  </r>
  <r>
    <s v="Kost Singgahsini De Rooms 1 Batu Tipe B Pasar Minggu Jakarta Selatan"/>
    <x v="5"/>
    <s v="Pasar Minggu"/>
    <n v="12"/>
    <s v="4 x 3 meter"/>
    <s v="Tidak termasuk listrik"/>
    <n v="1825000"/>
    <s v="Rp1.825.000"/>
    <s v="4 x 3 meter; Tidak termasuk listrik; AC; Kasur; Meja; Lemari Baju; Kursi; Jendela; Bantal; Cermin; K. Mandi Dalam; Kloset Duduk; Ember mandi; Shower; WiFi; Kulkas; Penjaga Kos; R. Tamu; Dapur; Dispenser; CCTV; Parkir Mobil; Parkir Motor &amp; Sepeda"/>
    <x v="53"/>
    <s v="Rp1.681.000"/>
    <x v="13"/>
    <d v="1899-12-30T04:03:00"/>
    <x v="0"/>
    <m/>
    <s v="Diskon 144rb"/>
  </r>
  <r>
    <s v="Kost Singgahsini Dehook Tipe A Ciputat Tangerang Selatan"/>
    <x v="2"/>
    <s v="Ciputat Timur"/>
    <n v="12.48"/>
    <s v="3.9 x 3.2 meter"/>
    <s v="Tidak termasuk listrik"/>
    <n v="1525000"/>
    <s v="Rp1.525.000"/>
    <s v="3.9 x 3.2 meter; Tidak termasuk listrik; AC; Kasur; Lemari Baju; Ventilasi; Jendela; Bantal; Cermin; Guling; K. Mandi Dalam; Kloset Duduk; Ember mandi; WiFi; Kulkas; Penjaga Kos; R. Jemur; Dapur; CCTV; Parkir Mobil; Parkir Motor &amp; Sepeda"/>
    <x v="21"/>
    <s v="Rp1.450.000"/>
    <x v="8"/>
    <d v="1899-12-30T04:09:00"/>
    <x v="2"/>
    <m/>
    <s v="Diskon 75rb"/>
  </r>
  <r>
    <s v="Kost Singgahsini Dehook Tipe B Ciputat Tangerang Selatan"/>
    <x v="2"/>
    <s v="Ciputat Timur"/>
    <n v="12.48"/>
    <s v="3.9 x 3.2 meter"/>
    <s v="Tidak termasuk listrik"/>
    <n v="1125000"/>
    <s v="Rp1.125.000"/>
    <s v="3.9 x 3.2 meter; Tidak termasuk listrik; Kasur; Lemari Baju; Ventilasi; Jendela; Kipas Angin; Bantal; Cermin; Guling; K. Mandi Dalam; Kloset Duduk; Ember mandi; WiFi; Kulkas; Penjaga Kos; R. Jemur; Dapur; CCTV; Parkir Mobil; Parkir Motor &amp; Sepeda"/>
    <x v="67"/>
    <s v="Rp1.070.000"/>
    <x v="4"/>
    <d v="1899-12-30T04:01:00"/>
    <x v="2"/>
    <m/>
    <s v="Diskon 55rb"/>
  </r>
  <r>
    <s v="Kost Singgahsini Dempo 9 Tipe A Menteng Jakarta Pusat"/>
    <x v="9"/>
    <s v="Menteng"/>
    <n v="25"/>
    <s v="5 x 5 meter"/>
    <s v="Termasuk listrik (implied)"/>
    <n v="3325000"/>
    <s v="Rp3.325.000"/>
    <s v="5 x 5 meter; Termasuk listrik; AC; Kasur; Meja; Dispenser; Lemari Baju; Kulkas; Ventilasi; Kursi; Bantal; Cermin; K. Mandi Dalam; Kloset Duduk; Shower; WiFi; R. Tamu; R. Jemur; R. Santai; Dapur; CCTV; Parkir Mobil; Parkir Motor; Parkir Sepeda"/>
    <x v="340"/>
    <s v="Rp3.160.000"/>
    <x v="13"/>
    <d v="1899-12-30T04:03:00"/>
    <x v="0"/>
    <m/>
    <s v="Diskon 165rb"/>
  </r>
  <r>
    <s v="Kost Singgahsini Dempo 9 Tipe B Menteng Jakarta Pusat"/>
    <x v="9"/>
    <s v="Menteng"/>
    <n v="16"/>
    <s v="4 x 4 meter"/>
    <s v="Termasuk listrik (implied)"/>
    <n v="2325000"/>
    <s v="Rp2.325.000"/>
    <s v="4 x 4 meter; Termasuk listrik; AC; Kasur; Meja; Lemari Baju; Ventilasi; Kursi; Bantal; Cermin; Guling; Jendela; K. Mandi Dalam; Kloset Duduk; Shower; WiFi; Kulkas; R. Tamu; R. Jemur; R. Santai; Dapur; Dispenser; CCTV; Parkir Mobil; Parkir Motor; Parkir Sepeda"/>
    <x v="341"/>
    <s v="Rp2.210.000"/>
    <x v="6"/>
    <d v="1899-12-30T04:06:00"/>
    <x v="0"/>
    <m/>
    <s v="Diskon 115rb"/>
  </r>
  <r>
    <s v="Kost Singgahsini Dempo 9 Tipe C Menteng Jakarta Pusat"/>
    <x v="9"/>
    <s v="Menteng"/>
    <n v="11.520000000000001"/>
    <s v="3.6 x 3.2 meter"/>
    <s v="Termasuk listrik (implied)"/>
    <n v="2075000"/>
    <s v="Rp2.075.000"/>
    <s v="3.6 x 3.2 meter; Termasuk listrik; AC; Kasur; Meja; Lemari Baju; Ventilasi; Kursi; Bantal; Cermin; Guling; Jendela; Kloset Duduk; K. Mandi Luar; Shower; WiFi; Kulkas; R. Tamu; R. Jemur; R. Santai; Dapur; Dispenser; CCTV; Parkir Mobil; Parkir Motor; Parkir Sepeda"/>
    <x v="261"/>
    <s v="Rp1.911.000"/>
    <x v="5"/>
    <d v="1899-12-30T04:00:00"/>
    <x v="0"/>
    <m/>
    <s v="Diskon 164rb"/>
  </r>
  <r>
    <s v="Kost Singgahsini Dempo 9 Tipe D Menteng Jakarta Pusat"/>
    <x v="9"/>
    <s v="Menteng"/>
    <n v="10.08"/>
    <s v="3.6 x 2.8 meter"/>
    <s v="Termasuk listrik (implied)"/>
    <n v="1875000"/>
    <s v="Rp1.875.000"/>
    <s v="3.6 x 2.8 meter; Termasuk listrik; Kasur; Meja; Lemari Baju; Ventilasi; Kursi; Kipas Angin; Bantal; Jendela; K. Mandi Dalam; Kloset Duduk; WiFi; Kulkas; R. Tamu; R. Jemur; R. Santai; Dapur; Dispenser; CCTV; Parkir Mobil; Parkir Motor; Parkir Sepeda"/>
    <x v="342"/>
    <s v="Rp1.782.500"/>
    <x v="6"/>
    <d v="1899-12-30T04:06:00"/>
    <x v="0"/>
    <m/>
    <s v="Diskon 93rb"/>
  </r>
  <r>
    <s v="Kost Singgahsini DFlory Tipe A Cinere Depok"/>
    <x v="1"/>
    <s v="Cinere"/>
    <n v="15.040000000000001"/>
    <s v="4.7 x 3.2 meter"/>
    <s v="Tidak termasuk listrik"/>
    <n v="2275000"/>
    <s v="Rp2.275.000"/>
    <s v="4.7 x 3.2 meter; Tidak termasuk listrik; AC; Kasur; Meja; Lemari Baju; Kursi; Bantal; Cermin; Jendela; Guling; K. Mandi Dalam; Kloset Duduk; Shower; Air panas; WiFi; R. Cuci; Kulkas; R. Tamu; Mesin Cuci; Penjaga Kos; R. Jemur; Dapur; Dispenser; Taman; Parkir Mobil; Parkir Motor &amp; Sepeda"/>
    <x v="282"/>
    <s v="Rp2.162.500"/>
    <x v="6"/>
    <d v="1899-12-30T04:06:00"/>
    <x v="2"/>
    <m/>
    <s v="Diskon 113rb"/>
  </r>
  <r>
    <s v="Kost Singgahsini DFlory Tipe B Cinere Depok"/>
    <x v="1"/>
    <s v="Cinere"/>
    <n v="9.990000000000002"/>
    <s v="3.7 x 2.7 meter"/>
    <s v="Tidak termasuk listrik"/>
    <n v="2025000"/>
    <s v="Rp2.025.000"/>
    <s v="3.7 x 2.7 meter; Tidak termasuk listrik; AC; Kasur; Meja; Lemari Baju; Kursi; Bantal; Jendela; Cermin; Guling; K. Mandi Dalam; Kloset Duduk; Shower; WiFi; R. Cuci; Kulkas; R. Tamu; Mesin Cuci; Penjaga Kos; R. Jemur; Dapur; Dispenser; Taman; Parkir Mobil; Parkir Motor &amp; Sepeda"/>
    <x v="154"/>
    <s v="Rp1.825.000"/>
    <x v="3"/>
    <d v="1899-12-30T05:00:00"/>
    <x v="2"/>
    <m/>
    <s v="Diskon 200rb"/>
  </r>
  <r>
    <s v="Kost Singgahsini Discovery Home Tipe A Kebon Jeruk Jakarta Barat"/>
    <x v="3"/>
    <s v="Kebon Jeruk"/>
    <n v="7.2900000000000009"/>
    <s v="2.7 x 2.7 meter"/>
    <s v="Tidak termasuk listrik"/>
    <n v="1625000"/>
    <s v="Rp1.625.000"/>
    <s v="2.7 x 2.7 meter; Tidak termasuk listrik; AC; Kasur; Meja; Lemari Baju; Kursi; Bantal; Jendela; K. Mandi Dalam; Kloset Duduk; Shower; Air panas; WiFi; R. Cuci; Kulkas; R. Tamu; Mesin Cuci; Penjaga Kos; R. Makan; R. Jemur; Dapur; CCTV; Parkir Motor &amp; Sepeda"/>
    <x v="343"/>
    <s v="Rp1.465.000"/>
    <x v="4"/>
    <d v="1899-12-30T04:01:00"/>
    <x v="0"/>
    <m/>
    <s v="Diskon 160rb"/>
  </r>
  <r>
    <s v="Kost Singgahsini Dito Jati Padang Tipe A Pasar Minggu Jakarta Selatan"/>
    <x v="5"/>
    <s v="Pasar Minggu"/>
    <n v="19.11"/>
    <s v="4.9 x 3.9 meter"/>
    <s v="Tidak termasuk listrik"/>
    <s v=""/>
    <s v="N/A"/>
    <s v="4.9 x 3.9 meter; Tidak termasuk listrik; AC; Kasur; Meja; TV; Lemari Baju; Ventilasi; Kursi; Bantal; Cermin; Guling; K. Mandi Dalam; Kloset Duduk; Shower; Air panas; WiFi; R. Cuci; Kulkas; R. Tamu; Mesin Cuci; Penjaga Kos; R. Makan; Dapur; K. Mandi Luar; CCTV; Parkir Mobil; Parkir Motor; Parkir Sepeda"/>
    <x v="277"/>
    <s v="Rp3.025.000"/>
    <x v="2"/>
    <d v="1899-12-30T04:08:00"/>
    <x v="0"/>
    <m/>
    <m/>
  </r>
  <r>
    <s v="Kost Singgahsini Dito Jati Padang Tipe B Pasar Minggu Jakarta Selatan"/>
    <x v="5"/>
    <s v="Pasar Minggu"/>
    <n v="10.5"/>
    <s v="3.5 x 3 meter"/>
    <s v="Tidak termasuk listrik"/>
    <s v=""/>
    <s v="N/A"/>
    <s v="3.5 x 3 meter; Tidak termasuk listrik; AC; Kasur; Meja; TV; Lemari Baju; Ventilasi; Kursi; Bantal; Guling; Jendela; K. Mandi Dalam; Kloset Duduk; Shower; Air panas; WiFi; R. Cuci; Kulkas; R. Tamu; Mesin Cuci; Penjaga Kos; R. Makan; Dapur; K. Mandi Luar; CCTV; Parkir Mobil; Parkir Motor; Parkir Sepeda"/>
    <x v="260"/>
    <s v="Rp2.525.000"/>
    <x v="2"/>
    <d v="1899-12-30T04:08:00"/>
    <x v="0"/>
    <m/>
    <m/>
  </r>
  <r>
    <s v="Kost Singgahsini Dito Jati Padang Tipe C Pasar Minggu Jakarta Selatan"/>
    <x v="5"/>
    <s v="Pasar Minggu"/>
    <n v="6.96"/>
    <s v="2.9 x 2.4 meter"/>
    <s v="Tidak termasuk listrik"/>
    <s v=""/>
    <s v="N/A"/>
    <s v="2.9 x 2.4 meter; Tidak termasuk listrik; AC; Kasur; Meja; TV; Lemari Baju; Ventilasi; Kursi; Bantal; Cermin; Guling; K. Mandi Dalam; Kloset Duduk; Shower; Air panas; WiFi; R. Cuci; Kulkas; R. Tamu; Mesin Cuci; Penjaga Kos; R. Makan; Dapur; K. Mandi Luar; CCTV; Parkir Mobil; Parkir Motor; Parkir Sepeda"/>
    <x v="232"/>
    <s v="Rp2.225.000"/>
    <x v="3"/>
    <d v="1899-12-30T05:00:00"/>
    <x v="0"/>
    <m/>
    <m/>
  </r>
  <r>
    <s v="Kost Singgahsini Dstudio MRT Haji Nawi Tipe A Cilandak Jakarta Selatan"/>
    <x v="5"/>
    <s v="Cilandak"/>
    <n v="9"/>
    <s v="3 x 3 meter"/>
    <s v="Tidak termasuk listrik"/>
    <s v=""/>
    <s v="N/A"/>
    <s v="3 x 3 meter; Tidak termasuk listrik; AC; Kasur; Meja; Lemari Baju; Kursi; Jendela; K. Mandi Dalam; Kloset Duduk; Shower; Air panas; WiFi; Kulkas; Penjaga Kos; Dapur; Dispenser; Taman; Kartu Akses; CCTV; Parkir Mobil; Parkir Motor &amp; Sepeda"/>
    <x v="344"/>
    <s v="Rp3.325.000"/>
    <x v="2"/>
    <d v="1899-12-30T04:08:00"/>
    <x v="0"/>
    <m/>
    <s v="Diskon 168rb"/>
  </r>
  <r>
    <s v="Kost Singgahsini Dwi Cempaka IX Tipe A Duren Sawit Jakarta Timur"/>
    <x v="8"/>
    <s v="Duren Sawit"/>
    <n v="10.240000000000002"/>
    <s v="3.2 x 3.2 meter"/>
    <s v="Tidak termasuk listrik"/>
    <n v="1300000"/>
    <s v="Rp1.300.000"/>
    <s v="3.2 x 3.2 meter; Tidak termasuk listrik; AC; Kasur; Meja; Lemari Baju; Ventilasi; Kursi; Jendela; Bantal; Guling; Kloset Duduk; Kloset Jongkok; K. Mandi Luar; Ember mandi; Shower; Bak mandi; WiFi; R. Cuci; R. Tamu; R. Jemur; Mushola; Balcon; Parkir Mobil; Parkir Motor &amp; Sepeda"/>
    <x v="36"/>
    <s v="Rp1.235.000"/>
    <x v="3"/>
    <d v="1899-12-30T05:00:00"/>
    <x v="0"/>
    <m/>
    <s v="Diskon 65rb"/>
  </r>
  <r>
    <s v="Kost Singgahsini Dwi Warna 18A Tipe A Sawah Besar Jakarta Pusat"/>
    <x v="9"/>
    <s v="Sawah Besar"/>
    <n v="12.04"/>
    <s v="4.3 x 2.8 meter"/>
    <s v="Tidak termasuk listrik"/>
    <n v="1975000"/>
    <s v="Rp1.975.000"/>
    <s v="4.3 x 2.8 meter; Tidak termasuk listrik; AC; Kasur; Meja; Lemari Baju; Kursi; Bantal; Cermin; Guling; Jendela; K. Mandi Dalam; Kloset Duduk; Shower; WiFi; R. Cuci; Kulkas; Penjaga Kos; R. Makan; R. Jemur; Dapur; TV; K. Mandi Luar; CCTV; Parkir Motor &amp; Sepeda"/>
    <x v="308"/>
    <s v="Rp1.877.500"/>
    <x v="8"/>
    <d v="1899-12-30T04:09:00"/>
    <x v="0"/>
    <m/>
    <s v="Diskon 98rb"/>
  </r>
  <r>
    <s v="Kost Singgahsini Dwi Warna 18A Tipe B Sawah Besar Jakarta Pusat"/>
    <x v="9"/>
    <s v="Sawah Besar"/>
    <n v="6.09"/>
    <s v="2.9 x 2.1 meter"/>
    <s v="Tidak termasuk listrik"/>
    <n v="1675000"/>
    <s v="Rp1.675.000"/>
    <s v="2.9 x 2.1 meter; Tidak termasuk listrik; AC; Kasur; Meja; Lemari Baju; Kursi; Bantal; Cermin; Jendela; Kloset Jongkok; K. Mandi Luar; Ember mandi; WiFi; R. Cuci; Kulkas; Penjaga Kos; R. Makan; R. Jemur; Dapur; TV; CCTV; Parkir Motor &amp; Sepeda"/>
    <x v="328"/>
    <s v="Rp1.592.500"/>
    <x v="2"/>
    <d v="1899-12-30T04:08:00"/>
    <x v="0"/>
    <m/>
    <s v="Diskon 83rb"/>
  </r>
  <r>
    <s v="Kost Singgahsini East 37 Tipe A Tebet Timur Jakarta Selatan"/>
    <x v="5"/>
    <s v="Tebet"/>
    <n v="6.21"/>
    <s v="2.7 x 2.3 meter"/>
    <s v="Tidak termasuk listrik"/>
    <s v=""/>
    <s v="N/A"/>
    <s v="2.7 x 2.3 meter; Tidak termasuk listrik; AC; Kasur; Meja; Lemari Baju; Kursi; Bantal; K. Mandi Dalam; Kloset Duduk; K. Mandi Luar; Air panas; WiFi; Kulkas; R. Tamu; Laundry; R. Makan; R. Jemur; R. Santai; Dapur; Dispenser; R. Keluarga; Parkir Mobil; Parkir Motor; Parkir Sepeda"/>
    <x v="345"/>
    <s v="Rp1.895.000"/>
    <x v="6"/>
    <d v="1899-12-30T04:06:00"/>
    <x v="1"/>
    <m/>
    <s v="Diskon 125rb"/>
  </r>
  <r>
    <s v="Kost Singgahsini East 37 Tipe E Tebet Timur Jakarta Selatan"/>
    <x v="5"/>
    <s v="Tebet"/>
    <n v="6"/>
    <s v="3 x 2 meter"/>
    <s v="Tidak termasuk listrik"/>
    <s v=""/>
    <s v="N/A"/>
    <s v="3 x 2 meter; Tidak termasuk listrik; AC; Kasur; Meja; Lemari Baju; Kursi; Bantal; K. Mandi Dalam; Kloset Duduk; K. Mandi Luar; Air panas; WiFi; Kulkas; R. Tamu; Laundry; R. Makan; R. Jemur; R. Santai; Dapur; Dispenser; R. Keluarga; Parkir Mobil; Parkir Motor; Parkir Sepeda"/>
    <x v="44"/>
    <s v="Rp1.725.000"/>
    <x v="2"/>
    <d v="1899-12-30T04:08:00"/>
    <x v="0"/>
    <m/>
    <s v="Diskon 125rb"/>
  </r>
  <r>
    <s v="Kost Singgahsini Elani Residence Tipe A Senen Jakarta Pusat"/>
    <x v="9"/>
    <s v="Kecamatan Senen"/>
    <n v="7"/>
    <s v="3.5 x 2 meter"/>
    <s v="Termasuk listrik (implied)"/>
    <n v="1675000"/>
    <s v="Rp1.675.000"/>
    <s v="3.5 x 2 meter; Termasuk listrik; AC; Meja; TV; Kursi; Bantal; Cermin; Jendela; Kloset Duduk; K. Mandi Luar; Wastafel; Shower; Air panas; WiFi; Kulkas; R. Tamu; R. Santai; Dapur; Dispenser; Locker; Parkir Mobil; Parkir Motor; Parkir Sepeda; Parkir Motor &amp; Sepeda"/>
    <x v="346"/>
    <s v="Rp1.591.250"/>
    <x v="2"/>
    <d v="1899-12-30T04:08:00"/>
    <x v="0"/>
    <m/>
    <s v="Diskon 84rb"/>
  </r>
  <r>
    <s v="Kost Singgahsini Elani Residence Tipe B Senen Jakarta Pusat"/>
    <x v="9"/>
    <s v="Kecamatan Senen"/>
    <n v="10.5"/>
    <s v="3.5 x 3 meter"/>
    <s v="Termasuk listrik (implied)"/>
    <n v="2225000"/>
    <s v="Rp2.225.000"/>
    <s v="3.5 x 3 meter; Termasuk listrik; AC; Kasur; Meja; TV; Lemari Baju; Kursi; Bantal; Cermin; Jendela; K. Mandi Dalam; Kloset Duduk; Wastafel; Shower; Air panas; WiFi; Kulkas; R. Tamu; R. Santai; Dapur; Dispenser; Locker; K. Mandi Luar; Parkir Mobil; Parkir Motor; Parkir Sepeda; Parkir Motor &amp; Sepeda"/>
    <x v="347"/>
    <s v="Rp2.113.750"/>
    <x v="2"/>
    <d v="1899-12-30T04:08:00"/>
    <x v="0"/>
    <m/>
    <s v="Diskon 111rb"/>
  </r>
  <r>
    <s v="Kost Singgahsini Elani Residence Tipe C Senen Jakarta Pusat"/>
    <x v="9"/>
    <s v="Kecamatan Senen"/>
    <n v="10.5"/>
    <s v="3.5 x 3 meter"/>
    <s v="Termasuk listrik (implied)"/>
    <n v="3075000"/>
    <s v="Rp3.075.000"/>
    <s v="3.5 x 3 meter; Termasuk listrik; AC; Kasur; Meja; TV; Kursi; Bantal; Cermin; Guling; Jendela; K. Mandi Dalam; Kloset Duduk; Wastafel; Shower; Air panas; WiFi; Kulkas; R. Tamu; R. Santai; Dapur; Dispenser; Locker; K. Mandi Luar; Parkir Mobil; Parkir Motor; Parkir Sepeda; Parkir Motor &amp; Sepeda"/>
    <x v="348"/>
    <s v="Rp2.921.250"/>
    <x v="3"/>
    <d v="1899-12-30T05:00:00"/>
    <x v="0"/>
    <m/>
    <s v="Diskon 154rb"/>
  </r>
  <r>
    <s v="Kost Singgahsini Elani Residence Tipe D Senen Jakarta Pusat"/>
    <x v="9"/>
    <s v="Kecamatan Senen"/>
    <n v="10.5"/>
    <s v="3.5 x 3 meter"/>
    <s v="Termasuk listrik (implied)"/>
    <n v="2575000"/>
    <s v="Rp2.575.000"/>
    <s v="3.5 x 3 meter; Termasuk listrik; AC; Kasur; Meja; TV; Lemari Baju; Kursi; Bantal; Cermin; Jendela; K. Mandi Dalam; Kloset Duduk; Wastafel; Shower; Air panas; WiFi; Kulkas; R. Tamu; R. Santai; Dapur; Dispenser; Locker; K. Mandi Luar; Parkir Mobil; Parkir Motor; Parkir Sepeda; Parkir Motor &amp; Sepeda"/>
    <x v="349"/>
    <s v="Rp2.369.000"/>
    <x v="8"/>
    <d v="1899-12-30T04:09:00"/>
    <x v="0"/>
    <m/>
    <s v="Diskon 206rb"/>
  </r>
  <r>
    <s v="Kost Singgahsini Elani Residence Tipe E Senen Jakarta Pusat"/>
    <x v="9"/>
    <s v="Kecamatan Senen"/>
    <n v="10.5"/>
    <s v="3.5 x 3 meter"/>
    <s v="Termasuk listrik (implied)"/>
    <n v="3550000"/>
    <s v="Rp3.550.000"/>
    <s v="3.5 x 3 meter; Termasuk listrik; AC; Kasur; Meja; TV; Lemari Baju; Kursi; Bantal; Cermin; Jendela; K. Mandi Dalam; Kloset Duduk; Wastafel; Shower; Air panas; WiFi; Kulkas; R. Tamu; R. Santai; Dapur; Dispenser; Locker; K. Mandi Luar; Parkir Mobil; Parkir Motor; Parkir Sepeda; Parkir Motor &amp; Sepeda"/>
    <x v="350"/>
    <s v="Rp3.266.000"/>
    <x v="8"/>
    <d v="1899-12-30T04:09:00"/>
    <x v="0"/>
    <m/>
    <s v="Diskon 284rb"/>
  </r>
  <r>
    <s v="Kost Singgahsini Eshan Kayu Manis Tipe A Matraman Jakarta Timur"/>
    <x v="8"/>
    <s v="Matraman"/>
    <n v="9.52"/>
    <s v="2.8 x 3.4 meter"/>
    <s v="Tidak termasuk listrik"/>
    <s v=""/>
    <s v="N/A"/>
    <s v="2.8 x 3.4 meter; Tidak termasuk listrik; AC; Kasur; Meja; TV; Lemari Baju; Ventilasi; Kursi; Bantal; Cermin; Guling; K. Mandi Dalam; Kloset Duduk; Shower; WiFi; Kulkas; R. Tamu; Penjaga Kos; R. Jemur; Mushola; Dapur; Gazebo; CCTV; Parkir Mobil; Parkir Motor &amp; Sepeda"/>
    <x v="52"/>
    <s v="Rp1.875.000"/>
    <x v="2"/>
    <d v="1899-12-30T04:08:00"/>
    <x v="0"/>
    <m/>
    <m/>
  </r>
  <r>
    <s v="Kost Singgahsini Fatimah Tipe B Tebet Jakarta Selatan"/>
    <x v="5"/>
    <s v="Tebet"/>
    <n v="10.240000000000002"/>
    <s v="3.2 x 3.2 meter"/>
    <s v="Tidak termasuk listrik"/>
    <n v="2000000"/>
    <s v="Rp2.000.000"/>
    <s v="3.2 x 3.2 meter; Tidak termasuk listrik; AC; Kasur; Meja; Lemari Baju; Kursi; Bantal; Guling; Jendela; K. Mandi Dalam; Kloset Duduk; Shower; WiFi; Kulkas; R. Tamu; Penjaga Kos; R. Jemur; Dapur; K. Mandi Luar; CCTV; Rice Cooker; Jemuran; Parkir Motor &amp; Sepeda"/>
    <x v="89"/>
    <s v="Rp1.900.000"/>
    <x v="2"/>
    <d v="1899-12-30T04:08:00"/>
    <x v="2"/>
    <m/>
    <s v="Diskon 100rb"/>
  </r>
  <r>
    <s v="Kost Singgahsini First AA 4 Tipe A Kedaung Wetan Tangerang"/>
    <x v="6"/>
    <s v="Neglasari"/>
    <n v="13.75"/>
    <s v="5.5 x 2.5 meter"/>
    <s v="Tidak termasuk listrik"/>
    <n v="1425000"/>
    <s v="Rp1.425.000"/>
    <s v="5.5 x 2.5 meter; Tidak termasuk listrik; AC; Kasur; Lemari Baju; Ventilasi; Bantal; Cermin; Jendela; K. Mandi Dalam; Kloset Jongkok; Ember mandi; WiFi; Penjaga Kos; R. Jemur; Jemuran; Parkir Mobil; Parkir Motor; Parkir Sepeda"/>
    <x v="46"/>
    <s v="Rp1.355.000"/>
    <x v="6"/>
    <d v="1899-12-30T04:06:00"/>
    <x v="0"/>
    <m/>
    <s v="Diskon 70rb"/>
  </r>
  <r>
    <s v="Kost Singgahsini First AA 4 Tipe B Kedaung Wetan Tangerang"/>
    <x v="6"/>
    <s v="Neglasari"/>
    <n v="13.75"/>
    <s v="5.5 x 2.5 meter"/>
    <s v="Tidak termasuk listrik"/>
    <n v="1025000"/>
    <s v="Rp1.025.000"/>
    <s v="5.5 x 2.5 meter; Tidak termasuk listrik; Kasur; Lemari Baju; Ventilasi; Bantal; Cermin; Jendela; K. Mandi Dalam; Kloset Jongkok; Ember mandi; WiFi; Penjaga Kos; R. Jemur; Jemuran; Parkir Mobil; Parkir Sepeda; Parkir Motor &amp; Sepeda"/>
    <x v="42"/>
    <s v="Rp975.000"/>
    <x v="13"/>
    <d v="1899-12-30T04:03:00"/>
    <x v="0"/>
    <m/>
    <s v="Diskon 50rb"/>
  </r>
  <r>
    <s v="Kost Singgahsini Fortune House Tipe A Cipayung Jakarta Timur"/>
    <x v="8"/>
    <s v="Cipayung"/>
    <n v="15"/>
    <s v="5 x 3 meter"/>
    <s v="Tidak termasuk listrik"/>
    <n v="1725000"/>
    <s v="Rp1.725.000"/>
    <s v="5 x 3 meter; Tidak termasuk listrik; AC; Kasur; Meja; Lemari Baju; Dapur Pribadi; Jendela; Bantal; Cermin; K. Mandi Dalam; Kloset Duduk; Shower; WiFi; Penjaga Kos; R. Jemur; Parkir Motor &amp; Sepeda"/>
    <x v="334"/>
    <s v="Rp1.589.000"/>
    <x v="3"/>
    <d v="1899-12-30T05:00:00"/>
    <x v="0"/>
    <m/>
    <s v="Diskon 136rb"/>
  </r>
  <r>
    <s v="Kost Singgahsini Fortune House Tipe B Cipayung Jakarta Timur"/>
    <x v="8"/>
    <s v="Cipayung"/>
    <n v="11.7"/>
    <s v="3 x 3.9 meter"/>
    <s v="Tidak termasuk listrik"/>
    <n v="1525000"/>
    <s v="Rp1.525.000"/>
    <s v="3 x 3.9 meter; Tidak termasuk listrik; AC; Kasur; Meja; Lemari Baju; Jendela; Bantal; Cermin; K. Mandi Dalam; Kloset Duduk; Shower; WiFi; Penjaga Kos; R. Jemur; Parkir Motor &amp; Sepeda"/>
    <x v="92"/>
    <s v="Rp1.405.000"/>
    <x v="8"/>
    <d v="1899-12-30T04:09:00"/>
    <x v="0"/>
    <m/>
    <s v="Diskon 120rb"/>
  </r>
  <r>
    <s v="Kost Singgahsini Fortune House Tipe C Cipayung Jakarta Timur"/>
    <x v="8"/>
    <s v="Cipayung"/>
    <n v="15"/>
    <s v="5 x 3 meter"/>
    <s v="Tidak termasuk listrik"/>
    <n v="1325000"/>
    <s v="Rp1.325.000"/>
    <s v="5 x 3 meter; Tidak termasuk listrik; Kasur; Meja; Lemari Baju; Dapur Pribadi; Jendela; Bantal; Cermin; K. Mandi Dalam; Kloset Duduk; Shower; WiFi; Penjaga Kos; R. Jemur; Parkir Motor &amp; Sepeda"/>
    <x v="147"/>
    <s v="Rp1.260.000"/>
    <x v="3"/>
    <d v="1899-12-30T05:00:00"/>
    <x v="0"/>
    <m/>
    <s v="Diskon 65rb"/>
  </r>
  <r>
    <s v="Kost Singgahsini Fortune House Tipe D Cipayung Jakarta Timur"/>
    <x v="8"/>
    <s v="Cipayung"/>
    <n v="11.7"/>
    <s v="3 x 3.9 meter"/>
    <s v="Tidak termasuk listrik"/>
    <n v="1125000"/>
    <s v="Rp1.125.000"/>
    <s v="3 x 3.9 meter; Tidak termasuk listrik; Kasur; Meja; Lemari Baju; Jendela; Bantal; Cermin; K. Mandi Dalam; Kloset Duduk; Shower; WiFi; Penjaga Kos; R. Jemur; Parkir Motor &amp; Sepeda"/>
    <x v="67"/>
    <s v="Rp1.070.000"/>
    <x v="3"/>
    <d v="1899-12-30T05:00:00"/>
    <x v="0"/>
    <m/>
    <s v="Diskon 55rb"/>
  </r>
  <r>
    <s v="Kost Singgahsini Fulvian Banjarwijaya Tipe A Cipondoh Tangerang"/>
    <x v="6"/>
    <s v="Cipondoh"/>
    <n v="9"/>
    <s v="3 x 3 meter"/>
    <s v="Tidak termasuk listrik"/>
    <n v="2175000"/>
    <s v="Rp2.175.000"/>
    <s v="3 x 3 meter; Tidak termasuk listrik; AC; Kasur; Meja; TV; Lemari Baju; Kursi; Jendela; Bantal; K. Mandi Dalam; Kloset Duduk; Shower; Air panas; WiFi; Kulkas; Penjaga Kos; R. Tamu; R. Jemur; Dapur; Dispenser; Balcon; CCTV; Parkir Mobil; Parkir Motor &amp; Sepeda"/>
    <x v="283"/>
    <s v="Rp2.067.500"/>
    <x v="6"/>
    <d v="1899-12-30T04:06:00"/>
    <x v="0"/>
    <m/>
    <s v="Diskon 108rb"/>
  </r>
  <r>
    <s v="Kost Singgahsini Fulvian Banjarwijaya Tipe B Cipondoh Tangerang"/>
    <x v="6"/>
    <s v="Cipondoh"/>
    <n v="16.5"/>
    <s v="5 x 3.3 meter"/>
    <s v="Tidak termasuk listrik"/>
    <n v="1925000"/>
    <s v="Rp1.925.000"/>
    <s v="5 x 3.3 meter; Tidak termasuk listrik; AC; Kasur; Meja; TV; Lemari Baju; Kursi; Jendela; Bantal; Cermin; K. Mandi Dalam; Kloset Duduk; Shower; WiFi; Kulkas; Penjaga Kos; R. Tamu; R. Jemur; Dapur; Dispenser; Balcon; CCTV; Parkir Mobil; Parkir Motor &amp; Sepeda"/>
    <x v="142"/>
    <s v="Rp1.830.000"/>
    <x v="2"/>
    <d v="1899-12-30T04:08:00"/>
    <x v="0"/>
    <m/>
    <s v="Diskon 95rb"/>
  </r>
  <r>
    <s v="Kost Singgahsini Fulvian Banjarwijaya Tipe C Cipondoh Tangerang"/>
    <x v="6"/>
    <s v="Cipondoh"/>
    <n v="9"/>
    <s v="3 x 3 meter"/>
    <s v="Tidak termasuk listrik"/>
    <n v="1775000"/>
    <s v="Rp1.775.000"/>
    <s v="3 x 3 meter; Tidak termasuk listrik; AC; Kasur; Meja; TV; Lemari Baju; Kursi; Jendela; Bantal; K. Mandi Dalam; Kloset Duduk; Shower; WiFi; Kulkas; Penjaga Kos; R. Tamu; R. Jemur; Dapur; Dispenser; Balcon; CCTV; Parkir Mobil; Parkir Motor &amp; Sepeda"/>
    <x v="351"/>
    <s v="Rp1.687.500"/>
    <x v="12"/>
    <d v="1899-12-30T04:04:00"/>
    <x v="0"/>
    <m/>
    <s v="Diskon 88rb"/>
  </r>
  <r>
    <s v="Kost Singgahsini Fulvian Banjarwijaya Tipe D Cipondoh Tangerang"/>
    <x v="6"/>
    <s v="Cipondoh"/>
    <n v="8.1000000000000014"/>
    <s v="3 x 2.7 meter"/>
    <s v="Tidak termasuk listrik"/>
    <n v="1725000"/>
    <s v="Rp1.725.000"/>
    <s v="3 x 2.7 meter; Tidak termasuk listrik; AC; Kasur; Meja; TV; Lemari Baju; Ventilasi; Kursi; Bantal; K. Mandi Dalam; Kloset Duduk; Shower; WiFi; Kulkas; Penjaga Kos; R. Tamu; R. Jemur; Dapur; Dispenser; Balcon; CCTV; Parkir Mobil; Parkir Motor &amp; Sepeda"/>
    <x v="103"/>
    <s v="Rp1.640.000"/>
    <x v="2"/>
    <d v="1899-12-30T04:08:00"/>
    <x v="0"/>
    <m/>
    <s v="Diskon 85rb"/>
  </r>
  <r>
    <s v="Kost Singgahsini Fulvian Banjarwijaya Tipe E Cipondoh Tangerang"/>
    <x v="6"/>
    <s v="Cipondoh"/>
    <n v="8.1199999999999992"/>
    <s v="2.8 x 2.9 meter"/>
    <s v="Tidak termasuk listrik"/>
    <n v="1575000"/>
    <s v="Rp1.575.000"/>
    <s v="2.8 x 2.9 meter; Tidak termasuk listrik; AC; Kasur; TV; Lemari Baju; Jendela; Bantal; Cermin; K. Mandi Dalam; Kloset Duduk; Shower; WiFi; Kulkas; Penjaga Kos; R. Tamu; R. Jemur; Dapur; Dispenser; Balcon; CCTV; Parkir Mobil; Parkir Motor &amp; Sepeda"/>
    <x v="352"/>
    <s v="Rp1.497.500"/>
    <x v="3"/>
    <d v="1899-12-30T05:00:00"/>
    <x v="0"/>
    <m/>
    <s v="Diskon 78rb"/>
  </r>
  <r>
    <s v="Kost Singgahsini G Kavling Tipe A Tebet Jakarta Selatan"/>
    <x v="5"/>
    <s v="Tebet"/>
    <n v="12"/>
    <s v="4 x 3 meter"/>
    <s v="Tidak termasuk listrik"/>
    <n v="2300000"/>
    <s v="Rp2.300.000"/>
    <s v="4 x 3 meter; Tidak termasuk listrik; AC; Kasur; Meja; Lemari Baju; Ventilasi; Kursi; Bantal; Cermin; Guling; Jendela; K. Mandi Dalam; Kloset Duduk; Ember mandi; WiFi; Kulkas; Penjaga Kos; R. Jemur; Dapur; Dispenser; CCTV; Parkir Mobil; Parkir Motor &amp; Sepeda"/>
    <x v="353"/>
    <s v="Rp2.072.500"/>
    <x v="8"/>
    <d v="1899-12-30T04:09:00"/>
    <x v="1"/>
    <m/>
    <s v="Diskon 228rb"/>
  </r>
  <r>
    <s v="Kost Singgahsini Gajah Dua Delapan Andara Tipe A Cinere Depok"/>
    <x v="1"/>
    <s v="Cinere"/>
    <n v="5"/>
    <s v="2.5 x 2 meter"/>
    <s v="Tidak termasuk listrik"/>
    <n v="2300000"/>
    <s v="Rp2.300.000"/>
    <s v="2.5 x 2 meter; Tidak termasuk listrik; AC; Kasur; Meja; Lemari Baju; Kursi; Bantal; Jendela; K. Mandi Dalam; Kloset Duduk; Wastafel; Ember mandi; Shower; Air panas; WiFi; Kulkas; Penjaga Kos; R. Makan; R. Jemur; R. Santai; Dapur; Dispenser; CCTV; Jemuran; Parkir Mobil; Parkir Motor &amp; Sepeda"/>
    <x v="201"/>
    <s v="Rp2.070.000"/>
    <x v="8"/>
    <d v="1899-12-30T04:09:00"/>
    <x v="0"/>
    <m/>
    <s v="Diskon 230rb"/>
  </r>
  <r>
    <s v="Kost Singgahsini Gang Kelinci 13 Tipe A Kramat Jati Jakarta Timur"/>
    <x v="8"/>
    <s v="Kramat Jati"/>
    <n v="8.75"/>
    <s v="2.5 x 3.5 meter"/>
    <s v="Tidak termasuk listrik"/>
    <n v="1575000"/>
    <s v="Rp1.575.000"/>
    <s v="2.5 x 3.5 meter; Tidak termasuk listrik; AC; Kasur; Meja; TV; Lemari Baju; Ventilasi; Kursi; Bantal; Guling; Jendela; K. Mandi Dalam; Kloset Duduk; Shower; WiFi; R. Cuci; Penjaga Kos; R. Jemur; Dispenser; Jemuran; Rooftop; Parkir Motor &amp; Sepeda"/>
    <x v="352"/>
    <s v="Rp1.497.500"/>
    <x v="8"/>
    <d v="1899-12-30T04:09:00"/>
    <x v="2"/>
    <m/>
    <s v="Diskon 78rb"/>
  </r>
  <r>
    <s v="Kost Singgahsini Garasi Hobby Tipe A Ciledug Tangerang"/>
    <x v="6"/>
    <s v="Ciledug"/>
    <n v="15"/>
    <s v="3 x 5 meter"/>
    <s v="Tidak termasuk listrik"/>
    <n v="1525000"/>
    <s v="Rp1.525.000"/>
    <s v="3 x 5 meter; Tidak termasuk listrik; AC; Kasur; Meja; Lemari Baju; Kursi; K. Mandi Dalam; Kloset Duduk; Shower; WiFi; R. Cuci; Kulkas; Mesin Cuci; Penjaga Kos; R. Jemur; Dapur; Dispenser; Parkir Mobil; Parkir Motor &amp; Sepeda"/>
    <x v="21"/>
    <s v="Rp1.450.000"/>
    <x v="12"/>
    <d v="1899-12-30T04:04:00"/>
    <x v="2"/>
    <m/>
    <s v="Diskon 75rb"/>
  </r>
  <r>
    <s v="Kost Singgahsini Gardena Utama 5 Tipe A Kalideres Jakarta Barat"/>
    <x v="3"/>
    <s v="Kali Deres"/>
    <n v="14"/>
    <s v="4 x 3.5 meter"/>
    <s v="Tidak termasuk listrik"/>
    <s v=""/>
    <s v="N/A"/>
    <s v="4 x 3.5 meter; Tidak termasuk listrik; AC; Kasur; Meja; Lemari Baju; Ventilasi; Kursi; Jendela; Bantal; Cermin; K. Mandi Dalam; Kloset Duduk; Shower; WiFi; R. Cuci; Kulkas; R. Tamu; Penjaga Kos; R. Jemur; Dapur; Dispenser; CCTV; K. Mandi Luar; Parkir Mobil; Parkir Motor &amp; Sepeda"/>
    <x v="89"/>
    <s v="Rp1.900.000"/>
    <x v="3"/>
    <d v="1899-12-30T05:00:00"/>
    <x v="0"/>
    <m/>
    <s v="Diskon 95rb"/>
  </r>
  <r>
    <s v="Kost Singgahsini Gardena Utama 5 Tipe B Kalideres Jakarta Barat"/>
    <x v="3"/>
    <s v="Kali Deres"/>
    <n v="9.620000000000001"/>
    <s v="3.7 x 2.6 meter"/>
    <s v="Tidak termasuk listrik"/>
    <s v=""/>
    <s v="N/A"/>
    <s v="3.7 x 2.6 meter; Tidak termasuk listrik; AC; Kasur; Meja; Lemari Baju; Kursi; Jendela; Bantal; K. Mandi Dalam; Kloset Duduk; Shower; WiFi; R. Cuci; Kulkas; R. Tamu; Penjaga Kos; R. Jemur; Dapur; Dispenser; CCTV; K. Mandi Luar; Parkir Mobil; Parkir Motor &amp; Sepeda"/>
    <x v="44"/>
    <s v="Rp1.725.000"/>
    <x v="6"/>
    <d v="1899-12-30T04:06:00"/>
    <x v="0"/>
    <m/>
    <m/>
  </r>
  <r>
    <s v="Kost Singgahsini Gardena Utama 5 Tipe C Kalideres Jakarta Barat"/>
    <x v="3"/>
    <s v="Kali Deres"/>
    <n v="9.1"/>
    <s v="3.5 x 2.6 meter"/>
    <s v="Tidak termasuk listrik"/>
    <s v=""/>
    <s v="N/A"/>
    <s v="3.5 x 2.6 meter; Tidak termasuk listrik; AC; Kasur; Meja; Lemari Baju; Kursi; Jendela; Bantal; Cermin; K. Mandi Dalam; Kloset Duduk; Shower; WiFi; R. Cuci; Kulkas; R. Tamu; Penjaga Kos; R. Jemur; Dapur; Dispenser; CCTV; K. Mandi Luar; Parkir Mobil; Parkir Motor &amp; Sepeda"/>
    <x v="243"/>
    <s v="Rp1.675.000"/>
    <x v="6"/>
    <d v="1899-12-30T04:06:00"/>
    <x v="0"/>
    <m/>
    <m/>
  </r>
  <r>
    <s v="Kost Singgahsini Gasyafa Tanjung Barat 45 Tipe A Jagakarsa Jakarta Selatan"/>
    <x v="5"/>
    <s v="Jagakarsa"/>
    <n v="12"/>
    <s v="3 x 4 meter"/>
    <s v="Tidak termasuk listrik"/>
    <n v="1775000"/>
    <s v="Rp1.775.000"/>
    <s v="3 x 4 meter; Tidak termasuk listrik; AC; Kasur; Meja; Lemari Baju; Kursi; Bantal; Guling; Jendela; K. Mandi Dalam; Kloset Duduk; Bak mandi; WiFi; R. Jemur; Dapur; Dispenser; CCTV; Parkir Mobil; Parkir Motor; Parkir Sepeda"/>
    <x v="351"/>
    <s v="Rp1.687.500"/>
    <x v="8"/>
    <d v="1899-12-30T04:09:00"/>
    <x v="2"/>
    <m/>
    <s v="Diskon 88rb"/>
  </r>
  <r>
    <s v="Kost Singgahsini Gasyafa Tanjung Barat 45 Tipe C Jagakarsa Jakarta Selatan"/>
    <x v="5"/>
    <s v="Jagakarsa"/>
    <n v="7"/>
    <s v="2 x 3.5 meter"/>
    <s v="Tidak termasuk listrik"/>
    <n v="1375000"/>
    <s v="Rp1.375.000"/>
    <s v="2 x 3.5 meter; Tidak termasuk listrik; AC; Kasur; Meja; Dispenser; Lemari Baju; Kursi; Bantal; Cermin; Guling; Jendela; K. Mandi Dalam; Kloset Duduk; Kloset Jongkok; Shower; WiFi; R. Jemur; Dapur; CCTV; Parkir Mobil; Parkir Motor; Parkir Sepeda"/>
    <x v="68"/>
    <s v="Rp1.307.500"/>
    <x v="3"/>
    <d v="1899-12-30T05:00:00"/>
    <x v="2"/>
    <m/>
    <s v="Diskon 68rb"/>
  </r>
  <r>
    <s v="Kost Singgahsini Gelong Baru Soejartosandi Tipe B Tomang Jakarta Barat"/>
    <x v="3"/>
    <s v="Kecamatan Grogol petamburan"/>
    <n v="9"/>
    <s v="3 x 3 meter"/>
    <s v="Termasuk listrik (implied)"/>
    <s v=""/>
    <s v="N/A"/>
    <s v="3 x 3 meter; Termasuk listrik; AC; Kasur; Meja; TV; Lemari Baju; Kursi; Bantal; Cermin; Guling; Jendela; K. Mandi Dalam; Kloset Duduk; Wastafel; Shower; Air panas; WiFi; R. Cuci; Kulkas; R. Tamu; R. Jemur; Dapur; Dispenser; Jemuran; Parkir Mobil; Parkir Motor; Parkir Sepeda; Parkir Motor &amp; Sepeda"/>
    <x v="354"/>
    <s v="Rp2.405.000"/>
    <x v="2"/>
    <d v="1899-12-30T04:08:00"/>
    <x v="2"/>
    <m/>
    <m/>
  </r>
  <r>
    <s v="Kost Singgahsini Gelong Mansion 8 Tipe B Tomang Jakarta Barat"/>
    <x v="3"/>
    <s v="Grogol Petamburan"/>
    <n v="8.51"/>
    <s v="3.7 x 2.3 meter"/>
    <s v="Tidak termasuk listrik"/>
    <s v=""/>
    <s v="N/A"/>
    <s v="3.7 x 2.3 meter; Tidak termasuk listrik; AC; Kasur; Meja; Lemari Baju; Kursi; Jendela; Bantal; K. Mandi Dalam; Kloset Duduk; Shower; Air panas; WiFi; Kulkas; Penjaga Kos; R. Tamu; R. Jemur; Dapur; Rooftop; Parkir Motor &amp; Sepeda"/>
    <x v="51"/>
    <s v="Rp2.025.000"/>
    <x v="2"/>
    <d v="1899-12-30T04:08:00"/>
    <x v="0"/>
    <m/>
    <s v="Diskon 98rb"/>
  </r>
  <r>
    <s v="Kost Singgahsini Gelong Mansion 8 Tipe C Tomang Jakarta Barat"/>
    <x v="3"/>
    <s v="Grogol Petamburan"/>
    <n v="8.51"/>
    <s v="3.7 x 2.3 meter"/>
    <s v="Tidak termasuk listrik"/>
    <s v=""/>
    <s v="N/A"/>
    <s v="3.7 x 2.3 meter; Tidak termasuk listrik; AC; Kasur; Meja; Lemari Baju; Kursi; Jendela; Bantal; K. Mandi Dalam; Kloset Duduk; Shower; Air panas; WiFi; Kulkas; Penjaga Kos; R. Tamu; R. Jemur; Dapur; Rooftop; Parkir Motor &amp; Sepeda"/>
    <x v="154"/>
    <s v="Rp1.825.000"/>
    <x v="8"/>
    <d v="1899-12-30T04:09:00"/>
    <x v="0"/>
    <m/>
    <s v="Diskon 98rb"/>
  </r>
  <r>
    <s v="Kost Singgahsini Gelong Residence 25 Tipe A Grogol Petamburan Jakarta Barat"/>
    <x v="3"/>
    <s v="Grogol Petamburan"/>
    <n v="13.5"/>
    <s v="4.5 x 3 meter"/>
    <s v="Tidak termasuk listrik"/>
    <s v=""/>
    <s v="N/A"/>
    <s v="4.5 x 3 meter; Tidak termasuk listrik; AC; Kasur; Meja; TV; Lemari Baju; Kursi; K. Mandi Dalam; Kloset Duduk; Wastafel; Shower; Air panas; WiFi; R. Cuci; Kulkas; R. Tamu; R. Jemur; R. Santai; R. Keluarga; Parkir Mobil; Parkir Motor"/>
    <x v="210"/>
    <s v="Rp2.450.000"/>
    <x v="6"/>
    <d v="1899-12-30T04:06:00"/>
    <x v="0"/>
    <m/>
    <m/>
  </r>
  <r>
    <s v="Kost Singgahsini Gelong Residence 25 Tipe B Grogol Petamburan Jakarta Barat"/>
    <x v="3"/>
    <s v="Grogol Petamburan"/>
    <n v="13.5"/>
    <s v="4.5 x 3 meter"/>
    <s v="Tidak termasuk listrik"/>
    <s v=""/>
    <s v="N/A"/>
    <s v="4.5 x 3 meter; Tidak termasuk listrik; AC; Kasur; Meja; TV; Lemari Baju; Kursi; Kloset Duduk; K. Mandi Luar; Wastafel; Shower; Air panas; WiFi; R. Cuci; Kulkas; R. Tamu; R. Jemur; R. Santai; R. Keluarga; Parkir Mobil; Parkir Motor"/>
    <x v="166"/>
    <s v="Rp1.750.000"/>
    <x v="2"/>
    <d v="1899-12-30T04:08:00"/>
    <x v="0"/>
    <m/>
    <m/>
  </r>
  <r>
    <s v="Kost Singgahsini Gelong Residence 27 Tipe A Grogol Petamburan Jakarta Barat"/>
    <x v="3"/>
    <s v="Grogol Petamburan"/>
    <n v="12.15"/>
    <s v="2.7 x 4.5 meter"/>
    <s v="Tidak termasuk listrik"/>
    <s v=""/>
    <s v="N/A"/>
    <s v="2.7 x 4.5 meter; Tidak termasuk listrik; AC; Kasur; Meja; TV; Meja Rias; Lemari Baju; Kursi; Cleaning service; K. Mandi Dalam; Kloset Duduk; Shower; Air panas; WiFi; R. Cuci; Kulkas; R. Tamu; Penjaga Kos; Laundry; R. Jemur; R. Santai; Dapur; R. Keluarga; Parkir Mobil; Parkir Motor; Parkir Sepeda"/>
    <x v="355"/>
    <s v="Rp2.630.000"/>
    <x v="6"/>
    <d v="1899-12-30T04:06:00"/>
    <x v="0"/>
    <m/>
    <m/>
  </r>
  <r>
    <s v="Kost Singgahsini Gelong Residence 27 Tipe B Grogol Petamburan Jakarta Barat"/>
    <x v="3"/>
    <s v="Grogol Petamburan"/>
    <n v="13.5"/>
    <s v="4.5 x 3 meter"/>
    <s v="Tidak termasuk listrik"/>
    <s v=""/>
    <s v="N/A"/>
    <s v="4.5 x 3 meter; Tidak termasuk listrik; AC; Kasur; Meja; TV; Lemari Baju; Kursi; Cleaning service; K. Mandi Dalam; Kloset Duduk; Shower; Air panas; WiFi; R. Cuci; Kulkas; R. Tamu; Penjaga Kos; Laundry; R. Jemur; R. Santai; Dapur; R. Keluarga; Parkir Mobil; Parkir Motor; Parkir Sepeda"/>
    <x v="356"/>
    <s v="Rp2.730.000"/>
    <x v="6"/>
    <d v="1899-12-30T04:06:00"/>
    <x v="0"/>
    <m/>
    <m/>
  </r>
  <r>
    <s v="Kost Singgahsini Gents Home Tipe A Pesanggrahan Jakarta Selatan"/>
    <x v="5"/>
    <s v="Pesanggrahan"/>
    <n v="5.52"/>
    <s v="2.3 x 2.4 meter"/>
    <s v="Tidak termasuk listrik"/>
    <n v="1825000"/>
    <s v="Rp1.825.000"/>
    <s v="2.3 x 2.4 meter; Tidak termasuk listrik; AC; Kasur; Meja; Lemari Baju; Kursi; Wastafel; Bantal; Cermin; Jendela; K. Mandi Dalam; Kloset Duduk; Shower; WiFi; Kulkas; R. Makan; Dapur; Dispenser; K. Mandi Luar; CCTV; Parkir Motor; Parkir Sepeda"/>
    <x v="53"/>
    <s v="Rp1.681.000"/>
    <x v="2"/>
    <d v="1899-12-30T04:08:00"/>
    <x v="1"/>
    <m/>
    <s v="Diskon 144rb"/>
  </r>
  <r>
    <s v="Kost Singgahsini Gracia Tipe A Kelapa Gading Jakarta Utara"/>
    <x v="4"/>
    <s v="Kelapa Gading"/>
    <n v="22.5"/>
    <s v="5 x 4.5 meter"/>
    <s v="Tidak termasuk listrik"/>
    <n v="4000000"/>
    <s v="Rp4.000.000"/>
    <s v="5 x 4.5 meter; Tidak termasuk listrik; AC; Kasur; Meja; Lemari Baju; Kursi; Jendela; Bantal; Cermin; K. Mandi Dalam; Kloset Duduk; Wastafel; Shower; Air panas; WiFi; Kulkas; R. Tamu; Penjaga Kos; R. Makan; R. Jemur; R. Santai; Dapur; Dispenser; TV; Parkir Mobil; Parkir Motor &amp; Sepeda"/>
    <x v="357"/>
    <s v="Rp3.680.000"/>
    <x v="0"/>
    <m/>
    <x v="2"/>
    <m/>
    <s v="Diskon 320rb"/>
  </r>
  <r>
    <s v="Kost Singgahsini Gracia Tipe A Tebet Jakarta Selatan"/>
    <x v="5"/>
    <s v="Tebet"/>
    <n v="8.16"/>
    <s v="3.4 x 2.4 meter"/>
    <s v="Tidak termasuk listrik"/>
    <s v=""/>
    <s v="N/A"/>
    <s v="3.4 x 2.4 meter; Tidak termasuk listrik; AC; Kasur; Meja; Lemari Baju; Kursi; Bantal; Cermin; Jendela; K. Mandi Dalam; Kloset Duduk; Shower; WiFi; Kulkas; Penjaga Kos; Dapur; Parkir Motor &amp; Sepeda"/>
    <x v="358"/>
    <s v="Rp1.855.000"/>
    <x v="2"/>
    <d v="1899-12-30T04:08:00"/>
    <x v="0"/>
    <m/>
    <s v="Diskon 90rb"/>
  </r>
  <r>
    <s v="Kost Singgahsini Gracia Tipe B Kelapa Gading Jakarta Utara"/>
    <x v="4"/>
    <s v="Kelapa Gading"/>
    <n v="15.040000000000001"/>
    <s v="4.7 x 3.2 meter"/>
    <s v="Tidak termasuk listrik"/>
    <n v="3200000"/>
    <s v="Rp3.200.000"/>
    <s v="4.7 x 3.2 meter; Tidak termasuk listrik; AC; Kasur; Meja; Lemari Baju; Kursi; Jendela; Bantal; Cermin; K. Mandi Dalam; Kloset Duduk; Wastafel; Shower; Air panas; WiFi; Kulkas; R. Tamu; Penjaga Kos; R. Makan; R. Jemur; R. Santai; Dapur; Dispenser; TV; Parkir Mobil; Parkir Motor &amp; Sepeda"/>
    <x v="359"/>
    <s v="Rp2.944.000"/>
    <x v="8"/>
    <d v="1899-12-30T04:09:00"/>
    <x v="2"/>
    <m/>
    <s v="Diskon 256rb"/>
  </r>
  <r>
    <s v="Kost Singgahsini Gracia Tipe B Tebet Jakarta Selatan"/>
    <x v="5"/>
    <s v="Tebet"/>
    <e v="#VALUE!"/>
    <s v="N/A"/>
    <s v="N/A"/>
    <s v=""/>
    <s v="N/A"/>
    <s v=""/>
    <x v="24"/>
    <s v="Rp1.495.000"/>
    <x v="6"/>
    <d v="1899-12-30T04:06:00"/>
    <x v="0"/>
    <m/>
    <m/>
  </r>
  <r>
    <s v="Kost Singgahsini Gracia Tipe C Kelapa Gading Jakarta Utara"/>
    <x v="4"/>
    <s v="Kelapa Gading"/>
    <n v="12.600000000000001"/>
    <s v="4.2 x 3 meter"/>
    <s v="Tidak termasuk listrik"/>
    <n v="3000000"/>
    <s v="Rp3.000.000"/>
    <s v="4.2 x 3 meter; Tidak termasuk listrik; AC; Kasur; Meja; Lemari Baju; Kursi; Jendela; Bantal; Cermin; K. Mandi Dalam; Kloset Duduk; Wastafel; Shower; Air panas; WiFi; Kulkas; R. Tamu; Penjaga Kos; R. Makan; R. Jemur; R. Santai; Dapur; Dispenser; TV; Parkir Mobil; Parkir Motor &amp; Sepeda"/>
    <x v="360"/>
    <s v="Rp2.760.000"/>
    <x v="8"/>
    <d v="1899-12-30T04:09:00"/>
    <x v="2"/>
    <m/>
    <s v="Diskon 240rb"/>
  </r>
  <r>
    <s v="Kost Singgahsini Gracia Tipe C Tebet Jakarta Selatan"/>
    <x v="5"/>
    <s v="Tebet"/>
    <n v="5.9799999999999995"/>
    <s v="2.6 x 2.3 meter"/>
    <s v="Tidak termasuk listrik"/>
    <s v=""/>
    <s v="N/A"/>
    <s v="2.6 x 2.3 meter; Tidak termasuk listrik; AC; Kasur; Meja; Lemari Baju; Jendela; Bantal; K. Mandi Dalam; Kloset Duduk; Shower; WiFi; Kulkas; Penjaga Kos; R. Tamu; Dapur; Parkir Motor &amp; Sepeda"/>
    <x v="318"/>
    <s v="Rp1.255.000"/>
    <x v="2"/>
    <d v="1899-12-30T04:08:00"/>
    <x v="0"/>
    <m/>
    <s v="Diskon 108rb"/>
  </r>
  <r>
    <s v="Kost Singgahsini Graha 12 Tipe A Sawah Besar Jakarta Pusat"/>
    <x v="9"/>
    <s v="Sawah Besar"/>
    <n v="8"/>
    <s v="2.5 x 3.2 meter"/>
    <s v="Tidak termasuk listrik"/>
    <n v="2025000"/>
    <s v="Rp2.025.000"/>
    <s v="2.5 x 3.2 meter; Tidak termasuk listrik; AC; Kasur; TV; Meja Rias; Lemari Baju; Kursi; Bantal; Cermin; Jendela; K. Mandi Dalam; Kloset Duduk; Wastafel; Shower; Air panas; WiFi; Penjaga Kos; R. Jemur; Dapur; Balcon; CCTV; Jemuran; Rooftop; Parkir Mobil; Parkir Motor; Parkir Sepeda; Parkir Motor &amp; Sepeda"/>
    <x v="228"/>
    <s v="Rp1.925.000"/>
    <x v="2"/>
    <d v="1899-12-30T04:08:00"/>
    <x v="0"/>
    <m/>
    <s v="Diskon 100rb"/>
  </r>
  <r>
    <s v="Kost Singgahsini Graha Kusumo Menteng Dalam Tipe A Tebet Jakarta Selatan"/>
    <x v="5"/>
    <s v="Tebet"/>
    <n v="9"/>
    <s v="3 x 3 meter"/>
    <s v="Tidak termasuk listrik"/>
    <s v=""/>
    <s v="N/A"/>
    <s v="3 x 3 meter; Tidak termasuk listrik; AC; Kasur; Lemari Baju; Ventilasi; Bantal; Jendela; K. Mandi Dalam; Kloset Duduk; Ember mandi; Shower; WiFi; Dapur; Parkir Motor &amp; Sepeda"/>
    <x v="19"/>
    <s v="Rp1.800.000"/>
    <x v="4"/>
    <d v="1899-12-30T04:01:00"/>
    <x v="0"/>
    <m/>
    <s v="Diskon 168rb"/>
  </r>
  <r>
    <s v="Kost Singgahsini Green House Tipe A Pulo Gadung Jakarta Timur"/>
    <x v="8"/>
    <s v="Pulo Gadung"/>
    <n v="7.9200000000000008"/>
    <s v="1.8 x 4.4 meter"/>
    <s v="Termasuk listrik (implied)"/>
    <n v="1825000"/>
    <s v="Rp1.825.000"/>
    <s v="1.8 x 4.4 meter; Termasuk listrik; AC; Kasur; Meja; Lemari Baju; Ventilasi; Bantal; Cermin; Guling; Jendela; Kloset Duduk; K. Mandi Luar; Ember mandi; Shower; WiFi; R. Cuci; Kulkas; R. Tamu; Penjaga Kos; R. Jemur; Dapur; TV; CCTV; Parkir Motor &amp; Sepeda"/>
    <x v="143"/>
    <s v="Rp1.735.000"/>
    <x v="8"/>
    <d v="1899-12-30T04:09:00"/>
    <x v="2"/>
    <m/>
    <s v="Diskon 90rb"/>
  </r>
  <r>
    <s v="Kost Singgahsini Green House Tipe C Pulo Gadung Jakarta Timur"/>
    <x v="8"/>
    <s v="Pulo Gadung"/>
    <n v="8.1000000000000014"/>
    <s v="3 x 2.7 meter"/>
    <s v="Termasuk listrik (implied)"/>
    <n v="1225000"/>
    <s v="Rp1.225.000"/>
    <s v="3 x 2.7 meter; Termasuk listrik; Kasur; Meja; Lemari Baju; Ventilasi; Kipas Angin; Bantal; Cermin; Guling; Jendela; Kloset Duduk; K. Mandi Luar; Ember mandi; Shower; WiFi; R. Cuci; Kulkas; R. Tamu; Penjaga Kos; R. Jemur; Dapur; TV; CCTV; Parkir Motor &amp; Sepeda"/>
    <x v="86"/>
    <s v="Rp1.165.000"/>
    <x v="2"/>
    <d v="1899-12-30T04:08:00"/>
    <x v="2"/>
    <m/>
    <s v="Diskon 60rb"/>
  </r>
  <r>
    <s v="Kost Singgahsini Greenhome Tipe A Bendungan Hilir Jakarta Pusat"/>
    <x v="9"/>
    <s v="Kecamatan Tanah Abang"/>
    <n v="15.75"/>
    <s v="4.5 x 3.5 meter"/>
    <s v="Tidak termasuk listrik"/>
    <s v=""/>
    <s v="N/A"/>
    <s v="4.5 x 3.5 meter; Tidak termasuk listrik; AC; Kasur; Meja; TV; Lemari Baju; Kursi; K. Mandi Dalam; Kloset Duduk; Shower; Air panas; WiFi; Kulkas; R. Tamu; Penjaga Kos; Dapur; Dispenser; K. Mandi Luar; Parkir Mobil"/>
    <x v="361"/>
    <s v="Rp3.375.000"/>
    <x v="2"/>
    <d v="1899-12-30T04:08:00"/>
    <x v="0"/>
    <m/>
    <s v="Diskon 175rb"/>
  </r>
  <r>
    <s v="Kost Singgahsini Greenhome Tipe B Bendungan Hilir Jakarta Pusat"/>
    <x v="9"/>
    <s v="Kecamatan Tanah Abang"/>
    <n v="12"/>
    <s v="4 x 3 meter"/>
    <s v="Tidak termasuk listrik"/>
    <s v=""/>
    <s v="N/A"/>
    <s v="4 x 3 meter; Tidak termasuk listrik; AC; Kasur; Meja; TV; Lemari Baju; Kursi; K. Mandi Dalam; Kloset Duduk; Shower; Air panas; WiFi; Kulkas; R. Tamu; Penjaga Kos; Dapur; Dispenser; K. Mandi Luar; Parkir Mobil"/>
    <x v="362"/>
    <s v="Rp3.175.000"/>
    <x v="6"/>
    <d v="1899-12-30T04:06:00"/>
    <x v="0"/>
    <m/>
    <m/>
  </r>
  <r>
    <s v="Kost Singgahsini Greenhome Tipe C Bendungan Hilir Jakarta Pusat"/>
    <x v="9"/>
    <s v="Kecamatan Tanah Abang"/>
    <n v="9"/>
    <s v="3 x 3 meter"/>
    <s v="Tidak termasuk listrik"/>
    <s v=""/>
    <s v="N/A"/>
    <s v="3 x 3 meter; Tidak termasuk listrik; AC; Kasur; Meja; TV; Lemari Baju; Kursi; K. Mandi Dalam; Kloset Duduk; Shower; Air panas; WiFi; Kulkas; R. Tamu; Penjaga Kos; Dapur; Dispenser; K. Mandi Luar; Parkir Mobil"/>
    <x v="363"/>
    <s v="Rp2.825.000"/>
    <x v="6"/>
    <d v="1899-12-30T04:06:00"/>
    <x v="0"/>
    <m/>
    <m/>
  </r>
  <r>
    <s v="Kost Singgahsini Griya Batang Agam Tipe A Pancoran Jakarta Selatan"/>
    <x v="5"/>
    <s v="Pancoran"/>
    <n v="21"/>
    <s v="7 x 3 meter"/>
    <s v="Tidak termasuk listrik"/>
    <s v=""/>
    <s v="N/A"/>
    <s v="7 x 3 meter; Tidak termasuk listrik; AC; Kasur; Meja; TV; Lemari Baju; Kursi; Cermin; Bantal; Guling; Jendela; K. Mandi Dalam; Kloset Duduk; Shower; Air panas; WiFi; Kulkas; R. Tamu; Mesin Cuci; Penjaga Kos; R. Jemur; R. Makan; Dapur; Parkir Mobil"/>
    <x v="277"/>
    <s v="Rp3.025.000"/>
    <x v="6"/>
    <d v="1899-12-30T04:06:00"/>
    <x v="0"/>
    <m/>
    <s v="Diskon 145rb"/>
  </r>
  <r>
    <s v="Kost Singgahsini Griya Berkah Bersama Tipe A Beji Depok"/>
    <x v="1"/>
    <s v="Beji"/>
    <n v="8.64"/>
    <s v="2.4 x 3.6 meter"/>
    <s v="Tidak termasuk listrik"/>
    <n v="1555000"/>
    <s v="Rp1.555.000"/>
    <s v="2.4 x 3.6 meter; Tidak termasuk listrik; AC; Kasur; Meja; Lemari Baju; Kursi; K. Mandi Dalam; Kloset Duduk; Ember mandi; Shower; WiFi; Kulkas; R. Tamu; Penjaga Kos; R. Makan; R. Jemur; Dapur; Dispenser; Kartu Akses; CCTV; Parkir Motor &amp; Sepeda"/>
    <x v="364"/>
    <s v="Rp1.402.000"/>
    <x v="6"/>
    <d v="1899-12-30T04:06:00"/>
    <x v="2"/>
    <m/>
    <s v="Diskon 153rb"/>
  </r>
  <r>
    <s v="Kost Singgahsini Griya Dami Tipe A Cilandak Jakarta Selatan"/>
    <x v="5"/>
    <s v="Cilandak"/>
    <n v="12"/>
    <s v="4 x 3 meter"/>
    <s v="Tidak termasuk listrik"/>
    <s v=""/>
    <s v="N/A"/>
    <s v="4 x 3 meter; Tidak termasuk listrik; AC; Kasur; Meja; TV; Lemari Baju; Kursi; Bantal; Jendela; K. Mandi Dalam; Kloset Duduk; Shower; WiFi; R. Tamu; R. Makan; R. Jemur; Dapur; K. Mandi Luar; CCTV; Parkir Mobil; Parkir Motor; Parkir Sepeda"/>
    <x v="365"/>
    <s v="Rp2.545.000"/>
    <x v="2"/>
    <d v="1899-12-30T04:08:00"/>
    <x v="0"/>
    <m/>
    <s v="Diskon 192rb"/>
  </r>
  <r>
    <s v="Kost Singgahsini Griya Gading Bricelle Tipe A Pulo Gadung Jakarta Timur"/>
    <x v="8"/>
    <s v="Pulo Gadung"/>
    <n v="10.5"/>
    <s v="3 x 3.5 meter"/>
    <s v="Termasuk listrik (implied)"/>
    <n v="2025000"/>
    <s v="Rp2.025.000"/>
    <s v="3 x 3.5 meter; Termasuk listrik; AC; Kasur; Meja; Lemari Baju; Kursi; Bantal; Cermin; Guling; Jendela; K. Mandi Dalam; Kloset Duduk; Ember mandi; Shower; WiFi; Kulkas; R. Tamu; Penjaga Kos; R. Jemur; R. Santai; Dapur; K. Mandi Luar; CCTV; Rice Cooker; Parkir Motor; Parkir Sepeda"/>
    <x v="228"/>
    <s v="Rp1.925.000"/>
    <x v="3"/>
    <d v="1899-12-30T05:00:00"/>
    <x v="0"/>
    <m/>
    <s v="Diskon 100rb"/>
  </r>
  <r>
    <s v="Kost Singgahsini Griya Gading Bricelle Tipe B Pulo Gadung Jakarta Timur"/>
    <x v="8"/>
    <s v="Pulo Gadung"/>
    <n v="10.5"/>
    <s v="3 x 3.5 meter"/>
    <s v="Termasuk listrik (implied)"/>
    <n v="1625000"/>
    <s v="Rp1.625.000"/>
    <s v="3 x 3.5 meter; Termasuk listrik; AC; Kasur; Meja; Lemari Baju; Kursi; Bantal; Cermin; Guling; Jendela; Kloset Duduk; K. Mandi Luar; Ember mandi; Shower; WiFi; Kulkas; R. Tamu; Penjaga Kos; R. Jemur; R. Santai; Dapur; CCTV; Rice Cooker; Parkir Motor; Parkir Sepeda"/>
    <x v="276"/>
    <s v="Rp1.545.000"/>
    <x v="3"/>
    <d v="1899-12-30T05:00:00"/>
    <x v="0"/>
    <m/>
    <s v="Diskon 80rb"/>
  </r>
  <r>
    <s v="Kost Singgahsini Griya Gading Bricelle Tipe C Pulo Gadung Jakarta Timur"/>
    <x v="8"/>
    <s v="Pulo Gadung"/>
    <n v="10.5"/>
    <s v="3 x 3.5 meter"/>
    <s v="Termasuk listrik (implied)"/>
    <n v="1525000"/>
    <s v="Rp1.525.000"/>
    <s v="3 x 3.5 meter; Termasuk listrik; Kasur; Meja; Lemari Baju; Kursi; Bantal; Cermin; Guling; Jendela; K. Mandi Dalam; Kloset Duduk; Ember mandi; Shower; WiFi; Kulkas; R. Tamu; Penjaga Kos; R. Jemur; R. Santai; Dapur; K. Mandi Luar; CCTV; Rice Cooker; Parkir Motor; Parkir Sepeda"/>
    <x v="21"/>
    <s v="Rp1.450.000"/>
    <x v="2"/>
    <d v="1899-12-30T04:08:00"/>
    <x v="0"/>
    <m/>
    <s v="Diskon 75rb"/>
  </r>
  <r>
    <s v="Kost Singgahsini Griya Gading Bricelle Tipe D Pulo Gadung Jakarta Timur"/>
    <x v="8"/>
    <s v="Pulo Gadung"/>
    <n v="10.5"/>
    <s v="3 x 3.5 meter"/>
    <s v="Termasuk listrik (implied)"/>
    <n v="1275000"/>
    <s v="Rp1.275.000"/>
    <s v="3 x 3.5 meter; Termasuk listrik; Kasur; Meja; Lemari Baju; Kursi; Bantal; Jendela; Kloset Duduk; K. Mandi Luar; Shower; WiFi; Kulkas; R. Tamu; Penjaga Kos; R. Jemur; R. Santai; Dapur; CCTV; Rice Cooker; Parkir Motor; Parkir Sepeda"/>
    <x v="73"/>
    <s v="Rp1.212.500"/>
    <x v="3"/>
    <d v="1899-12-30T05:00:00"/>
    <x v="0"/>
    <m/>
    <s v="Diskon 63rb"/>
  </r>
  <r>
    <s v="Kost Singgahsini Griya Malabar Tipe A Duren Sawit Jakarta Timur"/>
    <x v="8"/>
    <s v="Duren Sawit"/>
    <n v="25"/>
    <s v="5 x 5 meter"/>
    <s v="Tidak termasuk listrik"/>
    <n v="2525000"/>
    <s v="Rp2.525.000"/>
    <s v="5 x 5 meter; Tidak termasuk listrik; AC; Kasur; Lemari Baju; Ventilasi; Bantal; Guling; Jendela; K. Mandi Dalam; Kloset Duduk; Wastafel; Shower; Bathtub; WiFi; Kulkas; Penjaga Kos; R. Makan; R. Jemur; Dapur; Dispenser; K. Mandi Luar; CCTV; Rice Cooker; Parkir Mobil; Parkir Motor &amp; Sepeda"/>
    <x v="338"/>
    <s v="Rp2.275.000"/>
    <x v="0"/>
    <m/>
    <x v="2"/>
    <m/>
    <s v="Diskon 250rb"/>
  </r>
  <r>
    <s v="Kost Singgahsini Griya Malabar Tipe C Duren Sawit Jakarta Timur"/>
    <x v="8"/>
    <s v="Duren Sawit"/>
    <n v="14"/>
    <s v="4 x 3.5 meter"/>
    <s v="Tidak termasuk listrik"/>
    <n v="1825000"/>
    <s v="Rp1.825.000"/>
    <s v="4 x 3.5 meter; Tidak termasuk listrik; AC; Kasur; Lemari Baju; Ventilasi; Bantal; Cermin; Guling; Jendela; Kloset Duduk; K. Mandi Luar; Shower; WiFi; Kulkas; Penjaga Kos; R. Makan; R. Jemur; Dapur; Dispenser; CCTV; Rice Cooker; Parkir Mobil; Parkir Motor &amp; Sepeda"/>
    <x v="366"/>
    <s v="Rp1.645.000"/>
    <x v="6"/>
    <d v="1899-12-30T04:06:00"/>
    <x v="2"/>
    <m/>
    <s v="Diskon 180rb"/>
  </r>
  <r>
    <s v="Kost Singgahsini Griya Malabar Tipe D Duren Sawit Jakarta Timur"/>
    <x v="8"/>
    <s v="Duren Sawit"/>
    <n v="8.1000000000000014"/>
    <s v="3 x 2.7 meter"/>
    <s v="Termasuk listrik (implied)"/>
    <n v="1075000"/>
    <s v="Rp1.075.000"/>
    <s v="3 x 2.7 meter; Termasuk listrik; Kasur; Lemari Baju; Ventilasi; Bantal; Cermin; Guling; Jendela; Kloset Duduk; K. Mandi Luar; Shower; WiFi; Kulkas; Penjaga Kos; R. Makan; R. Jemur; Dapur; Dispenser; CCTV; Rice Cooker; Parkir Mobil; Parkir Motor &amp; Sepeda"/>
    <x v="59"/>
    <s v="Rp970.000"/>
    <x v="0"/>
    <m/>
    <x v="2"/>
    <m/>
    <s v="Diskon 105rb"/>
  </r>
  <r>
    <s v="Kost Singgahsini Griya Miravelle Tipe A Tangerang Selatan"/>
    <x v="2"/>
    <s v="Pamulang"/>
    <n v="9"/>
    <s v="3 x 3 meter"/>
    <s v="Tidak termasuk listrik"/>
    <n v="1525000"/>
    <s v="Rp1.525.000"/>
    <s v="3 x 3 meter; Tidak termasuk listrik; AC; Kasur; Meja; Lemari Baju; Kursi; Bantal; Cermin; Jendela; K. Mandi Dalam; Kloset Duduk; Wastafel; Shower; WiFi; R. Cuci; Kulkas; R. Tamu; Penjaga Kos; R. Makan; R. Jemur; TV; Jemuran; Parkir Motor &amp; Sepeda"/>
    <x v="21"/>
    <s v="Rp1.450.000"/>
    <x v="8"/>
    <d v="1899-12-30T04:09:00"/>
    <x v="2"/>
    <m/>
    <s v="Diskon 75rb"/>
  </r>
  <r>
    <s v="Kost Singgahsini Griya Mitra Tipe A Tamansari Jakarta Barat"/>
    <x v="3"/>
    <s v="Taman Sari"/>
    <n v="16.799999999999997"/>
    <s v="6 x 2.8 meter"/>
    <s v="Tidak termasuk listrik"/>
    <n v="2025000"/>
    <s v="Rp2.025.000"/>
    <s v="6 x 2.8 meter; Tidak termasuk listrik; AC; Kasur; Meja; TV; Lemari Baju; K. Mandi Dalam; Kloset Duduk; Shower; Air panas; WiFi; R. Tamu; Penjaga Kos; Dapur; CCTV; Parkir Mobil; Parkir Motor &amp; Sepeda"/>
    <x v="104"/>
    <s v="Rp1.865.000"/>
    <x v="12"/>
    <d v="1899-12-30T04:04:00"/>
    <x v="0"/>
    <m/>
    <s v="Diskon 160rb"/>
  </r>
  <r>
    <s v="Kost Singgahsini Griya Mitra Tipe B Tamansari Jakarta Barat"/>
    <x v="3"/>
    <s v="Taman Sari"/>
    <n v="16.799999999999997"/>
    <s v="6 x 2.8 meter"/>
    <s v="Tidak termasuk listrik"/>
    <n v="2375000"/>
    <s v="Rp2.375.000"/>
    <s v="6 x 2.8 meter; Tidak termasuk listrik; AC; Kasur; Meja; TV; Lemari Baju; K. Mandi Dalam; Kloset Duduk; Shower; Air panas; WiFi; R. Tamu; Penjaga Kos; Dapur; CCTV; Parkir Mobil; Parkir Motor &amp; Sepeda"/>
    <x v="301"/>
    <s v="Rp2.257.500"/>
    <x v="3"/>
    <d v="1899-12-30T05:00:00"/>
    <x v="0"/>
    <m/>
    <s v="Diskon 118rb"/>
  </r>
  <r>
    <s v="Kost Singgahsini Griya Mitra Tipe C Tamansari Jakarta Barat"/>
    <x v="3"/>
    <s v="Taman Sari"/>
    <n v="16.799999999999997"/>
    <s v="6 x 2.8 meter"/>
    <s v="Tidak termasuk listrik"/>
    <n v="2875000"/>
    <s v="Rp2.875.000"/>
    <s v="6 x 2.8 meter; Tidak termasuk listrik; AC; Kasur; Meja; TV; Lemari Baju; K. Mandi Dalam; Kloset Duduk; Shower; Air panas; WiFi; R. Tamu; Penjaga Kos; Dapur; CCTV; Parkir Mobil; Parkir Motor &amp; Sepeda"/>
    <x v="367"/>
    <s v="Rp2.647.000"/>
    <x v="6"/>
    <d v="1899-12-30T04:06:00"/>
    <x v="0"/>
    <m/>
    <s v="Diskon 228rb"/>
  </r>
  <r>
    <s v="Kost Singgahsini Griya Osfa Tipe A Beji Depok"/>
    <x v="1"/>
    <s v="Beji"/>
    <n v="12"/>
    <s v="4 x 3 meter"/>
    <s v="Tidak termasuk listrik"/>
    <n v="1325000"/>
    <s v="Rp1.325.000"/>
    <s v="4 x 3 meter; Tidak termasuk listrik; AC; Kasur; Meja; Lemari Baju; Ventilasi; Kursi; Jendela; Bantal; K. Mandi Dalam; Kloset Duduk; Shower; WiFi; Kulkas; Penjaga Kos; Dapur; Rooftop; Parkir Motor &amp; Sepeda"/>
    <x v="116"/>
    <s v="Rp1.195.000"/>
    <x v="10"/>
    <d v="1899-12-30T04:05:00"/>
    <x v="2"/>
    <m/>
    <s v="Diskon 130rb"/>
  </r>
  <r>
    <s v="Kost Singgahsini Griya Osfa Tipe B Beji Depok"/>
    <x v="1"/>
    <s v="Beji"/>
    <n v="12"/>
    <s v="4 x 3 meter"/>
    <s v="Tidak termasuk listrik"/>
    <n v="1015000"/>
    <s v="Rp1.015.000"/>
    <s v="4 x 3 meter; Tidak termasuk listrik; Kasur; Meja; Lemari Baju; Kursi; Jendela; Bantal; Cermin; K. Mandi Dalam; Kloset Duduk; Shower; WiFi; Kulkas; Penjaga Kos; Dapur; Rooftop; Parkir Motor &amp; Sepeda"/>
    <x v="368"/>
    <s v="Rp916.000"/>
    <x v="8"/>
    <d v="1899-12-30T04:09:00"/>
    <x v="2"/>
    <m/>
    <s v="Diskon 99rb"/>
  </r>
  <r>
    <s v="Kost Singgahsini Griya Sehati Tipe B Tanjung Duren Jakarta Barat"/>
    <x v="3"/>
    <s v="Kecamatan Grogol petamburan"/>
    <n v="10.5"/>
    <s v="3.5 x 3 meter"/>
    <s v="Tidak termasuk listrik"/>
    <n v="3215000"/>
    <s v="Rp3.215.000"/>
    <s v="3.5 x 3 meter; Tidak termasuk listrik; AC; Kasur; Meja; Lemari Baju; Ventilasi; Kursi; Bantal; K. Mandi Dalam; Kloset Duduk; K. Mandi Luar; Wastafel; Shower; Air panas; WiFi; R. Cuci; Kulkas; R. Tamu; R. Makan; R. Jemur; R. Santai; Dapur; TV; Parkir Mobil; Parkir Motor; Parkir Sepeda; Parkir Motor &amp; Sepeda"/>
    <x v="369"/>
    <s v="Rp2.959.800"/>
    <x v="2"/>
    <d v="1899-12-30T04:08:00"/>
    <x v="0"/>
    <m/>
    <s v="Diskon 255rb"/>
  </r>
  <r>
    <s v="Kost Singgahsini Griya Sehati Tipe C Tanjung Duren Jakarta Barat"/>
    <x v="3"/>
    <s v="Kecamatan Grogol petamburan"/>
    <n v="9"/>
    <s v="3 x 3 meter"/>
    <s v="Tidak termasuk listrik"/>
    <s v=""/>
    <s v="N/A"/>
    <s v="3 x 3 meter; Tidak termasuk listrik; AC; Kasur; Meja; Lemari Baju; Ventilasi; Kursi; Bantal; Cermin; K. Mandi Dalam; Kloset Duduk; K. Mandi Luar; Wastafel; Shower; Air panas; WiFi; R. Cuci; Kulkas; R. Tamu; R. Makan; R. Jemur; R. Santai; Dapur; TV; Parkir Mobil; Parkir Motor; Parkir Sepeda; Parkir Motor &amp; Sepeda"/>
    <x v="370"/>
    <s v="Rp2.705.000"/>
    <x v="2"/>
    <d v="1899-12-30T04:08:00"/>
    <x v="0"/>
    <m/>
    <s v="Diskon 255rb"/>
  </r>
  <r>
    <s v="Kost Singgahsini Griya Sehati Tipe D Tanjung Duren Jakarta Barat"/>
    <x v="3"/>
    <s v="Kecamatan Grogol petamburan"/>
    <n v="9"/>
    <s v="3 x 3 meter"/>
    <s v="Tidak termasuk listrik"/>
    <s v=""/>
    <s v="N/A"/>
    <s v="3 x 3 meter; Tidak termasuk listrik; AC; Kasur; Meja; Lemari Baju; Ventilasi; Kursi; Bantal; Cermin; Kloset Duduk; K. Mandi Luar; Wastafel; Shower; Air panas; WiFi; R. Cuci; Kulkas; R. Tamu; R. Makan; R. Jemur; R. Santai; Dapur; TV; Parkir Mobil; Parkir Motor; Parkir Sepeda; Parkir Motor &amp; Sepeda"/>
    <x v="52"/>
    <s v="Rp1.875.000"/>
    <x v="8"/>
    <d v="1899-12-30T04:09:00"/>
    <x v="0"/>
    <m/>
    <s v="Diskon 255rb"/>
  </r>
  <r>
    <s v="Kost Singgahsini Griya Sentosa Tugu Indah Tipe B Cimanggis Depok"/>
    <x v="1"/>
    <s v="Kecamatan Cimanggis"/>
    <n v="12"/>
    <s v="3 x 4 meter"/>
    <s v="Tidak termasuk listrik"/>
    <n v="825000"/>
    <s v="Rp825.000"/>
    <s v="3 x 4 meter; Tidak termasuk listrik; Kasur; Meja; Lemari Baju; Ventilasi; Kursi; Bantal; Cermin; Jendela; K. Mandi Dalam; Kloset Duduk; Wastafel; Shower; WiFi; R. Cuci; R. Tamu; R. Jemur; Dapur; Dispenser; Rice Cooker; Parkir Mobil; Parkir Motor; Parkir Sepeda"/>
    <x v="62"/>
    <s v="Rp745.000"/>
    <x v="8"/>
    <d v="1899-12-30T04:09:00"/>
    <x v="2"/>
    <m/>
    <s v="Diskon 80rb"/>
  </r>
  <r>
    <s v="Kost Singgahsini Griyo Ditelu Tipe A Jagakarsa Jakarta Selatan"/>
    <x v="5"/>
    <s v="Kecamatan Jagakarsa"/>
    <e v="#VALUE!"/>
    <s v="N/A"/>
    <s v="N/A"/>
    <n v="2525000"/>
    <s v="Rp2.525.000"/>
    <s v=""/>
    <x v="33"/>
    <s v="Rp2.400.000"/>
    <x v="8"/>
    <d v="1899-12-30T04:09:00"/>
    <x v="2"/>
    <m/>
    <s v="Diskon 125rb"/>
  </r>
  <r>
    <s v="Kost Singgahsini Griyo Ditelu Tipe A Jagakarsa Jakarta Selatan"/>
    <x v="5"/>
    <s v="Kecamatan Jagakarsa"/>
    <n v="12.25"/>
    <s v="3.5 x 3.5 meter"/>
    <s v="Tidak termasuk listrik"/>
    <n v="2525000"/>
    <s v="Rp2.525.000"/>
    <s v="3.5 x 3.5 meter; Tidak termasuk listrik; AC; Kasur; Meja; Lemari Baju; Kursi; Bantal; Cermin; Guling; Jendela; K. Mandi Dalam; Kloset Duduk; Wastafel; Shower; Air panas; WiFi; Kulkas; R. Tamu; Penjaga Kos; R. Jemur; Dapur; Dispenser; TV; K. Mandi Luar; CCTV; Parkir Mobil; Parkir Motor &amp; Sepeda"/>
    <x v="33"/>
    <s v="Rp2.400.000"/>
    <x v="8"/>
    <d v="1899-12-30T04:09:00"/>
    <x v="2"/>
    <m/>
    <s v="Diskon 125rb"/>
  </r>
  <r>
    <s v="Kost Singgahsini Guntur 40 Tipe B Setiabudi Jakarta Selatan"/>
    <x v="5"/>
    <s v="Setia Budi"/>
    <n v="8.1000000000000014"/>
    <s v="3 x 2.7 meter"/>
    <s v="Tidak termasuk listrik"/>
    <n v="2975000"/>
    <s v="Rp2.975.000"/>
    <s v="3 x 2.7 meter; Tidak termasuk listrik; AC; Kasur; TV; Lemari Baju; Bantal; Cermin; Jendela; K. Mandi Dalam; Kloset Duduk; Wastafel; Shower; Air panas; WiFi; CCTV; Jemuran; Parkir Mobil; Parkir Motor; Parkir Sepeda"/>
    <x v="371"/>
    <s v="Rp2.827.500"/>
    <x v="2"/>
    <d v="1899-12-30T04:08:00"/>
    <x v="0"/>
    <m/>
    <s v="Diskon 148rb"/>
  </r>
  <r>
    <s v="Kost Singgahsini Guntur 42 Tipe A Setiabudi Jakarta Selatan"/>
    <x v="5"/>
    <s v="Setia Budi"/>
    <n v="18"/>
    <s v="6 x 3 meter"/>
    <s v="Termasuk listrik (implied)"/>
    <n v="3525000"/>
    <s v="Rp3.525.000"/>
    <s v="6 x 3 meter; Termasuk listrik; AC; Kasur; Meja; TV; Lemari Baju; Kursi; Cermin; K. Mandi Dalam; Kloset Duduk; Wastafel; Shower; Air panas; WiFi; Kulkas; R. Tamu; Penjaga Kos; R. Jemur; Dapur; Dispenser; Parkir Mobil; Parkir Motor; Parkir Motor &amp; Sepeda"/>
    <x v="284"/>
    <s v="Rp3.350.000"/>
    <x v="6"/>
    <d v="1899-12-30T04:06:00"/>
    <x v="0"/>
    <m/>
    <s v="Diskon 175rb"/>
  </r>
  <r>
    <s v="Kost Singgahsini Hade Pondok Cabe Tipe A Tangerang Selatan"/>
    <x v="2"/>
    <s v="Pamulang"/>
    <n v="10.240000000000002"/>
    <s v="3.2 x 3.2 meter"/>
    <s v="Tidak termasuk listrik"/>
    <n v="1625000"/>
    <s v="Rp1.625.000"/>
    <s v="3.2 x 3.2 meter; Tidak termasuk listrik; AC; Kasur; Meja; Lemari Baju; Kursi; Jendela; Bantal; Cermin; K. Mandi Dalam; Kloset Duduk; Shower; WiFi; Kulkas; Penjaga Kos; Dapur; CCTV; Parkir Mobil; Parkir Motor &amp; Sepeda"/>
    <x v="276"/>
    <s v="Rp1.545.000"/>
    <x v="2"/>
    <d v="1899-12-30T04:08:00"/>
    <x v="0"/>
    <m/>
    <s v="Diskon 80rb"/>
  </r>
  <r>
    <s v="Kost Singgahsini Haji Erwin Duren Tiga Tipe A Pancoran Jakarta Selatan"/>
    <x v="5"/>
    <s v="Pancoran"/>
    <n v="10.639999999999999"/>
    <s v="3.8 x 2.8 meter"/>
    <s v="Tidak termasuk listrik"/>
    <s v=""/>
    <s v="N/A"/>
    <s v="3.8 x 2.8 meter; Tidak termasuk listrik; AC; Kasur; Meja; Lemari Baju; Kursi; Bantal; Cermin; Guling; Jendela; K. Mandi Dalam; Kloset Jongkok; Ember mandi; Shower; WiFi; Kulkas; R. Makan; Dapur; Parkir Motor; Parkir Sepeda"/>
    <x v="358"/>
    <s v="Rp1.855.000"/>
    <x v="2"/>
    <d v="1899-12-30T04:08:00"/>
    <x v="1"/>
    <m/>
    <m/>
  </r>
  <r>
    <s v="Kost Singgahsini Haji Nawi 74 Tipe A Cilandak Jakarta Selatan"/>
    <x v="5"/>
    <s v="Kecamatan Cilandak"/>
    <n v="10.5"/>
    <s v="3.5 x 3 meter"/>
    <s v="Tidak termasuk listrik"/>
    <s v=""/>
    <s v="N/A"/>
    <s v="3.5 x 3 meter; Tidak termasuk listrik; AC; Kasur; Meja; TV; Lemari Baju; Kursi; Bantal; K. Mandi Dalam; Kloset Duduk; Wastafel; Shower; Air panas; WiFi; Kulkas; R. Tamu; Mesin Cuci; Penjaga Kos; Dapur; Dispenser; Taman; Parkir Mobil; Parkir Motor; Parkir Sepeda; Parkir Motor &amp; Sepeda"/>
    <x v="372"/>
    <s v="Rp3.425.000"/>
    <x v="6"/>
    <d v="1899-12-30T04:06:00"/>
    <x v="0"/>
    <m/>
    <s v="Diskon 168rb"/>
  </r>
  <r>
    <s v="Kost Singgahsini Haji Nawi 74 Tipe B Cilandak Jakarta Selatan"/>
    <x v="5"/>
    <s v="Kecamatan Cilandak"/>
    <n v="19.25"/>
    <s v="5.5 x 3.5 meter"/>
    <s v="Tidak termasuk listrik"/>
    <s v=""/>
    <s v="N/A"/>
    <s v="5.5 x 3.5 meter; Tidak termasuk listrik; AC; Kasur; Meja; TV; Lemari Baju; Kursi; Bantal; Cermin; Jendela; K. Mandi Dalam; Kloset Duduk; Wastafel; Shower; Air panas; WiFi; Kulkas; R. Tamu; Mesin Cuci; Penjaga Kos; R. Makan; R. Jemur; Dapur; Dispenser; Parkir Mobil; Parkir Motor; Parkir Sepeda; Parkir Motor &amp; Sepeda"/>
    <x v="327"/>
    <s v="Rp3.625.000"/>
    <x v="6"/>
    <d v="1899-12-30T04:06:00"/>
    <x v="0"/>
    <m/>
    <m/>
  </r>
  <r>
    <s v="Kost Singgahsini Haji Sholeh 21 Tipe A Kebon Jeruk Jakarta Barat"/>
    <x v="3"/>
    <s v="Kebon Jeruk"/>
    <n v="40"/>
    <s v="5 x 8 meter"/>
    <s v="Tidak termasuk listrik"/>
    <s v=""/>
    <s v="N/A"/>
    <s v="5 x 8 meter; Tidak termasuk listrik; AC; Kasur; Meja; Lemari Baju; Kursi; Bantal; Jendela; K. Mandi Dalam; Kloset Duduk; Wastafel; Shower; WiFi; R. Jemur; CCTV; Parkir Mobil; Parkir Motor; Parkir Sepeda; Parkir Motor &amp; Sepeda"/>
    <x v="286"/>
    <s v="Rp2.175.000"/>
    <x v="2"/>
    <d v="1899-12-30T04:08:00"/>
    <x v="2"/>
    <m/>
    <s v="Diskon 100rb"/>
  </r>
  <r>
    <s v="Kost Singgahsini Haji Sholeh 21 Tipe B Kebon Jeruk Jakarta Barat"/>
    <x v="3"/>
    <s v="Kebon Jeruk"/>
    <n v="36"/>
    <s v="6 x 6 meter"/>
    <s v="Tidak termasuk listrik"/>
    <s v=""/>
    <s v="N/A"/>
    <s v="6 x 6 meter; Tidak termasuk listrik; AC; Kasur; Meja; Lemari Baju; Kursi; Bantal; Jendela; K. Mandi Dalam; Kloset Duduk; Wastafel; Shower; WiFi; R. Jemur; CCTV; Parkir Mobil; Parkir Motor; Parkir Sepeda; Parkir Motor &amp; Sepeda"/>
    <x v="310"/>
    <s v="Rp2.075.000"/>
    <x v="6"/>
    <d v="1899-12-30T04:06:00"/>
    <x v="2"/>
    <m/>
    <s v="Diskon 100rb"/>
  </r>
  <r>
    <s v="Kost Singgahsini Haji Toto Tipe A Jagakarsa Jakarta Selatan"/>
    <x v="5"/>
    <s v="Jagakarsa"/>
    <n v="10.240000000000002"/>
    <s v="3.2 x 3.2 meter"/>
    <s v="Tidak termasuk listrik"/>
    <n v="1300000"/>
    <s v="Rp1.300.000"/>
    <s v="3.2 x 3.2 meter; Tidak termasuk listrik; AC; Kasur; Lemari Baju; Bantal; Cermin; Guling; Jendela; K. Mandi Dalam; Kloset Duduk; Shower; WiFi; Penjaga Kos; Dapur; Parkir Motor &amp; Sepeda"/>
    <x v="36"/>
    <s v="Rp1.235.000"/>
    <x v="12"/>
    <d v="1899-12-30T04:04:00"/>
    <x v="0"/>
    <m/>
    <s v="Diskon 65rb"/>
  </r>
  <r>
    <s v="Kost Singgahsini Hajiten 2 Tipe A Pulo Gadung Jakarta Timur"/>
    <x v="8"/>
    <s v="Pulo Gadung"/>
    <n v="12"/>
    <s v="3 x 4 meter"/>
    <s v="Tidak termasuk listrik"/>
    <n v="2225000"/>
    <s v="Rp2.225.000"/>
    <s v="3 x 4 meter; Tidak termasuk listrik; AC; Kasur; Meja; TV; Lemari Baju; Kursi; Bantal; Cermin; Guling; Jendela; K. Mandi Dalam; Kloset Duduk; Shower; Air panas; WiFi; Kulkas; Penjaga Kos; R. Jemur; Dapur; Dispenser; CCTV; Jemuran; Rooftop; Parkir Motor &amp; Sepeda"/>
    <x v="311"/>
    <s v="Rp2.115.000"/>
    <x v="6"/>
    <d v="1899-12-30T04:06:00"/>
    <x v="2"/>
    <m/>
    <s v="Diskon 110rb"/>
  </r>
  <r>
    <s v="Kost Singgahsini Hajiten Rawamangun Tipe A Pulo Gadung Jakarta Timur"/>
    <x v="8"/>
    <s v="Pulo Gadung"/>
    <n v="9"/>
    <s v="3 x 3 meter"/>
    <s v="Tidak termasuk listrik"/>
    <n v="1665000"/>
    <s v="Rp1.665.000"/>
    <s v="3 x 3 meter; Tidak termasuk listrik; AC; Kasur; Meja; TV; Lemari Baju; Kursi; Bantal; Guling; K. Mandi Dalam; Kloset Duduk; Shower; WiFi; R. Cuci; R. Tamu; Penjaga Kos; Dapur; Dispenser; Parkir Mobil; Parkir Motor"/>
    <x v="135"/>
    <s v="Rp1.583.000"/>
    <x v="6"/>
    <d v="1899-12-30T04:06:00"/>
    <x v="2"/>
    <m/>
    <s v="Diskon 82rb"/>
  </r>
  <r>
    <s v="Kost Singgahsini Hajiten Rawamangun Tipe B Pulo Gadung Jakarta Timur"/>
    <x v="8"/>
    <s v="Pulo Gadung"/>
    <n v="12"/>
    <s v="4 x 3 meter"/>
    <s v="Tidak termasuk listrik"/>
    <n v="1765000"/>
    <s v="Rp1.765.000"/>
    <s v="4 x 3 meter; Tidak termasuk listrik; AC; Kasur; Meja; TV; Lemari Baju; Kursi; Bantal; Guling; K. Mandi Dalam; Kloset Duduk; Shower; WiFi; R. Cuci; R. Tamu; Penjaga Kos; Dapur; Dispenser; Parkir Mobil; Parkir Motor"/>
    <x v="373"/>
    <s v="Rp1.678.000"/>
    <x v="6"/>
    <d v="1899-12-30T04:06:00"/>
    <x v="2"/>
    <m/>
    <s v="Diskon 87rb"/>
  </r>
  <r>
    <s v="Kost Singgahsini Hana UI Tipe A Beji Depok"/>
    <x v="1"/>
    <s v="Beji"/>
    <n v="9"/>
    <s v="3 x 3 meter"/>
    <s v="Tidak termasuk listrik"/>
    <n v="1175000"/>
    <s v="Rp1.175.000"/>
    <s v="3 x 3 meter; Tidak termasuk listrik; AC; Kasur; Meja; Lemari Baju; Bantal; Guling; K. Mandi Dalam; Kloset Duduk; K. Mandi Luar; Shower; Air panas; WiFi; Kulkas; R. Tamu; R. Jemur; Dapur; TV; CCTV; Parkir Motor; Parkir Sepeda"/>
    <x v="131"/>
    <s v="Rp1.060.000"/>
    <x v="8"/>
    <d v="1899-12-30T04:09:00"/>
    <x v="2"/>
    <m/>
    <s v="Diskon 115rb"/>
  </r>
  <r>
    <s v="Kost Singgahsini Hana UI Tipe B Beji Depok"/>
    <x v="1"/>
    <s v="Beji"/>
    <n v="9"/>
    <s v="3 x 3 meter"/>
    <s v="Tidak termasuk listrik"/>
    <n v="1275000"/>
    <s v="Rp1.275.000"/>
    <s v="3 x 3 meter; Tidak termasuk listrik; AC; Kasur; Meja; Lemari Baju; Bantal; Guling; K. Mandi Dalam; Kloset Duduk; K. Mandi Luar; Shower; Air panas; WiFi; Kulkas; R. Tamu; R. Jemur; Dapur; TV; CCTV; Parkir Motor; Parkir Sepeda"/>
    <x v="30"/>
    <s v="Rp1.150.000"/>
    <x v="8"/>
    <d v="1899-12-30T04:09:00"/>
    <x v="2"/>
    <m/>
    <s v="Diskon 125rb"/>
  </r>
  <r>
    <s v="Kost Singgahsini Hana UI Tipe C Beji Depok"/>
    <x v="1"/>
    <s v="Beji"/>
    <n v="12"/>
    <s v="3 x 4 meter"/>
    <s v="Tidak termasuk listrik"/>
    <n v="1375000"/>
    <s v="Rp1.375.000"/>
    <s v="3 x 4 meter; Tidak termasuk listrik; AC; Kasur; Meja; Lemari Baju; Bantal; Guling; K. Mandi Dalam; Kloset Duduk; K. Mandi Luar; Shower; Air panas; WiFi; Kulkas; R. Tamu; R. Jemur; Dapur; TV; CCTV; Parkir Motor; Parkir Sepeda"/>
    <x v="267"/>
    <s v="Rp1.240.000"/>
    <x v="2"/>
    <d v="1899-12-30T04:08:00"/>
    <x v="2"/>
    <m/>
    <s v="Diskon 135rb"/>
  </r>
  <r>
    <s v="Kost Singgahsini Hana UI Tipe D Beji Depok"/>
    <x v="1"/>
    <s v="Beji"/>
    <n v="20"/>
    <s v="4 x 5 meter"/>
    <s v="Tidak termasuk listrik"/>
    <s v=""/>
    <s v="N/A"/>
    <s v="4 x 5 meter; Tidak termasuk listrik; AC; Kasur; Meja; Lemari Baju; Bantal; Guling; Jendela; K. Mandi Dalam; Kloset Duduk; K. Mandi Luar; Shower; Air panas; WiFi; Kulkas; R. Tamu; R. Jemur; Dapur; TV; CCTV; Parkir Motor; Parkir Sepeda"/>
    <x v="126"/>
    <s v="Rp1.425.000"/>
    <x v="8"/>
    <d v="1899-12-30T04:09:00"/>
    <x v="2"/>
    <m/>
    <s v="Diskon 115rb"/>
  </r>
  <r>
    <s v="Kost Singgahsini Hana UI Tipe E Beji Depok"/>
    <x v="1"/>
    <s v="Beji"/>
    <n v="25"/>
    <s v="5 x 5 meter"/>
    <s v="Tidak termasuk listrik"/>
    <s v=""/>
    <s v="N/A"/>
    <s v="5 x 5 meter; Tidak termasuk listrik; AC; Kasur; Meja; Lemari Baju; Kursi; Bantal; Guling; Jendela; K. Mandi Dalam; Kloset Duduk; K. Mandi Luar; Shower; Air panas; Bathtub; WiFi; Kulkas; R. Tamu; R. Jemur; Dapur; TV; CCTV; Parkir Motor; Parkir Sepeda"/>
    <x v="58"/>
    <s v="Rp1.525.000"/>
    <x v="6"/>
    <d v="1899-12-30T04:06:00"/>
    <x v="2"/>
    <m/>
    <s v="Diskon 115rb"/>
  </r>
  <r>
    <s v="Kost Singgahsini Hannie BSD Tipe A Rawa Buntu Tangerang Selatan"/>
    <x v="2"/>
    <s v="Serpong"/>
    <n v="12.600000000000001"/>
    <s v="4.2 x 3 meter"/>
    <s v="Termasuk listrik (implied)"/>
    <s v=""/>
    <s v="N/A"/>
    <s v="4.2 x 3 meter; Termasuk listrik; AC; Kasur; Meja; TV; Lemari Baju; Ventilasi; Kursi; Bantal; Cermin; Jendela; K. Mandi Dalam; Kloset Duduk; Shower; WiFi; R. Cuci; Kulkas; R. Tamu; Mesin Cuci; Penjaga Kos; R. Makan; R. Jemur; Dapur; Dispenser; Parkir Mobil; Parkir Motor &amp; Sepeda"/>
    <x v="153"/>
    <s v="Rp2.125.000"/>
    <x v="10"/>
    <d v="1899-12-30T04:05:00"/>
    <x v="0"/>
    <m/>
    <m/>
  </r>
  <r>
    <s v="Kost Singgahsini Hannie BSD Tipe B Rawa Buntu Tangerang Selatan"/>
    <x v="2"/>
    <s v="Serpong"/>
    <n v="10.56"/>
    <s v="3.2 x 3.3 meter"/>
    <s v="Termasuk listrik (implied)"/>
    <s v=""/>
    <s v="N/A"/>
    <s v="3.2 x 3.3 meter; Termasuk listrik; AC; Kasur; Meja; Lemari Baju; Kursi; Jendela; Bantal; K. Mandi Dalam; Kloset Duduk; Shower; WiFi; R. Cuci; Kulkas; R. Tamu; Mesin Cuci; Penjaga Kos; R. Makan; R. Jemur; Dapur; Dispenser; Parkir Mobil; Parkir Motor &amp; Sepeda"/>
    <x v="154"/>
    <s v="Rp1.825.000"/>
    <x v="5"/>
    <d v="1899-12-30T04:00:00"/>
    <x v="0"/>
    <m/>
    <s v="Diskon 90rb"/>
  </r>
  <r>
    <s v="Kost Singgahsini Hannie BSD Tipe C Rawa Buntu Tangerang Selatan"/>
    <x v="2"/>
    <s v="Serpong"/>
    <n v="10.56"/>
    <s v="3.2 x 3.3 meter"/>
    <s v="Termasuk listrik (implied)"/>
    <s v=""/>
    <s v="N/A"/>
    <s v="3.2 x 3.3 meter; Termasuk listrik; AC; Kasur; Meja; Lemari Baju; Kursi; Bantal; Jendela; K. Mandi Dalam; Kloset Duduk; K. Mandi Luar; Shower; WiFi; R. Cuci; Kulkas; R. Tamu; Mesin Cuci; Penjaga Kos; R. Makan; R. Jemur; Dapur; Dispenser; Parkir Mobil; Parkir Motor &amp; Sepeda"/>
    <x v="44"/>
    <s v="Rp1.725.000"/>
    <x v="3"/>
    <d v="1899-12-30T05:00:00"/>
    <x v="0"/>
    <m/>
    <s v="Diskon 90rb"/>
  </r>
  <r>
    <s v="Kost Singgahsini Hannie BSD Tipe D Rawa Buntu Tangerang Selatan"/>
    <x v="2"/>
    <s v="Serpong"/>
    <n v="10.56"/>
    <s v="3.2 x 3.3 meter"/>
    <s v="Termasuk listrik (implied)"/>
    <s v=""/>
    <s v="N/A"/>
    <s v="3.2 x 3.3 meter; Termasuk listrik; AC; Kasur; Meja; TV; Lemari Baju; Ventilasi; Kursi; Bantal; Cermin; Jendela; Kloset Duduk; K. Mandi Luar; Shower; WiFi; R. Cuci; Kulkas; R. Tamu; Mesin Cuci; Penjaga Kos; R. Makan; R. Jemur; Dapur; Dispenser; Parkir Mobil; Parkir Motor &amp; Sepeda"/>
    <x v="78"/>
    <s v="Rp1.625.000"/>
    <x v="13"/>
    <d v="1899-12-30T04:03:00"/>
    <x v="0"/>
    <m/>
    <m/>
  </r>
  <r>
    <s v="Kost Singgahsini Harmasi Tipe A Kembangan Jakarta Barat"/>
    <x v="3"/>
    <s v="Kembangan"/>
    <n v="6"/>
    <s v="3 x 2 meter"/>
    <s v="Tidak termasuk listrik"/>
    <n v="1625000"/>
    <s v="Rp1.625.000"/>
    <s v="3 x 2 meter; Tidak termasuk listrik; AC; Kasur; Lemari Baju; Jendela; K. Mandi Dalam; Kloset Duduk; Shower; Bak mandi; WiFi; R. Jemur; Dapur; Parkir Motor &amp; Sepeda"/>
    <x v="276"/>
    <s v="Rp1.545.000"/>
    <x v="13"/>
    <d v="1899-12-30T04:03:00"/>
    <x v="0"/>
    <m/>
    <s v="Diskon 80rb"/>
  </r>
  <r>
    <s v="Kost Singgahsini Harmasi Tipe B Kembangan Jakarta Barat"/>
    <x v="3"/>
    <s v="Kembangan"/>
    <n v="6"/>
    <s v="3 x 2 meter"/>
    <s v="Tidak termasuk listrik"/>
    <s v=""/>
    <s v="N/A"/>
    <s v="3 x 2 meter; Tidak termasuk listrik; AC; Kasur; Lemari Baju; Jendela; K. Mandi Dalam; Kloset Jongkok; Shower; Bak mandi; WiFi; R. Jemur; Dapur; Parkir Motor &amp; Sepeda"/>
    <x v="54"/>
    <s v="Rp1.375.000"/>
    <x v="10"/>
    <d v="1899-12-30T04:05:00"/>
    <x v="0"/>
    <m/>
    <s v="Diskon 80rb"/>
  </r>
  <r>
    <s v="Kost Singgahsini Harun Tipe A Kebon Jeruk Jakarta Barat"/>
    <x v="3"/>
    <s v="Kecamatan Kebon Jeruk"/>
    <n v="12"/>
    <s v="3 x 4 meter"/>
    <s v="Tidak termasuk listrik"/>
    <n v="1575000"/>
    <s v="Rp1.575.000"/>
    <s v="3 x 4 meter; Tidak termasuk listrik; AC; Kasur; Meja; Lemari Baju; Ventilasi; Kursi; Bantal; Dapur Pribadi; Guling; Jendela; Kloset Duduk; K. Mandi Luar; Ember mandi; Shower; WiFi; Kulkas; R. Jemur; Dapur; CCTV; Parkir Motor; Parkir Sepeda"/>
    <x v="108"/>
    <s v="Rp1.451.000"/>
    <x v="6"/>
    <d v="1899-12-30T04:06:00"/>
    <x v="0"/>
    <m/>
    <s v="Diskon 124rb"/>
  </r>
  <r>
    <s v="Kost Singgahsini Harun Tipe C Kebon Jeruk Jakarta Barat"/>
    <x v="3"/>
    <s v="Kecamatan Kebon Jeruk"/>
    <n v="8.75"/>
    <s v="3.5 x 2.5 meter"/>
    <s v="Tidak termasuk listrik"/>
    <n v="1285000"/>
    <s v="Rp1.285.000"/>
    <s v="3.5 x 2.5 meter; Tidak termasuk listrik; AC; Kasur; Meja; Lemari Baju; Ventilasi; Kursi; Bantal; Cermin; Guling; Jendela; Kloset Duduk; K. Mandi Luar; Ember mandi; Shower; WiFi; Kulkas; R. Jemur; Dapur; CCTV; Parkir Motor; Parkir Sepeda"/>
    <x v="374"/>
    <s v="Rp1.184.200"/>
    <x v="2"/>
    <d v="1899-12-30T04:08:00"/>
    <x v="0"/>
    <m/>
    <s v="Diskon 101rb"/>
  </r>
  <r>
    <s v="Kost Singgahsini Hasyim Ashari Tipe A Cideng Jakarta Pusat"/>
    <x v="9"/>
    <s v="Kecamatan Gambir"/>
    <n v="9"/>
    <s v="3 x 3 meter"/>
    <s v="Tidak termasuk listrik"/>
    <s v=""/>
    <s v="N/A"/>
    <s v="3 x 3 meter; Tidak termasuk listrik; AC; Kasur; Meja; TV; Lemari Baju; Kursi; Bantal; Cermin; Guling; Jendela; K. Mandi Dalam; Kloset Duduk; Shower; WiFi; R. Cuci; Kulkas; R. Tamu; Dapur; K. Mandi Luar; Parkir Mobil; Parkir Motor"/>
    <x v="51"/>
    <s v="Rp2.025.000"/>
    <x v="8"/>
    <d v="1899-12-30T04:09:00"/>
    <x v="2"/>
    <m/>
    <s v="Diskon 93rb"/>
  </r>
  <r>
    <s v="Kost Singgahsini Homey Beji Tipe A UI Depok"/>
    <x v="1"/>
    <s v="Kecamatan Beji"/>
    <n v="9"/>
    <s v="3 x 3 meter"/>
    <s v="Tidak termasuk listrik"/>
    <n v="1350000"/>
    <s v="Rp1.350.000"/>
    <s v="3 x 3 meter; Tidak termasuk listrik; AC; Kasur; Meja; Lemari Baju; Ventilasi; Kursi; Bantal; Cermin; Jendela; K. Mandi Dalam; Kloset Duduk; Kloset Jongkok; Ember mandi; Shower; Bak mandi; WiFi; R. Cuci; Kulkas; R. Tamu; Penjaga Kos; R. Makan; Dapur; Dispenser; TV; K. Mandi Luar; Parkir Mobil; Parkir Motor; Parkir Sepeda; Parkir Motor &amp; Sepeda"/>
    <x v="375"/>
    <s v="Rp1.215.000"/>
    <x v="8"/>
    <d v="1899-12-30T04:09:00"/>
    <x v="2"/>
    <m/>
    <s v="Diskon 135rb"/>
  </r>
  <r>
    <s v="Kost Singgahsini Homey Beji Tipe B UI Depok"/>
    <x v="1"/>
    <s v="Kecamatan Beji"/>
    <n v="9"/>
    <s v="3 x 3 meter"/>
    <s v="Tidak termasuk listrik"/>
    <n v="1150000"/>
    <s v="Rp1.150.000"/>
    <s v="3 x 3 meter; Tidak termasuk listrik; AC; Kasur; Meja; Lemari Baju; Ventilasi; Kursi; Bantal; Cermin; Jendela; Kloset Duduk; Kloset Jongkok; K. Mandi Luar; Ember mandi; Shower; Bak mandi; WiFi; R. Cuci; Kulkas; R. Tamu; Penjaga Kos; R. Makan; Dapur; Dispenser; TV; Parkir Mobil; Parkir Motor; Parkir Sepeda; Parkir Motor &amp; Sepeda"/>
    <x v="244"/>
    <s v="Rp1.035.000"/>
    <x v="8"/>
    <d v="1899-12-30T04:09:00"/>
    <x v="2"/>
    <m/>
    <s v="Diskon 115rb"/>
  </r>
  <r>
    <s v="Kost Singgahsini Homey Beji Tipe C UI Depok"/>
    <x v="1"/>
    <s v="Kecamatan Beji"/>
    <n v="6"/>
    <s v="3 x 2 meter"/>
    <s v="Tidak termasuk listrik"/>
    <n v="1200000"/>
    <s v="Rp1.200.000"/>
    <s v="3 x 2 meter; Tidak termasuk listrik; AC; Kasur; Meja; Lemari Baju; Ventilasi; Kursi; Kipas Angin; Bantal; Jendela; Kloset Duduk; Kloset Jongkok; K. Mandi Luar; Ember mandi; Shower; Bak mandi; WiFi; R. Cuci; Kulkas; R. Tamu; Penjaga Kos; R. Makan; Dapur; Dispenser; TV; Parkir Mobil; Parkir Motor; Parkir Sepeda; Parkir Motor &amp; Sepeda"/>
    <x v="287"/>
    <s v="Rp1.080.000"/>
    <x v="3"/>
    <d v="1899-12-30T05:00:00"/>
    <x v="2"/>
    <m/>
    <s v="Diskon 120rb"/>
  </r>
  <r>
    <s v="Kost Singgahsini Homy Home Tipe A Tangerang"/>
    <x v="6"/>
    <s v="Pinang"/>
    <n v="12.15"/>
    <s v="4.5 x 2.7 meter"/>
    <s v="Tidak termasuk listrik"/>
    <n v="2275000"/>
    <s v="Rp2.275.000"/>
    <s v="4.5 x 2.7 meter; Tidak termasuk listrik; AC; Kasur; Meja; Lemari Baju; Ventilasi; Kursi; Wastafel; Bantal; Cermin; Jendela; K. Mandi Dalam; Kloset Duduk; Shower; Air panas; WiFi; Kulkas; R. Tamu; Penjaga Kos; R. Jemur; Dapur; K. Mandi Luar; Jemuran; Parkir Motor &amp; Sepeda"/>
    <x v="282"/>
    <s v="Rp2.162.500"/>
    <x v="10"/>
    <d v="1899-12-30T04:05:00"/>
    <x v="0"/>
    <m/>
    <s v="Diskon 113rb"/>
  </r>
  <r>
    <s v="Kost Singgahsini Homy Home Tipe B Tangerang"/>
    <x v="6"/>
    <s v="Pinang"/>
    <n v="9.990000000000002"/>
    <s v="3.7 x 2.7 meter"/>
    <s v="Tidak termasuk listrik"/>
    <n v="2050000"/>
    <s v="Rp2.050.000"/>
    <s v="3.7 x 2.7 meter; Tidak termasuk listrik; AC; Kasur; Meja; Lemari Baju; Ventilasi; Kursi; Wastafel; Bantal; Cermin; Jendela; K. Mandi Dalam; Kloset Duduk; Shower; Air panas; WiFi; Kulkas; R. Tamu; Penjaga Kos; R. Jemur; Dapur; K. Mandi Luar; Jemuran; Parkir Motor &amp; Sepeda"/>
    <x v="299"/>
    <s v="Rp1.948.750"/>
    <x v="12"/>
    <d v="1899-12-30T04:04:00"/>
    <x v="0"/>
    <m/>
    <s v="Diskon 101rb"/>
  </r>
  <r>
    <s v="Kost Singgahsini Homy Home Tipe C Tangerang"/>
    <x v="6"/>
    <s v="Pinang"/>
    <n v="9.990000000000002"/>
    <s v="3.7 x 2.7 meter"/>
    <s v="Tidak termasuk listrik"/>
    <n v="1825000"/>
    <s v="Rp1.825.000"/>
    <s v="3.7 x 2.7 meter; Tidak termasuk listrik; AC; Kasur; Lemari Baju; Wastafel; Bantal; Cermin; K. Mandi Dalam; Kloset Duduk; Shower; Air panas; WiFi; Kulkas; R. Tamu; Penjaga Kos; R. Jemur; Dapur; K. Mandi Luar; Jemuran; Parkir Motor &amp; Sepeda"/>
    <x v="143"/>
    <s v="Rp1.735.000"/>
    <x v="6"/>
    <d v="1899-12-30T04:06:00"/>
    <x v="0"/>
    <m/>
    <s v="Diskon 90rb"/>
  </r>
  <r>
    <s v="Kost Singgahsini House of Marsya Tipe A Cilandak Jakarta Selatan"/>
    <x v="5"/>
    <s v="Cilandak"/>
    <n v="12"/>
    <s v="4 x 3 meter"/>
    <s v="Termasuk listrik (implied)"/>
    <s v=""/>
    <s v="N/A"/>
    <s v="4 x 3 meter; Termasuk listrik; AC; Kasur; Meja; TV; Meja Rias; Lemari Baju; Kulkas; Kursi; Cleaning service; Meja makan; K. Mandi Dalam; Kloset Duduk; Shower; Air panas; WiFi; R. Tamu; Penjaga Kos; Laundry; R. Makan; R. Santai; Dapur; Dispenser; Parkir Mobil; Parkir Motor; Parkir Sepeda; Parkir Motor &amp; Sepeda"/>
    <x v="376"/>
    <s v="Rp3.775.000"/>
    <x v="2"/>
    <d v="1899-12-30T04:08:00"/>
    <x v="0"/>
    <m/>
    <s v="Diskon 193rb"/>
  </r>
  <r>
    <s v="Kost Singgahsini Hygge Hus Kampung Bali Tipe B Tanah Abang Jakarta Pusat"/>
    <x v="9"/>
    <s v="Tanah Abang"/>
    <n v="8"/>
    <s v="4 x 2 meter"/>
    <s v="Tidak termasuk listrik"/>
    <n v="2325000"/>
    <s v="Rp2.325.000"/>
    <s v="4 x 2 meter; Tidak termasuk listrik; AC; Kasur; Meja; TV; Lemari Baju; Kursi; Bantal; Cermin; Guling; Jendela; K. Mandi Dalam; Kloset Duduk; Shower; WiFi; R. Cuci; Kulkas; R. Tamu; Penjaga Kos; R. Jemur; Dapur; Dispenser; Rice Cooker; Parkir Mobil; Parkir Motor &amp; Sepeda"/>
    <x v="341"/>
    <s v="Rp2.210.000"/>
    <x v="2"/>
    <d v="1899-12-30T04:08:00"/>
    <x v="0"/>
    <m/>
    <s v="Diskon 115rb"/>
  </r>
  <r>
    <s v="Kost Singgahsini Idola Tipe D Kebon Jeruk Jakarta Barat"/>
    <x v="3"/>
    <s v="Kebon Jeruk"/>
    <n v="8.4600000000000009"/>
    <s v="1.8 x 4.7 meter"/>
    <s v="Tidak termasuk listrik"/>
    <n v="1555000"/>
    <s v="Rp1.555.000"/>
    <s v="1.8 x 4.7 meter; Tidak termasuk listrik; AC; Kasur; Meja; TV; Lemari Baju; Kursi; Bantal; Jendela; Kloset Duduk; K. Mandi Luar; Shower; Air panas; WiFi; Kulkas; R. Tamu; Mesin Cuci; Penjaga Kos; R. Jemur; Dapur; Dispenser; CCTV; Parkir Mobil; Parkir Motor; Parkir Sepeda"/>
    <x v="377"/>
    <s v="Rp1.432.600"/>
    <x v="3"/>
    <d v="1899-12-30T05:00:00"/>
    <x v="0"/>
    <m/>
    <s v="Diskon 122rb"/>
  </r>
  <r>
    <s v="Kost Singgahsini Ikhaya Kukusan Tipe A Beji Depok"/>
    <x v="1"/>
    <s v="Kecamatan Beji"/>
    <n v="12"/>
    <s v="3 x 4 meter"/>
    <s v="Tidak termasuk listrik"/>
    <n v="1965000"/>
    <s v="Rp1.965.000"/>
    <s v="3 x 4 meter; Tidak termasuk listrik; AC; Kasur; Meja; TV; Lemari Baju; Ventilasi; Kursi; Bantal; Guling; Jendela; K. Mandi Dalam; Kloset Duduk; Wastafel; Shower; Air panas; WiFi; Kulkas; R. Tamu; Penjaga Kos; R. Makan; R. Jemur; Dapur; Dispenser; Taman; Parkir Mobil; Parkir Motor"/>
    <x v="378"/>
    <s v="Rp1.771.000"/>
    <x v="8"/>
    <d v="1899-12-30T04:09:00"/>
    <x v="2"/>
    <m/>
    <s v="Diskon 194rb"/>
  </r>
  <r>
    <s v="Kost Singgahsini Ikhaya Kukusan Tipe B Beji Depok"/>
    <x v="1"/>
    <s v="Beji"/>
    <n v="24.8"/>
    <s v="6.2 x 4 meter"/>
    <s v="Tidak termasuk listrik"/>
    <n v="3075000"/>
    <s v="Rp3.075.000"/>
    <s v="6.2 x 4 meter; Tidak termasuk listrik; AC; Kasur; Meja; TV; Lemari Baju; Kulkas; Ventilasi; Kursi; Wastafel; Sofa; K. Mandi Dalam; Kloset Duduk; Shower; Air panas; WiFi; R. Tamu; Penjaga Kos; R. Makan; R. Jemur; Dapur; Dispenser; Taman; Parkir Mobil; Parkir Motor"/>
    <x v="379"/>
    <s v="Rp2.770.000"/>
    <x v="6"/>
    <d v="1899-12-30T04:06:00"/>
    <x v="2"/>
    <m/>
    <s v="Diskon 305rb"/>
  </r>
  <r>
    <s v="Kost Singgahsini Ikhlas Tipe C Pesanggrahan Jakarta Selatan"/>
    <x v="5"/>
    <s v="Pesanggrahan"/>
    <n v="9"/>
    <s v="3 x 3 meter"/>
    <s v="Tidak termasuk listrik"/>
    <n v="925000"/>
    <s v="Rp925.000"/>
    <s v="3 x 3 meter; Tidak termasuk listrik; Kasur; Meja; Lemari Baju; Ventilasi; Kursi; Kipas Angin; Bantal; Jendela; K. Mandi Dalam; Kloset Jongkok; Ember mandi; Shower; WiFi; Penjaga Kos; R. Jemur; Dapur; Parkir Motor &amp; Sepeda"/>
    <x v="16"/>
    <s v="Rp880.000"/>
    <x v="2"/>
    <d v="1899-12-30T04:08:00"/>
    <x v="0"/>
    <m/>
    <s v="Diskon 45rb"/>
  </r>
  <r>
    <s v="Kost Singgahsini Indira Tipe A Cipondoh Tangerang"/>
    <x v="6"/>
    <s v="Cipondoh"/>
    <n v="7.25"/>
    <s v="2.5 x 2.9 meter"/>
    <s v="Tidak termasuk listrik"/>
    <n v="1250000"/>
    <s v="Rp1.250.000"/>
    <s v="2.5 x 2.9 meter; Tidak termasuk listrik; AC; Kasur; Lemari Baju; Ventilasi; Bantal; Jendela; Cermin; Guling; K. Mandi Dalam; Kloset Jongkok; Ember mandi; WiFi; R. Cuci; Kulkas; R. Tamu; Mesin Cuci; R. Jemur; Dapur; Jemuran; Parkir Motor &amp; Sepeda"/>
    <x v="125"/>
    <s v="Rp1.125.000"/>
    <x v="3"/>
    <d v="1899-12-30T05:00:00"/>
    <x v="2"/>
    <m/>
    <s v="Diskon 125rb"/>
  </r>
  <r>
    <s v="Kost Singgahsini Indri Taska 35 Tipe A Kelapa Gading Jakarta Utara"/>
    <x v="4"/>
    <s v="Kelapa Gading"/>
    <n v="10.5"/>
    <s v="3 x 3.5 meter"/>
    <s v="Tidak termasuk listrik"/>
    <s v=""/>
    <s v="N/A"/>
    <s v="3 x 3.5 meter; Tidak termasuk listrik; AC; Kasur; Meja; Lemari Baju; Kursi; Bantal; Cermin; Jendela; Kloset Duduk; K. Mandi Luar; Shower; Air panas; WiFi; Kulkas; Penjaga Kos; R. Jemur; Dapur; Dispenser; CCTV; Jemuran; Parkir Motor &amp; Sepeda"/>
    <x v="312"/>
    <s v="Rp1.775.000"/>
    <x v="6"/>
    <d v="1899-12-30T04:06:00"/>
    <x v="2"/>
    <m/>
    <s v="Diskon 148rb"/>
  </r>
  <r>
    <s v="Kost Singgahsini Indri Taska 35 Tipe B Kelapa Gading Jakarta Utara"/>
    <x v="4"/>
    <s v="Kelapa Gading"/>
    <n v="8.75"/>
    <s v="3.5 x 2.5 meter"/>
    <s v="Tidak termasuk listrik"/>
    <s v=""/>
    <s v="N/A"/>
    <s v="3.5 x 2.5 meter; Tidak termasuk listrik; AC; Kasur; Meja; Lemari Baju; Ventilasi; Kursi; Bantal; Cermin; Jendela; Kloset Duduk; K. Mandi Luar; Shower; Air panas; WiFi; Kulkas; Penjaga Kos; R. Jemur; Dapur; Dispenser; CCTV; Jemuran; Parkir Motor &amp; Sepeda"/>
    <x v="243"/>
    <s v="Rp1.675.000"/>
    <x v="3"/>
    <d v="1899-12-30T05:00:00"/>
    <x v="2"/>
    <m/>
    <s v="Diskon 128rb"/>
  </r>
  <r>
    <s v="Kost Singgahsini Indri Taska 35 Tipe C Kelapa Gading Jakarta Utara"/>
    <x v="4"/>
    <s v="Kelapa Gading"/>
    <n v="7.5"/>
    <s v="3 x 2.5 meter"/>
    <s v="Tidak termasuk listrik"/>
    <s v=""/>
    <s v="N/A"/>
    <s v="3 x 2.5 meter; Tidak termasuk listrik; AC; Kasur; Meja; Lemari Baju; Ventilasi; Kursi; Bantal; Cermin; Jendela; Kloset Duduk; K. Mandi Luar; Shower; Air panas; WiFi; Kulkas; Penjaga Kos; R. Jemur; Dapur; Dispenser; CCTV; Jemuran; Parkir Motor &amp; Sepeda"/>
    <x v="243"/>
    <s v="Rp1.675.000"/>
    <x v="3"/>
    <d v="1899-12-30T05:00:00"/>
    <x v="2"/>
    <m/>
    <s v="Diskon 128rb"/>
  </r>
  <r>
    <s v="Kost Singgahsini Indri Taska 35 Tipe D Kelapa Gading Jakarta Utara"/>
    <x v="4"/>
    <s v="Kelapa Gading"/>
    <n v="6.25"/>
    <s v="2.5 x 2.5 meter"/>
    <s v="Tidak termasuk listrik"/>
    <s v=""/>
    <s v="N/A"/>
    <s v="2.5 x 2.5 meter; Tidak termasuk listrik; AC; Kasur; Meja; Lemari Baju; Kursi; Bantal; Cermin; Jendela; Kloset Duduk; K. Mandi Luar; Shower; Air panas; WiFi; Kulkas; Penjaga Kos; R. Jemur; Dapur; Dispenser; CCTV; Jemuran; Parkir Motor &amp; Sepeda"/>
    <x v="58"/>
    <s v="Rp1.525.000"/>
    <x v="8"/>
    <d v="1899-12-30T04:09:00"/>
    <x v="2"/>
    <m/>
    <s v="Diskon 128rb"/>
  </r>
  <r>
    <s v="Kost Singgahsini Inn Taman Mahkota Tipe A Tangerang"/>
    <x v="6"/>
    <s v="Benda"/>
    <n v="8.9599999999999991"/>
    <s v="3.2 x 2.8 meter"/>
    <s v="Tidak termasuk listrik"/>
    <n v="1825000"/>
    <s v="Rp1.825.000"/>
    <s v="3.2 x 2.8 meter; Tidak termasuk listrik; AC; Kasur; Lemari Baju; Bantal; Cermin; Guling; Jendela; K. Mandi Dalam; Kloset Duduk; Shower; WiFi; Kulkas; Penjaga Kos; R. Makan; R. Jemur; Dapur; CCTV; Jemuran; Parkir Motor &amp; Sepeda"/>
    <x v="366"/>
    <s v="Rp1.645.000"/>
    <x v="6"/>
    <d v="1899-12-30T04:06:00"/>
    <x v="0"/>
    <m/>
    <s v="Diskon 180rb"/>
  </r>
  <r>
    <s v="Kost Singgahsini Inn Taman Mahkota Tipe B Tangerang"/>
    <x v="6"/>
    <s v="Benda"/>
    <n v="7.4"/>
    <s v="3.7 x 2 meter"/>
    <s v="Tidak termasuk listrik"/>
    <n v="1625000"/>
    <s v="Rp1.625.000"/>
    <s v="3.7 x 2 meter; Tidak termasuk listrik; AC; Kasur; Lemari Baju; Bantal; Cermin; Guling; Jendela; K. Mandi Dalam; Kloset Duduk; Shower; WiFi; Kulkas; Penjaga Kos; R. Makan; R. Jemur; Dapur; CCTV; Jemuran; Parkir Motor &amp; Sepeda"/>
    <x v="343"/>
    <s v="Rp1.465.000"/>
    <x v="6"/>
    <d v="1899-12-30T04:06:00"/>
    <x v="0"/>
    <m/>
    <s v="Diskon 160rb"/>
  </r>
  <r>
    <s v="Kost Singgahsini Inn Taman Mahkota Tipe C Tangerang"/>
    <x v="6"/>
    <s v="Benda"/>
    <n v="4.5"/>
    <s v="2.5 x 1.8 meter"/>
    <s v="Tidak termasuk listrik"/>
    <n v="1375000"/>
    <s v="Rp1.375.000"/>
    <s v="2.5 x 1.8 meter; Tidak termasuk listrik; AC; Kasur; Lemari Baju; Bantal; Cermin; Guling; Jendela; Kloset Duduk; K. Mandi Luar; Shower; WiFi; Kulkas; Penjaga Kos; R. Makan; R. Jemur; Dapur; CCTV; Jemuran; Parkir Motor &amp; Sepeda"/>
    <x v="267"/>
    <s v="Rp1.240.000"/>
    <x v="6"/>
    <d v="1899-12-30T04:06:00"/>
    <x v="0"/>
    <m/>
    <s v="Diskon 135rb"/>
  </r>
  <r>
    <s v="Kost Singgahsini Ino Kebagusan Tipe C Pasar Minggu Jakarta Selatan"/>
    <x v="5"/>
    <s v="Pasar Minggu"/>
    <n v="14"/>
    <s v="3.5 x 4 meter"/>
    <s v="Tidak termasuk listrik"/>
    <s v=""/>
    <s v="N/A"/>
    <s v="3.5 x 4 meter; Tidak termasuk listrik; AC; Kasur; Meja; Lemari Baju; Ventilasi; Kursi; Bantal; Guling; Jendela; K. Mandi Dalam; Kloset Duduk; Wastafel; Shower; WiFi; Kulkas; R. Tamu; R. Jemur; Dapur; TV; K. Mandi Luar; CCTV; Parkir Mobil; Parkir Motor; Parkir Sepeda"/>
    <x v="111"/>
    <s v="Rp1.975.000"/>
    <x v="2"/>
    <d v="1899-12-30T04:08:00"/>
    <x v="2"/>
    <m/>
    <s v="Diskon 210rb"/>
  </r>
  <r>
    <s v="Kost Singgahsini Ivory Tipe A Tangerang"/>
    <x v="6"/>
    <s v="Tangerang"/>
    <n v="12"/>
    <s v="5 x 2.4 meter"/>
    <s v="Tidak termasuk listrik"/>
    <s v=""/>
    <s v="N/A"/>
    <s v="5 x 2.4 meter; Tidak termasuk listrik; AC; Kasur; Meja; TV; Lemari Baju; Ventilasi; Kursi; Bantal; Jendela; Cermin; K. Mandi Dalam; Kloset Duduk; Shower; Air panas; WiFi; Kulkas; R. Tamu; Penjaga Kos; R. Jemur; Dapur; Dispenser; Parkir Mobil; Parkir Motor &amp; Sepeda"/>
    <x v="232"/>
    <s v="Rp2.225.000"/>
    <x v="12"/>
    <d v="1899-12-30T04:04:00"/>
    <x v="0"/>
    <m/>
    <s v="Diskon 105rb"/>
  </r>
  <r>
    <s v="Kost Singgahsini Ivory Tipe B Tangerang"/>
    <x v="6"/>
    <s v="Tangerang"/>
    <n v="10.4"/>
    <s v="2.6 x 4 meter"/>
    <s v="Tidak termasuk listrik"/>
    <s v=""/>
    <s v="N/A"/>
    <s v="2.6 x 4 meter; Tidak termasuk listrik; AC; Kasur; Meja; TV; Lemari Baju; Ventilasi; Kursi; Bantal; Jendela; Cermin; K. Mandi Dalam; Kloset Duduk; Shower; Air panas; WiFi; Kulkas; R. Tamu; Penjaga Kos; R. Jemur; Dapur; Dispenser; Parkir Mobil; Parkir Motor &amp; Sepeda"/>
    <x v="153"/>
    <s v="Rp2.125.000"/>
    <x v="6"/>
    <d v="1899-12-30T04:06:00"/>
    <x v="0"/>
    <m/>
    <s v="Diskon 105rb"/>
  </r>
  <r>
    <s v="Kost Singgahsini Ivory Tipe C Tangerang"/>
    <x v="6"/>
    <s v="Tangerang"/>
    <n v="6"/>
    <s v="3 x 2 meter"/>
    <s v="Tidak termasuk listrik"/>
    <s v=""/>
    <s v="N/A"/>
    <s v="3 x 2 meter; Tidak termasuk listrik; AC; Kasur; Meja; TV; Lemari Baju; Ventilasi; Kursi; Bantal; Jendela; Cermin; K. Mandi Dalam; Kloset Duduk; Shower; Air panas; WiFi; Kulkas; R. Tamu; Penjaga Kos; R. Jemur; Dapur; Dispenser; Parkir Mobil; Parkir Motor &amp; Sepeda"/>
    <x v="228"/>
    <s v="Rp1.925.000"/>
    <x v="13"/>
    <d v="1899-12-30T04:03:00"/>
    <x v="0"/>
    <m/>
    <s v="Diskon 90rb"/>
  </r>
  <r>
    <s v="Kost Singgahsini J House Tipe B Tebet Jakarta Selatan"/>
    <x v="5"/>
    <s v="Kecamatan Tebet"/>
    <n v="12"/>
    <s v="3 x 4 meter"/>
    <s v="Tidak termasuk listrik"/>
    <s v=""/>
    <s v="N/A"/>
    <s v="3 x 4 meter; Tidak termasuk listrik; AC; Kasur; Meja; Lemari Baju; Kulkas; Ventilasi; Kursi; Bantal; Jendela; K. Mandi Dalam; Kloset Duduk; Shower; Air panas; WiFi; Penjaga Kos; Laundry; R. Makan; Dapur; Rice Cooker; Parkir Mobil; Parkir Motor"/>
    <x v="233"/>
    <s v="Rp2.325.000"/>
    <x v="6"/>
    <d v="1899-12-30T04:06:00"/>
    <x v="2"/>
    <m/>
    <s v="Diskon 125rb"/>
  </r>
  <r>
    <s v="Kost Singgahsini J House Tipe C Tebet Jakarta Selatan"/>
    <x v="5"/>
    <s v="Tebet"/>
    <n v="9.6000000000000014"/>
    <s v="3 x 3.2 meter"/>
    <s v="Tidak termasuk listrik"/>
    <n v="2525000"/>
    <s v="Rp2.525.000"/>
    <s v="3 x 3.2 meter; Tidak termasuk listrik; AC; Kasur; Meja; Lemari Baju; Ventilasi; Kursi; Bantal; K. Mandi Dalam; Kloset Duduk; Shower; Air panas; WiFi; Kulkas; Penjaga Kos; Laundry; R. Makan; Dapur; Rice Cooker; Parkir Mobil; Parkir Motor"/>
    <x v="33"/>
    <s v="Rp2.400.000"/>
    <x v="6"/>
    <d v="1899-12-30T04:06:00"/>
    <x v="2"/>
    <m/>
    <s v="Diskon 125rb"/>
  </r>
  <r>
    <s v="Kost Singgahsini J Residence Tipe A Pulo Gadung Jakarta Timur"/>
    <x v="8"/>
    <s v="Pulo Gadung"/>
    <n v="9"/>
    <s v="3 x 3 meter"/>
    <s v="Tidak termasuk listrik"/>
    <n v="2225000"/>
    <s v="Rp2.225.000"/>
    <s v="3 x 3 meter; Tidak termasuk listrik; AC; Kasur; Meja; Lemari Baju; Kursi; Bantal; Jendela; K. Mandi Dalam; Kloset Duduk; Shower; Air panas; WiFi; R. Cuci; Mesin Cuci; Penjaga Kos; Laundry; R. Makan; R. Jemur; Dapur; CCTV; Jemuran; Parkir Mobil; Parkir Motor &amp; Sepeda"/>
    <x v="311"/>
    <s v="Rp2.115.000"/>
    <x v="2"/>
    <d v="1899-12-30T04:08:00"/>
    <x v="0"/>
    <m/>
    <s v="Diskon 110rb"/>
  </r>
  <r>
    <s v="Kost Singgahsini J Residence Tipe B Pulo Gadung Jakarta Timur"/>
    <x v="8"/>
    <s v="Pulo Gadung"/>
    <n v="9"/>
    <s v="3 x 3 meter"/>
    <s v="Tidak termasuk listrik"/>
    <n v="2125000"/>
    <s v="Rp2.125.000"/>
    <s v="3 x 3 meter; Tidak termasuk listrik; AC; Kasur; Meja; Lemari Baju; Kursi; Bantal; K. Mandi Dalam; Kloset Duduk; Shower; Air panas; WiFi; R. Cuci; Mesin Cuci; Penjaga Kos; Laundry; R. Makan; R. Jemur; Dapur; CCTV; Jemuran; Parkir Mobil; Parkir Motor &amp; Sepeda"/>
    <x v="291"/>
    <s v="Rp2.020.000"/>
    <x v="10"/>
    <d v="1899-12-30T04:05:00"/>
    <x v="0"/>
    <m/>
    <s v="Diskon 105rb"/>
  </r>
  <r>
    <s v="Kost Singgahsini Jasmine Bango 1 Tipe A Cibodas Tangerang"/>
    <x v="6"/>
    <s v="Cibodas"/>
    <n v="8.6999999999999993"/>
    <s v="2.9 x 3 meter"/>
    <s v="Tidak termasuk listrik"/>
    <n v="1325000"/>
    <s v="Rp1.325.000"/>
    <s v="2.9 x 3 meter; Tidak termasuk listrik; AC; Kasur; Lemari Baju; Ventilasi; Kursi; Bantal; Jendela; Kloset Duduk; K. Mandi Luar; Ember mandi; Shower; WiFi; R. Tamu; Dapur; CCTV; Parkir Motor; Parkir Sepeda; Parkir Motor &amp; Sepeda"/>
    <x v="81"/>
    <s v="Rp1.221.000"/>
    <x v="3"/>
    <d v="1899-12-30T05:00:00"/>
    <x v="1"/>
    <m/>
    <s v="Diskon 104rb"/>
  </r>
  <r>
    <s v="Kost Singgahsini Jasmine Bango 1 Tipe B Cibodas Tangerang"/>
    <x v="6"/>
    <s v="Cibodas"/>
    <n v="12"/>
    <s v="3 x 4 meter"/>
    <s v="Tidak termasuk listrik"/>
    <n v="1525000"/>
    <s v="Rp1.525.000"/>
    <s v="3 x 4 meter; Tidak termasuk listrik; AC; Kasur; Lemari Baju; Ventilasi; Kursi; Bantal; Jendela; K. Mandi Dalam; Kloset Duduk; Shower; WiFi; R. Tamu; Dapur; K. Mandi Luar; CCTV; Parkir Motor; Parkir Sepeda; Parkir Motor &amp; Sepeda"/>
    <x v="92"/>
    <s v="Rp1.405.000"/>
    <x v="6"/>
    <d v="1899-12-30T04:06:00"/>
    <x v="1"/>
    <m/>
    <s v="Diskon 120rb"/>
  </r>
  <r>
    <s v="Kost Singgahsini Java Tentrem Tipe A Ciputat Timur Tangerang Selatan"/>
    <x v="2"/>
    <s v="Ciputat Timur"/>
    <n v="17.5"/>
    <s v="3.5 x 5 meter"/>
    <s v="Tidak termasuk listrik"/>
    <s v=""/>
    <s v="N/A"/>
    <s v="3.5 x 5 meter; Tidak termasuk listrik; AC; Kasur; Meja; Lemari Baju; Kursi; Wastafel; Bantal; Cermin; Guling; Jendela; K. Mandi Dalam; Kloset Duduk; Shower; Air panas; WiFi; R. Tamu; Penjaga Kos; R. Jemur; Dapur; Gazebo; CCTV; Jemuran; Parkir Mobil; Parkir Motor; Parkir Sepeda"/>
    <x v="338"/>
    <s v="Rp2.275.000"/>
    <x v="2"/>
    <d v="1899-12-30T04:08:00"/>
    <x v="0"/>
    <m/>
    <m/>
  </r>
  <r>
    <s v="Kost Singgahsini Java Tentrem Tipe B Ciputat Timur Tangerang Selatan"/>
    <x v="2"/>
    <s v="Ciputat Timur"/>
    <n v="12.879999999999999"/>
    <s v="4.6 x 2.8 meter"/>
    <s v="Tidak termasuk listrik"/>
    <s v=""/>
    <s v="N/A"/>
    <s v="4.6 x 2.8 meter; Tidak termasuk listrik; AC; Kasur; Meja; Lemari Baju; Kursi; Bantal; Cermin; Guling; Jendela; K. Mandi Dalam; Kloset Duduk; Wastafel; Shower; Air panas; WiFi; R. Tamu; Penjaga Kos; R. Jemur; Dapur; Gazebo; CCTV; Jemuran; Parkir Mobil; Parkir Motor; Parkir Sepeda"/>
    <x v="380"/>
    <s v="Rp2.135.000"/>
    <x v="8"/>
    <d v="1899-12-30T04:09:00"/>
    <x v="0"/>
    <m/>
    <m/>
  </r>
  <r>
    <s v="Kost Singgahsini Java Tentrem Tipe C Ciputat Timur Tangerang Selatan"/>
    <x v="2"/>
    <s v="Ciputat Timur"/>
    <n v="22.5"/>
    <s v="4.5 x 5 meter"/>
    <s v="Tidak termasuk listrik"/>
    <s v=""/>
    <s v="N/A"/>
    <s v="4.5 x 5 meter; Tidak termasuk listrik; AC; Kasur; Meja; Lemari Baju; Kursi; K. Mandi Dalam; Kloset Duduk; Shower; Air panas; WiFi; Parkir Mobil; Parkir Motor &amp; Sepeda"/>
    <x v="233"/>
    <s v="Rp2.325.000"/>
    <x v="12"/>
    <d v="1899-12-30T04:04:00"/>
    <x v="0"/>
    <m/>
    <s v="Diskon 230rb"/>
  </r>
  <r>
    <s v="Kost Singgahsini Jelamm Tipe A Grogol Petamburan Jakarta Barat"/>
    <x v="3"/>
    <s v="Grogol Petamburan"/>
    <n v="13.44"/>
    <s v="4.8 x 2.8 meter"/>
    <s v="Tidak termasuk listrik"/>
    <n v="2075000"/>
    <s v="Rp2.075.000"/>
    <s v="4.8 x 2.8 meter; Tidak termasuk listrik; AC; Kasur; Lemari Baju; Bantal; Cermin; Guling; K. Mandi Dalam; Kloset Duduk; Wastafel; Shower; Air panas; WiFi; Dispenser; CCTV; Parkir Motor &amp; Sepeda"/>
    <x v="306"/>
    <s v="Rp1.972.500"/>
    <x v="6"/>
    <d v="1899-12-30T04:06:00"/>
    <x v="0"/>
    <m/>
    <s v="Diskon 103rb"/>
  </r>
  <r>
    <s v="Kost Singgahsini Jhon Marcel Tipe B Mampang Prapatan Jakarta Selatan"/>
    <x v="5"/>
    <s v="Kecamatan Mampang Prapatan"/>
    <n v="17.5"/>
    <s v="5 x 3.5 meter"/>
    <s v="Tidak termasuk listrik"/>
    <s v=""/>
    <s v="N/A"/>
    <s v="5 x 3.5 meter; Tidak termasuk listrik; AC; Kasur; Meja; Lemari Baju; Kursi; Cermin; Bantal; Jendela; K. Mandi Dalam; Kloset Duduk; Ember mandi; Shower; Air panas; WiFi; R. Tamu; Dapur; Dispenser; TV; Balcon; Parkir Motor &amp; Sepeda"/>
    <x v="180"/>
    <s v="Rp2.800.000"/>
    <x v="2"/>
    <d v="1899-12-30T04:08:00"/>
    <x v="0"/>
    <m/>
    <s v="Diskon 145rb"/>
  </r>
  <r>
    <s v="Kost Singgahsini Jhon Marcel Tipe C Mampang Prapatan Jakarta Selatan"/>
    <x v="5"/>
    <s v="Kecamatan Mampang Prapatan"/>
    <n v="22.5"/>
    <s v="5 x 4.5 meter"/>
    <s v="Tidak termasuk listrik"/>
    <s v=""/>
    <s v="N/A"/>
    <s v="5 x 4.5 meter; Tidak termasuk listrik; AC; Kasur; Meja; Lemari Baju; Kursi; Cermin; Bantal; Jendela; K. Mandi Dalam; Kloset Duduk; Ember mandi; Shower; Air panas; WiFi; R. Tamu; Dapur; Dispenser; TV; Balcon; Parkir Motor &amp; Sepeda"/>
    <x v="381"/>
    <s v="Rp3.065.000"/>
    <x v="2"/>
    <d v="1899-12-30T04:08:00"/>
    <x v="0"/>
    <m/>
    <s v="Diskon 145rb"/>
  </r>
  <r>
    <s v="Kost Singgahsini Joy Kramat Sentiong 85 Tipe A Senen Jakarta Pusat"/>
    <x v="9"/>
    <s v="Kecamatan Senen"/>
    <n v="13.5"/>
    <s v="4.5 x 3 meter"/>
    <s v="Tidak termasuk listrik"/>
    <s v=""/>
    <s v="N/A"/>
    <s v="4.5 x 3 meter; Tidak termasuk listrik; AC; Kasur; Meja; Lemari Baju; Kursi; Bantal; Cermin; Guling; Jendela; K. Mandi Dalam; Kloset Duduk; Wastafel; Shower; WiFi; Kulkas; R. Tamu; R. Makan; R. Jemur; Dapur; K. Mandi Luar; CCTV; Parkir Mobil; Parkir Motor; Parkir Sepeda; Parkir Motor &amp; Sepeda"/>
    <x v="51"/>
    <s v="Rp2.025.000"/>
    <x v="2"/>
    <d v="1899-12-30T04:08:00"/>
    <x v="2"/>
    <m/>
    <m/>
  </r>
  <r>
    <s v="Kost Singgahsini Juanda Omaika Tipe A Gambir Jakarta Pusat"/>
    <x v="9"/>
    <s v="Gambir"/>
    <n v="8.75"/>
    <s v="2.5 x 3.5 meter"/>
    <s v="Tidak termasuk listrik"/>
    <s v=""/>
    <s v="N/A"/>
    <s v="2.5 x 3.5 meter; Tidak termasuk listrik; AC; Kasur; Meja; Lemari Baju; Kursi; Bantal; Cermin; Jendela; K. Mandi Dalam; Kloset Duduk; Wastafel; Shower"/>
    <x v="52"/>
    <s v="Rp1.875.000"/>
    <x v="6"/>
    <d v="1899-12-30T04:06:00"/>
    <x v="0"/>
    <m/>
    <m/>
  </r>
  <r>
    <s v="Kost Singgahsini Juanda Omaika Tipe B Gambir Jakarta Pusat"/>
    <x v="9"/>
    <s v="Gambir"/>
    <n v="8.75"/>
    <s v="3.5 x 2.5 meter"/>
    <s v="Tidak termasuk listrik"/>
    <n v="1825000"/>
    <s v="Rp1.825.000"/>
    <s v="3.5 x 2.5 meter; Tidak termasuk listrik; AC; Kasur; Meja; Lemari Baju; Kursi; Cermin; Guling; Jendela; Kloset Duduk; K. Mandi Luar; Shower; WiFi; R. Tamu; CCTV; Parkir Sepeda; Parkir Motor &amp; Sepeda"/>
    <x v="143"/>
    <s v="Rp1.735.000"/>
    <x v="6"/>
    <d v="1899-12-30T04:06:00"/>
    <x v="0"/>
    <m/>
    <s v="Diskon 90rb"/>
  </r>
  <r>
    <s v="Kost Singgahsini Juanda One Tipe A Sawah Besar Jakarta Pusat"/>
    <x v="9"/>
    <s v="Sawah Besar"/>
    <n v="20"/>
    <s v="5 x 4 meter"/>
    <s v="Tidak termasuk listrik"/>
    <n v="3825000"/>
    <s v="Rp3.825.000"/>
    <s v="5 x 4 meter; Tidak termasuk listrik; AC; Kasur; Meja; Lemari Baju; Kursi; Bantal; Cermin; Jendela; K. Mandi Dalam; Kloset Duduk; Wastafel; Shower; Air panas; WiFi; R. Tamu; Penjaga Kos; Kartu Akses; CCTV; Parkir Mobil; Parkir Motor &amp; Sepeda"/>
    <x v="382"/>
    <s v="Rp3.445.000"/>
    <x v="2"/>
    <d v="1899-12-30T04:08:00"/>
    <x v="0"/>
    <m/>
    <s v="Diskon 380rb"/>
  </r>
  <r>
    <s v="Kost Singgahsini Juju Daan Mogot Estate Tipe A Cengkareng Jakarta Barat"/>
    <x v="3"/>
    <s v="Cengkareng"/>
    <n v="12.16"/>
    <s v="3.8 x 3.2 meter"/>
    <s v="Tidak termasuk listrik"/>
    <n v="2325000"/>
    <s v="Rp2.325.000"/>
    <s v="3.8 x 3.2 meter; Tidak termasuk listrik; AC; Kasur; Meja; TV; Lemari Baju; Kursi; Bantal; Cermin; Guling; Jendela; K. Mandi Dalam; Kloset Duduk; Shower; Air panas; WiFi; Penjaga Kos; R. Jemur; Parkir Mobil; Parkir Motor &amp; Sepeda"/>
    <x v="265"/>
    <s v="Rp2.141.000"/>
    <x v="3"/>
    <d v="1899-12-30T05:00:00"/>
    <x v="0"/>
    <m/>
    <s v="Diskon 184rb"/>
  </r>
  <r>
    <s v="Kost Singgahsini Juju Daan Mogot Estate Tipe B Cengkareng Jakarta Barat"/>
    <x v="3"/>
    <s v="Cengkareng"/>
    <n v="7.839999999999999"/>
    <s v="2.8 x 2.8 meter"/>
    <s v="Tidak termasuk listrik"/>
    <n v="2025000"/>
    <s v="Rp2.025.000"/>
    <s v="2.8 x 2.8 meter; Tidak termasuk listrik; AC; Kasur; Meja; TV; Lemari Baju; Kursi; Bantal; Cermin; Guling; Jendela; K. Mandi Dalam; Kloset Duduk; Shower; Air panas; WiFi; Penjaga Kos; R. Jemur; Parkir Mobil; Parkir Motor &amp; Sepeda"/>
    <x v="104"/>
    <s v="Rp1.865.000"/>
    <x v="8"/>
    <d v="1899-12-30T04:09:00"/>
    <x v="0"/>
    <m/>
    <s v="Diskon 160rb"/>
  </r>
  <r>
    <s v="Kost Singgahsini Junaedi 3 Cipete Tipe A Cilandak Jakarta Selatan"/>
    <x v="5"/>
    <s v="Cilandak"/>
    <n v="17.34"/>
    <s v="5.1 x 3.4 meter"/>
    <s v="Tidak termasuk listrik"/>
    <s v=""/>
    <s v="N/A"/>
    <s v="5.1 x 3.4 meter; Tidak termasuk listrik; AC; Kasur; Meja; Lemari Baju; Kursi; K. Mandi Dalam; Kloset Duduk; Shower; WiFi; Penjaga Kos; R. Makan; R. Jemur; Dapur; Dispenser; CCTV; Parkir Motor &amp; Sepeda"/>
    <x v="233"/>
    <s v="Rp2.325.000"/>
    <x v="6"/>
    <d v="1899-12-30T04:06:00"/>
    <x v="1"/>
    <m/>
    <m/>
  </r>
  <r>
    <s v="Kost Singgahsini Kana Duren Tiga Tipe B Pancoran Jakarta Selatan"/>
    <x v="5"/>
    <s v="Pancoran"/>
    <n v="12.25"/>
    <s v="3.5 x 3.5 meter"/>
    <s v="Tidak termasuk listrik"/>
    <n v="2275000"/>
    <s v="Rp2.275.000"/>
    <s v="3.5 x 3.5 meter; Tidak termasuk listrik; AC; Kasur; Meja; Lemari Baju; Ventilasi; Kursi; Jendela; Bantal; Guling; Kloset Duduk; K. Mandi Luar; Shower; WiFi; Kulkas; R. Tamu; Penjaga Kos; R. Makan; Dapur; Rice Cooker; Parkir Mobil; Parkir Motor &amp; Sepeda"/>
    <x v="383"/>
    <s v="Rp2.095.000"/>
    <x v="3"/>
    <d v="1899-12-30T05:00:00"/>
    <x v="1"/>
    <m/>
    <s v="Diskon 180rb"/>
  </r>
  <r>
    <s v="Kost Singgahsini Kanaya Tipe B Cempaka Putih Jakarta Pusat"/>
    <x v="9"/>
    <s v="Cempaka Putih"/>
    <n v="11.840000000000002"/>
    <s v="3.7 x 3.2 meter"/>
    <s v="Tidak termasuk listrik"/>
    <n v="3125000"/>
    <s v="Rp3.125.000"/>
    <s v="3.7 x 3.2 meter; Tidak termasuk listrik; AC; Kasur; Meja; Lemari Baju; Kursi; Bantal; Guling; Jendela; K. Mandi Dalam; Kloset Duduk; Shower; WiFi; Kulkas; R. Tamu; R. Makan; Dapur; Dispenser; TV; CCTV; Parkir Mobil; Parkir Motor; Parkir Sepeda"/>
    <x v="384"/>
    <s v="Rp2.877.000"/>
    <x v="6"/>
    <d v="1899-12-30T04:06:00"/>
    <x v="0"/>
    <m/>
    <s v="Diskon 248rb"/>
  </r>
  <r>
    <s v="Kost Singgahsini Kanaya Tipe C Cempaka Putih Jakarta Pusat"/>
    <x v="9"/>
    <s v="Cempaka Putih"/>
    <n v="16"/>
    <s v="4 x 4 meter"/>
    <s v="Tidak termasuk listrik"/>
    <n v="2875000"/>
    <s v="Rp2.875.000"/>
    <s v="4 x 4 meter; Tidak termasuk listrik; AC; Kasur; Meja; Lemari Baju; Ventilasi; Kursi; Bantal; Cermin; Guling; Jendela; K. Mandi Dalam; Kloset Duduk; Shower; WiFi; Kulkas; R. Tamu; R. Makan; Dapur; Dispenser; TV; CCTV; Parkir Mobil; Parkir Motor; Parkir Sepeda"/>
    <x v="385"/>
    <s v="Rp2.732.500"/>
    <x v="8"/>
    <d v="1899-12-30T04:09:00"/>
    <x v="0"/>
    <m/>
    <s v="Diskon 143rb"/>
  </r>
  <r>
    <s v="Kost Singgahsini Kanaya Tipe D Cempaka Putih Jakarta Pusat"/>
    <x v="9"/>
    <s v="Cempaka Putih"/>
    <n v="10.36"/>
    <s v="3.7 x 2.8 meter"/>
    <s v="Tidak termasuk listrik"/>
    <n v="2625000"/>
    <s v="Rp2.625.000"/>
    <s v="3.7 x 2.8 meter; Tidak termasuk listrik; AC; Kasur; Meja; Lemari Baju; Ventilasi; Kursi; Bantal; Cermin; Guling; Jendela; K. Mandi Dalam; Kloset Duduk; Shower; WiFi; Kulkas; R. Tamu; R. Makan; Dapur; Dispenser; TV; CCTV; Parkir Mobil; Parkir Motor; Parkir Sepeda"/>
    <x v="280"/>
    <s v="Rp2.495.000"/>
    <x v="6"/>
    <d v="1899-12-30T04:06:00"/>
    <x v="0"/>
    <m/>
    <s v="Diskon 130rb"/>
  </r>
  <r>
    <s v="Kost Singgahsini Kartika Eka Paksi Tipe A Makasar Jakarta Timur"/>
    <x v="8"/>
    <s v="Makasar"/>
    <n v="13.5"/>
    <s v="4.5 x 3 meter"/>
    <s v="Tidak termasuk listrik"/>
    <n v="1875000"/>
    <s v="Rp1.875.000"/>
    <s v="4.5 x 3 meter; Tidak termasuk listrik; AC; Kasur; Meja; Lemari Baju; Ventilasi; Kursi; Bantal; Cermin; Guling; Jendela; K. Mandi Dalam; Kloset Duduk; Wastafel; Shower; WiFi; R. Cuci; Kulkas; Penjaga Kos; R. Jemur; Dapur; K. Mandi Luar; CCTV; Jemuran; Parkir Motor &amp; Sepeda"/>
    <x v="342"/>
    <s v="Rp1.782.500"/>
    <x v="3"/>
    <d v="1899-12-30T05:00:00"/>
    <x v="1"/>
    <m/>
    <s v="Diskon 93rb"/>
  </r>
  <r>
    <s v="Kost Singgahsini Kartika Eka Paksi Tipe B Makasar Jakarta Timur"/>
    <x v="8"/>
    <s v="Makasar"/>
    <n v="7.5"/>
    <s v="3 x 2.5 meter"/>
    <s v="Tidak termasuk listrik"/>
    <s v=""/>
    <s v="N/A"/>
    <s v="3 x 2.5 meter; Tidak termasuk listrik; Kasur; Lemari Baju; Ventilasi; Kipas Angin; Bantal; Cermin; Guling; Jendela; Kloset Duduk; K. Mandi Luar; WiFi; R. Cuci; Kulkas; Penjaga Kos; R. Jemur; Dapur; CCTV; Jemuran; Parkir Motor &amp; Sepeda"/>
    <x v="188"/>
    <s v="Rp525.000"/>
    <x v="3"/>
    <d v="1899-12-30T05:00:00"/>
    <x v="1"/>
    <m/>
    <s v="Diskon 93rb"/>
  </r>
  <r>
    <s v="Kost Singgahsini Keagungan 20A Tipe A Taman Sari Jakarta Barat"/>
    <x v="3"/>
    <s v="Taman Sari"/>
    <n v="7.56"/>
    <s v="2.8 x 2.7 meter"/>
    <s v="Tidak termasuk listrik"/>
    <n v="2025000"/>
    <s v="Rp2.025.000"/>
    <s v="2.8 x 2.7 meter; Tidak termasuk listrik; AC; Kasur; Meja; Meja Rias; Lemari Baju; Kursi; Bantal; Cermin; K. Mandi Dalam; Kloset Duduk; Shower; WiFi; Kulkas; Penjaga Kos; Laundry; R. Jemur; Dapur; K. Mandi Luar; CCTV; Jemuran; Parkir Motor; Parkir Sepeda; Parkir Motor &amp; Sepeda"/>
    <x v="104"/>
    <s v="Rp1.865.000"/>
    <x v="8"/>
    <d v="1899-12-30T04:09:00"/>
    <x v="0"/>
    <m/>
    <s v="Diskon 160rb"/>
  </r>
  <r>
    <s v="Kost Singgahsini Keagungan 20A Tipe B Taman Sari Jakarta Barat"/>
    <x v="3"/>
    <s v="Taman Sari"/>
    <n v="6.72"/>
    <s v="2.8 x 2.4 meter"/>
    <s v="Tidak termasuk listrik"/>
    <n v="1925000"/>
    <s v="Rp1.925.000"/>
    <s v="2.8 x 2.4 meter; Tidak termasuk listrik; AC; Kasur; Meja; Lemari Baju; Kursi; Bantal; Cermin; K. Mandi Dalam; Kloset Jongkok; Shower; WiFi; Kulkas; Penjaga Kos; Laundry; R. Jemur; Dapur; K. Mandi Luar; CCTV; Jemuran; Parkir Motor; Parkir Sepeda; Parkir Motor &amp; Sepeda"/>
    <x v="386"/>
    <s v="Rp1.773.000"/>
    <x v="2"/>
    <d v="1899-12-30T04:08:00"/>
    <x v="0"/>
    <m/>
    <s v="Diskon 152rb"/>
  </r>
  <r>
    <s v="Kost Singgahsini Keagungan 20A Tipe C Taman Sari Jakarta Barat"/>
    <x v="3"/>
    <s v="Taman Sari"/>
    <e v="#VALUE!"/>
    <s v="N/A"/>
    <s v="N/A"/>
    <n v="1475000"/>
    <s v="Rp1.475.000"/>
    <s v=""/>
    <x v="387"/>
    <s v="Rp1.359.000"/>
    <x v="2"/>
    <d v="1899-12-30T04:08:00"/>
    <x v="0"/>
    <m/>
    <s v="Diskon 116rb"/>
  </r>
  <r>
    <s v="Kost Singgahsini Kebagusan 56 Tipe A Pasar Minggu Jakarta Selatan"/>
    <x v="5"/>
    <s v="Pasar Minggu"/>
    <n v="12"/>
    <s v="3 x 4 meter"/>
    <s v="Tidak termasuk listrik"/>
    <s v=""/>
    <s v="N/A"/>
    <s v="3 x 4 meter; Tidak termasuk listrik; AC; Kasur; Meja; Lemari Baju; Kursi; Bantal; Guling; Jendela; K. Mandi Dalam; Kloset Duduk; Shower; WiFi; Kulkas; Penjaga Kos; R. Jemur; Dapur; CCTV; Parkir Mobil; Parkir Sepeda; Parkir Motor &amp; Sepeda"/>
    <x v="310"/>
    <s v="Rp2.075.000"/>
    <x v="2"/>
    <d v="1899-12-30T04:08:00"/>
    <x v="2"/>
    <m/>
    <s v="Diskon 210rb"/>
  </r>
  <r>
    <s v="Kost Singgahsini Kebayoran Lama 17 F Tipe A Kebon Jeruk Jakarta Barat"/>
    <x v="3"/>
    <s v="Kebon Jeruk"/>
    <n v="6"/>
    <s v="2 x 3 meter"/>
    <s v="Tidak termasuk listrik"/>
    <n v="1275000"/>
    <s v="Rp1.275.000"/>
    <s v="2 x 3 meter; Tidak termasuk listrik; AC; Kasur; Meja; TV; Lemari Baju; Bantal; Cermin; Kloset Duduk; K. Mandi Luar; Shower; WiFi; Kulkas; Dapur; CCTV; Parkir Motor; Parkir Sepeda"/>
    <x v="73"/>
    <s v="Rp1.212.500"/>
    <x v="6"/>
    <d v="1899-12-30T04:06:00"/>
    <x v="0"/>
    <m/>
    <s v="Diskon 63rb"/>
  </r>
  <r>
    <s v="Kost Singgahsini Kebon Mangga 26A Tipe A Kebayoran Lama Jakarta Selatan"/>
    <x v="5"/>
    <s v="Kebayoran Lama"/>
    <n v="7.5600000000000005"/>
    <s v="3.6 x 2.1 meter"/>
    <s v="Tidak termasuk listrik"/>
    <n v="2125000"/>
    <s v="Rp2.125.000"/>
    <s v="3.6 x 2.1 meter; Tidak termasuk listrik; AC; Kasur; Meja; Lemari Baju; Ventilasi; Bantal; Jendela; K. Mandi Dalam; Kloset Duduk; Shower; WiFi; Kulkas; R. Tamu; Penjaga Kos; CCTV; Rooftop; Parkir Mobil; Parkir Motor &amp; Sepeda"/>
    <x v="291"/>
    <s v="Rp2.020.000"/>
    <x v="2"/>
    <d v="1899-12-30T04:08:00"/>
    <x v="0"/>
    <m/>
    <s v="Diskon 105rb"/>
  </r>
  <r>
    <s v="Kost Singgahsini Kelapa Sawit Raya 7 Tipe A Kelapa Gading Jakarta Utara"/>
    <x v="4"/>
    <s v="Kelapa Gading"/>
    <n v="9"/>
    <s v="3.6 x 2.5 meter"/>
    <s v="Tidak termasuk listrik"/>
    <n v="1750000"/>
    <s v="Rp1.750.000"/>
    <s v="3.6 x 2.5 meter; Tidak termasuk listrik; AC; Kasur; Meja; Lemari Baju; Kursi; K. Mandi Dalam; Kloset Duduk; Shower; WiFi; Kulkas; Laundry; Dapur; K. Mandi Luar; Parkir Motor; Parkir Sepeda"/>
    <x v="388"/>
    <s v="Rp1.610.000"/>
    <x v="13"/>
    <d v="1899-12-30T04:03:00"/>
    <x v="0"/>
    <m/>
    <s v="Diskon 140rb"/>
  </r>
  <r>
    <s v="Kost Singgahsini Kelapa Sawit Raya 7 Tipe B Kelapa Gading Jakarta Utara"/>
    <x v="4"/>
    <s v="Kelapa Gading"/>
    <n v="7.5"/>
    <s v="3 x 2.5 meter"/>
    <s v="Tidak termasuk listrik"/>
    <n v="1550000"/>
    <s v="Rp1.550.000"/>
    <s v="3 x 2.5 meter; Tidak termasuk listrik; AC; Kasur; Meja; Lemari Baju; Kursi; Bantal; Guling; Jendela; K. Mandi Dalam; Kloset Duduk; Shower; WiFi; Kulkas; Laundry; Dapur; K. Mandi Luar; Parkir Motor; Parkir Sepeda"/>
    <x v="389"/>
    <s v="Rp1.426.000"/>
    <x v="6"/>
    <d v="1899-12-30T04:06:00"/>
    <x v="0"/>
    <m/>
    <s v="Diskon 124rb"/>
  </r>
  <r>
    <s v="Kost Singgahsini Kelapa Sawit Raya 7 Tipe C Kelapa Gading Jakarta Utara"/>
    <x v="4"/>
    <s v="Kelapa Gading"/>
    <n v="5"/>
    <s v="2 x 2.5 meter"/>
    <s v="Tidak termasuk listrik"/>
    <n v="1250000"/>
    <s v="Rp1.250.000"/>
    <s v="2 x 2.5 meter; Tidak termasuk listrik; AC; Kasur; Lemari Baju; Bantal; Cermin; Guling; Kloset Duduk; K. Mandi Luar; Shower; WiFi; Kulkas; Laundry; Dapur; Parkir Motor; Parkir Sepeda"/>
    <x v="30"/>
    <s v="Rp1.150.000"/>
    <x v="6"/>
    <d v="1899-12-30T04:06:00"/>
    <x v="0"/>
    <m/>
    <s v="Diskon 100rb"/>
  </r>
  <r>
    <s v="Kost Singgahsini Kelapa Sawit Raya 7 Tipe D Kelapa Gading Jakarta Utara"/>
    <x v="4"/>
    <s v="Kelapa Gading"/>
    <n v="5"/>
    <s v="2 x 2.5 meter"/>
    <s v="Tidak termasuk listrik"/>
    <n v="1050000"/>
    <s v="Rp1.050.000"/>
    <s v="2 x 2.5 meter; Tidak termasuk listrik; AC; Kasur; Lemari Baju; Kloset Duduk; K. Mandi Luar; Shower; WiFi; Kulkas; Laundry; Dapur; Parkir Motor; Parkir Sepeda"/>
    <x v="107"/>
    <s v="Rp966.000"/>
    <x v="6"/>
    <d v="1899-12-30T04:06:00"/>
    <x v="0"/>
    <m/>
    <s v="Diskon 84rb"/>
  </r>
  <r>
    <s v="Kost Singgahsini Kemandoran VIII Tipe A Kebayoran Lama Jakarta Selatan"/>
    <x v="5"/>
    <s v="Kebayoran Lama"/>
    <n v="9.6000000000000014"/>
    <s v="3 x 3.2 meter"/>
    <s v="Tidak termasuk listrik"/>
    <n v="3775000"/>
    <s v="Rp3.775.000"/>
    <s v="3 x 3.2 meter; Tidak termasuk listrik; AC; Kasur; Meja; Lemari Baju; Kursi; Bantal; Cermin; K. Mandi Dalam; Kloset Duduk; Shower; Air panas; WiFi; Kulkas; R. Tamu; R. Makan; R. Jemur; Dapur; Dispenser; Parkir Mobil; Parkir Motor; Parkir Sepeda"/>
    <x v="390"/>
    <s v="Rp3.587.500"/>
    <x v="12"/>
    <d v="1899-12-30T04:04:00"/>
    <x v="0"/>
    <m/>
    <s v="Diskon 188rb"/>
  </r>
  <r>
    <s v="Kost Singgahsini Kemang 6 Tipe A Mampang Prapatan Jakarta Selatan"/>
    <x v="5"/>
    <s v="Kecamatan Mampang Prapatan"/>
    <n v="12"/>
    <s v="3 x 4 meter"/>
    <s v="Tidak termasuk listrik"/>
    <n v="2925000"/>
    <s v="Rp2.925.000"/>
    <s v="3 x 4 meter; Tidak termasuk listrik; AC; Kasur; Meja; TV; Lemari Baju; Kursi; Cermin; Wastafel; Bantal; Guling; K. Mandi Dalam; Kloset Duduk; Shower; Air panas; WiFi; R. Cuci; Kulkas; R. Tamu; R. Jemur; Dapur; Dispenser; K. Mandi Luar; Parkir Mobil"/>
    <x v="391"/>
    <s v="Rp2.780.000"/>
    <x v="10"/>
    <d v="1899-12-30T04:05:00"/>
    <x v="0"/>
    <m/>
    <s v="Diskon 145rb"/>
  </r>
  <r>
    <s v="Kost Singgahsini Kemang Timur Syariah Tipe A Mampang Prapatan Jakarta Selatan"/>
    <x v="5"/>
    <s v="MAMPANG PRAPATAN"/>
    <n v="14"/>
    <s v="3.5 x 4 meter"/>
    <s v="Tidak termasuk listrik"/>
    <n v="2325000"/>
    <s v="Rp2.325.000"/>
    <s v="3.5 x 4 meter; Tidak termasuk listrik; AC; Kasur; Meja; Lemari Baju; Ventilasi; Kursi; Bantal; Cermin; Guling; Jendela; K. Mandi Dalam; Kloset Duduk; Shower; WiFi; Kulkas; R. Tamu; R. Jemur; Dispenser; TV; Parkir Mobil; Parkir Motor; Parkir Sepeda"/>
    <x v="341"/>
    <s v="Rp2.210.000"/>
    <x v="10"/>
    <d v="1899-12-30T04:05:00"/>
    <x v="0"/>
    <m/>
    <s v="Diskon 115rb"/>
  </r>
  <r>
    <s v="Kost Singgahsini Kemang Timur Syariah Tipe B Mampang Prapatan Jakarta Selatan"/>
    <x v="5"/>
    <s v="Kecamatan Mampang Prapatan"/>
    <n v="12"/>
    <s v="3 x 4 meter"/>
    <s v="Tidak termasuk listrik"/>
    <n v="1925000"/>
    <s v="Rp1.925.000"/>
    <s v="3 x 4 meter; Tidak termasuk listrik; AC; Kasur; Meja; Lemari Baju; Ventilasi; Kursi; Bantal; Cermin; Guling; Jendela; K. Mandi Dalam; Kloset Duduk; Shower; WiFi; Kulkas; R. Tamu; R. Jemur; Dispenser; TV; Parkir Mobil; Parkir Motor; Parkir Sepeda"/>
    <x v="142"/>
    <s v="Rp1.830.000"/>
    <x v="6"/>
    <d v="1899-12-30T04:06:00"/>
    <x v="0"/>
    <m/>
    <s v="Diskon 95rb"/>
  </r>
  <r>
    <s v="Kost Singgahsini Kemanggisan Utama 8 Tipe A Palmerah Jakarta Barat"/>
    <x v="3"/>
    <s v="Palmerah"/>
    <n v="32.64"/>
    <s v="6.4 x 5.1 meter"/>
    <s v="Tidak termasuk listrik"/>
    <s v=""/>
    <s v="N/A"/>
    <s v="6.4 x 5.1 meter; Tidak termasuk listrik; K. Mandi Dalam; Kloset Duduk; Shower; Air panas; WiFi; Mesin Cuci; Penjaga Kos; Laundry; CCTV"/>
    <x v="392"/>
    <s v="Rp3.875.000"/>
    <x v="10"/>
    <d v="1899-12-30T04:05:00"/>
    <x v="0"/>
    <m/>
    <s v="Diskon 276rb"/>
  </r>
  <r>
    <s v="Kost Singgahsini Kemanggisan Utama 8 Tipe B Palmerah Jakarta Barat"/>
    <x v="3"/>
    <s v="Palmerah"/>
    <n v="21"/>
    <s v="3 x 7 meter"/>
    <s v="Tidak termasuk listrik"/>
    <s v=""/>
    <s v="N/A"/>
    <s v="3 x 7 meter; Tidak termasuk listrik; AC; Kasur; Meja; TV; Lemari Baju; Kulkas; Kursi; Dapur Pribadi; Jendela; K. Mandi Dalam; Kloset Duduk; Shower; Air panas; WiFi; Mesin Cuci; Penjaga Kos; Laundry; CCTV; Parkir Motor &amp; Sepeda"/>
    <x v="393"/>
    <s v="Rp3.675.000"/>
    <x v="8"/>
    <d v="1899-12-30T04:09:00"/>
    <x v="0"/>
    <m/>
    <s v="Diskon 276rb"/>
  </r>
  <r>
    <s v="Kost Singgahsini Kemuning Tipe A Pondok Aren Tangerang Selatan"/>
    <x v="2"/>
    <s v="Pondok Aren"/>
    <n v="7.2900000000000009"/>
    <s v="2.7 x 2.7 meter"/>
    <s v="Tidak termasuk listrik"/>
    <n v="1275000"/>
    <s v="Rp1.275.000"/>
    <s v="2.7 x 2.7 meter; Tidak termasuk listrik; AC; Kasur; Lemari Baju; Ventilasi; Bantal; Guling; Jendela; Kloset Duduk; K. Mandi Luar; Ember mandi; WiFi; R. Cuci; Penjaga Kos; CCTV; Parkir Mobil; Parkir Motor &amp; Sepeda"/>
    <x v="30"/>
    <s v="Rp1.150.000"/>
    <x v="3"/>
    <d v="1899-12-30T05:00:00"/>
    <x v="1"/>
    <m/>
    <s v="Diskon 125rb"/>
  </r>
  <r>
    <s v="Kost Singgahsini Kenanga II Tipe A Bintaro Jakarta Selatan"/>
    <x v="5"/>
    <s v="Pesanggrahan"/>
    <n v="30"/>
    <s v="6 x 5 meter"/>
    <s v="Tidak termasuk listrik"/>
    <s v=""/>
    <s v="N/A"/>
    <s v="6 x 5 meter; Tidak termasuk listrik; AC; Kasur; Meja; Lemari Baju; Kursi; Bantal; Jendela; K. Mandi Dalam; Kloset Duduk; Shower; Air panas; WiFi; Kulkas; R. Tamu; Dapur; K. Mandi Luar; CCTV; Parkir Mobil; Parkir Motor; Parkir Sepeda"/>
    <x v="298"/>
    <s v="Rp2.775.000"/>
    <x v="10"/>
    <d v="1899-12-30T04:05:00"/>
    <x v="0"/>
    <m/>
    <m/>
  </r>
  <r>
    <s v="Kost Singgahsini Kenanga II Tipe B Bintaro Jakarta Selatan"/>
    <x v="5"/>
    <s v="Pesanggrahan"/>
    <n v="9.6000000000000014"/>
    <s v="3.2 x 3 meter"/>
    <s v="Tidak termasuk listrik"/>
    <s v=""/>
    <s v="N/A"/>
    <s v="3.2 x 3 meter; Tidak termasuk listrik; AC; Kasur; Meja; Lemari Baju; Kursi; Bantal; Jendela; K. Mandi Dalam; Kloset Duduk; Shower; Air panas; WiFi; Kulkas; R. Tamu; Dapur; K. Mandi Luar; CCTV; Parkir Mobil; Parkir Motor; Parkir Sepeda"/>
    <x v="310"/>
    <s v="Rp2.075.000"/>
    <x v="2"/>
    <d v="1899-12-30T04:08:00"/>
    <x v="0"/>
    <m/>
    <m/>
  </r>
  <r>
    <s v="Kost Singgahsini Kepu 66 Tipe A Kemayoran Jakarta Pusat"/>
    <x v="9"/>
    <s v="Kemayoran"/>
    <n v="9.25"/>
    <s v="3.7 x 2.5 meter"/>
    <s v="Tidak termasuk listrik"/>
    <n v="1825000"/>
    <s v="Rp1.825.000"/>
    <s v="3.7 x 2.5 meter; Tidak termasuk listrik; AC; Kasur; Lemari Baju; Ventilasi; Bantal; Cermin; Jendela; K. Mandi Dalam; Kloset Duduk; Shower; WiFi; Penjaga Kos; R. Jemur; K. Mandi Luar; Jemuran; Parkir Motor &amp; Sepeda"/>
    <x v="143"/>
    <s v="Rp1.735.000"/>
    <x v="8"/>
    <d v="1899-12-30T04:09:00"/>
    <x v="2"/>
    <m/>
    <s v="Diskon 90rb"/>
  </r>
  <r>
    <s v="Kost Singgahsini Kepu 66 Tipe B Kemayoran Jakarta Pusat"/>
    <x v="9"/>
    <s v="Kemayoran"/>
    <n v="6.75"/>
    <s v="2.7 x 2.5 meter"/>
    <s v="Termasuk listrik (implied)"/>
    <n v="1675000"/>
    <s v="Rp1.675.000"/>
    <s v="2.7 x 2.5 meter; Termasuk listrik; AC; Kasur; Lemari Baju; Ventilasi; Bantal; Cermin; Kloset Duduk; K. Mandi Luar; Wastafel; Ember mandi; Shower; Air panas; Bak mandi; WiFi; Penjaga Kos; R. Jemur; Jemuran; Parkir Motor &amp; Sepeda"/>
    <x v="328"/>
    <s v="Rp1.592.500"/>
    <x v="3"/>
    <d v="1899-12-30T05:00:00"/>
    <x v="2"/>
    <m/>
    <s v="Diskon 83rb"/>
  </r>
  <r>
    <s v="Kost Singgahsini Kepu 66 Tipe C Kemayoran Jakarta Pusat"/>
    <x v="9"/>
    <s v="Kemayoran"/>
    <n v="9.25"/>
    <s v="3.7 x 2.5 meter"/>
    <s v="Tidak termasuk listrik"/>
    <n v="1625000"/>
    <s v="Rp1.625.000"/>
    <s v="3.7 x 2.5 meter; Tidak termasuk listrik; AC; Kasur; Lemari Baju; Ventilasi; Bantal; Cermin; K. Mandi Dalam; Kloset Duduk; Shower; WiFi; Penjaga Kos; R. Jemur; K. Mandi Luar; Jemuran; Parkir Motor &amp; Sepeda"/>
    <x v="276"/>
    <s v="Rp1.545.000"/>
    <x v="2"/>
    <d v="1899-12-30T04:08:00"/>
    <x v="2"/>
    <m/>
    <s v="Diskon 80rb"/>
  </r>
  <r>
    <s v="Kost Singgahsini Kepu 66 Tipe D Kemayoran Jakarta Pusat"/>
    <x v="9"/>
    <s v="Kemayoran"/>
    <n v="7.5"/>
    <s v="3 x 2.5 meter"/>
    <s v="Tidak termasuk listrik"/>
    <n v="1325000"/>
    <s v="Rp1.325.000"/>
    <s v="3 x 2.5 meter; Tidak termasuk listrik; AC; Kasur; Lemari Baju; Ventilasi; Bantal; Cermin; Kloset Duduk; K. Mandi Luar; Shower; WiFi; Penjaga Kos; R. Jemur; Jemuran; Parkir Motor &amp; Sepeda"/>
    <x v="147"/>
    <s v="Rp1.260.000"/>
    <x v="8"/>
    <d v="1899-12-30T04:09:00"/>
    <x v="2"/>
    <m/>
    <s v="Diskon 65rb"/>
  </r>
  <r>
    <s v="Kost Singgahsini Kerinci VIII Tipe A Kebayoran Baru Jakarta Selatan"/>
    <x v="5"/>
    <s v="Kebayoran Baru"/>
    <n v="16.559999999999999"/>
    <s v="3.6 x 4.6 meter"/>
    <s v="Termasuk listrik (implied)"/>
    <n v="3425000"/>
    <s v="Rp3.425.000"/>
    <s v="3.6 x 4.6 meter; Termasuk listrik; AC; Kasur; Meja; Lemari Baju; Ventilasi; Kursi; Bantal; Cermin; Guling; Jendela; K. Mandi Dalam; Kloset Duduk; Shower; Bak mandi; Air panas; WiFi; Kulkas; R. Tamu; Penjaga Kos; R. Makan; Dapur; Dispenser; TV; K. Mandi Luar; CCTV; Parkir Mobil; Parkir Motor; Parkir Sepeda"/>
    <x v="394"/>
    <s v="Rp3.255.000"/>
    <x v="8"/>
    <d v="1899-12-30T04:09:00"/>
    <x v="2"/>
    <m/>
    <s v="Diskon 170rb"/>
  </r>
  <r>
    <s v="Kost Singgahsini Kerinci VIII Tipe B Kebayoran Baru Jakarta Selatan"/>
    <x v="5"/>
    <s v="Kebayoran Baru"/>
    <n v="14.100000000000001"/>
    <s v="3 x 4.7 meter"/>
    <s v="Termasuk listrik (implied)"/>
    <n v="2875000"/>
    <s v="Rp2.875.000"/>
    <s v="3 x 4.7 meter; Termasuk listrik; AC; Kasur; Meja; Lemari Baju; Kursi; Bantal; Cermin; Guling; Jendela; K. Mandi Dalam; Kloset Duduk; Shower; Air panas; WiFi; Kulkas; R. Tamu; Penjaga Kos; R. Makan; Dapur; Dispenser; TV; K. Mandi Luar; CCTV; Parkir Mobil; Parkir Motor; Parkir Sepeda"/>
    <x v="385"/>
    <s v="Rp2.732.500"/>
    <x v="2"/>
    <d v="1899-12-30T04:08:00"/>
    <x v="2"/>
    <m/>
    <s v="Diskon 143rb"/>
  </r>
  <r>
    <s v="Kost Singgahsini Kerinci VIII Tipe C Kebayoran Baru Jakarta Selatan"/>
    <x v="5"/>
    <s v="Kebayoran Baru"/>
    <n v="13.5"/>
    <s v="3 x 4.5 meter"/>
    <s v="Termasuk listrik (implied)"/>
    <n v="2625000"/>
    <s v="Rp2.625.000"/>
    <s v="3 x 4.5 meter; Termasuk listrik; AC; Kasur; Meja; Lemari Baju; Kursi; Bantal; Cermin; Guling; Jendela; Kloset Duduk; K. Mandi Luar; Shower; Air panas; WiFi; Kulkas; R. Tamu; Penjaga Kos; R. Makan; Dapur; Dispenser; TV; CCTV; Parkir Mobil; Parkir Motor; Parkir Sepeda"/>
    <x v="395"/>
    <s v="Rp2.417.000"/>
    <x v="6"/>
    <d v="1899-12-30T04:06:00"/>
    <x v="2"/>
    <m/>
    <s v="Diskon 208rb"/>
  </r>
  <r>
    <s v="Kost Singgahsini Kerinci VIII Tipe D Kebayoran Baru Jakarta Selatan"/>
    <x v="5"/>
    <s v="Kebayoran Baru"/>
    <e v="#VALUE!"/>
    <s v="N/A"/>
    <s v="Termasuk listrik (implied)"/>
    <n v="1925000"/>
    <s v="Rp1.925.000"/>
    <s v="AC; Kasur; Lemari Baju; Kursi; Bantal; Cermin; Guling; Jendela; Kloset Duduk; K. Mandi Luar; Shower; Air panas; WiFi; Kulkas; R. Tamu; Penjaga Kos; R. Makan; Dapur; Dispenser; TV; CCTV; Parkir Mobil; Parkir Motor; Parkir Sepeda"/>
    <x v="142"/>
    <s v="Rp1.830.000"/>
    <x v="6"/>
    <d v="1899-12-30T04:06:00"/>
    <x v="2"/>
    <m/>
    <s v="Diskon 95rb"/>
  </r>
  <r>
    <s v="Kost Singgahsini Khazanah Tipe A Tebet Jakarta Selatan"/>
    <x v="5"/>
    <s v="Tebet"/>
    <n v="7.5"/>
    <s v="3 x 2.5 meter"/>
    <s v="Tidak termasuk listrik"/>
    <s v=""/>
    <s v="N/A"/>
    <s v="3 x 2.5 meter; Tidak termasuk listrik; AC; Kasur; TV; Lemari Baju; Kulkas; Ventilasi; Bantal; Cermin; Guling; Jendela; K. Mandi Dalam; Kloset Duduk; Shower; Air panas; WiFi; R. Tamu; Penjaga Kos; Parkir Motor &amp; Sepeda"/>
    <x v="51"/>
    <s v="Rp2.025.000"/>
    <x v="6"/>
    <d v="1899-12-30T04:06:00"/>
    <x v="2"/>
    <m/>
    <s v="Diskon 95rb"/>
  </r>
  <r>
    <s v="Kost Singgahsini Kiara 51 Tipe B Duren Sawit Jakarta Timur"/>
    <x v="8"/>
    <s v="Duren Sawit"/>
    <n v="9"/>
    <s v="3 x 3 meter"/>
    <s v="Termasuk listrik (implied)"/>
    <n v="1325000"/>
    <s v="Rp1.325.000"/>
    <s v="3 x 3 meter; Termasuk listrik; AC; Kasur; Meja; Lemari Baju; Kursi; Bantal; Cermin; Guling; Jendela; Kloset Duduk; K. Mandi Luar; Wastafel; Ember mandi; Shower; Air panas; WiFi; Kulkas; R. Tamu; R. Jemur; Dapur; Dispenser; TV; Jemuran; Parkir Mobil; Parkir Motor; Parkir Sepeda"/>
    <x v="147"/>
    <s v="Rp1.260.000"/>
    <x v="6"/>
    <d v="1899-12-30T04:06:00"/>
    <x v="2"/>
    <m/>
    <s v="Diskon 65rb"/>
  </r>
  <r>
    <s v="Kost Singgahsini Kivana Tipe A Matraman Jakarta Timur"/>
    <x v="8"/>
    <s v="Matraman"/>
    <n v="13.5"/>
    <s v="4.5 x 3 meter"/>
    <s v="Tidak termasuk listrik"/>
    <n v="2425000"/>
    <s v="Rp2.425.000"/>
    <s v="4.5 x 3 meter; Tidak termasuk listrik; AC; Kasur; Meja; Lemari Baju; Ventilasi; Kursi; Bantal; Cermin; Guling; Jendela; K. Mandi Dalam; Kloset Duduk; Shower; Air panas; WiFi; R. Cuci; Kulkas; R. Tamu; Mesin Cuci; Penjaga Kos; R. Makan; R. Jemur; Dapur; Dispenser; Parkir Sepeda; Parkir Motor &amp; Sepeda"/>
    <x v="337"/>
    <s v="Rp2.305.000"/>
    <x v="3"/>
    <d v="1899-12-30T05:00:00"/>
    <x v="0"/>
    <m/>
    <s v="Diskon 120rb"/>
  </r>
  <r>
    <s v="Kost Singgahsini Kivana Tipe C Matraman Jakarta Timur"/>
    <x v="8"/>
    <s v="Matraman"/>
    <n v="9"/>
    <s v="3 x 3 meter"/>
    <s v="Tidak termasuk listrik"/>
    <s v=""/>
    <s v="N/A"/>
    <s v="3 x 3 meter; Tidak termasuk listrik; AC; Kasur; Meja; Lemari Baju; Ventilasi; Kursi; Bantal; Cermin; Guling; Jendela; K. Mandi Dalam; Kloset Duduk; Shower; Air panas; WiFi; R. Cuci; Kulkas; R. Tamu; Mesin Cuci; Penjaga Kos; R. Makan; R. Jemur; Dapur; Dispenser; Parkir Sepeda; Parkir Motor &amp; Sepeda"/>
    <x v="153"/>
    <s v="Rp2.125.000"/>
    <x v="8"/>
    <d v="1899-12-30T04:09:00"/>
    <x v="0"/>
    <m/>
    <s v="Diskon 115rb"/>
  </r>
  <r>
    <s v="Kost Singgahsini Kivana Tipe D Matraman Jakarta Timur"/>
    <x v="8"/>
    <s v="Matraman"/>
    <n v="13.020000000000001"/>
    <s v="3.1 x 4.2 meter"/>
    <s v="Tidak termasuk listrik"/>
    <n v="2750000"/>
    <s v="Rp2.750.000"/>
    <s v="3.1 x 4.2 meter; Tidak termasuk listrik; AC; Kasur; Meja; Lemari Baju; Kursi; Jendela; K. Mandi Dalam; Kloset Duduk; Shower; Air panas; WiFi; R. Cuci; Kulkas; R. Tamu; Mesin Cuci; Penjaga Kos; R. Makan; R. Jemur; Dapur; Dispenser; Parkir Sepeda; Parkir Motor &amp; Sepeda"/>
    <x v="396"/>
    <s v="Rp2.613.750"/>
    <x v="8"/>
    <d v="1899-12-30T04:09:00"/>
    <x v="0"/>
    <m/>
    <s v="Diskon 136rb"/>
  </r>
  <r>
    <s v="Kost Singgahsini KK9 Tipe A Tebet Jakarta Selatan"/>
    <x v="5"/>
    <s v="Tebet"/>
    <n v="10.5"/>
    <s v="3 x 3.5 meter"/>
    <s v="Tidak termasuk listrik"/>
    <s v=""/>
    <s v="N/A"/>
    <s v="3 x 3.5 meter; Tidak termasuk listrik; AC; Kasur; Meja; Lemari Baju; Kursi; Bantal; Cermin; Jendela; K. Mandi Dalam; Kloset Duduk; Shower; WiFi; R. Cuci; Kulkas; R. Tamu; Penjaga Kos; R. Makan; R. Jemur; Dapur; Parkir Motor &amp; Sepeda"/>
    <x v="233"/>
    <s v="Rp2.325.000"/>
    <x v="6"/>
    <d v="1899-12-30T04:06:00"/>
    <x v="1"/>
    <m/>
    <m/>
  </r>
  <r>
    <s v="Kost Singgahsini Klabat Tipe A Tanjung Priok Jakarta Utara"/>
    <x v="4"/>
    <s v="Tanjung Priok"/>
    <n v="12.6"/>
    <s v="4.5 x 2.8 meter"/>
    <s v="Tidak termasuk listrik"/>
    <n v="1675000"/>
    <s v="Rp1.675.000"/>
    <s v="4.5 x 2.8 meter; Tidak termasuk listrik; AC; Kasur; Meja; Lemari Baju; Kursi; Bantal; Cermin; K. Mandi Dalam; Kloset Jongkok; Wastafel; Ember mandi; Shower; WiFi; R. Tamu; Penjaga Kos; R. Jemur; Dapur; K. Mandi Luar; CCTV; Parkir Mobil; Parkir Motor; Parkir Sepeda"/>
    <x v="328"/>
    <s v="Rp1.592.500"/>
    <x v="2"/>
    <d v="1899-12-30T04:08:00"/>
    <x v="0"/>
    <m/>
    <s v="Diskon 83rb"/>
  </r>
  <r>
    <s v="Kost Singgahsini Klabat Tipe B Tanjung Priok Jakarta Utara"/>
    <x v="4"/>
    <s v="Tanjung Priok"/>
    <n v="11.25"/>
    <s v="4.5 x 2.5 meter"/>
    <s v="Tidak termasuk listrik"/>
    <n v="1575000"/>
    <s v="Rp1.575.000"/>
    <s v="4.5 x 2.5 meter; Tidak termasuk listrik; AC; Kasur; Meja; Lemari Baju; Kursi; Bantal; Cermin; K. Mandi Dalam; Wastafel; Shower; WiFi; R. Tamu; Penjaga Kos; R. Jemur; Dapur; K. Mandi Luar; CCTV; Parkir Mobil; Parkir Motor; Parkir Sepeda"/>
    <x v="352"/>
    <s v="Rp1.497.500"/>
    <x v="2"/>
    <d v="1899-12-30T04:08:00"/>
    <x v="0"/>
    <m/>
    <s v="Diskon 78rb"/>
  </r>
  <r>
    <s v="Kost Singgahsini Klabat Tipe C Tanjung Priok Jakarta Utara"/>
    <x v="4"/>
    <s v="Tanjung Priok"/>
    <n v="12.24"/>
    <s v="3.6 x 3.4 meter"/>
    <s v="Tidak termasuk listrik"/>
    <n v="1175000"/>
    <s v="Rp1.175.000"/>
    <s v="3.6 x 3.4 meter; Tidak termasuk listrik; Kasur; Meja; Lemari Baju; Kursi; Bantal; Jendela; K. Mandi Dalam; Wastafel; Ember mandi; Shower; WiFi; R. Tamu; Penjaga Kos; R. Jemur; Dapur; K. Mandi Luar; CCTV; Parkir Mobil; Parkir Motor; Parkir Sepeda"/>
    <x v="144"/>
    <s v="Rp1.117.500"/>
    <x v="8"/>
    <d v="1899-12-30T04:09:00"/>
    <x v="0"/>
    <m/>
    <s v="Diskon 58rb"/>
  </r>
  <r>
    <s v="Kost Singgahsini Klabat Tipe D Tanjung Priok Jakarta Utara"/>
    <x v="4"/>
    <s v="Tanjung Priok"/>
    <n v="8.64"/>
    <s v="3.6 x 2.4 meter"/>
    <s v="Tidak termasuk listrik"/>
    <n v="1075000"/>
    <s v="Rp1.075.000"/>
    <s v="3.6 x 2.4 meter; Tidak termasuk listrik; Kasur; Meja; Lemari Baju; Ventilasi; Kursi; Kipas Angin; Bantal; Cermin; Jendela; K. Mandi Dalam; Kloset Jongkok; Wastafel; Ember mandi; Shower; WiFi; R. Tamu; Penjaga Kos; R. Jemur; Dapur; K. Mandi Luar; CCTV; Parkir Mobil; Parkir Motor; Parkir Sepeda"/>
    <x v="98"/>
    <s v="Rp1.022.500"/>
    <x v="2"/>
    <d v="1899-12-30T04:08:00"/>
    <x v="0"/>
    <m/>
    <s v="Diskon 53rb"/>
  </r>
  <r>
    <s v="Kost Singgahsini Kramat Kwitang 30 Tipe A Senen Jakarta Pusat"/>
    <x v="9"/>
    <s v="Kecamatan Senen"/>
    <n v="11.61"/>
    <s v="2.7 x 4.3 meter"/>
    <s v="Termasuk listrik (implied)"/>
    <s v=""/>
    <s v="N/A"/>
    <s v="2.7 x 4.3 meter; Termasuk listrik; AC; Kasur; Meja; Lemari Baju; Bantal; Guling; K. Mandi Dalam; Kloset Duduk; Ember mandi; Shower; WiFi; Kulkas; R. Jemur; CCTV; Parkir Motor; Parkir Sepeda; Parkir Motor &amp; Sepeda"/>
    <x v="315"/>
    <s v="Rp1.805.000"/>
    <x v="10"/>
    <d v="1899-12-30T04:05:00"/>
    <x v="1"/>
    <m/>
    <m/>
  </r>
  <r>
    <s v="Kost Singgahsini Kramat Kwitang 30 Tipe B Senen Jakarta Pusat"/>
    <x v="9"/>
    <s v="Kecamatan Senen"/>
    <n v="4.620000000000001"/>
    <s v="2.2 x 2.1 meter"/>
    <s v="Termasuk listrik (implied)"/>
    <s v=""/>
    <s v="N/A"/>
    <s v="2.2 x 2.1 meter; Termasuk listrik; AC; Kasur; Meja; Lemari Baju; Bantal; Kloset Duduk; K. Mandi Luar; Ember mandi; Shower; WiFi; Kulkas; R. Jemur; CCTV; Parkir Motor; Parkir Sepeda; Parkir Motor &amp; Sepeda"/>
    <x v="24"/>
    <s v="Rp1.495.000"/>
    <x v="2"/>
    <d v="1899-12-30T04:08:00"/>
    <x v="1"/>
    <m/>
    <s v="Diskon 70rb"/>
  </r>
  <r>
    <s v="Kost Singgahsini Krupuk Tipe A Cipayung Jakarta Timur"/>
    <x v="8"/>
    <s v="Cipayung"/>
    <n v="13.5"/>
    <s v="4.5 x 3 meter"/>
    <s v="Tidak termasuk listrik"/>
    <n v="1600000"/>
    <s v="Rp1.600.000"/>
    <s v="4.5 x 3 meter; Tidak termasuk listrik; AC; Kasur; Meja; Lemari Baju; Ventilasi; Kursi; Bantal; Jendela; Cermin; Guling; K. Mandi Dalam; Kloset Duduk; Shower; WiFi; Penjaga Kos; R. Makan; Dapur; Dispenser; Taman; CCTV; Parkir Mobil; Parkir Motor &amp; Sepeda"/>
    <x v="122"/>
    <s v="Rp1.440.000"/>
    <x v="2"/>
    <d v="1899-12-30T04:08:00"/>
    <x v="2"/>
    <m/>
    <s v="Diskon 160rb"/>
  </r>
  <r>
    <s v="Kost Singgahsini L Tipe A Tebet Jakarta Selatan"/>
    <x v="5"/>
    <s v="Tebet"/>
    <n v="9"/>
    <s v="3 x 3 meter"/>
    <s v="Tidak termasuk listrik"/>
    <s v=""/>
    <s v="N/A"/>
    <s v="3 x 3 meter; Tidak termasuk listrik; AC; Kasur; Meja; TV; Lemari Baju; Kursi; Bantal; K. Mandi Dalam; Kloset Duduk; Wastafel; Shower; WiFi; Kulkas; R. Tamu; Penjaga Kos; R. Makan; R. Jemur; Dapur; Dispenser; CCTV; Parkir Motor &amp; Sepeda"/>
    <x v="4"/>
    <s v="Rp2.200.000"/>
    <x v="6"/>
    <d v="1899-12-30T04:06:00"/>
    <x v="0"/>
    <m/>
    <m/>
  </r>
  <r>
    <s v="Kost Singgahsini Latifa Jatinegara Indah Tipe A Cakung Jakarta Timur"/>
    <x v="8"/>
    <s v="Cakung"/>
    <n v="10.5"/>
    <s v="3 x 3.5 meter"/>
    <s v="Termasuk listrik (implied)"/>
    <n v="1875000"/>
    <s v="Rp1.875.000"/>
    <s v="3 x 3.5 meter; Termasuk listrik; AC; Kasur; Meja; Lemari Baju; Ventilasi; Kursi; Bantal; Cermin; Guling; Jendela; Kloset Duduk; K. Mandi Luar; Shower; WiFi; Kulkas; R. Cuci; R. Tamu; Mesin Cuci; Penjaga Kos; R. Makan; R. Jemur; Dapur; Dispenser; Parkir Mobil; Parkir Motor &amp; Sepeda"/>
    <x v="259"/>
    <s v="Rp1.727.000"/>
    <x v="8"/>
    <d v="1899-12-30T04:09:00"/>
    <x v="2"/>
    <m/>
    <s v="Diskon 148rb"/>
  </r>
  <r>
    <s v="Kost Singgahsini Laura Tipe B Kemayoran Jakarta Pusat"/>
    <x v="9"/>
    <s v="Kemayoran"/>
    <n v="6.25"/>
    <s v="2.5 x 2.5 meter"/>
    <s v="Tidak termasuk listrik"/>
    <n v="1625000"/>
    <s v="Rp1.625.000"/>
    <s v="2.5 x 2.5 meter; Tidak termasuk listrik; AC; Kasur; Meja; Lemari Baju; Ventilasi; Kursi; Bantal; Guling; Jendela; Kloset Duduk; K. Mandi Luar; Shower; WiFi; R. Tamu; Penjaga Kos; R. Jemur; CCTV; Parkir Motor &amp; Sepeda"/>
    <x v="276"/>
    <s v="Rp1.545.000"/>
    <x v="3"/>
    <d v="1899-12-30T05:00:00"/>
    <x v="2"/>
    <m/>
    <s v="Diskon 80rb"/>
  </r>
  <r>
    <s v="Kost Singgahsini Laura Tipe C Kemayoran Jakarta Pusat"/>
    <x v="9"/>
    <s v="Kemayoran"/>
    <n v="6.25"/>
    <s v="2.5 x 2.5 meter"/>
    <s v="Tidak termasuk listrik"/>
    <n v="1375000"/>
    <s v="Rp1.375.000"/>
    <s v="2.5 x 2.5 meter; Tidak termasuk listrik; AC; Kasur; Meja; Lemari Baju; Ventilasi; Kursi; Bantal; Guling; Kloset Duduk; K. Mandi Luar; Shower; WiFi; R. Tamu; Penjaga Kos; R. Jemur; CCTV; Parkir Motor &amp; Sepeda"/>
    <x v="68"/>
    <s v="Rp1.307.500"/>
    <x v="6"/>
    <d v="1899-12-30T04:06:00"/>
    <x v="2"/>
    <m/>
    <s v="Diskon 68rb"/>
  </r>
  <r>
    <s v="Kost Singgahsini Laura Tipe D Kemayoran Jakarta Pusat"/>
    <x v="9"/>
    <s v="Kemayoran"/>
    <n v="6"/>
    <s v="3 x 2 meter"/>
    <s v="Tidak termasuk listrik"/>
    <s v=""/>
    <s v="N/A"/>
    <s v="3 x 2 meter; Tidak termasuk listrik; AC; Kasur; Meja; Lemari Baju; Kursi; Bantal; Guling; Kloset Duduk; K. Mandi Luar; Shower; WiFi; R. Tamu; Penjaga Kos; R. Jemur; CCTV; Parkir Motor &amp; Sepeda"/>
    <x v="56"/>
    <s v="Rp1.225.000"/>
    <x v="3"/>
    <d v="1899-12-30T05:00:00"/>
    <x v="2"/>
    <m/>
    <s v="Diskon 68rb"/>
  </r>
  <r>
    <s v="Kost Singgahsini Lauser 62B Tipe A Kebayoran Baru Jakarta Selatan"/>
    <x v="5"/>
    <s v="Kecamatan Kebayoran Baru"/>
    <n v="14.639999999999999"/>
    <s v="6.1 x 2.4 meter"/>
    <s v="Termasuk listrik (implied)"/>
    <n v="3025000"/>
    <s v="Rp3.025.000"/>
    <s v="6.1 x 2.4 meter; Termasuk listrik; AC; Kasur; Meja; Lemari Baju; Jendela; K. Mandi Dalam; Kloset Duduk; Shower; Air panas; WiFi; Kulkas; R. Tamu; Penjaga Kos; R. Makan; R. Jemur; Dapur; TV; Parkir Mobil; Parkir Motor &amp; Sepeda"/>
    <x v="397"/>
    <s v="Rp2.785.000"/>
    <x v="2"/>
    <d v="1899-12-30T04:08:00"/>
    <x v="0"/>
    <m/>
    <s v="Diskon 240rb"/>
  </r>
  <r>
    <s v="Kost Singgahsini Lauser 62B Tipe B Kebayoran Baru Jakarta Selatan"/>
    <x v="5"/>
    <s v="Kebayoran Baru"/>
    <n v="11.9"/>
    <s v="3.4 x 3.5 meter"/>
    <s v="Termasuk listrik (implied)"/>
    <n v="2825000"/>
    <s v="Rp2.825.000"/>
    <s v="3.4 x 3.5 meter; Termasuk listrik; AC; Kasur; Meja; Lemari Baju; Kursi; Jendela; K. Mandi Dalam; Kloset Duduk; Shower; Air panas; WiFi; Kulkas; R. Tamu; Penjaga Kos; R. Makan; R. Jemur; Dapur; TV; Parkir Mobil; Parkir Motor &amp; Sepeda"/>
    <x v="141"/>
    <s v="Rp2.685.000"/>
    <x v="2"/>
    <d v="1899-12-30T04:08:00"/>
    <x v="0"/>
    <m/>
    <s v="Diskon 140rb"/>
  </r>
  <r>
    <s v="Kost Singgahsini Lebak Bulus 04 Tipe A Cilandak Jakarta Selatan"/>
    <x v="5"/>
    <s v="Cilandak"/>
    <n v="15.959999999999999"/>
    <s v="3.8 x 4.2 meter"/>
    <s v="Tidak termasuk listrik"/>
    <s v=""/>
    <s v="N/A"/>
    <s v="3.8 x 4.2 meter; Tidak termasuk listrik; AC; Kasur; Meja; TV; Lemari Baju; Bantal; Cermin; Jendela; K. Mandi Dalam; Kloset Duduk; Shower; Air panas; WiFi; Kulkas; R. Tamu; Penjaga Kos; R. Jemur; Dapur; Dispenser; CCTV; Rooftop; Parkir Mobil; Parkir Motor &amp; Sepeda"/>
    <x v="278"/>
    <s v="Rp2.725.000"/>
    <x v="6"/>
    <d v="1899-12-30T04:06:00"/>
    <x v="0"/>
    <m/>
    <s v="Diskon 216rb"/>
  </r>
  <r>
    <s v="Kost Singgahsini Lili Johar Tipe A Jagakarsa Jakarta Selatan"/>
    <x v="5"/>
    <s v="Jagakarsa"/>
    <n v="11.2"/>
    <s v="2.8 x 4 meter"/>
    <s v="Tidak termasuk listrik"/>
    <s v=""/>
    <s v="N/A"/>
    <s v="2.8 x 4 meter; Tidak termasuk listrik; Kasur; Meja; Lemari Baju; Ventilasi; Bantal; Jendela; K. Mandi Dalam; Kloset Duduk; Shower; WiFi; Penjaga Kos; R. Jemur; Dapur; CCTV; Parkir Motor; Parkir Sepeda"/>
    <x v="63"/>
    <s v="Rp1.275.000"/>
    <x v="8"/>
    <d v="1899-12-30T04:09:00"/>
    <x v="2"/>
    <m/>
    <s v="Diskon 105rb"/>
  </r>
  <r>
    <s v="Kost Singgahsini Lili Johar Tipe B Jagakarsa Jakarta Selatan"/>
    <x v="5"/>
    <s v="Jagakarsa"/>
    <n v="11.2"/>
    <s v="2.8 x 4 meter"/>
    <s v="Tidak termasuk listrik"/>
    <s v=""/>
    <s v="N/A"/>
    <s v="2.8 x 4 meter; Tidak termasuk listrik; AC; Kasur; Meja; Lemari Baju; Ventilasi; Kursi; Bantal; Jendela; K. Mandi Dalam; Kloset Duduk; Shower; WiFi; Penjaga Kos; R. Jemur; Dapur; CCTV; Parkir Motor; Parkir Sepeda"/>
    <x v="58"/>
    <s v="Rp1.525.000"/>
    <x v="8"/>
    <d v="1899-12-30T04:09:00"/>
    <x v="2"/>
    <m/>
    <s v="Diskon 120rb"/>
  </r>
  <r>
    <s v="Kost Singgahsini Little Nest Tipe A Johar Baru Jakarta Pusat"/>
    <x v="9"/>
    <s v="Johar Baru"/>
    <n v="7.4399999999999995"/>
    <s v="2.4 x 3.1 meter"/>
    <s v="Tidak termasuk listrik"/>
    <s v=""/>
    <s v="N/A"/>
    <s v="2.4 x 3.1 meter; Tidak termasuk listrik; AC; Kasur; Meja; Lemari Baju; Kursi; Bantal; Cermin; Guling; Jendela; K. Mandi Dalam; Kloset Duduk; Shower; Air panas; WiFi; Kulkas; Penjaga Kos; R. Jemur; R. Santai; CCTV; Parkir Mobil; Parkir Motor; Parkir Sepeda; Parkir Motor &amp; Sepeda"/>
    <x v="153"/>
    <s v="Rp2.125.000"/>
    <x v="2"/>
    <d v="1899-12-30T04:08:00"/>
    <x v="2"/>
    <m/>
    <s v="Diskon 160rb"/>
  </r>
  <r>
    <s v="Kost Singgahsini Lowijen Residence Tipe B Duren Sawit Jakarta Timur"/>
    <x v="8"/>
    <s v="Duren Sawit"/>
    <n v="9.4500000000000011"/>
    <s v="3.5 x 2.7 meter"/>
    <s v="Tidak termasuk listrik"/>
    <s v=""/>
    <s v="N/A"/>
    <s v="3.5 x 2.7 meter; Tidak termasuk listrik; AC; Kasur; Meja; TV; Lemari Baju; Kursi; Bantal; Cermin; Guling; Jendela; K. Mandi Dalam; Kloset Duduk; Wastafel; Shower; Air panas; WiFi; Kulkas; R. Tamu; Penjaga Kos; R. Makan; Dapur; Dispenser; CCTV; Parkir Mobil; Parkir Motor &amp; Sepeda"/>
    <x v="300"/>
    <s v="Rp2.425.000"/>
    <x v="6"/>
    <d v="1899-12-30T04:06:00"/>
    <x v="0"/>
    <m/>
    <m/>
  </r>
  <r>
    <s v="Kost Singgahsini Magnolia BSD Tipe A Serpong Tangerang Selatan"/>
    <x v="2"/>
    <s v="Serpong"/>
    <n v="12"/>
    <s v="3 x 4 meter"/>
    <s v="Tidak termasuk listrik"/>
    <s v=""/>
    <s v="N/A"/>
    <s v="3 x 4 meter; Tidak termasuk listrik; AC; Kasur; Meja; Lemari Baju; Kursi; Bantal; Cermin; Guling; Jendela; K. Mandi Dalam; Kloset Duduk; Shower; WiFi; Kulkas; R. Tamu; Penjaga Kos; R. Jemur; Dapur; Gazebo; CCTV; Jemuran; Parkir Motor &amp; Sepeda"/>
    <x v="312"/>
    <s v="Rp1.775.000"/>
    <x v="3"/>
    <d v="1899-12-30T05:00:00"/>
    <x v="2"/>
    <m/>
    <m/>
  </r>
  <r>
    <s v="Kost Singgahsini Magnolia BSD Tipe B Serpong Tangerang Selatan"/>
    <x v="2"/>
    <s v="Serpong"/>
    <n v="9"/>
    <s v="3 x 3 meter"/>
    <s v="Tidak termasuk listrik"/>
    <s v=""/>
    <s v="N/A"/>
    <s v="3 x 3 meter; Tidak termasuk listrik; AC; Kasur; Meja; Lemari Baju; Kursi; Bantal; Cermin; Guling; Jendela; K. Mandi Dalam; Kloset Duduk; Shower; WiFi; Kulkas; Penjaga Kos; R. Tamu; R. Jemur; Dapur; Gazebo; CCTV; Jemuran; Parkir Motor &amp; Sepeda"/>
    <x v="102"/>
    <s v="Rp1.475.000"/>
    <x v="8"/>
    <d v="1899-12-30T04:09:00"/>
    <x v="2"/>
    <m/>
    <m/>
  </r>
  <r>
    <s v="Kost Singgahsini Mahony Tipe A Tangerang"/>
    <x v="6"/>
    <s v="Tangerang"/>
    <n v="25"/>
    <s v="5 x 5 meter"/>
    <s v="Tidak termasuk listrik"/>
    <n v="2425000"/>
    <s v="Rp2.425.000"/>
    <s v="5 x 5 meter; Tidak termasuk listrik; AC; Kasur; Meja; TV; Lemari Baju; Ventilasi; Kursi; Bantal; Jendela; Cermin; K. Mandi Dalam; Kloset Duduk; Shower; Air panas; WiFi; Kulkas; Penjaga Kos; R. Jemur; Dapur; Dispenser; Jemuran; Parkir Mobil; Parkir Motor &amp; Sepeda"/>
    <x v="257"/>
    <s v="Rp2.233.000"/>
    <x v="6"/>
    <d v="1899-12-30T04:06:00"/>
    <x v="2"/>
    <m/>
    <s v="Diskon 192rb"/>
  </r>
  <r>
    <s v="Kost Singgahsini Mahony Tipe B Tangerang"/>
    <x v="6"/>
    <s v="Tangerang"/>
    <n v="13.440000000000001"/>
    <s v="4.2 x 3.2 meter"/>
    <s v="Tidak termasuk listrik"/>
    <s v=""/>
    <s v="N/A"/>
    <s v="4.2 x 3.2 meter; Tidak termasuk listrik; AC; Kasur; Meja; TV; Lemari Baju; Ventilasi; Kursi; Bantal; Jendela; Cermin; K. Mandi Dalam; Kloset Duduk; Shower; Air panas; WiFi; Kulkas; Penjaga Kos; R. Jemur; Dapur; Dispenser; Jemuran; Parkir Mobil; Parkir Motor &amp; Sepeda"/>
    <x v="232"/>
    <s v="Rp2.225.000"/>
    <x v="5"/>
    <d v="1899-12-30T04:00:00"/>
    <x v="2"/>
    <m/>
    <s v="Diskon 192rb"/>
  </r>
  <r>
    <s v="Kost Singgahsini Mahony Tipe C Tangerang"/>
    <x v="6"/>
    <s v="Tangerang"/>
    <n v="9"/>
    <s v="3 x 3 meter"/>
    <s v="Tidak termasuk listrik"/>
    <s v=""/>
    <s v="N/A"/>
    <s v="3 x 3 meter; Tidak termasuk listrik; AC; Kasur; Meja; TV; Lemari Baju; Ventilasi; Kursi; Bantal; Jendela; Cermin; K. Mandi Dalam; Kloset Duduk; Shower; Air panas; WiFi; Kulkas; Penjaga Kos; R. Jemur; Dapur; Dispenser; Jemuran; Parkir Mobil; Parkir Motor &amp; Sepeda"/>
    <x v="228"/>
    <s v="Rp1.925.000"/>
    <x v="0"/>
    <m/>
    <x v="2"/>
    <m/>
    <s v="Diskon 192rb"/>
  </r>
  <r>
    <s v="Kost Singgahsini Maknyak Maria Tipe A Gambir Jakarta Pusat"/>
    <x v="9"/>
    <s v="Gambir"/>
    <n v="5.44"/>
    <s v="3.4 x 1.6 meter"/>
    <s v="Tidak termasuk listrik"/>
    <n v="1445000"/>
    <s v="Rp1.445.000"/>
    <s v="3.4 x 1.6 meter; Tidak termasuk listrik; AC; Kasur; Meja; Lemari Baju; Jendela; Bantal; Cermin; Kloset Duduk; K. Mandi Luar; Ember mandi; Shower; WiFi; R. Cuci; Kulkas; Penjaga Kos; R. Jemur; Dapur; CCTV; Parkir Motor &amp; Sepeda"/>
    <x v="398"/>
    <s v="Rp1.331.400"/>
    <x v="12"/>
    <d v="1899-12-30T04:04:00"/>
    <x v="2"/>
    <m/>
    <s v="Diskon 114rb"/>
  </r>
  <r>
    <s v="Kost Singgahsini Malahayati 10 Tipe A Jatinegara Jakarta Timur"/>
    <x v="8"/>
    <s v="Jatinegara"/>
    <n v="10.5"/>
    <s v="3 x 3.5 meter"/>
    <s v="Tidak termasuk listrik"/>
    <n v="1855000"/>
    <s v="Rp1.855.000"/>
    <s v="3 x 3.5 meter; Tidak termasuk listrik; AC; Kasur; Lemari Baju; Kursi; Bantal; K. Mandi Dalam; Kloset Duduk; Shower; WiFi; R. Cuci; Penjaga Kos; R. Makan; R. Jemur; Dapur; CCTV; Jemuran; Parkir Mobil; Parkir Motor; Parkir Sepeda"/>
    <x v="399"/>
    <s v="Rp1.763.500"/>
    <x v="2"/>
    <d v="1899-12-30T04:08:00"/>
    <x v="0"/>
    <m/>
    <s v="Diskon 92rb"/>
  </r>
  <r>
    <s v="Kost Singgahsini Malahayati 10 Tipe B Jatinegara Jakarta Timur"/>
    <x v="8"/>
    <s v="Jatinegara"/>
    <n v="10.5"/>
    <s v="3 x 3.5 meter"/>
    <s v="Tidak termasuk listrik"/>
    <n v="1575000"/>
    <s v="Rp1.575.000"/>
    <s v="3 x 3.5 meter; Tidak termasuk listrik; AC; Kasur; Lemari Baju; Ventilasi; Kursi; Bantal; Jendela; K. Mandi Dalam; Kloset Duduk; Kloset Jongkok; Ember mandi; WiFi; R. Cuci; Penjaga Kos; R. Makan; R. Jemur; Dapur; CCTV; Jemuran; Parkir Mobil; Parkir Motor; Parkir Sepeda"/>
    <x v="352"/>
    <s v="Rp1.497.500"/>
    <x v="2"/>
    <d v="1899-12-30T04:08:00"/>
    <x v="0"/>
    <m/>
    <s v="Diskon 78rb"/>
  </r>
  <r>
    <s v="Kost Singgahsini Malale Residence 1 Tipe A Kelapa Gading Jakarta Utara"/>
    <x v="4"/>
    <s v="Kecamatan Kelapa Gading"/>
    <n v="14.100000000000001"/>
    <s v="4.7 x 3 meter"/>
    <s v="Tidak termasuk listrik"/>
    <s v=""/>
    <s v="N/A"/>
    <s v="4.7 x 3 meter; Tidak termasuk listrik; AC; Kasur; Meja; TV; Lemari Baju; Kursi; Jendela; K. Mandi Dalam; Kloset Duduk; Shower; WiFi; Kulkas; R. Tamu; Penjaga Kos; Laundry; Dapur; Dispenser; CCTV; Rooftop; Parkir Mobil; Parkir Motor &amp; Sepeda"/>
    <x v="298"/>
    <s v="Rp2.775.000"/>
    <x v="2"/>
    <d v="1899-12-30T04:08:00"/>
    <x v="0"/>
    <m/>
    <m/>
  </r>
  <r>
    <s v="Kost Singgahsini Mampang Ecostay Tipe B Jakarta Selatan"/>
    <x v="5"/>
    <s v="Mampang Prapatan"/>
    <n v="8.1000000000000014"/>
    <s v="3 x 2.7 meter"/>
    <s v="Tidak termasuk listrik"/>
    <s v=""/>
    <s v="N/A"/>
    <s v="3 x 2.7 meter; Tidak termasuk listrik; AC; Kasur; Meja; TV; Lemari Baju; Ventilasi; Kursi; Bantal; Cermin; Guling; K. Mandi Dalam; Kloset Duduk; Shower; Air panas; WiFi; R. Tamu; Penjaga Kos; Taman; CCTV; Parkir Motor &amp; Sepeda"/>
    <x v="232"/>
    <s v="Rp2.225.000"/>
    <x v="2"/>
    <d v="1899-12-30T04:08:00"/>
    <x v="0"/>
    <m/>
    <m/>
  </r>
  <r>
    <s v="Kost Singgahsini Mandar IV Bintaro Tipe A Pondok Aren Tangerang Selatan"/>
    <x v="2"/>
    <s v="Pondok Aren"/>
    <n v="9"/>
    <s v="3 x 3 meter"/>
    <s v="Tidak termasuk listrik"/>
    <s v=""/>
    <s v="N/A"/>
    <s v="3 x 3 meter; Tidak termasuk listrik; AC; Kasur; TV; Lemari Baju; Bantal; Jendela; K. Mandi Dalam; Kloset Duduk; Shower; Air panas; WiFi; Kulkas; Dapur; Parkir Mobil; Parkir Motor; Parkir Sepeda; Parkir Motor &amp; Sepeda"/>
    <x v="51"/>
    <s v="Rp2.025.000"/>
    <x v="2"/>
    <d v="1899-12-30T04:08:00"/>
    <x v="2"/>
    <m/>
    <m/>
  </r>
  <r>
    <s v="Kost Singgahsini Mandira Tipe B Kembangan Jakarta Barat"/>
    <x v="3"/>
    <s v="Kembangan"/>
    <n v="7.839999999999999"/>
    <s v="2.8 x 2.8 meter"/>
    <s v="Tidak termasuk listrik"/>
    <n v="1965000"/>
    <s v="Rp1.965.000"/>
    <s v="2.8 x 2.8 meter; Tidak termasuk listrik; AC; Kasur; Meja; TV; Lemari Baju; Kursi; Bantal; Cermin; Guling; Jendela; Kloset Duduk; K. Mandi Luar; Shower; Air panas; WiFi; R. Tamu; Penjaga Kos; CCTV; Parkir Mobil; Parkir Sepeda; Parkir Motor &amp; Sepeda"/>
    <x v="400"/>
    <s v="Rp1.809.800"/>
    <x v="8"/>
    <d v="1899-12-30T04:09:00"/>
    <x v="2"/>
    <m/>
    <s v="Diskon 155rb"/>
  </r>
  <r>
    <s v="Kost Singgahsini Mandiri Tipe A Tanjung Duren Jakarta Barat"/>
    <x v="3"/>
    <s v="Kecamatan Grogol petamburan"/>
    <n v="7.5"/>
    <s v="3 x 2.5 meter"/>
    <s v="Tidak termasuk listrik"/>
    <n v="2005000"/>
    <s v="Rp2.005.000"/>
    <s v="3 x 2.5 meter; Tidak termasuk listrik; AC; Kasur; Meja; TV; Lemari Baju; Kursi; Bantal; Cermin; Jendela; K. Mandi Dalam; Kloset Duduk; Shower; Air panas; WiFi; R. Cuci; Kulkas; R. Tamu; Mesin Cuci; Penjaga Kos; Dapur; Dispenser; K. Mandi Luar; Rice Cooker; Parkir Mobil; Parkir Motor; Parkir Sepeda; Parkir Motor &amp; Sepeda"/>
    <x v="330"/>
    <s v="Rp1.906.000"/>
    <x v="2"/>
    <d v="1899-12-30T04:08:00"/>
    <x v="2"/>
    <m/>
    <s v="Diskon 99rb"/>
  </r>
  <r>
    <s v="Kost Singgahsini Mandiri Tipe B Tanjung Duren Jakarta Barat"/>
    <x v="3"/>
    <s v="Kecamatan Grogol petamburan"/>
    <n v="6"/>
    <s v="3 x 2 meter"/>
    <s v="Tidak termasuk listrik"/>
    <n v="1885000"/>
    <s v="Rp1.885.000"/>
    <s v="3 x 2 meter; Tidak termasuk listrik; AC; Kasur; Meja; TV; Lemari Baju; Kursi; Bantal; Cermin; Jendela; K. Mandi Dalam; Kloset Duduk; Shower; Air panas; WiFi; R. Cuci; Kulkas; R. Tamu; Mesin Cuci; Penjaga Kos; Dapur; Dispenser; K. Mandi Luar; Rice Cooker; Parkir Mobil; Parkir Motor; Parkir Sepeda; Parkir Motor &amp; Sepeda"/>
    <x v="401"/>
    <s v="Rp1.792.000"/>
    <x v="8"/>
    <d v="1899-12-30T04:09:00"/>
    <x v="2"/>
    <m/>
    <s v="Diskon 93rb"/>
  </r>
  <r>
    <s v="Kost Singgahsini Mangala 22 Tipe A Pademangan Jakarta Utara"/>
    <x v="4"/>
    <s v="Pademangan"/>
    <n v="5.28"/>
    <s v="2.4 x 2.2 meter"/>
    <s v="Tidak termasuk listrik"/>
    <n v="2175000"/>
    <s v="Rp2.175.000"/>
    <s v="2.4 x 2.2 meter; Tidak termasuk listrik; AC; Kasur; Meja; Lemari Baju; Ventilasi; Kursi; Bantal; Guling; Jendela; K. Mandi Dalam; Kloset Duduk; Wastafel; Shower; Air panas; WiFi; R. Tamu; Mesin Cuci; R. Jemur; Dapur; Dispenser; CCTV; Parkir Motor; Parkir Sepeda"/>
    <x v="201"/>
    <s v="Rp2.070.000"/>
    <x v="6"/>
    <d v="1899-12-30T04:06:00"/>
    <x v="0"/>
    <m/>
    <s v="Diskon 105rb"/>
  </r>
  <r>
    <s v="Kost Singgahsini Mangga 99 Tipe A Beji Depok"/>
    <x v="1"/>
    <s v="Kecamatan Beji"/>
    <n v="8.5"/>
    <s v="2.5 x 3.4 meter"/>
    <s v="Termasuk listrik (implied)"/>
    <n v="1615000"/>
    <s v="Rp1.615.000"/>
    <s v="2.5 x 3.4 meter; Termasuk listrik; AC; Kasur; Meja; Lemari Baju; Kursi; Bantal; Cermin; Guling; K. Mandi Dalam; Kloset Duduk; Shower; WiFi; R. Tamu; Penjaga Kos; K. Mandi Luar; CCTV; Parkir Mobil; Parkir Motor; Parkir Sepeda"/>
    <x v="402"/>
    <s v="Rp1.456.000"/>
    <x v="8"/>
    <d v="1899-12-30T04:09:00"/>
    <x v="0"/>
    <m/>
    <s v="Diskon 159rb"/>
  </r>
  <r>
    <s v="Kost Singgahsini Mangga 99 Tipe B Beji Depok"/>
    <x v="1"/>
    <s v="Kecamatan Beji"/>
    <n v="8.5"/>
    <s v="2.5 x 3.4 meter"/>
    <s v="Termasuk listrik (implied)"/>
    <n v="1530000"/>
    <s v="Rp1.530.000"/>
    <s v="2.5 x 3.4 meter; Termasuk listrik; AC; Kasur; Meja; Lemari Baju; Kursi; Bantal; Cermin; Guling; Jendela; Kloset Duduk; K. Mandi Luar; Shower; WiFi; R. Tamu; Penjaga Kos; CCTV; Parkir Mobil; Parkir Motor; Parkir Sepeda"/>
    <x v="403"/>
    <s v="Rp1.379.500"/>
    <x v="8"/>
    <d v="1899-12-30T04:09:00"/>
    <x v="0"/>
    <m/>
    <s v="Diskon 151rb"/>
  </r>
  <r>
    <s v="Kost Singgahsini Mangga Besar 8 Strawberry Tipe B Tamansari Jakarta Barat"/>
    <x v="3"/>
    <s v="Taman Sari"/>
    <n v="8"/>
    <s v="4 x 2 meter"/>
    <s v="Tidak termasuk listrik"/>
    <n v="2025000"/>
    <s v="Rp2.025.000"/>
    <s v="4 x 2 meter; Tidak termasuk listrik; AC; Kasur; Meja; Lemari Baju; Ventilasi; Kursi; Bantal; Cermin; Jendela; K. Mandi Dalam; Kloset Duduk; Shower; Air panas; WiFi; Penjaga Kos; R. Jemur; CCTV; Parkir Motor &amp; Sepeda"/>
    <x v="228"/>
    <s v="Rp1.925.000"/>
    <x v="2"/>
    <d v="1899-12-30T04:08:00"/>
    <x v="0"/>
    <m/>
    <s v="Diskon 100rb"/>
  </r>
  <r>
    <s v="Kost Singgahsini Mangga Besar 8 Strawberry Tipe D Tamansari Jakarta Barat"/>
    <x v="3"/>
    <s v="Taman Sari"/>
    <e v="#VALUE!"/>
    <s v="N/A"/>
    <s v="N/A"/>
    <s v=""/>
    <s v="N/A"/>
    <s v=""/>
    <x v="78"/>
    <s v="Rp1.625.000"/>
    <x v="6"/>
    <d v="1899-12-30T04:06:00"/>
    <x v="0"/>
    <m/>
    <m/>
  </r>
  <r>
    <s v="Kost Singgahsini Mangga Besar 8 Strawberry Tipe E Tamansari Jakarta Barat"/>
    <x v="3"/>
    <s v="Taman Sari"/>
    <n v="9.6000000000000014"/>
    <s v="6 x 1.6 meter"/>
    <s v="Tidak termasuk listrik"/>
    <n v="1425000"/>
    <s v="Rp1.425.000"/>
    <s v="6 x 1.6 meter; Tidak termasuk listrik; AC; Kasur; Meja; Lemari Baju; Ventilasi; Kursi; Jendela; Bantal; Cermin; K. Mandi Dalam; Kloset Duduk; Shower; Air panas; WiFi; Penjaga Kos; R. Jemur; CCTV; Parkir Motor &amp; Sepeda"/>
    <x v="70"/>
    <s v="Rp1.313.000"/>
    <x v="12"/>
    <d v="1899-12-30T04:04:00"/>
    <x v="0"/>
    <m/>
    <s v="Diskon 112rb"/>
  </r>
  <r>
    <s v="Kost Singgahsini Manggis Raya 35 Tipe C Cengkareng Jakarta Barat"/>
    <x v="3"/>
    <s v="Cengkareng"/>
    <n v="11.309999999999999"/>
    <s v="3.9 x 2.9 meter"/>
    <s v="Tidak termasuk listrik"/>
    <n v="1475000"/>
    <s v="Rp1.475.000"/>
    <s v="3.9 x 2.9 meter; Tidak termasuk listrik; AC; Kasur; Lemari Baju; Bantal; K. Mandi Dalam; Kloset Duduk; Shower; WiFi; R. Tamu; Penjaga Kos; R. Makan; R. Jemur; Dapur; Jemuran; Parkir Motor &amp; Sepeda"/>
    <x v="268"/>
    <s v="Rp1.402.500"/>
    <x v="6"/>
    <d v="1899-12-30T04:06:00"/>
    <x v="0"/>
    <m/>
    <s v="Diskon 73rb"/>
  </r>
  <r>
    <s v="Kost Singgahsini Manosa Tipe A Larangan Tangerang"/>
    <x v="6"/>
    <s v="Larangan"/>
    <n v="8.1000000000000014"/>
    <s v="3 x 2.7 meter"/>
    <s v="Tidak termasuk listrik"/>
    <n v="1825000"/>
    <s v="Rp1.825.000"/>
    <s v="3 x 2.7 meter; Tidak termasuk listrik; AC; Kasur; Lemari Baju; Bantal; Cermin; Guling; Jendela; K. Mandi Dalam; Kloset Duduk; Shower; Air panas; WiFi; Kulkas; Mesin Cuci; Penjaga Kos; R. Jemur; Mushola; Dapur; Dispenser; Kartu Akses; CCTV; Parkir Motor &amp; Sepeda"/>
    <x v="366"/>
    <s v="Rp1.645.000"/>
    <x v="6"/>
    <d v="1899-12-30T04:06:00"/>
    <x v="2"/>
    <m/>
    <s v="Diskon 180rb"/>
  </r>
  <r>
    <s v="Kost Singgahsini Mantai Tipe A Kebon Jeruk Jakarta Barat"/>
    <x v="3"/>
    <s v="Kebon Jeruk"/>
    <n v="12.899999999999999"/>
    <s v="4.3 x 3 meter"/>
    <s v="Tidak termasuk listrik"/>
    <n v="2225000"/>
    <s v="Rp2.225.000"/>
    <s v="4.3 x 3 meter; Tidak termasuk listrik; AC; Kasur; Meja; Lemari Baju; Kursi; Dapur Pribadi; Jendela; Bantal; Guling; K. Mandi Dalam; Kloset Duduk; Shower; Air panas; WiFi; Penjaga Kos; R. Jemur; Rooftop; Parkir Mobil; Parkir Motor &amp; Sepeda"/>
    <x v="404"/>
    <s v="Rp2.049.000"/>
    <x v="10"/>
    <d v="1899-12-30T04:05:00"/>
    <x v="0"/>
    <m/>
    <s v="Diskon 176rb"/>
  </r>
  <r>
    <s v="Kost Singgahsini Maranzi House Tipe A Kebon Jeruk Jakarta Barat"/>
    <x v="3"/>
    <s v="Kebon Jeruk"/>
    <n v="12"/>
    <s v="4 x 3 meter"/>
    <s v="Tidak termasuk listrik"/>
    <s v=""/>
    <s v="N/A"/>
    <s v="4 x 3 meter; Tidak termasuk listrik; AC; Kasur; Meja; Lemari Baju; Kursi; Cleaning service; K. Mandi Dalam; Kloset Duduk; Wastafel; Shower; WiFi; Kulkas; R. Tamu; Penjaga Kos; Dapur; Dispenser; Parkir Mobil; Parkir Motor; Parkir Sepeda; Parkir Motor &amp; Sepeda"/>
    <x v="405"/>
    <s v="Rp2.475.000"/>
    <x v="2"/>
    <d v="1899-12-30T04:08:00"/>
    <x v="0"/>
    <m/>
    <m/>
  </r>
  <r>
    <s v="Kost Singgahsini Maranzi House Tipe B Kebon Jeruk Jakarta Barat"/>
    <x v="3"/>
    <s v="Kebon Jeruk"/>
    <n v="12"/>
    <s v="4 x 3 meter"/>
    <s v="Tidak termasuk listrik"/>
    <s v=""/>
    <s v="N/A"/>
    <s v="4 x 3 meter; Tidak termasuk listrik; AC; Kasur; Meja; Lemari Baju; Kursi; Cleaning service; K. Mandi Dalam; Kloset Duduk; Wastafel; Shower; WiFi; Kulkas; R. Tamu; Penjaga Kos; Dapur; Dispenser; Parkir Mobil; Parkir Motor; Parkir Sepeda; Parkir Motor &amp; Sepeda"/>
    <x v="260"/>
    <s v="Rp2.525.000"/>
    <x v="6"/>
    <d v="1899-12-30T04:06:00"/>
    <x v="0"/>
    <m/>
    <m/>
  </r>
  <r>
    <s v="Kost Singgahsini Maranzi House Tipe C Kebon Jeruk Jakarta Barat"/>
    <x v="3"/>
    <s v="Kebon Jeruk"/>
    <n v="20"/>
    <s v="5 x 4 meter"/>
    <s v="Tidak termasuk listrik"/>
    <s v=""/>
    <s v="N/A"/>
    <s v="5 x 4 meter; Tidak termasuk listrik; AC; Kasur; Meja; TV; Lemari Baju; Kursi; Cleaning service; K. Mandi Dalam; Kloset Duduk; Wastafel; Shower; WiFi; Kulkas; R. Tamu; Penjaga Kos; Dapur; Dispenser; Parkir Mobil; Parkir Motor; Parkir Sepeda; Parkir Motor &amp; Sepeda"/>
    <x v="406"/>
    <s v="Rp3.085.000"/>
    <x v="8"/>
    <d v="1899-12-30T04:09:00"/>
    <x v="0"/>
    <m/>
    <m/>
  </r>
  <r>
    <s v="Kost Singgahsini Maroon Tipe A Tebet Jakarta Selatan"/>
    <x v="5"/>
    <s v="Tebet"/>
    <n v="15"/>
    <s v="5 x 3 meter"/>
    <s v="Tidak termasuk listrik"/>
    <n v="2300000"/>
    <s v="Rp2.300.000"/>
    <s v="5 x 3 meter; Tidak termasuk listrik; AC; Kasur; Meja; Lemari Baju; Kursi; Jendela; Bantal; Guling; Cermin; K. Mandi Dalam; Kloset Duduk; Ember mandi; Shower; WiFi; Kulkas; R. Tamu; Penjaga Kos; R. Jemur; Dapur; Rooftop; Parkir Motor &amp; Sepeda"/>
    <x v="407"/>
    <s v="Rp2.185.000"/>
    <x v="3"/>
    <d v="1899-12-30T05:00:00"/>
    <x v="2"/>
    <m/>
    <s v="Diskon 115rb"/>
  </r>
  <r>
    <s v="Kost Singgahsini Massma Tipe A Kramat Jati Jakarta Timur"/>
    <x v="8"/>
    <s v="Kramat Jati"/>
    <n v="8.32"/>
    <s v="2.6 x 3.2 meter"/>
    <s v="Tidak termasuk listrik"/>
    <n v="1475000"/>
    <s v="Rp1.475.000"/>
    <s v="2.6 x 3.2 meter; Tidak termasuk listrik; AC; Kasur; Lemari Baju; Bantal; Jendela; K. Mandi Dalam; Kloset Duduk; Ember mandi; Shower; WiFi; Penjaga Kos; Balcon; Parkir Motor; Parkir Sepeda"/>
    <x v="268"/>
    <s v="Rp1.402.500"/>
    <x v="2"/>
    <d v="1899-12-30T04:08:00"/>
    <x v="0"/>
    <m/>
    <s v="Diskon 73rb"/>
  </r>
  <r>
    <s v="Kost Singgahsini Massma Tipe B Kramat Jati Jakarta Timur"/>
    <x v="8"/>
    <s v="Kramat Jati"/>
    <n v="7.5"/>
    <s v="2.5 x 3 meter"/>
    <s v="Tidak termasuk listrik"/>
    <n v="1425000"/>
    <s v="Rp1.425.000"/>
    <s v="2.5 x 3 meter; Tidak termasuk listrik; AC; Kasur; Lemari Baju; Bantal; Jendela; K. Mandi Dalam; Kloset Duduk; Ember mandi; Shower; WiFi; Penjaga Kos; Balcon; Parkir Motor; Parkir Sepeda"/>
    <x v="46"/>
    <s v="Rp1.355.000"/>
    <x v="8"/>
    <d v="1899-12-30T04:09:00"/>
    <x v="0"/>
    <m/>
    <s v="Diskon 70rb"/>
  </r>
  <r>
    <s v="Kost Singgahsini Maxtim Tipe B Kelapa Gading Jakarta Utara"/>
    <x v="4"/>
    <s v="Kecamatan Kelapa Gading"/>
    <n v="10.5"/>
    <s v="3 x 3.5 meter"/>
    <s v="Termasuk listrik (implied)"/>
    <s v=""/>
    <s v="N/A"/>
    <s v="3 x 3.5 meter; Termasuk listrik; AC; Kasur; Meja; Lemari Baju; Kursi; Bantal; Cermin; Guling; Jendela; K. Mandi Dalam; Kloset Duduk; K. Mandi Luar; Shower; Air panas; WiFi; Kulkas; Penjaga Kos; R. Jemur; Dapur; Dispenser; Parkir Mobil; Parkir Motor; Parkir Sepeda; Parkir Motor &amp; Sepeda"/>
    <x v="408"/>
    <s v="Rp1.575.000"/>
    <x v="8"/>
    <d v="1899-12-30T04:09:00"/>
    <x v="2"/>
    <m/>
    <s v="Diskon 100rb"/>
  </r>
  <r>
    <s v="Kost Singgahsini Maxtim Tipe C Kelapa Gading Jakarta Utara"/>
    <x v="4"/>
    <s v="Kecamatan Kelapa Gading"/>
    <n v="16.5"/>
    <s v="3 x 5.5 meter"/>
    <s v="Termasuk listrik (implied)"/>
    <s v=""/>
    <s v="N/A"/>
    <s v="3 x 5.5 meter; Termasuk listrik; AC; Kasur; Meja; Lemari Baju; Ventilasi; Kursi; Bantal; Cermin; Guling; Jendela; K. Mandi Dalam; Kloset Duduk; Shower; Air panas; WiFi; Kulkas; Penjaga Kos; R. Jemur; Dapur; Dispenser; K. Mandi Luar; Parkir Mobil; Parkir Motor; Parkir Sepeda; Parkir Motor &amp; Sepeda"/>
    <x v="312"/>
    <s v="Rp1.775.000"/>
    <x v="8"/>
    <d v="1899-12-30T04:09:00"/>
    <x v="2"/>
    <m/>
    <s v="Diskon 100rb"/>
  </r>
  <r>
    <s v="Kost Singgahsini Maxtim Tipe D Kelapa Gading Jakarta Utara"/>
    <x v="4"/>
    <s v="Kecamatan Kelapa Gading"/>
    <n v="20"/>
    <s v="4 x 5 meter"/>
    <s v="Termasuk listrik (implied)"/>
    <n v="2025000"/>
    <s v="Rp2.025.000"/>
    <s v="4 x 5 meter; Termasuk listrik; AC; Kasur; Meja; Lemari Baju; Kursi; Bantal; Guling; K. Mandi Dalam; Kloset Duduk; Shower; Air panas; WiFi; Kulkas; Penjaga Kos; R. Jemur; Dapur; Dispenser; K. Mandi Luar; Parkir Mobil; Parkir Motor; Parkir Sepeda; Parkir Motor &amp; Sepeda"/>
    <x v="228"/>
    <s v="Rp1.925.000"/>
    <x v="8"/>
    <d v="1899-12-30T04:09:00"/>
    <x v="2"/>
    <m/>
    <s v="Diskon 100rb"/>
  </r>
  <r>
    <s v="Kost Singgahsini Maysa Gunung Raya Tipe A Ciputat Timur Tangerang Selatan"/>
    <x v="2"/>
    <s v="Ciputat"/>
    <n v="9"/>
    <s v="3 x 3 meter"/>
    <s v="Tidak termasuk listrik"/>
    <s v=""/>
    <s v="N/A"/>
    <s v="3 x 3 meter; Tidak termasuk listrik; AC; Kasur; Meja; TV; Lemari Baju; Kulkas; Jendela; K. Mandi Dalam; Kloset Duduk; Shower; WiFi; R. Cuci; Mesin Cuci; Penjaga Kos; R. Jemur; Dapur; CCTV; Jemuran; Parkir Mobil; Parkir Motor &amp; Sepeda"/>
    <x v="52"/>
    <s v="Rp1.875.000"/>
    <x v="6"/>
    <d v="1899-12-30T04:06:00"/>
    <x v="0"/>
    <m/>
    <m/>
  </r>
  <r>
    <s v="Kost Singgahsini Me Tipe A Beji Depok"/>
    <x v="1"/>
    <s v="Beji"/>
    <n v="8.75"/>
    <s v="3.5 x 2.5 meter"/>
    <s v="Tidak termasuk listrik"/>
    <n v="1325000"/>
    <s v="Rp1.325.000"/>
    <s v="3.5 x 2.5 meter; Tidak termasuk listrik; AC; Kasur; Meja; Lemari Baju; Bantal; Cermin; Jendela; K. Mandi Dalam; Kloset Duduk; Shower; WiFi; R. Cuci; Penjaga Kos; R. Jemur; Dapur; CCTV; Rooftop; Parkir Motor &amp; Sepeda"/>
    <x v="116"/>
    <s v="Rp1.195.000"/>
    <x v="8"/>
    <d v="1899-12-30T04:09:00"/>
    <x v="2"/>
    <m/>
    <s v="Diskon 130rb"/>
  </r>
  <r>
    <s v="Kost Singgahsini Mediterania Marina Ancol Tipe A Pademangan Jakarta Utara"/>
    <x v="4"/>
    <s v="Pademangan"/>
    <n v="9"/>
    <s v="3 x 3 meter"/>
    <s v="Termasuk listrik (implied)"/>
    <n v="2350000"/>
    <s v="Rp2.350.000"/>
    <s v="3 x 3 meter; Termasuk listrik; AC; Kasur; Meja; TV; Lemari Baju; Kursi; Bantal; Cermin; K. Mandi Dalam; Kloset Duduk; Wastafel; Shower; Air panas; WiFi; Kulkas; R. Tamu; Penjaga Kos; Dapur; Dispenser; Kartu Akses; CCTV; Parkir Mobil; Parkir Motor &amp; Sepeda"/>
    <x v="409"/>
    <s v="Rp2.232.500"/>
    <x v="8"/>
    <d v="1899-12-30T04:09:00"/>
    <x v="0"/>
    <m/>
    <s v="Diskon 118rb"/>
  </r>
  <r>
    <s v="Kost Singgahsini Mediterania Marina Ancol Tipe B Pademangan Jakarta Utara"/>
    <x v="4"/>
    <s v="Pademangan"/>
    <n v="9"/>
    <s v="3 x 3 meter"/>
    <s v="Termasuk listrik (implied)"/>
    <n v="2200000"/>
    <s v="Rp2.200.000"/>
    <s v="3 x 3 meter; Termasuk listrik; AC; Kasur; Meja; TV; Lemari Baju; Kursi; Bantal; Cermin; K. Mandi Dalam; Kloset Duduk; Wastafel; Shower; Air panas; WiFi; Kulkas; R. Tamu; Penjaga Kos; Dapur; Dispenser; Kartu Akses; CCTV; Parkir Mobil; Parkir Motor &amp; Sepeda"/>
    <x v="410"/>
    <s v="Rp2.090.000"/>
    <x v="4"/>
    <d v="1899-12-30T04:01:00"/>
    <x v="0"/>
    <m/>
    <s v="Diskon 110rb"/>
  </r>
  <r>
    <s v="Kost Singgahsini Meruya Selatan Tipe A Kembangan Jakarta Barat"/>
    <x v="3"/>
    <s v="Kecamatan Kembangan"/>
    <n v="7.9200000000000008"/>
    <s v="3.6 x 2.2 meter"/>
    <s v="Termasuk listrik (implied)"/>
    <s v=""/>
    <s v="N/A"/>
    <s v="3.6 x 2.2 meter; Termasuk listrik; AC; Kasur; Lemari Baju; Bantal; Cermin; Jendela; K. Mandi Dalam; Kloset Jongkok; WiFi; R. Tamu; R. Jemur; Dapur; CCTV; Parkir Motor; Parkir Sepeda"/>
    <x v="126"/>
    <s v="Rp1.425.000"/>
    <x v="8"/>
    <d v="1899-12-30T04:09:00"/>
    <x v="2"/>
    <m/>
    <s v="Diskon 125rb"/>
  </r>
  <r>
    <s v="Kost Singgahsini Meruya Selatan Tipe B Kembangan Jakarta Barat"/>
    <x v="3"/>
    <s v="Kecamatan Kembangan"/>
    <n v="20.8"/>
    <s v="5.2 x 4 meter"/>
    <s v="Tidak termasuk listrik"/>
    <s v=""/>
    <s v="N/A"/>
    <s v="5.2 x 4 meter; Tidak termasuk listrik; AC; Kasur; Meja; Lemari Baju; Bantal; K. Mandi Dalam; Kloset Duduk; WiFi; R. Tamu; R. Jemur; Dapur; CCTV; Parkir Motor; Parkir Sepeda"/>
    <x v="58"/>
    <s v="Rp1.525.000"/>
    <x v="6"/>
    <d v="1899-12-30T04:06:00"/>
    <x v="2"/>
    <m/>
    <m/>
  </r>
  <r>
    <s v="Kost Singgahsini Meruya Selatan Tipe C Kembangan Jakarta Barat"/>
    <x v="3"/>
    <s v="Kecamatan Kembangan"/>
    <n v="7.9200000000000008"/>
    <s v="3.6 x 2.2 meter"/>
    <s v="Termasuk listrik (implied)"/>
    <s v=""/>
    <s v="N/A"/>
    <s v="3.6 x 2.2 meter; Termasuk listrik; AC; Kasur; Lemari Baju; Kursi; Bantal; Guling; Jendela; K. Mandi Dalam; Kloset Duduk; K. Mandi Luar; Shower; WiFi; R. Tamu; R. Jemur; Dapur; CCTV; Parkir Motor; Parkir Sepeda"/>
    <x v="34"/>
    <s v="Rp1.325.000"/>
    <x v="2"/>
    <d v="1899-12-30T04:08:00"/>
    <x v="2"/>
    <m/>
    <m/>
  </r>
  <r>
    <s v="Kost Singgahsini MHR Tipe A Cikokol Tangerang"/>
    <x v="6"/>
    <s v="Tangerang"/>
    <n v="24"/>
    <s v="8 x 3 meter"/>
    <s v="Tidak termasuk listrik"/>
    <n v="2125000"/>
    <s v="Rp2.125.000"/>
    <s v="8 x 3 meter; Tidak termasuk listrik; AC; Kasur; Meja; TV; Lemari Baju; Kursi; Bantal; Cermin; Guling; Jendela; K. Mandi Dalam; Kloset Duduk; Wastafel; Ember mandi; Shower; Air panas; WiFi; R. Cuci; R. Tamu; Penjaga Kos; R. Jemur; Mushola; Dapur; Taman; Gazebo; Parkir Mobil; Parkir Motor &amp; Sepeda"/>
    <x v="291"/>
    <s v="Rp2.020.000"/>
    <x v="13"/>
    <d v="1899-12-30T04:03:00"/>
    <x v="0"/>
    <m/>
    <s v="Diskon 105rb"/>
  </r>
  <r>
    <s v="Kost Singgahsini MHR Tipe B Cikokol Tangerang"/>
    <x v="6"/>
    <s v="Tangerang"/>
    <n v="24"/>
    <s v="8 x 3 meter"/>
    <s v="Tidak termasuk listrik"/>
    <n v="1825000"/>
    <s v="Rp1.825.000"/>
    <s v="8 x 3 meter; Tidak termasuk listrik; AC; Kasur; Meja; TV; Lemari Baju; Kursi; Bantal; Cermin; Guling; Jendela; K. Mandi Dalam; Kloset Duduk; Ember mandi; Shower; WiFi; R. Cuci; R. Tamu; Penjaga Kos; R. Jemur; Mushola; Dapur; Taman; Gazebo; Parkir Mobil; Parkir Motor &amp; Sepeda"/>
    <x v="143"/>
    <s v="Rp1.735.000"/>
    <x v="12"/>
    <d v="1899-12-30T04:04:00"/>
    <x v="0"/>
    <m/>
    <s v="Diskon 90rb"/>
  </r>
  <r>
    <s v="Kost Singgahsini Milo Residence Tipe B Kramat Jati Jakarta Timur"/>
    <x v="8"/>
    <s v="Kramat Jati"/>
    <n v="12"/>
    <s v="4 x 3 meter"/>
    <s v="Tidak termasuk listrik"/>
    <n v="2300000"/>
    <s v="Rp2.300.000"/>
    <s v="4 x 3 meter; Tidak termasuk listrik; AC; Kasur; Meja; TV; Lemari Baju; Kulkas; Ventilasi; Kursi; Bantal; Cermin; K. Mandi Dalam; Kloset Duduk; Shower; Air panas; WiFi; R. Jemur; Dapur; CCTV; Parkir Motor &amp; Sepeda"/>
    <x v="407"/>
    <s v="Rp2.185.000"/>
    <x v="13"/>
    <d v="1899-12-30T04:03:00"/>
    <x v="0"/>
    <m/>
    <s v="Diskon 115rb"/>
  </r>
  <r>
    <s v="Kost Singgahsini Miracle Petamburan II Tipe A Tanah Abang Jakarta Pusat"/>
    <x v="9"/>
    <s v="Tanah Abang"/>
    <n v="6"/>
    <s v="3 x 2 meter"/>
    <s v="Tidak termasuk listrik"/>
    <n v="1725000"/>
    <s v="Rp1.725.000"/>
    <s v="3 x 2 meter; Tidak termasuk listrik; AC; Kasur; Lemari Baju; Bantal; Cermin; Jendela; K. Mandi Dalam; Kloset Duduk; Kloset Jongkok; Ember mandi; Shower; WiFi; Kulkas; R. Jemur; Dapur; Dispenser; Parkir Mobil; Parkir Motor; Parkir Sepeda; Parkir Motor &amp; Sepeda"/>
    <x v="103"/>
    <s v="Rp1.640.000"/>
    <x v="2"/>
    <d v="1899-12-30T04:08:00"/>
    <x v="2"/>
    <m/>
    <s v="Diskon 85rb"/>
  </r>
  <r>
    <s v="Kost Singgahsini Miracle Petamburan II Tipe B Tanah Abang Jakarta Pusat"/>
    <x v="9"/>
    <s v="Tanah Abang"/>
    <n v="6"/>
    <s v="3 x 2 meter"/>
    <s v="Tidak termasuk listrik"/>
    <n v="1825000"/>
    <s v="Rp1.825.000"/>
    <s v="3 x 2 meter; Tidak termasuk listrik; AC; Kasur; Lemari Baju; Bantal; Cermin; Jendela; K. Mandi Dalam; Kloset Duduk; Kloset Jongkok; Ember mandi; Shower; WiFi; Kulkas; R. Jemur; Dapur; Dispenser; Parkir Mobil; Parkir Motor; Parkir Sepeda; Parkir Motor &amp; Sepeda"/>
    <x v="143"/>
    <s v="Rp1.735.000"/>
    <x v="6"/>
    <d v="1899-12-30T04:06:00"/>
    <x v="2"/>
    <m/>
    <s v="Diskon 90rb"/>
  </r>
  <r>
    <s v="Kost Singgahsini Miracle Petamburan II Tipe C Tanah Abang Jakarta Pusat"/>
    <x v="9"/>
    <s v="Tanah Abang"/>
    <n v="12"/>
    <s v="4 x 3 meter"/>
    <s v="Tidak termasuk listrik"/>
    <n v="1875000"/>
    <s v="Rp1.875.000"/>
    <s v="4 x 3 meter; Tidak termasuk listrik; AC; Kasur; Lemari Baju; Bantal; Cermin; Jendela; K. Mandi Dalam; Kloset Jongkok; Ember mandi; Shower; WiFi; Kulkas; R. Jemur; Dapur; Dispenser; Parkir Mobil; Parkir Motor; Parkir Sepeda; Parkir Motor &amp; Sepeda"/>
    <x v="342"/>
    <s v="Rp1.782.500"/>
    <x v="8"/>
    <d v="1899-12-30T04:09:00"/>
    <x v="2"/>
    <m/>
    <s v="Diskon 93rb"/>
  </r>
  <r>
    <s v="Kost Singgahsini Mona Tipe A Duren Sawit Jakarta Timur"/>
    <x v="8"/>
    <s v="Duren Sawit"/>
    <n v="8.75"/>
    <s v="3.5 x 2.5 meter"/>
    <s v="Tidak termasuk listrik"/>
    <n v="1675000"/>
    <s v="Rp1.675.000"/>
    <s v="3.5 x 2.5 meter; Tidak termasuk listrik; AC; Kasur; Meja; Lemari Baju; Ventilasi; Kursi; Kipas Angin; Bantal; Cermin; Guling; K. Mandi Dalam; Kloset Duduk; Shower; WiFi; Kulkas; R. Tamu; R. Makan; Dapur; Parkir Motor &amp; Sepeda"/>
    <x v="411"/>
    <s v="Rp1.543.000"/>
    <x v="2"/>
    <d v="1899-12-30T04:08:00"/>
    <x v="2"/>
    <m/>
    <s v="Diskon 132rb"/>
  </r>
  <r>
    <s v="Kost Singgahsini Mona Tipe E Duren Sawit Jakarta Timur"/>
    <x v="8"/>
    <s v="Duren Sawit"/>
    <n v="6"/>
    <s v="3 x 2 meter"/>
    <s v="Tidak termasuk listrik"/>
    <s v=""/>
    <s v="N/A"/>
    <s v="3 x 2 meter; Tidak termasuk listrik; AC; Kasur; Meja; Lemari Baju; Ventilasi; Kursi; Bantal; Cermin; Guling; Jendela; Kloset Duduk; K. Mandi Luar; Shower; WiFi; Kulkas; R. Tamu; R. Makan; Dapur; Parkir Motor &amp; Sepeda"/>
    <x v="56"/>
    <s v="Rp1.225.000"/>
    <x v="10"/>
    <d v="1899-12-30T04:05:00"/>
    <x v="2"/>
    <m/>
    <s v="Diskon 132rb"/>
  </r>
  <r>
    <s v="Kost Singgahsini MPR05 Menteng Pulo Tipe A Setiabudi Jakarta Selatan"/>
    <x v="5"/>
    <s v="Setia Budi"/>
    <n v="7"/>
    <s v="2 x 3.5 meter"/>
    <s v="Tidak termasuk listrik"/>
    <s v=""/>
    <s v="N/A"/>
    <s v="2 x 3.5 meter; Tidak termasuk listrik; AC; Kasur; Lemari Baju; Bantal; Cermin; Jendela; K. Mandi Dalam; Kloset Duduk; Shower; WiFi; Kulkas; R. Tamu; Penjaga Kos; R. Jemur; Dapur; Dispenser; Parkir Motor &amp; Sepeda"/>
    <x v="412"/>
    <s v="Rp2.285.000"/>
    <x v="6"/>
    <d v="1899-12-30T04:06:00"/>
    <x v="2"/>
    <m/>
    <s v="Diskon 120rb"/>
  </r>
  <r>
    <s v="Kost Singgahsini MR PKN STAN Tipe A Pondok Aren Tangerang Selatan"/>
    <x v="2"/>
    <s v="Pondok Aren"/>
    <n v="13.32"/>
    <s v="3.7 x 3.6 meter"/>
    <s v="Tidak termasuk listrik"/>
    <n v="1625000"/>
    <s v="Rp1.625.000"/>
    <s v="3.7 x 3.6 meter; Tidak termasuk listrik; AC; Kasur; Meja; Lemari Baju; Ventilasi; Kursi; Bantal; Cermin; Guling; Jendela; K. Mandi Dalam; Kloset Jongkok; Ember mandi; Bak mandi; WiFi; Kulkas; R. Tamu; Penjaga Kos; R. Jemur; Dapur; Jemuran; Parkir Mobil; Parkir Motor; Parkir Sepeda"/>
    <x v="413"/>
    <s v="Rp1.497.000"/>
    <x v="10"/>
    <d v="1899-12-30T04:05:00"/>
    <x v="0"/>
    <m/>
    <s v="Diskon 128rb"/>
  </r>
  <r>
    <s v="Kost Singgahsini MR PKN STAN Tipe B Pondok Aren Tangerang Selatan"/>
    <x v="2"/>
    <s v="Pondok Aren"/>
    <n v="7.5"/>
    <s v="2.5 x 3 meter"/>
    <s v="Tidak termasuk listrik"/>
    <n v="1325000"/>
    <s v="Rp1.325.000"/>
    <s v="2.5 x 3 meter; Tidak termasuk listrik; AC; Kasur; Meja; Lemari Baju; Ventilasi; Kursi; Bantal; Cermin; Guling; Jendela; K. Mandi Dalam; Kloset Duduk; K. Mandi Luar; Ember mandi; WiFi; Kulkas; R. Tamu; Penjaga Kos; R. Jemur; Dapur; Jemuran; Parkir Mobil; Parkir Motor; Parkir Sepeda"/>
    <x v="81"/>
    <s v="Rp1.221.000"/>
    <x v="10"/>
    <d v="1899-12-30T04:05:00"/>
    <x v="0"/>
    <m/>
    <s v="Diskon 104rb"/>
  </r>
  <r>
    <s v="Kost Singgahsini MR PKN STAN Tipe C Pondok Aren Tangerang Selatan"/>
    <x v="2"/>
    <s v="Pondok Aren"/>
    <n v="5.75"/>
    <s v="2.3 x 2.5 meter"/>
    <s v="Tidak termasuk listrik"/>
    <n v="925000"/>
    <s v="Rp925.000"/>
    <s v="2.3 x 2.5 meter; Tidak termasuk listrik; Kasur; Meja; Lemari Baju; Kursi; Bantal; Cermin; Guling; Jendela; Kloset Jongkok; K. Mandi Luar; Ember mandi; WiFi; Kulkas; R. Tamu; Penjaga Kos; R. Jemur; Dapur; Jemuran; Parkir Mobil; Parkir Motor; Parkir Sepeda"/>
    <x v="61"/>
    <s v="Rp853.000"/>
    <x v="6"/>
    <d v="1899-12-30T04:06:00"/>
    <x v="0"/>
    <m/>
    <s v="Diskon 72rb"/>
  </r>
  <r>
    <s v="Kost Singgahsini MRT Haji Nawi 28 Tipe B Fatmawati Jakarta Selatan"/>
    <x v="5"/>
    <s v="Kecamatan Cilandak"/>
    <e v="#VALUE!"/>
    <s v="N/A"/>
    <s v="N/A"/>
    <n v="2625000"/>
    <s v="Rp2.625.000"/>
    <s v=""/>
    <x v="414"/>
    <s v="Rp2.365.000"/>
    <x v="10"/>
    <d v="1899-12-30T04:05:00"/>
    <x v="0"/>
    <m/>
    <s v="Diskon 260rb"/>
  </r>
  <r>
    <s v="Kost Singgahsini MRT Haji Nawi 28 Tipe C Fatmawati Jakarta Selatan"/>
    <x v="5"/>
    <s v="Cilandak"/>
    <n v="24"/>
    <s v="4 x 6 meter"/>
    <s v="Tidak termasuk listrik"/>
    <n v="3225000"/>
    <s v="Rp3.225.000"/>
    <s v="4 x 6 meter; Tidak termasuk listrik; AC; Kasur; Meja; TV; Lemari Baju; Ventilasi; Kursi; Bantal; Cermin; Guling; K. Mandi Dalam; Kloset Duduk; Wastafel; Shower; Air panas; WiFi; R. Tamu; Dapur; K. Mandi Luar; Parkir Mobil; Parkir Motor; Parkir Sepeda"/>
    <x v="415"/>
    <s v="Rp2.905.000"/>
    <x v="8"/>
    <d v="1899-12-30T04:09:00"/>
    <x v="0"/>
    <m/>
    <s v="Diskon 320rb"/>
  </r>
  <r>
    <s v="Kost Singgahsini Muhajar 50 Tipe A Kebon Jeruk Jakarta Barat"/>
    <x v="3"/>
    <s v="Kebon Jeruk"/>
    <n v="18"/>
    <s v="4 x 4.5 meter"/>
    <s v="Tidak termasuk listrik"/>
    <n v="2225000"/>
    <s v="Rp2.225.000"/>
    <s v="4 x 4.5 meter; Tidak termasuk listrik; AC; Kasur; Meja; Lemari Baju; Ventilasi; Kursi; Bantal; Guling; Jendela; K. Mandi Dalam; Kloset Duduk; Shower; Air panas; WiFi; Kulkas; R. Cuci; Penjaga Kos; R. Jemur; Dapur; Gazebo; CCTV; Jemuran; Parkir Motor &amp; Sepeda"/>
    <x v="311"/>
    <s v="Rp2.115.000"/>
    <x v="6"/>
    <d v="1899-12-30T04:06:00"/>
    <x v="2"/>
    <m/>
    <s v="Diskon 110rb"/>
  </r>
  <r>
    <s v="Kost Singgahsini Muhajar 50 Tipe B Kebon Jeruk Jakarta Barat"/>
    <x v="3"/>
    <s v="Kebon Jeruk"/>
    <n v="14"/>
    <s v="3.5 x 4 meter"/>
    <s v="Tidak termasuk listrik"/>
    <n v="2125000"/>
    <s v="Rp2.125.000"/>
    <s v="3.5 x 4 meter; Tidak termasuk listrik; AC; Kasur; Meja; Lemari Baju; Kursi; Bantal; Guling; Jendela; K. Mandi Dalam; Kloset Duduk; Wastafel; Shower; Air panas; WiFi; Kulkas; R. Cuci; Penjaga Kos; R. Jemur; Dapur; Gazebo; CCTV; Jemuran; Parkir Motor &amp; Sepeda"/>
    <x v="291"/>
    <s v="Rp2.020.000"/>
    <x v="6"/>
    <d v="1899-12-30T04:06:00"/>
    <x v="2"/>
    <m/>
    <s v="Diskon 105rb"/>
  </r>
  <r>
    <s v="Kost Singgahsini Muhajar Tipe A Kebon Jeruk Jakarta Barat"/>
    <x v="3"/>
    <s v="Kebon Jeruk"/>
    <n v="12"/>
    <s v="4 x 3 meter"/>
    <s v="Termasuk listrik (implied)"/>
    <n v="2125000"/>
    <s v="Rp2.125.000"/>
    <s v="4 x 3 meter; Termasuk listrik; AC; Kasur; Meja; Lemari Baju; Kursi; Cleaning service; Bantal; Jendela; K. Mandi Dalam; Kloset Duduk; Wastafel; Shower; Air panas; WiFi; Kulkas; Penjaga Kos; Dapur; Dispenser; Balcon; Parkir Mobil; Parkir Motor; Parkir Sepeda; Parkir Motor &amp; Sepeda"/>
    <x v="291"/>
    <s v="Rp2.020.000"/>
    <x v="8"/>
    <d v="1899-12-30T04:09:00"/>
    <x v="2"/>
    <m/>
    <s v="Diskon 105rb"/>
  </r>
  <r>
    <s v="Kost Singgahsini Muhajar Tipe B Kebon Jeruk Jakarta Barat"/>
    <x v="3"/>
    <s v="Kebon Jeruk"/>
    <n v="8.75"/>
    <s v="3.5 x 2.5 meter"/>
    <s v="Tidak termasuk listrik"/>
    <n v="2025000"/>
    <s v="Rp2.025.000"/>
    <s v="3.5 x 2.5 meter; Tidak termasuk listrik; AC; Kasur; Meja; Lemari Baju; Kursi; Cleaning service; Bantal; K. Mandi Dalam; Kloset Duduk; Wastafel; Shower; Air panas; WiFi; Kulkas; Penjaga Kos; Dapur; Dispenser; Balcon; Parkir Mobil; Parkir Motor; Parkir Sepeda; Parkir Motor &amp; Sepeda"/>
    <x v="228"/>
    <s v="Rp1.925.000"/>
    <x v="2"/>
    <d v="1899-12-30T04:08:00"/>
    <x v="2"/>
    <m/>
    <s v="Diskon 100rb"/>
  </r>
  <r>
    <s v="Kost Singgahsini Mutiara 16B Tipe A Sumur Batu Jakarta Pusat"/>
    <x v="9"/>
    <s v="Kecamatan Kemayoran"/>
    <n v="9"/>
    <s v="3 x 3 meter"/>
    <s v="Tidak termasuk listrik"/>
    <n v="1225000"/>
    <s v="Rp1.225.000"/>
    <s v="3 x 3 meter; Tidak termasuk listrik; AC; Kasur; Meja; Lemari Baju; Ventilasi; Kursi; Bantal; Cermin; Jendela; Kloset Duduk; Kloset Jongkok; K. Mandi Luar; Ember mandi; Shower; WiFi; Dapur; Jemuran; Parkir Mobil; Parkir Sepeda; Parkir Motor &amp; Sepeda"/>
    <x v="84"/>
    <s v="Rp1.129.000"/>
    <x v="2"/>
    <d v="1899-12-30T04:08:00"/>
    <x v="0"/>
    <m/>
    <s v="Diskon 96rb"/>
  </r>
  <r>
    <s v="Kost Singgahsini Mutiara 16B Tipe B Sumur Batu Jakarta Pusat"/>
    <x v="9"/>
    <s v="Kecamatan Kemayoran"/>
    <n v="5"/>
    <s v="2.5 x 2.0 meter"/>
    <s v="Tidak termasuk listrik"/>
    <s v=""/>
    <s v="N/A"/>
    <s v="2.5 x 2.0 meter; Tidak termasuk listrik; AC; Kasur; Meja; Lemari Baju; Ventilasi; Kursi; Bantal; Cermin; Jendela; Kloset Duduk; Kloset Jongkok; K. Mandi Luar; Ember mandi; Shower; WiFi; Dapur; Jemuran; Parkir Mobil; Parkir Sepeda; Parkir Motor &amp; Sepeda"/>
    <x v="125"/>
    <s v="Rp1.125.000"/>
    <x v="8"/>
    <d v="1899-12-30T04:09:00"/>
    <x v="0"/>
    <m/>
    <s v="Diskon 96rb"/>
  </r>
  <r>
    <s v="Kost Singgahsini My Home Tipe A Setiabudi Jakarta Selatan"/>
    <x v="5"/>
    <s v="SETIA BUDI"/>
    <n v="12"/>
    <s v="4 x 3 meter"/>
    <s v="Tidak termasuk listrik"/>
    <n v="2525000"/>
    <s v="Rp2.525.000"/>
    <s v="4 x 3 meter; Tidak termasuk listrik; AC; Kasur; Meja; Lemari Baju; Kursi; Bantal; Guling; Jendela; K. Mandi Dalam; Kloset Duduk; Wastafel; Shower; Air panas; WiFi; R. Cuci; R. Tamu; Penjaga Kos; Dapur; K. Mandi Luar; Parkir Mobil; Parkir Motor; Parkir Sepeda; Parkir Motor &amp; Sepeda"/>
    <x v="33"/>
    <s v="Rp2.400.000"/>
    <x v="10"/>
    <d v="1899-12-30T04:05:00"/>
    <x v="0"/>
    <m/>
    <s v="Diskon 125rb"/>
  </r>
  <r>
    <s v="Kost Singgahsini My Home Tipe B Setiabudi Jakarta Selatan"/>
    <x v="5"/>
    <s v="SETIA BUDI"/>
    <n v="10.799999999999999"/>
    <s v="4.5 x 2.4 meter"/>
    <s v="Tidak termasuk listrik"/>
    <s v=""/>
    <s v="N/A"/>
    <s v="4.5 x 2.4 meter; Tidak termasuk listrik; AC; Kasur; Meja; TV; Lemari Baju; Kursi; Bantal; Guling; Jendela; K. Mandi Dalam; Kloset Duduk; K. Mandi Luar; Wastafel; Shower; Air panas; WiFi; R. Cuci; R. Tamu; Penjaga Kos; Dapur; Rooftop; Parkir Mobil; Parkir Motor; Parkir Sepeda; Parkir Motor &amp; Sepeda"/>
    <x v="363"/>
    <s v="Rp2.825.000"/>
    <x v="10"/>
    <d v="1899-12-30T04:05:00"/>
    <x v="0"/>
    <m/>
    <s v="Diskon 125rb"/>
  </r>
  <r>
    <s v="Kost Singgahsini My Pelopor Tipe B Kalideres Jakarta Barat"/>
    <x v="3"/>
    <s v="Kali Deres"/>
    <n v="9.8899999999999988"/>
    <s v="4.3 x 2.3 meter"/>
    <s v="Tidak termasuk listrik"/>
    <n v="1725000"/>
    <s v="Rp1.725.000"/>
    <s v="4.3 x 2.3 meter; Tidak termasuk listrik; AC; Kasur; Lemari Baju; Bantal; Guling; Jendela; K. Mandi Dalam; Kloset Duduk; Shower; WiFi; R. Tamu; Penjaga Kos; R. Jemur; Dapur; Dispenser; Balcon; CCTV; Rooftop; Parkir Motor &amp; Sepeda"/>
    <x v="334"/>
    <s v="Rp1.589.000"/>
    <x v="13"/>
    <d v="1899-12-30T04:03:00"/>
    <x v="0"/>
    <m/>
    <s v="Diskon 136rb"/>
  </r>
  <r>
    <s v="Kost Singgahsini Nathan Kemang Utara Tipe B Mampang Prapatan Jakarta Selatan"/>
    <x v="5"/>
    <s v="Mampang Prapatan"/>
    <n v="10.8"/>
    <s v="3 x 3.6 meter"/>
    <s v="Tidak termasuk listrik"/>
    <n v="2925000"/>
    <s v="Rp2.925.000"/>
    <s v="3 x 3.6 meter; Tidak termasuk listrik; AC; Kasur; Meja; Lemari Baju; Kursi; Bantal; Cermin; Guling; Jendela; K. Mandi Dalam; Kloset Duduk; Wastafel; Shower; Air panas; WiFi; Kulkas; R. Tamu; Penjaga Kos; Mushola; R. Santai; Dapur; Dispenser; Taman; CCTV; Parkir Mobil; Parkir Sepeda; Parkir Motor &amp; Sepeda"/>
    <x v="391"/>
    <s v="Rp2.780.000"/>
    <x v="10"/>
    <d v="1899-12-30T04:05:00"/>
    <x v="0"/>
    <m/>
    <s v="Diskon 145rb"/>
  </r>
  <r>
    <s v="Kost Singgahsini Ndalem Lakshmi Tipe A Pasar Minggu Jakarta Selatan"/>
    <x v="5"/>
    <s v="Pasar Minggu"/>
    <n v="10.5"/>
    <s v="3.5 x 3 meter"/>
    <s v="Tidak termasuk listrik"/>
    <n v="2775000"/>
    <s v="Rp2.775.000"/>
    <s v="3.5 x 3 meter; Tidak termasuk listrik; AC; Kasur; Meja; Lemari Baju; Kursi; Bantal; Guling; Jendela; K. Mandi Dalam; Kloset Duduk; Wastafel; Shower; Air panas; WiFi; Kulkas; Penjaga Kos; R. Makan; R. Jemur; Dapur; Dispenser; TV; CCTV; Jemuran; Parkir Mobil; Parkir Motor &amp; Sepeda"/>
    <x v="416"/>
    <s v="Rp2.637.500"/>
    <x v="2"/>
    <d v="1899-12-30T04:08:00"/>
    <x v="2"/>
    <m/>
    <s v="Diskon 138rb"/>
  </r>
  <r>
    <s v="Kost Singgahsini Ndalem Lakshmi Tipe B Pasar Minggu Jakarta Selatan"/>
    <x v="5"/>
    <s v="Pasar Minggu"/>
    <n v="8.75"/>
    <s v="3.5 x 2.5 meter"/>
    <s v="Tidak termasuk listrik"/>
    <n v="2525000"/>
    <s v="Rp2.525.000"/>
    <s v="3.5 x 2.5 meter; Tidak termasuk listrik; AC; Kasur; Meja; Lemari Baju; Kursi; Bantal; Guling; Jendela; K. Mandi Dalam; Kloset Duduk; Wastafel; Shower; Air panas; WiFi; Kulkas; Penjaga Kos; R. Makan; R. Jemur; Dapur; Dispenser; TV; CCTV; Jemuran; Parkir Mobil; Parkir Motor &amp; Sepeda"/>
    <x v="33"/>
    <s v="Rp2.400.000"/>
    <x v="2"/>
    <d v="1899-12-30T04:08:00"/>
    <x v="2"/>
    <m/>
    <s v="Diskon 125rb"/>
  </r>
  <r>
    <s v="Kost Singgahsini Nest Cikini Tipe A Menteng Jakarta Pusat"/>
    <x v="9"/>
    <s v="Menteng"/>
    <n v="8.64"/>
    <s v="3.2 x 2.7 meter"/>
    <s v="Tidak termasuk listrik"/>
    <n v="2525000"/>
    <s v="Rp2.525.000"/>
    <s v="3.2 x 2.7 meter; Tidak termasuk listrik; AC; Kasur; Meja; TV; Lemari Baju; Ventilasi; Bantal; Cermin; Kloset Duduk; K. Mandi Luar; Ember mandi; Shower; WiFi; Kulkas; Penjaga Kos; R. Jemur; Dapur; CCTV; Parkir Motor &amp; Sepeda"/>
    <x v="338"/>
    <s v="Rp2.275.000"/>
    <x v="14"/>
    <d v="1899-12-30T03:05:00"/>
    <x v="0"/>
    <m/>
    <s v="Diskon 250rb"/>
  </r>
  <r>
    <s v="Kost Singgahsini Nest Cikini Tipe B Menteng Jakarta Pusat"/>
    <x v="9"/>
    <s v="Menteng"/>
    <n v="7.5"/>
    <s v="3 x 2.5 meter"/>
    <s v="Tidak termasuk listrik"/>
    <n v="2025000"/>
    <s v="Rp2.025.000"/>
    <s v="3 x 2.5 meter; Tidak termasuk listrik; AC; Kasur; Meja; TV; Lemari Baju; Ventilasi; Bantal; Cermin; Guling; Kloset Duduk; K. Mandi Luar; Ember mandi; Shower; WiFi; Kulkas; Penjaga Kos; R. Jemur; Dapur; CCTV; Parkir Motor &amp; Sepeda"/>
    <x v="154"/>
    <s v="Rp1.825.000"/>
    <x v="8"/>
    <d v="1899-12-30T04:09:00"/>
    <x v="0"/>
    <m/>
    <s v="Diskon 200rb"/>
  </r>
  <r>
    <s v="Kost Singgahsini Nina Kebagusan Raya Tipe C Pasar Minggu Jakarta Selatan"/>
    <x v="5"/>
    <s v="Pasar Minggu"/>
    <n v="6.3000000000000007"/>
    <s v="3 x 2.1 meter"/>
    <s v="Termasuk listrik (implied)"/>
    <s v=""/>
    <s v="N/A"/>
    <s v="3 x 2.1 meter; Termasuk listrik; Kasur; Meja; Lemari Baju; Ventilasi; Kursi; Bantal; Guling; Jendela; Kloset Duduk; K. Mandi Luar; WiFi; Penjaga Kos; R. Jemur; Dapur; Dispenser; Jemuran; Parkir Mobil; Parkir Motor; Parkir Sepeda"/>
    <x v="125"/>
    <s v="Rp1.125.000"/>
    <x v="10"/>
    <d v="1899-12-30T04:05:00"/>
    <x v="1"/>
    <m/>
    <s v="Diskon 88rb"/>
  </r>
  <r>
    <s v="Kost Singgahsini Ninetree Mangga Besar Tipe B Tamansari Jakarta Barat"/>
    <x v="3"/>
    <s v="Taman Sari"/>
    <n v="9"/>
    <s v="3 x 3 meter"/>
    <s v="Tidak termasuk listrik"/>
    <n v="2325000"/>
    <s v="Rp2.325.000"/>
    <s v="3 x 3 meter; Tidak termasuk listrik; AC; Kasur; Meja Rias; Lemari Baju; Kursi; Bantal; Cermin; Jendela; K. Mandi Dalam; Kloset Duduk; Wastafel; Ember mandi; Shower; Air panas; WiFi; K. Mandi Luar; Parkir Mobil; Parkir Sepeda; Parkir Motor &amp; Sepeda"/>
    <x v="341"/>
    <s v="Rp2.210.000"/>
    <x v="2"/>
    <d v="1899-12-30T04:08:00"/>
    <x v="2"/>
    <m/>
    <s v="Diskon 115rb"/>
  </r>
  <r>
    <s v="Kost Singgahsini Nona Lebak Bulus Tipe A Cilandak Jakarta Selatan"/>
    <x v="5"/>
    <s v="Cilandak"/>
    <n v="9.6000000000000014"/>
    <s v="3.2 x 3 meter"/>
    <s v="Tidak termasuk listrik"/>
    <s v=""/>
    <s v="N/A"/>
    <s v="3.2 x 3 meter; Tidak termasuk listrik; AC; Kasur; Meja; Lemari Baju; Ventilasi; Kursi; Bantal; Jendela; K. Mandi Dalam; Kloset Duduk; Shower; WiFi; Kulkas; R. Jemur; Dapur; CCTV; Parkir Mobil; Parkir Motor; Parkir Sepeda; Parkir Motor &amp; Sepeda"/>
    <x v="52"/>
    <s v="Rp1.875.000"/>
    <x v="8"/>
    <d v="1899-12-30T04:09:00"/>
    <x v="2"/>
    <m/>
    <m/>
  </r>
  <r>
    <s v="Kost Singgahsini Nona Lebak Bulus Tipe B Cilandak Jakarta Selatan"/>
    <x v="5"/>
    <s v="Cilandak"/>
    <n v="7"/>
    <s v="2.8 x 2.5 meter"/>
    <s v="Tidak termasuk listrik"/>
    <s v=""/>
    <s v="N/A"/>
    <s v="2.8 x 2.5 meter; Tidak termasuk listrik; AC; Kasur; Meja; Lemari Baju; Ventilasi; Kursi; Bantal; Cermin; Jendela; K. Mandi Dalam; Kloset Duduk; Shower; WiFi; Kulkas; R. Jemur; Dapur; CCTV; Parkir Mobil; Parkir Motor; Parkir Sepeda; Parkir Motor &amp; Sepeda"/>
    <x v="312"/>
    <s v="Rp1.775.000"/>
    <x v="8"/>
    <d v="1899-12-30T04:09:00"/>
    <x v="2"/>
    <m/>
    <m/>
  </r>
  <r>
    <s v="Kost Singgahsini Nony Tipe A Tanjung Priok Jakarta Utara"/>
    <x v="4"/>
    <s v="Tanjung Priok"/>
    <n v="12"/>
    <s v="4 x 3 meter"/>
    <s v="Tidak termasuk listrik"/>
    <n v="1625000"/>
    <s v="Rp1.625.000"/>
    <s v="4 x 3 meter; Tidak termasuk listrik; AC; Kasur; Lemari Baju; Ventilasi; Bantal; Jendela; Guling; K. Mandi Dalam; Kloset Duduk; Ember mandi; Shower; WiFi; Penjaga Kos; R. Jemur; CCTV; Balcon; Parkir Motor &amp; Sepeda"/>
    <x v="343"/>
    <s v="Rp1.465.000"/>
    <x v="14"/>
    <d v="1899-12-30T03:05:00"/>
    <x v="2"/>
    <m/>
    <s v="Diskon 160rb"/>
  </r>
  <r>
    <s v="Kost Singgahsini Nony Tipe B Tanjung Priok Jakarta Utara"/>
    <x v="4"/>
    <s v="Tanjung Priok"/>
    <n v="9"/>
    <s v="3 x 3 meter"/>
    <s v="Tidak termasuk listrik"/>
    <n v="1575000"/>
    <s v="Rp1.575.000"/>
    <s v="3 x 3 meter; Tidak termasuk listrik; AC; Kasur; Lemari Baju; Ventilasi; Bantal; Jendela; Guling; K. Mandi Dalam; Kloset Duduk; Ember mandi; Shower; WiFi; Penjaga Kos; R. Jemur; CCTV; Balcon; Parkir Motor &amp; Sepeda"/>
    <x v="417"/>
    <s v="Rp1.420.000"/>
    <x v="3"/>
    <d v="1899-12-30T05:00:00"/>
    <x v="2"/>
    <m/>
    <s v="Diskon 155rb"/>
  </r>
  <r>
    <s v="Kost Singgahsini Nusa Indah 15 Tipe A Tomang Jakarta Barat"/>
    <x v="3"/>
    <s v="Palmerah"/>
    <n v="12"/>
    <s v="4 x 3 meter"/>
    <s v="Tidak termasuk listrik"/>
    <n v="3025000"/>
    <s v="Rp3.025.000"/>
    <s v="4 x 3 meter; Tidak termasuk listrik; AC; Kasur; Meja; Lemari Baju; Ventilasi; Kursi; Bantal; Cermin; Jendela; K. Mandi Dalam; Kloset Duduk; Wastafel; Shower; Air panas; WiFi; R. Cuci; Kulkas; R. Tamu; Mesin Cuci; Penjaga Kos; R. Makan; R. Jemur; Dapur; Dispenser; Parkir Mobil; Parkir Motor &amp; Sepeda"/>
    <x v="305"/>
    <s v="Rp2.875.000"/>
    <x v="6"/>
    <d v="1899-12-30T04:06:00"/>
    <x v="2"/>
    <m/>
    <s v="Diskon 150rb"/>
  </r>
  <r>
    <s v="Kost Singgahsini Oasis Kedoya Tipe B Kebon Jeruk Jakarta Barat"/>
    <x v="3"/>
    <s v="Kebon Jeruk"/>
    <n v="9"/>
    <s v="3 x 3 meter"/>
    <s v="Tidak termasuk listrik"/>
    <s v=""/>
    <s v="N/A"/>
    <s v="3 x 3 meter; Tidak termasuk listrik; AC; Kasur; Meja; Lemari Baju; Kursi; Jendela; Bantal; Cermin; Kloset Duduk; K. Mandi Luar; Ember mandi; Shower; WiFi; Penjaga Kos; Dapur; Parkir Mobil; Parkir Motor &amp; Sepeda"/>
    <x v="78"/>
    <s v="Rp1.625.000"/>
    <x v="6"/>
    <d v="1899-12-30T04:06:00"/>
    <x v="0"/>
    <m/>
    <s v="Diskon 83rb"/>
  </r>
  <r>
    <s v="Kost Singgahsini Oasis Kedoya Tipe C Kebon Jeruk Jakarta Barat"/>
    <x v="3"/>
    <s v="Kebon Jeruk"/>
    <n v="9"/>
    <s v="3 x 3 meter"/>
    <s v="Tidak termasuk listrik"/>
    <s v=""/>
    <s v="N/A"/>
    <s v="3 x 3 meter; Tidak termasuk listrik; AC; Kasur; Meja; Lemari Baju; Kursi; Jendela; Bantal; Cermin; Guling; Kloset Duduk; K. Mandi Luar; Ember mandi; Shower; WiFi; Penjaga Kos; Dapur; Parkir Mobil; Parkir Motor &amp; Sepeda"/>
    <x v="34"/>
    <s v="Rp1.325.000"/>
    <x v="12"/>
    <d v="1899-12-30T04:04:00"/>
    <x v="0"/>
    <m/>
    <m/>
  </r>
  <r>
    <s v="Kost Singgahsini Oemah Waringin Tipe A Makasar Jakarta Timur"/>
    <x v="8"/>
    <s v="Makasar"/>
    <n v="10.240000000000002"/>
    <s v="3.2 x 3.2 meter"/>
    <s v="Tidak termasuk listrik"/>
    <n v="1375000"/>
    <s v="Rp1.375.000"/>
    <s v="3.2 x 3.2 meter; Tidak termasuk listrik; AC; Kasur; Lemari Baju; Bantal; Cermin; Guling; Jendela; Kloset Duduk; K. Mandi Luar; Ember mandi; WiFi; R. Cuci; Kulkas; R. Tamu; R. Makan; R. Jemur; Dapur; CCTV; Parkir Mobil; Parkir Motor &amp; Sepeda"/>
    <x v="271"/>
    <s v="Rp1.267.000"/>
    <x v="3"/>
    <d v="1899-12-30T05:00:00"/>
    <x v="0"/>
    <m/>
    <s v="Diskon 108rb"/>
  </r>
  <r>
    <s v="Kost Singgahsini Ohana Tipe B Cilandak Jakarta Selatan"/>
    <x v="5"/>
    <s v="Cilandak"/>
    <n v="20.669999999999998"/>
    <s v="5.3 x 3.9 meter"/>
    <s v="Tidak termasuk listrik"/>
    <n v="2275000"/>
    <s v="Rp2.275.000"/>
    <s v="5.3 x 3.9 meter; Tidak termasuk listrik; AC; Kasur; Meja; Lemari Baju; Kursi; Bantal; Jendela; K. Mandi Dalam; Kloset Duduk; Wastafel; Shower; Air panas; WiFi; R. Tamu; R. Makan; Dapur; CCTV; Parkir Mobil; Parkir Motor &amp; Sepeda"/>
    <x v="282"/>
    <s v="Rp2.162.500"/>
    <x v="6"/>
    <d v="1899-12-30T04:06:00"/>
    <x v="0"/>
    <m/>
    <s v="Diskon 113rb"/>
  </r>
  <r>
    <s v="Kost Singgahsini Omah Nena Tipe A Beji Depok"/>
    <x v="1"/>
    <s v="Beji"/>
    <n v="10.36"/>
    <s v="3.7 x 2.8 meter"/>
    <s v="Tidak termasuk listrik"/>
    <n v="1925000"/>
    <s v="Rp1.925.000"/>
    <s v="3.7 x 2.8 meter; Tidak termasuk listrik; AC; Kasur; Meja; Lemari Baju; Kursi; Bantal; Cermin; Guling; Jendela; K. Mandi Dalam; Kloset Duduk; Shower; Air panas; WiFi; Kulkas; Penjaga Kos; R. Jemur; Dapur; Dispenser; Rooftop; Balcon; CCTV; Parkir Mobil; Parkir Motor &amp; Sepeda"/>
    <x v="143"/>
    <s v="Rp1.735.000"/>
    <x v="10"/>
    <d v="1899-12-30T04:05:00"/>
    <x v="2"/>
    <m/>
    <s v="Diskon 190rb"/>
  </r>
  <r>
    <s v="Kost Singgahsini Omah Nena Tipe B Beji Depok"/>
    <x v="1"/>
    <s v="Beji"/>
    <n v="10.36"/>
    <s v="3.7 x 2.8 meter"/>
    <s v="Tidak termasuk listrik"/>
    <n v="1725000"/>
    <s v="Rp1.725.000"/>
    <s v="3.7 x 2.8 meter; Tidak termasuk listrik; AC; Kasur; Meja; Lemari Baju; Kursi; Bantal; Cermin; Guling; Jendela; K. Mandi Dalam; Kloset Duduk; Shower; WiFi; Kulkas; Penjaga Kos; R. Jemur; Dapur; Dispenser; Rooftop; CCTV; Parkir Mobil; Parkir Motor &amp; Sepeda"/>
    <x v="418"/>
    <s v="Rp1.555.000"/>
    <x v="5"/>
    <d v="1899-12-30T04:00:00"/>
    <x v="2"/>
    <m/>
    <s v="Diskon 170rb"/>
  </r>
  <r>
    <s v="Kost Singgahsini Omah Opung Tipe A Kebayoran Lama Jakarta Selatan"/>
    <x v="5"/>
    <s v="Kebayoran Lama"/>
    <n v="11.78"/>
    <s v="3.8 x 3.1 meter"/>
    <s v="Termasuk listrik (implied)"/>
    <n v="3635000"/>
    <s v="Rp3.635.000"/>
    <s v="3.8 x 3.1 meter; Termasuk listrik; AC; Kasur; Meja; TV; Lemari Baju; Kulkas; Kursi; Bantal; Cermin; Guling; K. Mandi Dalam; Kloset Duduk; Wastafel; Shower; Air panas; WiFi; R. Tamu; R. Makan; Dapur; Dispenser; CCTV; Parkir Mobil; Parkir Motor; Parkir Sepeda"/>
    <x v="419"/>
    <s v="Rp3.274.000"/>
    <x v="6"/>
    <d v="1899-12-30T04:06:00"/>
    <x v="2"/>
    <m/>
    <s v="Diskon 361rb"/>
  </r>
  <r>
    <s v="Kost Singgahsini One Residence Tipe A Kemayoran Jakarta Pusat"/>
    <x v="9"/>
    <s v="Kemayoran"/>
    <n v="10.8"/>
    <s v="3 x 3.6 meter"/>
    <s v="Tidak termasuk listrik"/>
    <n v="2525000"/>
    <s v="Rp2.525.000"/>
    <s v="3 x 3.6 meter; Tidak termasuk listrik; AC; Kasur; TV; Lemari Baju; Bantal; Cermin; K. Mandi Dalam; Kloset Duduk; Wastafel; Shower; Air panas; WiFi; Penjaga Kos; CCTV; Parkir Mobil; Parkir Motor &amp; Sepeda"/>
    <x v="233"/>
    <s v="Rp2.325.000"/>
    <x v="3"/>
    <d v="1899-12-30T05:00:00"/>
    <x v="0"/>
    <m/>
    <s v="Diskon 200rb"/>
  </r>
  <r>
    <s v="Kost Singgahsini Ono Tipe A Cempaka Putih Jakarta Pusat"/>
    <x v="9"/>
    <s v="Cempaka Putih"/>
    <n v="10.08"/>
    <s v="3.6 x 2.8 meter"/>
    <s v="Tidak termasuk listrik"/>
    <s v=""/>
    <s v="N/A"/>
    <s v="3.6 x 2.8 meter; Tidak termasuk listrik; Kasur; Meja; Lemari Baju; Ventilasi; Kursi; Kipas Angin; Bantal; Cermin; Guling; Jendela; K. Mandi Dalam; Kloset Duduk; Shower; WiFi; R. Tamu; R. Jemur; Dapur; Parkir Motor &amp; Sepeda"/>
    <x v="56"/>
    <s v="Rp1.225.000"/>
    <x v="10"/>
    <d v="1899-12-30T04:05:00"/>
    <x v="0"/>
    <m/>
    <s v="Diskon 63rb"/>
  </r>
  <r>
    <s v="Kost Singgahsini Ono Tipe B Cempaka Putih Jakarta Pusat"/>
    <x v="9"/>
    <s v="Cempaka Putih"/>
    <n v="7.839999999999999"/>
    <s v="2.8 x 2.8 meter"/>
    <s v="Tidak termasuk listrik"/>
    <s v=""/>
    <s v="N/A"/>
    <s v="2.8 x 2.8 meter; Tidak termasuk listrik; Kasur; Lemari Baju; Ventilasi; Kursi; Bantal; Cermin; Guling; Jendela; K. Mandi Dalam; Kloset Jongkok; Ember mandi; WiFi; R. Tamu; R. Jemur; Dapur; Parkir Motor &amp; Sepeda"/>
    <x v="79"/>
    <s v="Rp1.175.000"/>
    <x v="12"/>
    <d v="1899-12-30T04:04:00"/>
    <x v="0"/>
    <m/>
    <s v="Diskon 63rb"/>
  </r>
  <r>
    <s v="Kost Singgahsini Ono Tipe C Cempaka Putih Jakarta Pusat"/>
    <x v="9"/>
    <s v="Cempaka Putih"/>
    <n v="9.3600000000000012"/>
    <s v="3.6 x 2.6 meter"/>
    <s v="Tidak termasuk listrik"/>
    <s v=""/>
    <s v="N/A"/>
    <s v="3.6 x 2.6 meter; Tidak termasuk listrik; Kasur; Lemari Baju; Ventilasi; Kipas Angin; Bantal; Cermin; Guling; Jendela; Kloset Jongkok; K. Mandi Luar; Ember mandi; WiFi; R. Tamu; R. Jemur; Dapur; Parkir Motor &amp; Sepeda"/>
    <x v="74"/>
    <s v="Rp875.000"/>
    <x v="10"/>
    <d v="1899-12-30T04:05:00"/>
    <x v="0"/>
    <m/>
    <m/>
  </r>
  <r>
    <s v="Kost Singgahsini Ono Tipe D Cempaka Putih Jakarta Pusat"/>
    <x v="9"/>
    <s v="Cempaka Putih"/>
    <n v="11.76"/>
    <s v="4.2 x 2.8 meter"/>
    <s v="Tidak termasuk listrik"/>
    <s v=""/>
    <s v="N/A"/>
    <s v="4.2 x 2.8 meter; Tidak termasuk listrik; AC; Kasur; Meja; Lemari Baju; Ventilasi; Kursi; K. Mandi Dalam; Kloset Duduk; Shower; WiFi; R. Tamu; R. Jemur; Dapur; Parkir Motor &amp; Sepeda"/>
    <x v="54"/>
    <s v="Rp1.375.000"/>
    <x v="6"/>
    <d v="1899-12-30T04:06:00"/>
    <x v="0"/>
    <m/>
    <s v="Diskon 63rb"/>
  </r>
  <r>
    <s v="Kost Singgahsini Palang Merah 7 Tipe A Cideng Jakarta Pusat"/>
    <x v="9"/>
    <s v="Gambir"/>
    <n v="19.840000000000003"/>
    <s v="6.2 x 3.2 meter"/>
    <s v="Tidak termasuk listrik"/>
    <n v="2825000"/>
    <s v="Rp2.825.000"/>
    <s v="6.2 x 3.2 meter; Tidak termasuk listrik; AC; Kasur; Meja; Lemari Baju; Bantal; Jendela; K. Mandi Dalam; Kloset Duduk; Wastafel; Shower; Air panas; WiFi; R. Tamu; Penjaga Kos; R. Makan; R. Jemur; Dapur; Balcon; Parkir Mobil; Parkir Motor &amp; Sepeda"/>
    <x v="141"/>
    <s v="Rp2.685.000"/>
    <x v="8"/>
    <d v="1899-12-30T04:09:00"/>
    <x v="0"/>
    <m/>
    <s v="Diskon 140rb"/>
  </r>
  <r>
    <s v="Kost Singgahsini Palang Merah 7 Tipe B Cideng Jakarta Pusat"/>
    <x v="9"/>
    <s v="Gambir"/>
    <n v="15"/>
    <s v="3 x 5 meter"/>
    <s v="Tidak termasuk listrik"/>
    <s v=""/>
    <s v="N/A"/>
    <s v="3 x 5 meter; Tidak termasuk listrik; AC; Kasur; Meja; Lemari Baju; Bantal; Jendela; K. Mandi Dalam; Kloset Duduk; Wastafel; Shower; Air panas; WiFi; R. Tamu; Penjaga Kos; R. Makan; R. Jemur; Dapur; Balcon; Parkir Mobil; Parkir Motor &amp; Sepeda"/>
    <x v="232"/>
    <s v="Rp2.225.000"/>
    <x v="6"/>
    <d v="1899-12-30T04:06:00"/>
    <x v="0"/>
    <m/>
    <s v="Diskon 140rb"/>
  </r>
  <r>
    <s v="Kost Singgahsini Pancoran 67 Tipe A Jakarta Selatan"/>
    <x v="5"/>
    <s v="Pancoran"/>
    <n v="8.32"/>
    <s v="3.2 x 2.6 meter"/>
    <s v="Tidak termasuk listrik"/>
    <n v="1825000"/>
    <s v="Rp1.825.000"/>
    <s v="3.2 x 2.6 meter; Tidak termasuk listrik; AC; Kasur; Meja; Lemari Baju; Ventilasi; Kursi; Bantal; Cermin; Guling; Jendela; K. Mandi Dalam; Kloset Duduk; Shower; WiFi; Kulkas; Penjaga Kos; Dapur; Dispenser; Parkir Motor &amp; Sepeda"/>
    <x v="143"/>
    <s v="Rp1.735.000"/>
    <x v="6"/>
    <d v="1899-12-30T04:06:00"/>
    <x v="0"/>
    <m/>
    <s v="Diskon 90rb"/>
  </r>
  <r>
    <s v="Kost Singgahsini Pandji Tipe A Pulo Gadung Jakarta Timur"/>
    <x v="8"/>
    <s v="Pulo Gadung"/>
    <n v="6.24"/>
    <s v="2.4 x 2.6 meter"/>
    <s v="Termasuk listrik (implied)"/>
    <s v=""/>
    <s v="N/A"/>
    <s v="2.4 x 2.6 meter; Termasuk listrik; AC; Kasur; Meja; Lemari Baju; Ventilasi; Kursi; Bantal; Cermin; Guling; Kloset Duduk; K. Mandi Luar; Shower; WiFi; R. Cuci; Kulkas; Penjaga Kos; R. Jemur; Dapur; Dispenser; CCTV; Jemuran; Parkir Motor &amp; Sepeda"/>
    <x v="19"/>
    <s v="Rp1.800.000"/>
    <x v="6"/>
    <d v="1899-12-30T04:06:00"/>
    <x v="2"/>
    <m/>
    <s v="Diskon 87rb"/>
  </r>
  <r>
    <s v="Kost Singgahsini Parkit 24 Tipe A Beji Depok"/>
    <x v="1"/>
    <s v="Beji"/>
    <n v="12"/>
    <s v="3 x 4 meter"/>
    <s v="Termasuk listrik (implied)"/>
    <n v="1625000"/>
    <s v="Rp1.625.000"/>
    <s v="3 x 4 meter; Termasuk listrik; AC; Kasur; Meja; TV; Lemari Baju; Ventilasi; Kursi; Jendela; Bantal; Cermin; K. Mandi Dalam; Kloset Duduk; Ember mandi; Wastafel; Shower; WiFi; R. Cuci; Kulkas; R. Tamu; Penjaga Kos; R. Makan; R. Jemur; Dapur; Taman; Parkir Mobil; Parkir Motor &amp; Sepeda"/>
    <x v="343"/>
    <s v="Rp1.465.000"/>
    <x v="8"/>
    <d v="1899-12-30T04:09:00"/>
    <x v="2"/>
    <m/>
    <s v="Diskon 160rb"/>
  </r>
  <r>
    <s v="Kost Singgahsini Paso 1 Tipe A Jagakarsa Jakarta Selatan"/>
    <x v="5"/>
    <s v="Jagakarsa"/>
    <n v="10.5"/>
    <s v="3.5 x 3 meter"/>
    <s v="Tidak termasuk listrik"/>
    <s v=""/>
    <s v="N/A"/>
    <s v="3.5 x 3 meter; Tidak termasuk listrik; AC; Kasur; Meja; TV; Lemari Baju; Kursi; Jendela; Bantal; Cermin; K. Mandi Dalam; Kloset Duduk; Wastafel; Shower; Air panas; WiFi; R. Cuci; Kulkas; R. Tamu; Penjaga Kos; Mesin Cuci; R. Jemur; Dapur; K. Mandi Luar; Parkir Mobil; Parkir Motor &amp; Sepeda"/>
    <x v="51"/>
    <s v="Rp2.025.000"/>
    <x v="13"/>
    <d v="1899-12-30T04:03:00"/>
    <x v="0"/>
    <m/>
    <s v="Diskon 128rb"/>
  </r>
  <r>
    <s v="Kost Singgahsini Paus Residence Tipe A Pulo Gadung Jakarta Timur"/>
    <x v="8"/>
    <s v="Pulo Gadung"/>
    <n v="16"/>
    <s v="4 x 4 meter"/>
    <s v="Tidak termasuk listrik"/>
    <n v="2975000"/>
    <s v="Rp2.975.000"/>
    <s v="4 x 4 meter; Tidak termasuk listrik; AC; Kasur; TV; Lemari Baju; Jendela; Bantal; K. Mandi Dalam; Kloset Duduk; Wastafel; Shower; Air panas; WiFi; Penjaga Kos; Dapur; Taman; CCTV; Parkir Mobil; Parkir Motor &amp; Sepeda"/>
    <x v="420"/>
    <s v="Rp2.739.000"/>
    <x v="3"/>
    <d v="1899-12-30T05:00:00"/>
    <x v="0"/>
    <m/>
    <s v="Diskon 236rb"/>
  </r>
  <r>
    <s v="Kost Singgahsini Perkici IV STAN Tipe A Bintaro Tangerang Selatan"/>
    <x v="2"/>
    <s v="Pondok Aren"/>
    <n v="6.4399999999999995"/>
    <s v="2.3 x 2.8 meter"/>
    <s v="Tidak termasuk listrik"/>
    <n v="1200000"/>
    <s v="Rp1.200.000"/>
    <s v="2.3 x 2.8 meter; Tidak termasuk listrik; AC; Kasur; Lemari Baju; Jendela; Bantal; Guling; Kloset Duduk; K. Mandi Luar; Ember mandi; WiFi; Kulkas; Penjaga Kos; Dapur; Dispenser; Parkir Motor &amp; Sepeda"/>
    <x v="37"/>
    <s v="Rp1.140.000"/>
    <x v="2"/>
    <d v="1899-12-30T04:08:00"/>
    <x v="2"/>
    <m/>
    <s v="Diskon 60rb"/>
  </r>
  <r>
    <s v="Kost Singgahsini Permata 15 Tipe C Grogol Petamburan Jakarta Barat"/>
    <x v="3"/>
    <s v="Grogol Petamburan"/>
    <n v="9"/>
    <s v="3 x 3 meter"/>
    <s v="Tidak termasuk listrik"/>
    <s v=""/>
    <s v="N/A"/>
    <s v="3 x 3 meter; Tidak termasuk listrik; AC; Kasur; Meja; Lemari Baju; Ventilasi; Kursi; Jendela; Bantal; Guling; K. Mandi Dalam; Kloset Duduk; K. Mandi Luar; Ember mandi; Shower; WiFi; R. Tamu; Penjaga Kos; R. Jemur; CCTV; Parkir Motor &amp; Sepeda"/>
    <x v="44"/>
    <s v="Rp1.725.000"/>
    <x v="3"/>
    <d v="1899-12-30T05:00:00"/>
    <x v="2"/>
    <m/>
    <s v="Diskon 80rb"/>
  </r>
  <r>
    <s v="Kost Singgahsini Permata 15 Tipe D Grogol Petamburan Jakarta Barat"/>
    <x v="3"/>
    <s v="Grogol Petamburan"/>
    <n v="9"/>
    <s v="3 x 3 meter"/>
    <s v="Tidak termasuk listrik"/>
    <n v="1025000"/>
    <s v="Rp1.025.000"/>
    <s v="3 x 3 meter; Tidak termasuk listrik; Kasur; Meja; Lemari Baju; Ventilasi; Kursi; Jendela; Kipas Angin; Bantal; Guling; Kloset Duduk; Kloset Jongkok; K. Mandi Luar; Wastafel; Ember mandi; Shower; WiFi; R. Tamu; Penjaga Kos; R. Jemur; CCTV; Parkir Motor &amp; Sepeda"/>
    <x v="82"/>
    <s v="Rp945.000"/>
    <x v="3"/>
    <d v="1899-12-30T05:00:00"/>
    <x v="2"/>
    <m/>
    <s v="Diskon 80rb"/>
  </r>
  <r>
    <s v="Kost Singgahsini Permata Hijau Tipe B Kebayoran Lama Jakarta Selatan"/>
    <x v="5"/>
    <s v="Kecamatan Kebayoran Lama"/>
    <n v="16"/>
    <s v="4 x 4 meter"/>
    <s v="Tidak termasuk listrik"/>
    <n v="2345000"/>
    <s v="Rp2.345.000"/>
    <s v="4 x 4 meter; Tidak termasuk listrik; AC; Kasur; Meja; Lemari Baju; Kursi; K. Mandi Dalam; Kloset Duduk; Shower; WiFi; R. Cuci; Laundry; R. Jemur; Parkir Mobil; Parkir Motor; Parkir Sepeda; Parkir Motor &amp; Sepeda"/>
    <x v="421"/>
    <s v="Rp2.159.400"/>
    <x v="2"/>
    <d v="1899-12-30T04:08:00"/>
    <x v="2"/>
    <m/>
    <s v="Diskon 186rb"/>
  </r>
  <r>
    <s v="Kost Singgahsini Petogogan 35A Tipe A Kebayoran Baru Jakarta Selatan"/>
    <x v="5"/>
    <s v="Kebayoran Baru"/>
    <n v="9"/>
    <s v="3 x 3 meter"/>
    <s v="Tidak termasuk listrik"/>
    <s v=""/>
    <s v="N/A"/>
    <s v="3 x 3 meter; Tidak termasuk listrik; AC; Kasur; Meja; Lemari Baju; Kursi; Jendela; Bantal; Cermin; Guling; Kloset Duduk; K. Mandi Luar; Shower; Air panas; WiFi; Penjaga Kos; R. Makan; R. Jemur; CCTV; Rooftop; Jemuran; Parkir Mobil; Parkir Motor &amp; Sepeda"/>
    <x v="233"/>
    <s v="Rp2.325.000"/>
    <x v="3"/>
    <d v="1899-12-30T05:00:00"/>
    <x v="1"/>
    <m/>
    <m/>
  </r>
  <r>
    <s v="Kost Singgahsini Petogogan 35A Tipe B Kebayoran Baru Jakarta Selatan"/>
    <x v="5"/>
    <s v="Kebayoran Baru"/>
    <n v="12"/>
    <s v="4 x 3 meter"/>
    <s v="Tidak termasuk listrik"/>
    <s v=""/>
    <s v="N/A"/>
    <s v="4 x 3 meter; Tidak termasuk listrik; AC; Kasur; Meja; Lemari Baju; Kursi; Bantal; Cermin; Guling; Kloset Duduk; K. Mandi Luar; Shower; Air panas; WiFi; Penjaga Kos; R. Makan; R. Jemur; CCTV; Rooftop; Jemuran; Parkir Mobil; Parkir Motor &amp; Sepeda"/>
    <x v="51"/>
    <s v="Rp2.025.000"/>
    <x v="2"/>
    <d v="1899-12-30T04:08:00"/>
    <x v="1"/>
    <m/>
    <m/>
  </r>
  <r>
    <s v="Kost Singgahsini Petojo 5 Roxy Tipe A Jakarta Pusat"/>
    <x v="9"/>
    <s v="Kecamatan Gambir"/>
    <n v="7.68"/>
    <s v="3.2 x 2.4 meter"/>
    <s v="Tidak termasuk listrik"/>
    <n v="1925000"/>
    <s v="Rp1.925.000"/>
    <s v="3.2 x 2.4 meter; Tidak termasuk listrik; AC; Kasur; Meja; Lemari Baju; Kursi; Bantal; Cermin; Guling; Kloset Duduk; K. Mandi Luar; Wastafel; Shower; WiFi; Kulkas; Penjaga Kos; Laundry; Dapur; Dispenser; Parkir Mobil; Parkir Motor; Parkir Sepeda; Parkir Motor &amp; Sepeda"/>
    <x v="142"/>
    <s v="Rp1.830.000"/>
    <x v="2"/>
    <d v="1899-12-30T04:08:00"/>
    <x v="0"/>
    <m/>
    <s v="Diskon 95rb"/>
  </r>
  <r>
    <s v="Kost Singgahsini Petojo Selatan 12 Tipe B Gambir Jakarta Pusat"/>
    <x v="9"/>
    <s v="Gambir"/>
    <n v="7.5"/>
    <s v="3 x 2.5 meter"/>
    <s v="Tidak termasuk listrik"/>
    <n v="1625000"/>
    <s v="Rp1.625.000"/>
    <s v="3 x 2.5 meter; Tidak termasuk listrik; AC; Kasur; Meja; Lemari Baju; Jendela; Kloset Duduk; K. Mandi Luar; Shower; Air panas; WiFi; Parkir Motor &amp; Sepeda"/>
    <x v="276"/>
    <s v="Rp1.545.000"/>
    <x v="8"/>
    <d v="1899-12-30T04:09:00"/>
    <x v="2"/>
    <m/>
    <s v="Diskon 80rb"/>
  </r>
  <r>
    <s v="Kost Singgahsini Petojo Selatan 3 Tipe A Cideng Jakarta Pusat"/>
    <x v="9"/>
    <s v="Gambir"/>
    <n v="5.5"/>
    <s v="2.5 x 2.2 meter"/>
    <s v="Tidak termasuk listrik"/>
    <n v="1645000"/>
    <s v="Rp1.645.000"/>
    <s v="2.5 x 2.2 meter; Tidak termasuk listrik; AC; Kasur; Lemari Baju; Bantal; Jendela; Kloset Duduk; K. Mandi Luar; Shower; WiFi; Kulkas; R. Tamu; R. Jemur; Dapur; CCTV; Parkir Sepeda"/>
    <x v="422"/>
    <s v="Rp1.564.000"/>
    <x v="2"/>
    <d v="1899-12-30T04:08:00"/>
    <x v="0"/>
    <m/>
    <s v="Diskon 81rb"/>
  </r>
  <r>
    <s v="Kost Singgahsini Petojo Selatan 3 Tipe B Cideng Jakarta Pusat"/>
    <x v="9"/>
    <s v="Gambir"/>
    <n v="2.7"/>
    <s v="1.8 x 1.5 meter"/>
    <s v="Tidak termasuk listrik"/>
    <n v="1505000"/>
    <s v="Rp1.505.000"/>
    <s v="1.8 x 1.5 meter; Tidak termasuk listrik; AC; Kasur; Lemari Baju; Bantal; Kloset Duduk; K. Mandi Luar; Shower; WiFi; Kulkas; R. Tamu; R. Jemur; Dapur; CCTV; Parkir Sepeda"/>
    <x v="423"/>
    <s v="Rp1.386.600"/>
    <x v="10"/>
    <d v="1899-12-30T04:05:00"/>
    <x v="0"/>
    <m/>
    <s v="Diskon 118rb"/>
  </r>
  <r>
    <s v="Kost Singgahsini Petukangan Utara 09 Tipe B Pesanggrahan Jakarta Selatan"/>
    <x v="5"/>
    <s v="Pesanggrahan"/>
    <n v="6"/>
    <s v="2 x 3 meter"/>
    <s v="Termasuk listrik (implied)"/>
    <n v="1725000"/>
    <s v="Rp1.725.000"/>
    <s v="2 x 3 meter; Termasuk listrik; AC; Kasur; Meja Rias; Lemari Baju; Ventilasi; Kursi; Jendela; Bantal; Cermin; K. Mandi Dalam; Kloset Duduk; Shower; WiFi; R. Tamu; Penjaga Kos; R. Jemur; Dapur; Dispenser; Taman; Gazebo; CCTV; Jemuran; Parkir Motor &amp; Sepeda"/>
    <x v="103"/>
    <s v="Rp1.640.000"/>
    <x v="6"/>
    <d v="1899-12-30T04:06:00"/>
    <x v="0"/>
    <m/>
    <s v="Diskon 85rb"/>
  </r>
  <r>
    <s v="Kost Singgahsini PIM Margonda Raya Beji Depok"/>
    <x v="1"/>
    <s v="Beji"/>
    <n v="9"/>
    <s v="3 x 3 meter"/>
    <s v="Tidak termasuk listrik"/>
    <n v="1815000"/>
    <s v="Rp1.815.000"/>
    <s v="3 x 3 meter; Tidak termasuk listrik; AC; Kasur; Meja; TV; Lemari Baju; Kursi; Bantal; Cermin; Guling; Jendela; K. Mandi Dalam; Kloset Duduk; Ember mandi; Shower; Air panas; WiFi; R. Cuci; Kulkas; R. Tamu; R. Jemur; Dapur; Parkir Mobil; Parkir Motor; Parkir Sepeda"/>
    <x v="424"/>
    <s v="Rp1.636.000"/>
    <x v="10"/>
    <d v="1899-12-30T04:05:00"/>
    <x v="2"/>
    <m/>
    <s v="Diskon 179rb"/>
  </r>
  <r>
    <s v="Kost Singgahsini Pisangan Lama 2 Tipe A Pulo Gadung Jakarta Timur"/>
    <x v="8"/>
    <s v="Pulo Gadung"/>
    <n v="9.990000000000002"/>
    <s v="3.7 x 2.7 meter"/>
    <s v="Tidak termasuk listrik"/>
    <s v=""/>
    <s v="N/A"/>
    <s v="3.7 x 2.7 meter; Tidak termasuk listrik; AC; Kasur; Lemari Baju; K. Mandi Dalam; Kloset Duduk; Shower; WiFi; Penjaga Kos; Laundry; Parkir Mobil; Parkir Motor &amp; Sepeda"/>
    <x v="126"/>
    <s v="Rp1.425.000"/>
    <x v="2"/>
    <d v="1899-12-30T04:08:00"/>
    <x v="0"/>
    <m/>
    <s v="Diskon 78rb"/>
  </r>
  <r>
    <s v="Kost Singgahsini Poltangan 28 Tipe A Jagakarsa Jakarta Selatan"/>
    <x v="5"/>
    <s v="Kecamatan Jagakarsa"/>
    <n v="15.899999999999999"/>
    <s v="5.3 x 3 meter"/>
    <s v="Tidak termasuk listrik"/>
    <n v="2925000"/>
    <s v="Rp2.925.000"/>
    <s v="5.3 x 3 meter; Tidak termasuk listrik; AC; Kasur; Meja; Lemari Baju; Kursi; Bantal; Jendela; K. Mandi Dalam; Kloset Duduk; Wastafel; Shower; Air panas; WiFi; Kulkas; R. Tamu; R. Santai; Dapur; CCTV; Parkir Mobil; Parkir Motor; Parkir Sepeda"/>
    <x v="391"/>
    <s v="Rp2.780.000"/>
    <x v="2"/>
    <d v="1899-12-30T04:08:00"/>
    <x v="2"/>
    <m/>
    <s v="Diskon 145rb"/>
  </r>
  <r>
    <s v="Kost Singgahsini Poltangan 28 Tipe B Jagakarsa Jakarta Selatan"/>
    <x v="5"/>
    <s v="Kecamatan Jagakarsa"/>
    <e v="#VALUE!"/>
    <s v="N/A"/>
    <s v="N/A"/>
    <n v="2275000"/>
    <s v="Rp2.275.000"/>
    <s v=""/>
    <x v="282"/>
    <s v="Rp2.162.500"/>
    <x v="2"/>
    <d v="1899-12-30T04:08:00"/>
    <x v="2"/>
    <m/>
    <s v="Diskon 113rb"/>
  </r>
  <r>
    <s v="Kost Singgahsini Poltangan 28 Tipe C Jagakarsa Jakarta Selatan"/>
    <x v="5"/>
    <s v="Kecamatan Jagakarsa"/>
    <n v="6.72"/>
    <s v="2.8 x 2.4 meter"/>
    <s v="Tidak termasuk listrik"/>
    <n v="2095000"/>
    <s v="Rp2.095.000"/>
    <s v="2.8 x 2.4 meter; Tidak termasuk listrik; AC; Kasur; Meja; Lemari Baju; Kursi; Bantal; Jendela; K. Mandi Dalam; Kloset Duduk; Wastafel; Shower; Air panas; WiFi; Kulkas; R. Tamu; R. Santai; Dapur; CCTV; Parkir Mobil; Parkir Motor; Parkir Sepeda"/>
    <x v="425"/>
    <s v="Rp1.991.500"/>
    <x v="2"/>
    <d v="1899-12-30T04:08:00"/>
    <x v="2"/>
    <m/>
    <s v="Diskon 104rb"/>
  </r>
  <r>
    <s v="Kost Singgahsini Pondok Asri Tipe A Ciputat Timur Tangerang Selatan"/>
    <x v="2"/>
    <s v="Ciputat Timur"/>
    <n v="14"/>
    <s v="3.5 x 4 meter"/>
    <s v="Tidak termasuk listrik"/>
    <s v=""/>
    <s v="N/A"/>
    <s v="3.5 x 4 meter; Tidak termasuk listrik; AC; Kasur; Meja; Lemari Baju; Ventilasi; Bantal; Cermin; K. Mandi Dalam; Kloset Duduk; Wastafel; Shower; Air panas; WiFi; Penjaga Kos; Mesin Cuci; Parkir Motor &amp; Sepeda"/>
    <x v="58"/>
    <s v="Rp1.525.000"/>
    <x v="6"/>
    <d v="1899-12-30T04:06:00"/>
    <x v="2"/>
    <m/>
    <s v="Diskon 70rb"/>
  </r>
  <r>
    <s v="Kost Singgahsini Pondok Asri Tipe B Ciputat Timur Tangerang Selatan"/>
    <x v="2"/>
    <s v="Ciputat Timur"/>
    <n v="6.72"/>
    <s v="2.8 x 2.4 meter"/>
    <s v="Tidak termasuk listrik"/>
    <s v=""/>
    <s v="N/A"/>
    <s v="2.8 x 2.4 meter; Tidak termasuk listrik; AC; Kasur; Meja; Lemari Baju; Ventilasi; Kursi; Cermin; Kloset Duduk; K. Mandi Luar; Wastafel; Shower; WiFi; R. Cuci; Parkir Motor &amp; Sepeda"/>
    <x v="125"/>
    <s v="Rp1.125.000"/>
    <x v="3"/>
    <d v="1899-12-30T05:00:00"/>
    <x v="2"/>
    <m/>
    <m/>
  </r>
  <r>
    <s v="Kost Singgahsini Pondok Bukit Pisang Tipe A Beji Depok"/>
    <x v="1"/>
    <s v="Beji"/>
    <n v="13.5"/>
    <s v="4.5 x 3 meter"/>
    <s v="Termasuk listrik (implied)"/>
    <n v="1600000"/>
    <s v="Rp1.600.000"/>
    <s v="4.5 x 3 meter; Termasuk listrik; AC; Kasur; Meja; Lemari Baju; Ventilasi; Kursi; Bantal; Jendela; K. Mandi Dalam; Kloset Duduk; Shower; WiFi; R. Tamu; Penjaga Kos; R. Makan; R. Jemur; Mushola; Dapur; Dispenser; Taman; CCTV; Parkir Motor &amp; Sepeda"/>
    <x v="122"/>
    <s v="Rp1.440.000"/>
    <x v="2"/>
    <d v="1899-12-30T04:08:00"/>
    <x v="1"/>
    <m/>
    <s v="Diskon 160rb"/>
  </r>
  <r>
    <s v="Kost Singgahsini Pondok Bukit Pisang Tipe B Beji Depok"/>
    <x v="1"/>
    <s v="Beji"/>
    <n v="13.5"/>
    <s v="4.5 x 3 meter"/>
    <s v="Termasuk listrik (implied)"/>
    <n v="1500000"/>
    <s v="Rp1.500.000"/>
    <s v="4.5 x 3 meter; Termasuk listrik; AC; Kasur; Meja; Lemari Baju; Ventilasi; Kursi; Bantal; Jendela; K. Mandi Dalam; Kloset Duduk; Shower; WiFi; R. Tamu; Penjaga Kos; R. Makan; R. Jemur; Mushola; Dapur; Taman; CCTV; Parkir Motor &amp; Sepeda"/>
    <x v="5"/>
    <s v="Rp1.350.000"/>
    <x v="10"/>
    <d v="1899-12-30T04:05:00"/>
    <x v="1"/>
    <m/>
    <s v="Diskon 150rb"/>
  </r>
  <r>
    <s v="Kost Singgahsini Pondok Bukit Pisang Tipe C Beji Depok"/>
    <x v="1"/>
    <s v="Beji"/>
    <n v="13.5"/>
    <s v="4.5 x 3 meter"/>
    <s v="Termasuk listrik (implied)"/>
    <n v="1000000"/>
    <s v="Rp1.000.000"/>
    <s v="4.5 x 3 meter; Termasuk listrik; Kasur; Meja; Lemari Baju; Ventilasi; Kursi; Bantal; Jendela; K. Mandi Dalam; Kloset Duduk; Shower; WiFi; R. Tamu; Penjaga Kos; R. Makan; R. Jemur; Mushola; Dapur; Taman; CCTV; Parkir Motor &amp; Sepeda"/>
    <x v="99"/>
    <s v="Rp900.000"/>
    <x v="6"/>
    <d v="1899-12-30T04:06:00"/>
    <x v="1"/>
    <m/>
    <s v="Diskon 100rb"/>
  </r>
  <r>
    <s v="Kost Singgahsini Pondok Indah Tipe A Kebayoran Lama Jakarta Selatan"/>
    <x v="5"/>
    <s v="Kebayoran Lama"/>
    <n v="15"/>
    <s v="5 x 3 meter"/>
    <s v="Termasuk listrik (implied)"/>
    <s v=""/>
    <s v="N/A"/>
    <s v="5 x 3 meter; Termasuk listrik; AC; Kasur; Meja; Lemari Baju; Kursi; Bantal; Guling; Jendela; K. Mandi Dalam; Kloset Duduk; Wastafel; Shower; Air panas; WiFi; R. Tamu; R. Jemur; Mushola; Dapur; Parkir Mobil; Parkir Motor"/>
    <x v="279"/>
    <s v="Rp2.575.000"/>
    <x v="8"/>
    <d v="1899-12-30T04:09:00"/>
    <x v="2"/>
    <m/>
    <s v="Diskon 200rb"/>
  </r>
  <r>
    <s v="Kost Singgahsini Pondok Indah Tipe B Kebayoran Lama Jakarta Selatan"/>
    <x v="5"/>
    <s v="Kebayoran Lama"/>
    <n v="12"/>
    <s v="4 x 3 meter"/>
    <s v="Termasuk listrik (implied)"/>
    <s v=""/>
    <s v="N/A"/>
    <s v="4 x 3 meter; Termasuk listrik; AC; Kasur; Meja; Lemari Baju; Kursi; Bantal; Guling; Jendela; K. Mandi Dalam; Kloset Duduk; Wastafel; Shower; Air panas; WiFi; R. Tamu; R. Jemur; Mushola; Dapur; Parkir Mobil; Parkir Motor"/>
    <x v="233"/>
    <s v="Rp2.325.000"/>
    <x v="6"/>
    <d v="1899-12-30T04:06:00"/>
    <x v="2"/>
    <m/>
    <s v="Diskon 180rb"/>
  </r>
  <r>
    <s v="Kost Singgahsini Pondok Nuri Tipe A Tangerang Selatan"/>
    <x v="2"/>
    <s v="Setu"/>
    <n v="13.5"/>
    <s v="4.5 x 3 meter"/>
    <s v="Tidak termasuk listrik"/>
    <n v="1625000"/>
    <s v="Rp1.625.000"/>
    <s v="4.5 x 3 meter; Tidak termasuk listrik; AC; Kasur; Meja; Lemari Baju; Ventilasi; Kursi; Jendela; Bantal; K. Mandi Dalam; Kloset Duduk; Ember mandi; Shower; WiFi; R. Cuci; Kulkas; R. Tamu; Penjaga Kos; Mesin Cuci; R. Jemur; Dapur; CCTV; Jemuran; Parkir Motor &amp; Sepeda"/>
    <x v="343"/>
    <s v="Rp1.465.000"/>
    <x v="0"/>
    <m/>
    <x v="1"/>
    <m/>
    <s v="Diskon 160rb"/>
  </r>
  <r>
    <s v="Kost Singgahsini Pondok Nuri Tipe B Tangerang Selatan"/>
    <x v="2"/>
    <s v="Setu"/>
    <n v="12"/>
    <s v="4 x 3 meter"/>
    <s v="Tidak termasuk listrik"/>
    <n v="1525000"/>
    <s v="Rp1.525.000"/>
    <s v="4 x 3 meter; Tidak termasuk listrik; AC; Kasur; Meja; Lemari Baju; Ventilasi; Kursi; Jendela; Bantal; Kloset Duduk; K. Mandi Luar; Ember mandi; Shower; WiFi; R. Cuci; Kulkas; R. Tamu; Penjaga Kos; Mesin Cuci; R. Jemur; Dapur; CCTV; Jemuran; Parkir Motor &amp; Sepeda"/>
    <x v="54"/>
    <s v="Rp1.375.000"/>
    <x v="0"/>
    <m/>
    <x v="1"/>
    <m/>
    <s v="Diskon 150rb"/>
  </r>
  <r>
    <s v="Kost Singgahsini Pondok Nuri Tipe C Tangerang Selatan"/>
    <x v="2"/>
    <s v="Setu"/>
    <n v="9"/>
    <s v="3 x 3 meter"/>
    <s v="Tidak termasuk listrik"/>
    <n v="1425000"/>
    <s v="Rp1.425.000"/>
    <s v="3 x 3 meter; Tidak termasuk listrik; AC; Kasur; Meja; Lemari Baju; Ventilasi; Kursi; Jendela; Bantal; Kloset Duduk; K. Mandi Luar; Ember mandi; Shower; WiFi; R. Cuci; Kulkas; R. Tamu; Penjaga Kos; Mesin Cuci; R. Jemur; Dapur; CCTV; Jemuran; Parkir Motor &amp; Sepeda"/>
    <x v="426"/>
    <s v="Rp1.285.000"/>
    <x v="0"/>
    <m/>
    <x v="1"/>
    <m/>
    <s v="Diskon 140rb"/>
  </r>
  <r>
    <s v="Kost Singgahsini Pondok Pinang V Tipe E Kebayoran Lama Jakarta Selatan"/>
    <x v="5"/>
    <s v="Kebayoran Lama"/>
    <n v="13.799999999999999"/>
    <s v="2.3 x 6.0 meter"/>
    <s v="Tidak termasuk listrik"/>
    <s v=""/>
    <s v="N/A"/>
    <s v="2.3 x 6.0 meter; Tidak termasuk listrik; AC; Kasur; Meja; Lemari Baju; Kursi; Bantal; Jendela; K. Mandi Dalam; Kloset Jongkok; Shower; Air panas; WiFi; R. Tamu; R. Makan; R. Jemur; Mushola; Dapur; TV; Parkir Mobil; Parkir Motor; Parkir Sepeda"/>
    <x v="427"/>
    <s v="Rp2.925.000"/>
    <x v="8"/>
    <d v="1899-12-30T04:09:00"/>
    <x v="0"/>
    <m/>
    <s v="Diskon 480rb"/>
  </r>
  <r>
    <s v="Kost Singgahsini Praja Arteri Pondok Indah Jakarta Selatan"/>
    <x v="5"/>
    <s v="Kebayoran Lama"/>
    <n v="16"/>
    <s v="4 x 4 meter"/>
    <s v="Tidak termasuk listrik"/>
    <n v="2450000"/>
    <s v="Rp2.450.000"/>
    <s v="4 x 4 meter; Tidak termasuk listrik; AC; Kasur; Meja; TV; Lemari Baju; Kursi; Cleaning service; K. Mandi Dalam; Kloset Duduk; Wastafel; Shower; Air panas; WiFi; R. Cuci; Kulkas; R. Tamu; Penjaga Kos; R. Jemur; R. Santai; Dapur; R. Keluarga; Parkir Mobil; Parkir Motor; Parkir Sepeda; Parkir Motor &amp; Sepeda"/>
    <x v="428"/>
    <s v="Rp2.258.000"/>
    <x v="6"/>
    <d v="1899-12-30T04:06:00"/>
    <x v="0"/>
    <m/>
    <s v="Diskon 192rb"/>
  </r>
  <r>
    <s v="Kost Singgahsini Praja Dalam 88 Tipe A Kebayoran Lama Jakarta Selatan"/>
    <x v="5"/>
    <s v="Kecamatan Kebayoran Lama"/>
    <n v="25"/>
    <s v="5 x 5 meter"/>
    <s v="Termasuk listrik (implied)"/>
    <n v="2025000"/>
    <s v="Rp2.025.000"/>
    <s v="5 x 5 meter; Termasuk listrik; AC; Kasur; Lemari Baju; Bantal; Guling; Jendela; Cermin; Kloset Duduk; K. Mandi Luar; Wastafel; Ember mandi; Shower; Air panas; WiFi; R. Cuci; Kulkas; R. Tamu; Penjaga Kos; R. Jemur; Dapur; TV; Jemuran; Parkir Motor &amp; Sepeda"/>
    <x v="104"/>
    <s v="Rp1.865.000"/>
    <x v="4"/>
    <d v="1899-12-30T04:01:00"/>
    <x v="2"/>
    <m/>
    <s v="Diskon 160rb"/>
  </r>
  <r>
    <s v="Kost Singgahsini Praja Dalam 88 Tipe B Kebayoran Lama Jakarta Selatan"/>
    <x v="5"/>
    <s v="Kecamatan Kebayoran Lama"/>
    <n v="16"/>
    <s v="4 x 4 meter"/>
    <s v="Termasuk listrik (implied)"/>
    <s v=""/>
    <s v="N/A"/>
    <s v="4 x 4 meter; Termasuk listrik; AC; Kasur; Lemari Baju; Bantal; Guling; Jendela; Cermin; Kloset Duduk; K. Mandi Luar; Wastafel; Ember mandi; Shower; Air panas; WiFi; R. Cuci; Kulkas; R. Tamu; Penjaga Kos; R. Jemur; Dapur; TV; Jemuran; Parkir Motor &amp; Sepeda"/>
    <x v="44"/>
    <s v="Rp1.725.000"/>
    <x v="12"/>
    <d v="1899-12-30T04:04:00"/>
    <x v="2"/>
    <m/>
    <s v="Diskon 160rb"/>
  </r>
  <r>
    <s v="Kost Singgahsini Praja Dalam 88 Tipe C Kebayoran Lama Jakarta Selatan"/>
    <x v="5"/>
    <s v="Kecamatan Kebayoran Lama"/>
    <n v="6"/>
    <s v="2 x 3 meter"/>
    <s v="Termasuk listrik (implied)"/>
    <s v=""/>
    <s v="N/A"/>
    <s v="2 x 3 meter; Termasuk listrik; AC; Kasur; Lemari Baju; Bantal; Guling; Cermin; Kloset Duduk; K. Mandi Luar; Ember mandi; Wastafel; Shower; Air panas; WiFi; R. Cuci; Kulkas; R. Tamu; Penjaga Kos; R. Jemur; Dapur; TV; Jemuran; Parkir Motor &amp; Sepeda"/>
    <x v="56"/>
    <s v="Rp1.225.000"/>
    <x v="8"/>
    <d v="1899-12-30T04:09:00"/>
    <x v="2"/>
    <m/>
    <s v="Diskon 160rb"/>
  </r>
  <r>
    <s v="Kost Singgahsini Praja VI Tipe A Kebayoran Lama Jakarta Selatan"/>
    <x v="5"/>
    <s v="Kecamatan Kebayoran Lama"/>
    <n v="14.19"/>
    <s v="4.3 x 3.3 meter"/>
    <s v="Tidak termasuk listrik"/>
    <s v=""/>
    <s v="N/A"/>
    <s v="4.3 x 3.3 meter; Tidak termasuk listrik; AC; Kasur; Meja; TV; Lemari Baju; Kulkas; Kursi; Bantal; Cermin; Jendela; K. Mandi Dalam; Kloset Duduk; K. Mandi Luar; Wastafel; Shower; Air panas; WiFi; R. Makan; R. Jemur; Dapur; Dispenser; CCTV; Parkir Mobil; Parkir Motor; Parkir Sepeda"/>
    <x v="277"/>
    <s v="Rp3.025.000"/>
    <x v="2"/>
    <d v="1899-12-30T04:08:00"/>
    <x v="0"/>
    <m/>
    <m/>
  </r>
  <r>
    <s v="Kost Singgahsini Prestige Tipe A Tanjung Duren Jakarta Barat"/>
    <x v="3"/>
    <s v="Kecamatan Grogol petamburan"/>
    <n v="9"/>
    <s v="3 x 3 meter"/>
    <s v="Tidak termasuk listrik"/>
    <s v=""/>
    <s v="N/A"/>
    <s v="3 x 3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"/>
    <x v="33"/>
    <s v="Rp2.400.000"/>
    <x v="2"/>
    <d v="1899-12-30T04:08:00"/>
    <x v="0"/>
    <m/>
    <s v="Diskon 216rb"/>
  </r>
  <r>
    <s v="Kost Singgahsini Prestige Tipe B Tanjung Duren Jakarta Barat"/>
    <x v="3"/>
    <s v="Kecamatan Grogol petamburan"/>
    <n v="12"/>
    <s v="3 x 4 meter"/>
    <s v="Tidak termasuk listrik"/>
    <s v=""/>
    <s v="N/A"/>
    <s v="3 x 4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"/>
    <x v="22"/>
    <s v="Rp2.500.000"/>
    <x v="2"/>
    <d v="1899-12-30T04:08:00"/>
    <x v="0"/>
    <m/>
    <s v="Diskon 216rb"/>
  </r>
  <r>
    <s v="Kost Singgahsini Prestige Tipe E Tanjung Duren Jakarta Barat"/>
    <x v="3"/>
    <s v="Kecamatan Grogol petamburan"/>
    <n v="16"/>
    <s v="4 x 4 meter"/>
    <s v="Tidak termasuk listrik"/>
    <s v=""/>
    <s v="N/A"/>
    <s v="4 x 4 meter; Tidak termasuk listrik; AC; Kasur; Meja; TV; Lemari Baju; Kursi; Bantal; Guling; Jendela; K. Mandi Dalam; Kloset Duduk; Wastafel; Shower; Bak mandi; Air panas; WiFi; R. Cuci; Kulkas; R. Tamu; Penjaga Kos; Dapur; Dispenser; K. Mandi Luar; Parkir Mobil; Parkir Motor"/>
    <x v="186"/>
    <s v="Rp3.000.000"/>
    <x v="6"/>
    <d v="1899-12-30T04:06:00"/>
    <x v="0"/>
    <m/>
    <s v="Diskon 216rb"/>
  </r>
  <r>
    <s v="Kost Singgahsini Prestige Tipe G Tanjung Duren Jakarta Barat"/>
    <x v="3"/>
    <s v="Kecamatan Grogol petamburan"/>
    <n v="25"/>
    <s v="5 x 5 meter"/>
    <s v="Tidak termasuk listrik"/>
    <s v=""/>
    <s v="N/A"/>
    <s v="5 x 5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"/>
    <x v="7"/>
    <s v="Rp3.500.000"/>
    <x v="2"/>
    <d v="1899-12-30T04:08:00"/>
    <x v="0"/>
    <m/>
    <s v="Diskon 216rb"/>
  </r>
  <r>
    <s v="Kost Singgahsini Prestige Tipe H Tanjung Duren Jakarta Barat"/>
    <x v="3"/>
    <s v="Kecamatan Grogol petamburan"/>
    <n v="16"/>
    <s v="4 x 4 meter"/>
    <s v="Tidak termasuk listrik"/>
    <s v=""/>
    <s v="N/A"/>
    <s v="4 x 4 meter; Tidak termasuk listrik; AC; Kasur; Meja; TV; Lemari Baju; Kursi; Bantal; Cermin; Guling; Jendela; K. Mandi Dalam; Kloset Duduk; Wastafel; Shower; Bak mandi; Air panas; WiFi; R. Cuci; Kulkas; R. Tamu; Penjaga Kos; Dapur; Dispenser; K. Mandi Luar; Parkir Mobil; Parkir Motor"/>
    <x v="180"/>
    <s v="Rp2.800.000"/>
    <x v="2"/>
    <d v="1899-12-30T04:08:00"/>
    <x v="0"/>
    <m/>
    <s v="Diskon 216rb"/>
  </r>
  <r>
    <s v="Kost Singgahsini Pringgondani Tipe A Cimanggis Depok"/>
    <x v="1"/>
    <s v="Cimanggis"/>
    <n v="15"/>
    <s v="5 x 3 meter"/>
    <s v="Tidak termasuk listrik"/>
    <n v="1325000"/>
    <s v="Rp1.325.000"/>
    <s v="5 x 3 meter; Tidak termasuk listrik; AC; Kasur; Meja; Lemari Baju; Ventilasi; Kursi; Bantal; K. Mandi Dalam; Kloset Duduk; Shower; WiFi; R. Tamu; Penjaga Kos; Mushola; CCTV; Parkir Mobil; Parkir Motor &amp; Sepeda"/>
    <x v="116"/>
    <s v="Rp1.195.000"/>
    <x v="2"/>
    <d v="1899-12-30T04:08:00"/>
    <x v="0"/>
    <m/>
    <s v="Diskon 130rb"/>
  </r>
  <r>
    <s v="Kost Singgahsini Pringgondani Tipe B Cimanggis Depok"/>
    <x v="1"/>
    <s v="Cimanggis"/>
    <n v="15"/>
    <s v="5 x 3 meter"/>
    <s v="Tidak termasuk listrik"/>
    <n v="1025000"/>
    <s v="Rp1.025.000"/>
    <s v="5 x 3 meter; Tidak termasuk listrik; Kasur; Meja; Lemari Baju; Ventilasi; Kursi; Bantal; Jendela; K. Mandi Dalam; Kloset Duduk; Shower; WiFi; R. Tamu; Penjaga Kos; Mushola; CCTV; Parkir Mobil; Parkir Motor &amp; Sepeda"/>
    <x v="43"/>
    <s v="Rp925.000"/>
    <x v="2"/>
    <d v="1899-12-30T04:08:00"/>
    <x v="0"/>
    <m/>
    <s v="Diskon 100rb"/>
  </r>
  <r>
    <s v="Kost Singgahsini Puri Adhyaksa Tipe B Cilandak Jakarta Selatan"/>
    <x v="5"/>
    <s v="Cilandak"/>
    <n v="14.28"/>
    <s v="3.4 x 4.2 meter"/>
    <s v="Tidak termasuk listrik"/>
    <s v=""/>
    <s v="N/A"/>
    <s v="3.4 x 4.2 meter; Tidak termasuk listrik; AC; Kasur; Meja; TV; Lemari Baju; Kursi; K. Mandi Dalam; Kloset Duduk; Shower; Air panas; WiFi; Kulkas; R. Tamu; Penjaga Kos; R. Makan; Dapur; Dispenser; Gazebo; CCTV; Parkir Mobil; Parkir Motor &amp; Sepeda"/>
    <x v="278"/>
    <s v="Rp2.725.000"/>
    <x v="6"/>
    <d v="1899-12-30T04:06:00"/>
    <x v="0"/>
    <m/>
    <s v="Diskon 256rb"/>
  </r>
  <r>
    <s v="Kost Singgahsini Puri Amarta Tipe A Kebayoran Lama Jakarta Selatan"/>
    <x v="5"/>
    <s v="Kebayoran Lama"/>
    <e v="#VALUE!"/>
    <s v="N/A"/>
    <s v="N/A"/>
    <n v="3525000"/>
    <s v="Rp3.525.000"/>
    <s v=""/>
    <x v="284"/>
    <s v="Rp3.350.000"/>
    <x v="6"/>
    <d v="1899-12-30T04:06:00"/>
    <x v="2"/>
    <m/>
    <s v="Diskon 175rb"/>
  </r>
  <r>
    <s v="Kost Singgahsini Puri Indah A618 Tipe A Kembangan Jakarta Barat"/>
    <x v="3"/>
    <s v="Kembangan"/>
    <n v="15.540000000000001"/>
    <s v="4.2 x 3.7 meter"/>
    <s v="Tidak termasuk listrik"/>
    <n v="2475000"/>
    <s v="Rp2.475.000"/>
    <s v="4.2 x 3.7 meter; Tidak termasuk listrik; AC; Kasur; Meja; TV; Lemari Baju; Kursi; Bantal; Jendela; K. Mandi Dalam; Kloset Duduk; Wastafel; Shower; Air panas; WiFi; Kulkas; R. Tamu; Penjaga Kos; Dapur; Dispenser; Parkir Mobil; Parkir Motor &amp; Sepeda"/>
    <x v="429"/>
    <s v="Rp2.352.500"/>
    <x v="6"/>
    <d v="1899-12-30T04:06:00"/>
    <x v="0"/>
    <m/>
    <s v="Diskon 123rb"/>
  </r>
  <r>
    <s v="Kost Singgahsini Puri Indah A618 Tipe B Kembangan Jakarta Barat"/>
    <x v="3"/>
    <s v="Kembangan"/>
    <n v="15.540000000000001"/>
    <s v="4.2 x 3.7 meter"/>
    <s v="Tidak termasuk listrik"/>
    <n v="2675000"/>
    <s v="Rp2.675.000"/>
    <s v="4.2 x 3.7 meter; Tidak termasuk listrik; AC; Kasur; Meja; TV; Lemari Baju; Kursi; Bantal; Jendela; K. Mandi Dalam; Kloset Duduk; Wastafel; Shower; Air panas; WiFi; Kulkas; R. Tamu; Penjaga Kos; Dapur; Dispenser; Parkir Mobil; Parkir Motor &amp; Sepeda"/>
    <x v="430"/>
    <s v="Rp2.542.500"/>
    <x v="8"/>
    <d v="1899-12-30T04:09:00"/>
    <x v="0"/>
    <m/>
    <s v="Diskon 133rb"/>
  </r>
  <r>
    <s v="Kost Singgahsini Puri Indah A618 Tipe C Kembangan Jakarta Barat"/>
    <x v="3"/>
    <s v="Kembangan"/>
    <n v="15.540000000000001"/>
    <s v="4.2 x 3.7 meter"/>
    <s v="Tidak termasuk listrik"/>
    <n v="2925000"/>
    <s v="Rp2.925.000"/>
    <s v="4.2 x 3.7 meter; Tidak termasuk listrik; AC; Kasur; Meja; TV; Lemari Baju; Kursi; Bantal; Jendela; K. Mandi Dalam; Kloset Duduk; Wastafel; Shower; Air panas; WiFi; Kulkas; R. Tamu; Penjaga Kos; Dapur; Dispenser; Parkir Mobil; Parkir Motor &amp; Sepeda"/>
    <x v="391"/>
    <s v="Rp2.780.000"/>
    <x v="12"/>
    <d v="1899-12-30T04:04:00"/>
    <x v="0"/>
    <m/>
    <s v="Diskon 145rb"/>
  </r>
  <r>
    <s v="Kost Singgahsini Purple Ungu Tipe A Pasar Minggu Jakarta Selatan"/>
    <x v="5"/>
    <s v="Pasar Minggu"/>
    <n v="13.5"/>
    <s v="4.5 x 3 meter"/>
    <s v="Tidak termasuk listrik"/>
    <n v="1915000"/>
    <s v="Rp1.915.000"/>
    <s v="4.5 x 3 meter; Tidak termasuk listrik; AC; Kasur; Meja; TV; Ventilasi; Kursi; Wastafel; Bantal; Jendela; K. Mandi Dalam; Kloset Duduk; Shower; WiFi; Parkir Mobil; Parkir Motor"/>
    <x v="431"/>
    <s v="Rp1.820.500"/>
    <x v="8"/>
    <d v="1899-12-30T04:09:00"/>
    <x v="2"/>
    <m/>
    <s v="Diskon 95rb"/>
  </r>
  <r>
    <s v="Kost Singgahsini Puspita Tipe A Beji Depok"/>
    <x v="1"/>
    <s v="Beji"/>
    <n v="10.240000000000002"/>
    <s v="3.2 x 3.2 meter"/>
    <s v="Tidak termasuk listrik"/>
    <n v="1350000"/>
    <s v="Rp1.350.000"/>
    <s v="3.2 x 3.2 meter; Tidak termasuk listrik; AC; Kasur; Meja; Lemari Baju; Bantal; Cermin; Jendela; K. Mandi Dalam; Kloset Duduk; Ember mandi; Shower; Air panas; WiFi; Kulkas; R. Tamu; Penjaga Kos; R. Jemur; Dapur; TV; Gazebo; Jemuran; Parkir Motor &amp; Sepeda"/>
    <x v="375"/>
    <s v="Rp1.215.000"/>
    <x v="6"/>
    <d v="1899-12-30T04:06:00"/>
    <x v="2"/>
    <m/>
    <s v="Diskon 135rb"/>
  </r>
  <r>
    <s v="Kost Singgahsini Puspita Tipe B Beji Depok"/>
    <x v="1"/>
    <s v="Beji"/>
    <n v="10.240000000000002"/>
    <s v="3.2 x 3.2 meter"/>
    <s v="Tidak termasuk listrik"/>
    <n v="1300000"/>
    <s v="Rp1.300.000"/>
    <s v="3.2 x 3.2 meter; Tidak termasuk listrik; AC; Kasur; Meja; Lemari Baju; Bantal; Cermin; Jendela; K. Mandi Dalam; Kloset Duduk; Ember mandi; Shower; WiFi; Kulkas; R. Tamu; Penjaga Kos; R. Jemur; Dapur; TV; Gazebo; Jemuran; Parkir Motor &amp; Sepeda"/>
    <x v="124"/>
    <s v="Rp1.170.000"/>
    <x v="6"/>
    <d v="1899-12-30T04:06:00"/>
    <x v="2"/>
    <m/>
    <s v="Diskon 130rb"/>
  </r>
  <r>
    <s v="Kost Singgahsini Puspita Tipe C Beji Depok"/>
    <x v="1"/>
    <s v="Beji"/>
    <n v="10.240000000000002"/>
    <s v="3.2 x 3.2 meter"/>
    <s v="Tidak termasuk listrik"/>
    <n v="1250000"/>
    <s v="Rp1.250.000"/>
    <s v="3.2 x 3.2 meter; Tidak termasuk listrik; AC; Kasur; Meja; Lemari Baju; Bantal; Cermin; Jendela; K. Mandi Dalam; Kloset Duduk; Ember mandi; Shower; WiFi; Kulkas; R. Tamu; Penjaga Kos; R. Jemur; Dapur; TV; Gazebo; Jemuran; Parkir Motor &amp; Sepeda"/>
    <x v="125"/>
    <s v="Rp1.125.000"/>
    <x v="6"/>
    <d v="1899-12-30T04:06:00"/>
    <x v="2"/>
    <m/>
    <s v="Diskon 125rb"/>
  </r>
  <r>
    <s v="Kost Singgahsini Putri Mawar PJMI Tipe A Bintaro Tangerang Selatan"/>
    <x v="2"/>
    <s v="Kecamatan Pondok Aren"/>
    <n v="18"/>
    <s v="4.5 x 4 meter"/>
    <s v="Tidak termasuk listrik"/>
    <s v=""/>
    <s v="N/A"/>
    <s v="4.5 x 4 meter; Tidak termasuk listrik; AC; Kasur; Meja; Lemari Baju; Kursi; Bantal; Jendela; K. Mandi Dalam; Kloset Duduk; Ember mandi; Shower; WiFi; Kulkas; Dapur; Dispenser; Parkir Mobil; Parkir Motor; Parkir Sepeda; Parkir Motor &amp; Sepeda"/>
    <x v="102"/>
    <s v="Rp1.475.000"/>
    <x v="3"/>
    <d v="1899-12-30T05:00:00"/>
    <x v="2"/>
    <m/>
    <s v="Diskon 75rb"/>
  </r>
  <r>
    <s v="Kost Singgahsini Putri Mawar PJMI Tipe B Bintaro Tangerang Selatan"/>
    <x v="2"/>
    <s v="Kecamatan Pondok Aren"/>
    <n v="12"/>
    <s v="4 x 3 meter"/>
    <s v="Tidak termasuk listrik"/>
    <s v=""/>
    <s v="N/A"/>
    <s v="4 x 3 meter; Tidak termasuk listrik; AC; Kasur; Meja; Lemari Baju; Kursi; Bantal; Jendela; K. Mandi Dalam; Kloset Duduk; Ember mandi; Shower; WiFi; Kulkas; Dapur; Dispenser; Parkir Mobil; Parkir Motor; Parkir Sepeda; Parkir Motor &amp; Sepeda"/>
    <x v="54"/>
    <s v="Rp1.375.000"/>
    <x v="8"/>
    <d v="1899-12-30T04:09:00"/>
    <x v="2"/>
    <m/>
    <s v="Diskon 75rb"/>
  </r>
  <r>
    <s v="Kost Singgahsini Putri Mawar PJMI Tipe C Bintaro Tangerang Selatan"/>
    <x v="2"/>
    <s v="Pondok Aren"/>
    <n v="18"/>
    <s v="4.5 x 4 meter"/>
    <s v="Tidak termasuk listrik"/>
    <s v=""/>
    <s v="N/A"/>
    <s v="4.5 x 4 meter; Tidak termasuk listrik; AC; Kasur; Meja; Lemari Baju; Kursi; Bantal; Jendela; K. Mandi Dalam; Kloset Duduk; Ember mandi; Shower; WiFi; Kulkas; Dapur; Dispenser; Parkir Mobil; Parkir Motor; Parkir Sepeda; Parkir Motor &amp; Sepeda"/>
    <x v="125"/>
    <s v="Rp1.125.000"/>
    <x v="8"/>
    <d v="1899-12-30T04:09:00"/>
    <x v="2"/>
    <m/>
    <m/>
  </r>
  <r>
    <s v="Kost Singgahsini Q Biz Tipe A Kebayoran Baru Jakarta Selatan"/>
    <x v="5"/>
    <s v="Kebayoran Baru"/>
    <n v="7.5"/>
    <s v="2.5 x 3 meter"/>
    <s v="Termasuk listrik (implied)"/>
    <s v=""/>
    <s v="N/A"/>
    <s v="2.5 x 3 meter; Termasuk listrik; AC; Kasur; Meja; Lemari Baju; Kursi; Bantal; Cermin; Guling; Jendela; K. Mandi Dalam; Kloset Duduk; Wastafel; Shower; Air panas; WiFi; Kulkas; R. Tamu; Mesin Cuci; Penjaga Kos; R. Makan; R. Jemur; Dapur; TV; Gazebo; Parkir Mobil; Parkir Motor; Parkir Sepeda"/>
    <x v="277"/>
    <s v="Rp3.025.000"/>
    <x v="8"/>
    <d v="1899-12-30T04:09:00"/>
    <x v="2"/>
    <m/>
    <s v="Diskon 158rb"/>
  </r>
  <r>
    <s v="Kost Singgahsini Queen Tisli Tipe A Serpong Tangerang Selatan"/>
    <x v="2"/>
    <s v="Serpong"/>
    <n v="16"/>
    <s v="4 x 4 meter"/>
    <s v="Tidak termasuk listrik"/>
    <n v="2041000"/>
    <s v="Rp2.041.000"/>
    <s v="4 x 4 meter; Tidak termasuk listrik; AC; Kasur; Meja; Lemari Baju; Kursi; Bantal; Cermin; Guling; Jendela; K. Mandi Dalam; Kloset Duduk; Shower; Air panas; WiFi; Kulkas; R. Tamu; Penjaga Kos; R. Makan; R. Jemur; Dapur; Dispenser; K. Mandi Luar; CCTV; Parkir Mobil; Parkir Motor &amp; Sepeda"/>
    <x v="432"/>
    <s v="Rp1.940.200"/>
    <x v="3"/>
    <d v="1899-12-30T05:00:00"/>
    <x v="0"/>
    <m/>
    <s v="Diskon 101rb"/>
  </r>
  <r>
    <s v="Kost Singgahsini Queen Tisli Tipe B Serpong Tangerang Selatan"/>
    <x v="2"/>
    <s v="Serpong"/>
    <n v="10.8"/>
    <s v="4 x 2.7 meter"/>
    <s v="Tidak termasuk listrik"/>
    <n v="1825000"/>
    <s v="Rp1.825.000"/>
    <s v="4 x 2.7 meter; Tidak termasuk listrik; AC; Kasur; Meja; Lemari Baju; Kursi; Bantal; Cermin; Guling; Jendela; K. Mandi Dalam; Kloset Duduk; Shower; Air panas; WiFi; Kulkas; R. Tamu; Penjaga Kos; R. Makan; R. Jemur; Dapur; Dispenser; K. Mandi Luar; CCTV; Parkir Mobil; Parkir Motor &amp; Sepeda"/>
    <x v="143"/>
    <s v="Rp1.735.000"/>
    <x v="8"/>
    <d v="1899-12-30T04:09:00"/>
    <x v="0"/>
    <m/>
    <s v="Diskon 90rb"/>
  </r>
  <r>
    <s v="Kost Singgahsini R &amp; R Tipe C Palmerah Jakarta Barat"/>
    <x v="3"/>
    <s v="Palmerah"/>
    <n v="6.25"/>
    <s v="2.5 x 2.5 meter"/>
    <s v="Tidak termasuk listrik"/>
    <s v=""/>
    <s v="N/A"/>
    <s v="2.5 x 2.5 meter; Tidak termasuk listrik; AC; Kasur; Meja; Lemari Baju; Kulkas; Kursi; Bantal; Guling; Jendela; Kloset Jongkok; K. Mandi Luar; Shower; WiFi; R. Tamu; R. Jemur; Dapur; TV; CCTV; Jemuran; Parkir Motor; Parkir Sepeda"/>
    <x v="433"/>
    <s v="Rp1.185.000"/>
    <x v="13"/>
    <d v="1899-12-30T04:03:00"/>
    <x v="0"/>
    <m/>
    <s v="Diskon 74rb"/>
  </r>
  <r>
    <s v="Kost Singgahsini Rahmawati Tebet Jakarta Selatan"/>
    <x v="5"/>
    <s v="Kecamatan Tebet"/>
    <n v="12"/>
    <s v="4 x 3 meter"/>
    <s v="Tidak termasuk listrik"/>
    <n v="1935000"/>
    <s v="Rp1.935.000"/>
    <s v="4 x 3 meter; Tidak termasuk listrik; AC; Kasur; Meja; Lemari Baju; Ventilasi; Kursi; Bantal; Guling; Jendela; K. Mandi Dalam; Kloset Duduk; Ember mandi; Shower; Bak mandi; WiFi; R. Cuci; Penjaga Kos; Dapur; K. Mandi Luar; Parkir Mobil; Parkir Motor; Parkir Sepeda; Parkir Motor &amp; Sepeda"/>
    <x v="434"/>
    <s v="Rp1.839.500"/>
    <x v="6"/>
    <d v="1899-12-30T04:06:00"/>
    <x v="2"/>
    <m/>
    <s v="Diskon 96rb"/>
  </r>
  <r>
    <s v="Kost Singgahsini Ramboe Ranca 85 Tipe A Ciputat Tangerang Selatan"/>
    <x v="2"/>
    <s v="Kecamatan Ciputat"/>
    <n v="15"/>
    <s v="5 x 3 meter"/>
    <s v="Tidak termasuk listrik"/>
    <s v=""/>
    <s v="N/A"/>
    <s v="5 x 3 meter; Tidak termasuk listrik; AC; Kasur; Meja; TV; Lemari Baju; Ventilasi; Kursi; Bantal; Jendela; K. Mandi Dalam; Kloset Duduk; Wastafel; Shower; Air panas; WiFi; R. Tamu; Dapur; CCTV; Parkir Mobil; Parkir Motor"/>
    <x v="51"/>
    <s v="Rp2.025.000"/>
    <x v="6"/>
    <d v="1899-12-30T04:06:00"/>
    <x v="0"/>
    <m/>
    <s v="Diskon 176rb"/>
  </r>
  <r>
    <s v="Kost Singgahsini Ramboe Ranca 85 Tipe B Ciputat Tangerang Selatan"/>
    <x v="2"/>
    <s v="Kecamatan Ciputat"/>
    <n v="15"/>
    <s v="5 x 3 meter"/>
    <s v="Tidak termasuk listrik"/>
    <n v="2225000"/>
    <s v="Rp2.225.000"/>
    <s v="5 x 3 meter; Tidak termasuk listrik; AC; Kasur; Meja; TV; Lemari Baju; Ventilasi; Kursi; Bantal; Jendela; K. Mandi Dalam; Kloset Duduk; Wastafel; Shower; Air panas; WiFi; R. Tamu; Dapur; CCTV; Parkir Mobil; Parkir Motor"/>
    <x v="404"/>
    <s v="Rp2.049.000"/>
    <x v="6"/>
    <d v="1899-12-30T04:06:00"/>
    <x v="0"/>
    <m/>
    <s v="Diskon 176rb"/>
  </r>
  <r>
    <s v="Kost Singgahsini Raoul Cipete Tipe B Cilandak Jakarta Selatan"/>
    <x v="5"/>
    <s v="Cilandak"/>
    <n v="10.240000000000002"/>
    <s v="3.2 x 3.2 meter"/>
    <s v="Tidak termasuk listrik"/>
    <s v=""/>
    <s v="N/A"/>
    <s v="3.2 x 3.2 meter; Tidak termasuk listrik; AC; Kasur; Meja; Lemari Baju; Kursi; Bantal; Jendela; K. Mandi Dalam; Kloset Duduk; Wastafel; Shower; Air panas; WiFi; R. Jemur; Dapur; CCTV; Parkir Mobil; Parkir Sepeda"/>
    <x v="363"/>
    <s v="Rp2.825.000"/>
    <x v="6"/>
    <d v="1899-12-30T04:06:00"/>
    <x v="0"/>
    <m/>
    <s v="Diskon 248rb"/>
  </r>
  <r>
    <s v="Kost Singgahsini Raoul Cipete Tipe C Cilandak Jakarta Selatan"/>
    <x v="5"/>
    <s v="Cilandak"/>
    <n v="10.8"/>
    <s v="3.6 x 3 meter"/>
    <s v="Tidak termasuk listrik"/>
    <n v="3125000"/>
    <s v="Rp3.125.000"/>
    <s v="3.6 x 3 meter; Tidak termasuk listrik; AC; Kasur; Meja; Lemari Baju; Kursi; Bantal; Jendela; K. Mandi Dalam; Kloset Duduk; Shower; Air panas; WiFi; R. Jemur; Dapur; CCTV; Parkir Mobil; Parkir Sepeda"/>
    <x v="384"/>
    <s v="Rp2.877.000"/>
    <x v="8"/>
    <d v="1899-12-30T04:09:00"/>
    <x v="0"/>
    <m/>
    <s v="Diskon 248rb"/>
  </r>
  <r>
    <s v="Kost Singgahsini Raoul Cipete Tipe C Cilandak Jakarta Selatan"/>
    <x v="5"/>
    <s v="Cilandak"/>
    <e v="#VALUE!"/>
    <s v="N/A"/>
    <s v="N/A"/>
    <n v="3125000"/>
    <s v="Rp3.125.000"/>
    <s v=""/>
    <x v="384"/>
    <s v="Rp2.877.000"/>
    <x v="8"/>
    <d v="1899-12-30T04:09:00"/>
    <x v="0"/>
    <m/>
    <s v="Diskon 248rb"/>
  </r>
  <r>
    <s v="Kost Singgahsini Rap 18A Tipe B Kemayoran Jakarta Pusat"/>
    <x v="9"/>
    <s v="Kemayoran"/>
    <n v="8.75"/>
    <s v="3.5 x 2.5 meter"/>
    <s v="Tidak termasuk listrik"/>
    <n v="1525000"/>
    <s v="Rp1.525.000"/>
    <s v="3.5 x 2.5 meter; Tidak termasuk listrik; AC; Kasur; Meja; Lemari Baju; Ventilasi; Kursi; Jendela; Bantal; Cermin; Guling; Kloset Duduk; K. Mandi Luar; Ember mandi; WiFi; R. Tamu; R. Jemur; CCTV; Parkir Motor &amp; Sepeda"/>
    <x v="21"/>
    <s v="Rp1.450.000"/>
    <x v="2"/>
    <d v="1899-12-30T04:08:00"/>
    <x v="0"/>
    <m/>
    <s v="Diskon 75rb"/>
  </r>
  <r>
    <s v="Kost Singgahsini Rasafa IKPN Tipe A Pesanggrahan Jakarta Selatan"/>
    <x v="5"/>
    <s v="Pesanggrahan"/>
    <n v="16"/>
    <s v="4 x 4 meter"/>
    <s v="Termasuk listrik (implied)"/>
    <s v=""/>
    <s v="N/A"/>
    <s v="4 x 4 meter; Termasuk listrik; AC; Kasur; Lemari Baju; Bantal; Guling; Jendela; Kloset Duduk; K. Mandi Luar; Shower; WiFi; Kulkas; R. Tamu; R. Jemur; Dapur; TV; CCTV; Parkir Motor; Parkir Sepeda; Parkir Motor &amp; Sepeda"/>
    <x v="276"/>
    <s v="Rp1.545.000"/>
    <x v="2"/>
    <d v="1899-12-30T04:08:00"/>
    <x v="1"/>
    <m/>
    <s v="Diskon 65rb"/>
  </r>
  <r>
    <s v="Kost Singgahsini Ratu Teratai 59 Tipe A Kebon Jeruk Jakarta Barat"/>
    <x v="3"/>
    <s v="Kebon Jeruk"/>
    <n v="17.5"/>
    <s v="3.5 x 5 meter"/>
    <s v="Tidak termasuk listrik"/>
    <s v=""/>
    <s v="N/A"/>
    <s v="3.5 x 5 meter; Tidak termasuk listrik; AC; Kasur; Meja; Lemari Baju; Kursi; Bantal; Cermin; Jendela; K. Mandi Dalam; Kloset Duduk; Shower; Air panas; WiFi; Kulkas; Penjaga Kos; Dapur; CCTV; Parkir Motor; Parkir Sepeda"/>
    <x v="337"/>
    <s v="Rp2.305.000"/>
    <x v="8"/>
    <d v="1899-12-30T04:09:00"/>
    <x v="0"/>
    <m/>
    <m/>
  </r>
  <r>
    <s v="Kost Singgahsini Ravanti Tipe A Ciputat Timur Tangerang Selatan"/>
    <x v="2"/>
    <s v="Kecamatan Ciputat Timur"/>
    <n v="13.049999999999999"/>
    <s v="4.5 x 2.9 meter"/>
    <s v="Tidak termasuk listrik"/>
    <n v="1425000"/>
    <s v="Rp1.425.000"/>
    <s v="4.5 x 2.9 meter; Tidak termasuk listrik; AC; Kasur; Meja; Lemari Baju; Kulkas; Kursi; Bantal; Guling; Jendela; K. Mandi Dalam; Kloset Duduk; Shower; WiFi; R. Tamu; Laundry; Dapur; Parkir Mobil; Parkir Motor; Parkir Sepeda"/>
    <x v="46"/>
    <s v="Rp1.355.000"/>
    <x v="2"/>
    <d v="1899-12-30T04:08:00"/>
    <x v="2"/>
    <m/>
    <s v="Diskon 70rb"/>
  </r>
  <r>
    <s v="Kost Singgahsini Ravanti Tipe B Ciputat Timur Tangerang Selatan"/>
    <x v="2"/>
    <s v="Kecamatan Ciputat Timur"/>
    <n v="14.700000000000001"/>
    <s v="4.2 x 3.5 meter"/>
    <s v="Tidak termasuk listrik"/>
    <n v="1475000"/>
    <s v="Rp1.475.000"/>
    <s v="4.2 x 3.5 meter; Tidak termasuk listrik; AC; Kasur; Meja; TV; Lemari Baju; Kulkas; Kursi; Bantal; Guling; Jendela; K. Mandi Dalam; Kloset Duduk; Shower; WiFi; R. Tamu; Laundry; Dapur; Parkir Mobil; Parkir Motor; Parkir Sepeda"/>
    <x v="268"/>
    <s v="Rp1.402.500"/>
    <x v="10"/>
    <d v="1899-12-30T04:05:00"/>
    <x v="2"/>
    <m/>
    <s v="Diskon 73rb"/>
  </r>
  <r>
    <s v="Kost Singgahsini Rifidikan Tipe A Cimanggis Depok"/>
    <x v="1"/>
    <s v="Cimanggis"/>
    <n v="12.8"/>
    <s v="3.2 x 4 meter"/>
    <s v="Tidak termasuk listrik"/>
    <n v="1225000"/>
    <s v="Rp1.225.000"/>
    <s v="3.2 x 4 meter; Tidak termasuk listrik; AC; Kasur; Meja; Lemari Baju; Ventilasi; Kursi; Bantal; Guling; Cermin; Jendela; K. Mandi Dalam; Kloset Duduk; Ember mandi; Shower; WiFi; R. Tamu; Penjaga Kos; Laundry; R. Jemur; Mushola; Dapur; Taman; CCTV; Jemuran; Parkir Motor &amp; Sepeda"/>
    <x v="96"/>
    <s v="Rp1.105.000"/>
    <x v="6"/>
    <d v="1899-12-30T04:06:00"/>
    <x v="2"/>
    <m/>
    <s v="Diskon 120rb"/>
  </r>
  <r>
    <s v="Kost Singgahsini Ritha Tipe A Cempaka Putih Jakarta Pusat"/>
    <x v="9"/>
    <s v="Cempaka Putih"/>
    <n v="15"/>
    <s v="5 x 3 meter"/>
    <s v="Tidak termasuk listrik"/>
    <s v=""/>
    <s v="N/A"/>
    <s v="5 x 3 meter; Tidak termasuk listrik; AC; Kasur; Lemari Baju; Cleaning service; K. Mandi Dalam; Kloset Duduk; Shower; WiFi; R. Cuci; R. Tamu; R. Jemur; Dapur; Parkir Mobil; Parkir Motor"/>
    <x v="233"/>
    <s v="Rp2.325.000"/>
    <x v="8"/>
    <d v="1899-12-30T04:09:00"/>
    <x v="0"/>
    <m/>
    <s v="Diskon 115rb"/>
  </r>
  <r>
    <s v="Kost Singgahsini RK Tipe A Pondok Aren Tangerang Selatan"/>
    <x v="2"/>
    <s v="Pondok Aren"/>
    <n v="9"/>
    <s v="3 x 3 meter"/>
    <s v="Tidak termasuk listrik"/>
    <n v="1425000"/>
    <s v="Rp1.425.000"/>
    <s v="3 x 3 meter; Tidak termasuk listrik; AC; Kasur; Meja; Lemari Baju; Ventilasi; Jendela; Bantal; K. Mandi Dalam; Kloset Jongkok; Ember mandi; Shower; WiFi; Kulkas; R. Tamu; R. Jemur; Dapur; CCTV; Balcon; Parkir Motor &amp; Sepeda"/>
    <x v="46"/>
    <s v="Rp1.355.000"/>
    <x v="3"/>
    <d v="1899-12-30T05:00:00"/>
    <x v="2"/>
    <m/>
    <s v="Diskon 70rb"/>
  </r>
  <r>
    <s v="Kost Singgahsini RK Tipe B Pondok Aren Tangerang Selatan"/>
    <x v="2"/>
    <s v="Pondok Aren"/>
    <n v="9"/>
    <s v="3 x 3 meter"/>
    <s v="Tidak termasuk listrik"/>
    <n v="1325000"/>
    <s v="Rp1.325.000"/>
    <s v="3 x 3 meter; Tidak termasuk listrik; AC; Kasur; Meja; TV; Lemari Baju; Ventilasi; Jendela; Bantal; K. Mandi Dalam; Kloset Jongkok; Ember mandi; Shower; WiFi; Kulkas; R. Tamu; R. Jemur; Dapur; CCTV; Balcon; Parkir Motor &amp; Sepeda"/>
    <x v="81"/>
    <s v="Rp1.221.000"/>
    <x v="3"/>
    <d v="1899-12-30T05:00:00"/>
    <x v="2"/>
    <m/>
    <s v="Diskon 104rb"/>
  </r>
  <r>
    <s v="Kost Singgahsini Rose Residence Tipe A Tangerang"/>
    <x v="6"/>
    <s v="Tangerang"/>
    <n v="24"/>
    <s v="4 x 6 meter"/>
    <s v="Tidak termasuk listrik"/>
    <n v="3425000"/>
    <s v="Rp3.425.000"/>
    <s v="4 x 6 meter; Tidak termasuk listrik; AC; Kasur; Meja; Lemari Baju; Kursi; Jendela; Bantal; Cermin; K. Mandi Dalam; Kloset Duduk; Wastafel; Shower; Air panas; WiFi; Kulkas; R. Tamu; Penjaga Kos; R. Makan; R. Santai; Dapur; CCTV; Parkir Mobil; Parkir Motor &amp; Sepeda"/>
    <x v="394"/>
    <s v="Rp3.255.000"/>
    <x v="4"/>
    <d v="1899-12-30T04:01:00"/>
    <x v="0"/>
    <m/>
    <s v="Diskon 170rb"/>
  </r>
  <r>
    <s v="Kost Singgahsini Rose Residence Tipe B Tangerang"/>
    <x v="6"/>
    <s v="Tangerang"/>
    <n v="24.010000000000005"/>
    <s v="4.9 x 4.9 meter"/>
    <s v="Tidak termasuk listrik"/>
    <n v="2425000"/>
    <s v="Rp2.425.000"/>
    <s v="4.9 x 4.9 meter; Tidak termasuk listrik; AC; Kasur; Meja; Lemari Baju; Ventilasi; Kursi; Jendela; Bantal; Cermin; K. Mandi Dalam; Kloset Duduk; Wastafel; Shower; Air panas; WiFi; Kulkas; R. Tamu; Penjaga Kos; R. Makan; R. Santai; Dapur; CCTV; Parkir Mobil; Parkir Motor &amp; Sepeda"/>
    <x v="337"/>
    <s v="Rp2.305.000"/>
    <x v="6"/>
    <d v="1899-12-30T04:06:00"/>
    <x v="0"/>
    <m/>
    <s v="Diskon 120rb"/>
  </r>
  <r>
    <s v="Kost Singgahsini Royal Spring Tipe C Pasar Minggu Jakarta Selatan"/>
    <x v="5"/>
    <s v="Pasar Minggu"/>
    <n v="8.8000000000000007"/>
    <s v="4 x 2.2 meter"/>
    <s v="Termasuk listrik (implied)"/>
    <s v=""/>
    <s v="N/A"/>
    <s v="4 x 2.2 meter; Termasuk listrik; AC; Kasur; Meja; Lemari Baju; Ventilasi; Kursi; Bantal; Cermin; Jendela; Kloset Duduk; K. Mandi Luar; Wastafel; Shower; WiFi; R. Tamu; Penjaga Kos; Dispenser; TV; Taman; Parkir Mobil; Parkir Motor &amp; Sepeda"/>
    <x v="154"/>
    <s v="Rp1.825.000"/>
    <x v="2"/>
    <d v="1899-12-30T04:08:00"/>
    <x v="2"/>
    <m/>
    <s v="Diskon 128rb"/>
  </r>
  <r>
    <s v="Kost Singgahsini RR'S House Tipe A Kebon Jeruk Jakarta Barat"/>
    <x v="3"/>
    <s v="Kebon Jeruk"/>
    <n v="20"/>
    <s v="5 x 4 meter"/>
    <s v="Tidak termasuk listrik"/>
    <n v="1845000"/>
    <s v="Rp1.845.000"/>
    <s v="5 x 4 meter; Tidak termasuk listrik; AC; Kasur; Meja; TV; Lemari Baju; Kursi; K. Mandi Dalam; Kloset Duduk; Shower; WiFi; Kulkas; R. Tamu; Penjaga Kos; R. Jemur; Dapur; Dispenser; CCTV; Parkir Mobil; Parkir Motor; Parkir Motor &amp; Sepeda"/>
    <x v="435"/>
    <s v="Rp1.754.000"/>
    <x v="12"/>
    <d v="1899-12-30T04:04:00"/>
    <x v="0"/>
    <m/>
    <s v="Diskon 91rb"/>
  </r>
  <r>
    <s v="Kost Singgahsini Rumah 5111 Tipe A Setiabudi Jakarta Selatan"/>
    <x v="5"/>
    <s v="SETIA BUDI"/>
    <n v="12.209999999999999"/>
    <s v="3.7 x 3.3 meter"/>
    <s v="Tidak termasuk listrik"/>
    <s v=""/>
    <s v="N/A"/>
    <s v="3.7 x 3.3 meter; Tidak termasuk listrik; AC; Kasur; Meja; TV; Lemari Baju; Kursi; Bantal; Cermin; Guling; Jendela; K. Mandi Dalam; Kloset Duduk; Wastafel; Shower; Air panas; WiFi; R. Cuci; Kulkas; Mesin Cuci; Penjaga Kos; Laundry; R. Makan; R. Jemur; Dapur; Dispenser; Parkir Mobil; Parkir Motor; Parkir Sepeda"/>
    <x v="436"/>
    <s v="Rp3.105.000"/>
    <x v="6"/>
    <d v="1899-12-30T04:06:00"/>
    <x v="0"/>
    <m/>
    <s v="Diskon 260rb"/>
  </r>
  <r>
    <s v="Kost Singgahsini Rumah Adel Tipe A Makasar Jakarta Timur"/>
    <x v="8"/>
    <s v="Makasar"/>
    <n v="22"/>
    <s v="5.5 x 4 meter"/>
    <s v="Tidak termasuk listrik"/>
    <s v=""/>
    <s v="N/A"/>
    <s v="5.5 x 4 meter; Tidak termasuk listrik; AC; Kasur; Meja; Lemari Baju; Kipas Angin; Sofa; Bantal; K. Mandi Dalam; Kloset Duduk; WiFi; R. Jemur; Dapur; Parkir Motor; Parkir Sepeda"/>
    <x v="11"/>
    <s v="Rp1.400.000"/>
    <x v="2"/>
    <d v="1899-12-30T04:08:00"/>
    <x v="1"/>
    <m/>
    <s v="Diskon 88rb"/>
  </r>
  <r>
    <s v="Kost Singgahsini Rumah Adel Tipe B Makasar Jakarta Timur"/>
    <x v="8"/>
    <s v="Makasar"/>
    <n v="8.58"/>
    <s v="3.9 x 2.2 meter"/>
    <s v="Tidak termasuk listrik"/>
    <s v=""/>
    <s v="N/A"/>
    <s v="3.9 x 2.2 meter; Tidak termasuk listrik; AC; Kasur; Meja; Lemari Baju; Kursi; Bantal; Guling; Jendela; Kloset Duduk; K. Mandi Luar; WiFi; R. Jemur; Parkir Motor; Parkir Sepeda"/>
    <x v="23"/>
    <s v="Rp1.200.000"/>
    <x v="3"/>
    <d v="1899-12-30T05:00:00"/>
    <x v="1"/>
    <m/>
    <s v="Diskon 88rb"/>
  </r>
  <r>
    <s v="Kost Singgahsini Rumah Adel Tipe C Makasar Jakarta Timur"/>
    <x v="8"/>
    <s v="Makasar"/>
    <n v="8.58"/>
    <s v="3.9 x 2.2 meter"/>
    <s v="Tidak termasuk listrik"/>
    <n v="1100000"/>
    <s v="Rp1.100.000"/>
    <s v="3.9 x 2.2 meter; Tidak termasuk listrik; AC; Kasur; Meja; Lemari Baju; Bantal; Guling; Jendela; Kloset Duduk; K. Mandi Luar; WiFi; R. Jemur; Parkir Motor; Parkir Sepeda"/>
    <x v="65"/>
    <s v="Rp1.012.000"/>
    <x v="2"/>
    <d v="1899-12-30T04:08:00"/>
    <x v="1"/>
    <m/>
    <s v="Diskon 88rb"/>
  </r>
  <r>
    <s v="Kost Singgahsini Rumah Adel Tipe D Makasar Jakarta Timur"/>
    <x v="8"/>
    <s v="Makasar"/>
    <n v="6.38"/>
    <s v="2.9 x 2.2 meter"/>
    <s v="Tidak termasuk listrik"/>
    <s v=""/>
    <s v="N/A"/>
    <s v="2.9 x 2.2 meter; Tidak termasuk listrik; Kasur; Meja; Lemari Baju; Kipas Angin; Bantal; Guling; Jendela; Kloset Duduk; K. Mandi Luar; WiFi; R. Jemur; Parkir Motor; Parkir Sepeda"/>
    <x v="31"/>
    <s v="Rp600.000"/>
    <x v="2"/>
    <d v="1899-12-30T04:08:00"/>
    <x v="1"/>
    <m/>
    <s v="Diskon 88rb"/>
  </r>
  <r>
    <s v="Kost Singgahsini Rumah Bundo Tipe A Ciputat Tangerang Selatan"/>
    <x v="2"/>
    <s v="Ciputat"/>
    <n v="10.5"/>
    <s v="3.5 x 3 meter"/>
    <s v="Tidak termasuk listrik"/>
    <n v="1725000"/>
    <s v="Rp1.725.000"/>
    <s v="3.5 x 3 meter; Tidak termasuk listrik; AC; Kasur; Meja; Lemari Baju; Ventilasi; Kursi; Jendela; Cermin; K. Mandi Dalam; Kloset Duduk; Shower; WiFi; R. Cuci; R. Tamu; Penjaga Kos; R. Jemur; Dapur; CCTV; Parkir Mobil; Parkir Motor &amp; Sepeda"/>
    <x v="334"/>
    <s v="Rp1.589.000"/>
    <x v="2"/>
    <d v="1899-12-30T04:08:00"/>
    <x v="2"/>
    <m/>
    <s v="Diskon 136rb"/>
  </r>
  <r>
    <s v="Kost Singgahsini Rumah Ceria Cideng Tipe A Gambir Jakarta Pusat"/>
    <x v="9"/>
    <s v="Gambir"/>
    <n v="16"/>
    <s v="4 x 4 meter"/>
    <s v="Tidak termasuk listrik"/>
    <n v="3000000"/>
    <s v="Rp3.000.000"/>
    <s v="4 x 4 meter; Tidak termasuk listrik; AC; Kasur; Meja; TV; Lemari Baju; Kursi; K. Mandi Dalam; Kloset Duduk; Shower; Air panas; WiFi; R. Cuci; Kulkas; R. Tamu; Mesin Cuci; Penjaga Kos; R. Makan; R. Jemur; Dapur; CCTV; Parkir Mobil; Parkir Motor &amp; Sepeda"/>
    <x v="212"/>
    <s v="Rp2.850.000"/>
    <x v="6"/>
    <d v="1899-12-30T04:06:00"/>
    <x v="0"/>
    <m/>
    <s v="Diskon 150rb"/>
  </r>
  <r>
    <s v="Kost Singgahsini Rumah Ceria Cideng Tipe C Gambir Jakarta Pusat"/>
    <x v="9"/>
    <s v="Gambir"/>
    <n v="9.6000000000000014"/>
    <s v="3 x 3.2 meter"/>
    <s v="Tidak termasuk listrik"/>
    <s v=""/>
    <s v="N/A"/>
    <s v="3 x 3.2 meter; Tidak termasuk listrik; AC; Kasur; Meja; Lemari Baju; Kursi; Bantal; Cermin; Jendela; Kloset Duduk; K. Mandi Luar; Wastafel; Shower; Air panas; WiFi; R. Cuci; Kulkas; R. Tamu; Mesin Cuci; Penjaga Kos; R. Makan; R. Jemur; Dapur; CCTV; Parkir Mobil; Parkir Motor &amp; Sepeda"/>
    <x v="176"/>
    <s v="Rp2.300.000"/>
    <x v="12"/>
    <d v="1899-12-30T04:04:00"/>
    <x v="0"/>
    <m/>
    <s v="Diskon 150rb"/>
  </r>
  <r>
    <s v="Kost Singgahsini Rumah Cibodas Star Tipe A Tangerang"/>
    <x v="6"/>
    <s v="Periuk"/>
    <n v="9"/>
    <s v="3 x 3 meter"/>
    <s v="Tidak termasuk listrik"/>
    <n v="1675000"/>
    <s v="Rp1.675.000"/>
    <s v="3 x 3 meter; Tidak termasuk listrik; AC; Kasur; TV; Lemari Baju; Bantal; Jendela; Cermin; K. Mandi Dalam; Kloset Duduk; Wastafel; Shower; Air panas; WiFi; R. Tamu; Penjaga Kos; R. Makan; R. Jemur; Dapur; Dispenser; CCTV; Jemuran; Parkir Motor &amp; Sepeda"/>
    <x v="328"/>
    <s v="Rp1.592.500"/>
    <x v="6"/>
    <d v="1899-12-30T04:06:00"/>
    <x v="0"/>
    <m/>
    <s v="Diskon 83rb"/>
  </r>
  <r>
    <s v="Kost Singgahsini Rumah Cibodas Star Tipe B Tangerang"/>
    <x v="6"/>
    <s v="Periuk"/>
    <n v="7"/>
    <s v="2.8 x 2.5 meter"/>
    <s v="Tidak termasuk listrik"/>
    <n v="1475000"/>
    <s v="Rp1.475.000"/>
    <s v="2.8 x 2.5 meter; Tidak termasuk listrik; AC; Kasur; TV; Lemari Baju; Bantal; Cermin; K. Mandi Dalam; Kloset Duduk; Wastafel; Shower; Air panas; WiFi; R. Tamu; Penjaga Kos; R. Makan; R. Jemur; Dapur; Dispenser; CCTV; Jemuran; Parkir Motor &amp; Sepeda"/>
    <x v="268"/>
    <s v="Rp1.402.500"/>
    <x v="2"/>
    <d v="1899-12-30T04:08:00"/>
    <x v="0"/>
    <m/>
    <s v="Diskon 73rb"/>
  </r>
  <r>
    <s v="Kost Singgahsini Rumah Kedua Tipe A Kelapa Gading Jakarta Utara"/>
    <x v="4"/>
    <s v="Kelapa Gading"/>
    <n v="10.240000000000002"/>
    <s v="3.2 x 3.2 meter"/>
    <s v="Tidak termasuk listrik"/>
    <n v="2325000"/>
    <s v="Rp2.325.000"/>
    <s v="3.2 x 3.2 meter; Tidak termasuk listrik; AC; Kasur; Meja; Lemari Baju; Kursi; Bantal; Jendela; K. Mandi Dalam; Kloset Duduk; Shower; Air panas; WiFi; Kulkas; Penjaga Kos; Laundry; R. Makan; R. Jemur; Dapur; Dispenser; TV; K. Mandi Luar; Parkir Mobil; Parkir Motor &amp; Sepeda"/>
    <x v="265"/>
    <s v="Rp2.141.000"/>
    <x v="0"/>
    <m/>
    <x v="0"/>
    <m/>
    <s v="Diskon 184rb"/>
  </r>
  <r>
    <s v="Kost Singgahsini Rumah Kedua Tipe B Kelapa Gading Jakarta Utara"/>
    <x v="4"/>
    <s v="Kelapa Gading"/>
    <n v="11.840000000000002"/>
    <s v="3.7 x 3.2 meter"/>
    <s v="Tidak termasuk listrik"/>
    <n v="2275000"/>
    <s v="Rp2.275.000"/>
    <s v="3.7 x 3.2 meter; Tidak termasuk listrik; AC; Kasur; Meja; Lemari Baju; Kursi; Bantal; Jendela; K. Mandi Dalam; Kloset Duduk; Shower; Air panas; WiFi; Kulkas; Penjaga Kos; Laundry; R. Makan; R. Jemur; Dapur; Dispenser; TV; K. Mandi Luar; Parkir Mobil; Parkir Motor &amp; Sepeda"/>
    <x v="383"/>
    <s v="Rp2.095.000"/>
    <x v="10"/>
    <d v="1899-12-30T04:05:00"/>
    <x v="0"/>
    <m/>
    <s v="Diskon 180rb"/>
  </r>
  <r>
    <s v="Kost Singgahsini Rumah Kedua Tipe C Kelapa Gading Jakarta Utara"/>
    <x v="4"/>
    <s v="Kelapa Gading"/>
    <n v="10.240000000000002"/>
    <s v="3.2 x 3.2 meter"/>
    <s v="Tidak termasuk listrik"/>
    <n v="2125000"/>
    <s v="Rp2.125.000"/>
    <s v="3.2 x 3.2 meter; Tidak termasuk listrik; AC; Kasur; Meja; Lemari Baju; Kursi; Bantal; Jendela; K. Mandi Dalam; Kloset Duduk; Shower; Air panas; WiFi; Kulkas; Penjaga Kos; Laundry; R. Makan; R. Jemur; Dapur; Dispenser; TV; K. Mandi Luar; Parkir Mobil; Parkir Motor &amp; Sepeda"/>
    <x v="258"/>
    <s v="Rp1.957.000"/>
    <x v="10"/>
    <d v="1899-12-30T04:05:00"/>
    <x v="0"/>
    <m/>
    <s v="Diskon 168rb"/>
  </r>
  <r>
    <s v="Kost Singgahsini Rumah Nia Tipe A Tebet Jakarta Selatan"/>
    <x v="5"/>
    <s v="Tebet"/>
    <n v="9"/>
    <s v="3 x 3 meter"/>
    <s v="Tidak termasuk listrik"/>
    <n v="2525000"/>
    <s v="Rp2.525.000"/>
    <s v="3 x 3 meter; Tidak termasuk listrik; AC; Kasur; Meja; Lemari Baju; Ventilasi; Kursi; Bantal; Cermin; Guling; K. Mandi Dalam; Kloset Duduk; Shower; WiFi; Kulkas; R. Tamu; R. Jemur; Dapur; Dispenser; CCTV; Jemuran; Parkir Motor &amp; Sepeda"/>
    <x v="233"/>
    <s v="Rp2.325.000"/>
    <x v="3"/>
    <d v="1899-12-30T05:00:00"/>
    <x v="0"/>
    <m/>
    <s v="Diskon 200rb"/>
  </r>
  <r>
    <s v="Kost Singgahsini Rumah Sagre Tipe A Cempaka Putih Jakarta Pusat"/>
    <x v="9"/>
    <s v="Kecamatan Cempaka Putih"/>
    <n v="15.75"/>
    <s v="3.5 x 4.5 meter"/>
    <s v="Termasuk listrik (implied)"/>
    <s v=""/>
    <s v="N/A"/>
    <s v="3.5 x 4.5 meter; Termasuk listrik; AC; Kasur; Meja; Lemari Baju; Kulkas; Ventilasi; Kursi; Bantal; Jendela; K. Mandi Dalam; Kloset Duduk; Wastafel; Shower; Air panas; WiFi; R. Tamu; R. Makan; Dapur; Dispenser; K. Mandi Luar; CCTV; Parkir Mobil; Parkir Motor; Parkir Sepeda"/>
    <x v="437"/>
    <s v="Rp2.985.000"/>
    <x v="2"/>
    <d v="1899-12-30T04:08:00"/>
    <x v="0"/>
    <m/>
    <m/>
  </r>
  <r>
    <s v="Kost Singgahsini Rumah Sagre Tipe B Cempaka Putih Jakarta Pusat"/>
    <x v="9"/>
    <s v="Kecamatan Cempaka Putih"/>
    <n v="17.5"/>
    <s v="3.5 x 5 meter"/>
    <s v="Termasuk listrik (implied)"/>
    <s v=""/>
    <s v="N/A"/>
    <s v="3.5 x 5 meter; Termasuk listrik; AC; Kasur; Meja; Lemari Baju; Kulkas; Ventilasi; Kursi; Bantal; Jendela; K. Mandi Dalam; Kloset Duduk; Wastafel; Shower; Air panas; WiFi; R. Tamu; R. Makan; Dapur; Dispenser; K. Mandi Luar; CCTV; Parkir Mobil; Parkir Motor; Parkir Sepeda"/>
    <x v="438"/>
    <s v="Rp3.505.000"/>
    <x v="6"/>
    <d v="1899-12-30T04:06:00"/>
    <x v="0"/>
    <m/>
    <s v="Diskon 288rb"/>
  </r>
  <r>
    <s v="Kost Singgahsini Rumah Sagre Tipe C Cempaka Putih Jakarta Pusat"/>
    <x v="9"/>
    <s v="Kecamatan Cempaka Putih"/>
    <n v="21"/>
    <s v="3.5 x 6 meter"/>
    <s v="Termasuk listrik (implied)"/>
    <s v=""/>
    <s v="N/A"/>
    <s v="3.5 x 6 meter; Termasuk listrik; AC; Kasur; Meja; Lemari Baju; Kulkas; Ventilasi; Kursi; Bantal; Jendela; K. Mandi Dalam; Kloset Duduk; Wastafel; Shower; Air panas; WiFi; R. Tamu; R. Makan; Dapur; Dispenser; K. Mandi Luar; CCTV; Parkir Mobil; Parkir Motor; Parkir Sepeda"/>
    <x v="439"/>
    <s v="Rp3.815.000"/>
    <x v="8"/>
    <d v="1899-12-30T04:09:00"/>
    <x v="0"/>
    <m/>
    <s v="Diskon 288rb"/>
  </r>
  <r>
    <s v="Kost Singgahsini Rumah Sarastri Tipe A Beji Depok"/>
    <x v="1"/>
    <s v="Beji"/>
    <n v="12"/>
    <s v="4 x 3 meter"/>
    <s v="Tidak termasuk listrik"/>
    <s v=""/>
    <s v="N/A"/>
    <s v="4 x 3 meter; Tidak termasuk listrik; AC; Kasur; Meja; Lemari Baju; Ventilasi; Kursi; Bantal; Jendela; K. Mandi Dalam; Kloset Duduk; Shower; Air panas; WiFi; Kulkas; Penjaga Kos; R. Jemur; Dapur; Parkir Mobil; Parkir Motor &amp; Sepeda"/>
    <x v="111"/>
    <s v="Rp1.975.000"/>
    <x v="10"/>
    <d v="1899-12-30T04:05:00"/>
    <x v="2"/>
    <m/>
    <s v="Diskon 179rb"/>
  </r>
  <r>
    <s v="Kost Singgahsini Rumah Sarastri Tipe B Beji Depok"/>
    <x v="1"/>
    <s v="Beji"/>
    <n v="9.990000000000002"/>
    <s v="3.7 x 2.7 meter"/>
    <s v="Tidak termasuk listrik"/>
    <s v=""/>
    <s v="N/A"/>
    <s v="3.7 x 2.7 meter; Tidak termasuk listrik; AC; Kasur; Meja; Lemari Baju; Ventilasi; Kursi; Jendela; Guling; K. Mandi Dalam; Kloset Duduk; Shower; Air panas; WiFi; Kulkas; Penjaga Kos; R. Jemur; Dapur; Parkir Mobil; Parkir Motor &amp; Sepeda"/>
    <x v="52"/>
    <s v="Rp1.875.000"/>
    <x v="10"/>
    <d v="1899-12-30T04:05:00"/>
    <x v="2"/>
    <m/>
    <s v="Diskon 179rb"/>
  </r>
  <r>
    <s v="Kost Singgahsini Rumah Vanessa Tipe A Jagakarsa Jakarta Selatan"/>
    <x v="5"/>
    <s v="Jagakarsa"/>
    <n v="9.7999999999999989"/>
    <s v="2.8 x 3.5 meter"/>
    <s v="Tidak termasuk listrik"/>
    <n v="2025000"/>
    <s v="Rp2.025.000"/>
    <s v="2.8 x 3.5 meter; Tidak termasuk listrik; AC; Kasur; Lemari Baju; K. Mandi Dalam; Kloset Duduk; Shower; Air panas; WiFi; R. Cuci; Kulkas; R. Tamu; Mesin Cuci; R. Makan; R. Jemur; Dapur; Dispenser; CCTV; Parkir Motor &amp; Sepeda"/>
    <x v="104"/>
    <s v="Rp1.865.000"/>
    <x v="3"/>
    <d v="1899-12-30T05:00:00"/>
    <x v="2"/>
    <m/>
    <s v="Diskon 160rb"/>
  </r>
  <r>
    <s v="Kost Singgahsini Rumah Vanessa Tipe B Jagakarsa Jakarta Selatan"/>
    <x v="5"/>
    <s v="Jagakarsa"/>
    <n v="8.9599999999999991"/>
    <s v="3.2 x 2.8 meter"/>
    <s v="Tidak termasuk listrik"/>
    <n v="1625000"/>
    <s v="Rp1.625.000"/>
    <s v="3.2 x 2.8 meter; Tidak termasuk listrik; AC; Kasur; Lemari Baju; K. Mandi Dalam; Kloset Duduk; Shower; WiFi; R. Cuci; Kulkas; R. Tamu; Mesin Cuci; R. Makan; R. Jemur; Dapur; Dispenser; CCTV; Parkir Motor &amp; Sepeda"/>
    <x v="276"/>
    <s v="Rp1.545.000"/>
    <x v="3"/>
    <d v="1899-12-30T05:00:00"/>
    <x v="2"/>
    <m/>
    <s v="Diskon 80rb"/>
  </r>
  <r>
    <s v="Kost Singgahsini Rume Betawi Tipe B Cipulir Jakarta Selatan"/>
    <x v="5"/>
    <s v="Kecamatan Kebayoran Lama"/>
    <n v="16"/>
    <s v="4 x 4 meter"/>
    <s v="Tidak termasuk listrik"/>
    <n v="2575000"/>
    <s v="Rp2.575.000"/>
    <s v="4 x 4 meter; Tidak termasuk listrik; AC; Kasur; Meja; Lemari Baju; Kursi; Bantal; Jendela; K. Mandi Dalam; Kloset Duduk; Wastafel; Shower; Bak mandi; Air panas; Bathtub; WiFi; R. Cuci; Kulkas; R. Tamu; Penjaga Kos; R. Makan; Mushola; R. Santai; Dapur; Dispenser; Parkir Mobil; Parkir Motor; Parkir Sepeda"/>
    <x v="440"/>
    <s v="Rp2.447.500"/>
    <x v="8"/>
    <d v="1899-12-30T04:09:00"/>
    <x v="2"/>
    <m/>
    <s v="Diskon 128rb"/>
  </r>
  <r>
    <s v="Kost Singgahsini Rumoh Ã¨h Lebak Bulus Tipe A Cilandak Jakarta Selatan"/>
    <x v="5"/>
    <s v="Kecamatan Cilandak"/>
    <n v="14.4"/>
    <s v="4 x 3.6 meter"/>
    <s v="Tidak termasuk listrik"/>
    <s v=""/>
    <s v="N/A"/>
    <s v="4 x 3.6 meter; Tidak termasuk listrik; AC; Kasur; Meja; TV; Lemari Baju; Kursi; Bantal; Cermin; Guling; Jendela; K. Mandi Dalam; Kloset Duduk; Shower; Air panas; WiFi; R. Santai; CCTV; Parkir Mobil; Parkir Motor; Parkir Sepeda"/>
    <x v="344"/>
    <s v="Rp3.325.000"/>
    <x v="6"/>
    <d v="1899-12-30T04:06:00"/>
    <x v="0"/>
    <m/>
    <s v="Diskon 168rb"/>
  </r>
  <r>
    <s v="Kost Singgahsini Rumoh Ã¨h Lebak Bulus Tipe B Cilandak Jakarta Selatan"/>
    <x v="5"/>
    <s v="Kecamatan Cilandak"/>
    <n v="14.4"/>
    <s v="4 x 3.6 meter"/>
    <s v="Tidak termasuk listrik"/>
    <s v=""/>
    <s v="N/A"/>
    <s v="4 x 3.6 meter; Tidak termasuk listrik; AC; Kasur; Meja; Lemari Baju; Kursi; Bantal; Cermin; Guling; Jendela; K. Mandi Dalam; Kloset Duduk; Shower; Air panas; WiFi; R. Santai; TV; CCTV; Parkir Mobil; Parkir Motor; Parkir Sepeda"/>
    <x v="277"/>
    <s v="Rp3.025.000"/>
    <x v="6"/>
    <d v="1899-12-30T04:06:00"/>
    <x v="0"/>
    <m/>
    <m/>
  </r>
  <r>
    <s v="Kost Singgahsini Sahar Tipe D Pasar Minggu Jakarta Selatan"/>
    <x v="5"/>
    <s v="Pasar Minggu"/>
    <n v="12.8"/>
    <s v="4 x 3.2 meter"/>
    <s v="Tidak termasuk listrik"/>
    <s v=""/>
    <s v="N/A"/>
    <s v="4 x 3.2 meter; Tidak termasuk listrik; AC; Kasur; Meja; Lemari Baju; Kursi; Jendela; Bantal; Cermin; Guling; Kloset Duduk; K. Mandi Luar; Shower; WiFi; Kulkas; R. Tamu; Penjaga Kos; R. Makan; R. Jemur; Dapur; Dispenser; CCTV; Parkir Mobil; Parkir Motor &amp; Sepeda"/>
    <x v="228"/>
    <s v="Rp1.925.000"/>
    <x v="12"/>
    <d v="1899-12-30T04:04:00"/>
    <x v="2"/>
    <m/>
    <s v="Diskon 272rb"/>
  </r>
  <r>
    <s v="Kost Singgahsini Sakura Tipe A Cimanggis Depok"/>
    <x v="1"/>
    <s v="Cimanggis"/>
    <n v="7.5"/>
    <s v="3 x 2.5 meter"/>
    <s v="Tidak termasuk listrik"/>
    <n v="1825000"/>
    <s v="Rp1.825.000"/>
    <s v="3 x 2.5 meter; Tidak termasuk listrik; AC; Kasur; Meja; TV; Lemari Baju; Kursi; Bantal; Guling; Jendela; K. Mandi Dalam; Kloset Duduk; Shower; Air panas; WiFi; Kulkas; R. Tamu; Penjaga Kos; R. Jemur; Dapur; CCTV; Parkir Mobil; Parkir Motor &amp; Sepeda"/>
    <x v="366"/>
    <s v="Rp1.645.000"/>
    <x v="10"/>
    <d v="1899-12-30T04:05:00"/>
    <x v="2"/>
    <m/>
    <s v="Diskon 180rb"/>
  </r>
  <r>
    <s v="Kost Singgahsini Samana SCBD Tipe C Kebayoran Baru Jakarta Selatan"/>
    <x v="5"/>
    <s v="Kebayoran Baru"/>
    <n v="15"/>
    <s v="3 x 5 meter"/>
    <s v="Termasuk listrik (implied)"/>
    <n v="4425000"/>
    <s v="Rp4.425.000"/>
    <s v="3 x 5 meter; Termasuk listrik; AC; Kasur; Meja; TV; Lemari Baju; Ventilasi; Kursi; Bantal; Cermin; Jendela; K. Mandi Dalam; Kloset Duduk; Wastafel; Air panas; WiFi; Kulkas; R. Tamu; R. Makan; R. Jemur; Dapur; Dispenser; K. Mandi Luar; CCTV; Parkir Mobil; Parkir Sepeda; Parkir Motor &amp; Sepeda"/>
    <x v="441"/>
    <s v="Rp4.205.000"/>
    <x v="2"/>
    <d v="1899-12-30T04:08:00"/>
    <x v="0"/>
    <m/>
    <s v="Diskon 220rb"/>
  </r>
  <r>
    <s v="Kost Singgahsini Sampit Satoe Lima Tipe D Kebayoran Baru Jakarta Selatan"/>
    <x v="5"/>
    <s v="Kebayoran Baru"/>
    <n v="6"/>
    <s v="3 x 2 meter"/>
    <s v="Tidak termasuk listrik"/>
    <n v="3715000"/>
    <s v="Rp3.715.000"/>
    <s v="3 x 2 meter; Tidak termasuk listrik; AC; Kasur; Meja; Lemari Baju; Kursi; Bantal; Cermin; Guling; Jendela; K. Mandi Dalam; Kloset Duduk; Wastafel; Shower; Air panas; WiFi; Kulkas; R. Tamu; Penjaga Kos; R. Makan; Dapur; TV; Gazebo; CCTV; Rooftop; Parkir Motor &amp; Sepeda"/>
    <x v="442"/>
    <s v="Rp3.530.500"/>
    <x v="2"/>
    <d v="1899-12-30T04:08:00"/>
    <x v="0"/>
    <m/>
    <s v="Diskon 185rb"/>
  </r>
  <r>
    <s v="Kost Singgahsini Sari Raden Inten Tipe B Jakarta Timur"/>
    <x v="8"/>
    <s v="Kecamatan Duren Sawit"/>
    <e v="#VALUE!"/>
    <s v="N/A"/>
    <s v="N/A"/>
    <n v="1225000"/>
    <s v="Rp1.225.000"/>
    <s v=""/>
    <x v="84"/>
    <s v="Rp1.129.000"/>
    <x v="8"/>
    <d v="1899-12-30T04:09:00"/>
    <x v="2"/>
    <m/>
    <s v="Diskon 96rb"/>
  </r>
  <r>
    <s v="Kost Singgahsini Sasya 2 Tipe B Pondok Pinang Jakarta Selatan"/>
    <x v="5"/>
    <s v="Kebayoran Lama"/>
    <n v="10.5"/>
    <s v="3 x 3.5 meter"/>
    <s v="Tidak termasuk listrik"/>
    <s v=""/>
    <s v="N/A"/>
    <s v="3 x 3.5 meter; Tidak termasuk listrik; AC; Kasur; Meja; TV; Lemari Baju; Kursi; Bantal; Cermin; Jendela; K. Mandi Dalam; Kloset Duduk; Shower; Air panas; WiFi; R. Cuci; R. Tamu; R. Makan; R. Jemur; Dapur; K. Mandi Luar; Parkir Mobil; Parkir Motor; Parkir Sepeda"/>
    <x v="243"/>
    <s v="Rp1.675.000"/>
    <x v="6"/>
    <d v="1899-12-30T04:06:00"/>
    <x v="0"/>
    <m/>
    <m/>
  </r>
  <r>
    <s v="Kost Singgahsini SB Living Tipe A Menteng Jakarta Pusat"/>
    <x v="9"/>
    <s v="Menteng"/>
    <n v="7.2900000000000009"/>
    <s v="2.7 x 2.7 meter"/>
    <s v="Tidak termasuk listrik"/>
    <n v="2300000"/>
    <s v="Rp2.300.000"/>
    <s v="2.7 x 2.7 meter; Tidak termasuk listrik; AC; Kasur; Meja; Lemari Baju; Kursi; Bantal; Cermin; Guling; Jendela; K. Mandi Dalam; Kloset Duduk; Shower; WiFi; Penjaga Kos; CCTV; Parkir Motor &amp; Sepeda"/>
    <x v="201"/>
    <s v="Rp2.070.000"/>
    <x v="2"/>
    <d v="1899-12-30T04:08:00"/>
    <x v="0"/>
    <m/>
    <s v="Diskon 230rb"/>
  </r>
  <r>
    <s v="Kost Singgahsini Scholier Dochter Tipe A Pondok Cabe Tangerang Selatan"/>
    <x v="2"/>
    <s v="Pamulang"/>
    <n v="20.8"/>
    <s v="5.2 x 4 meter"/>
    <s v="Tidak termasuk listrik"/>
    <n v="1575000"/>
    <s v="Rp1.575.000"/>
    <s v="5.2 x 4 meter; Tidak termasuk listrik; AC; Kasur; Meja; Lemari Baju; Kursi; Bantal; Jendela; K. Mandi Dalam; Kloset Duduk; Ember mandi; Shower; Air panas; WiFi; R. Tamu; R. Jemur; Dapur; TV; Taman; Jemuran; Parkir Mobil; Parkir Motor &amp; Sepeda"/>
    <x v="352"/>
    <s v="Rp1.497.500"/>
    <x v="0"/>
    <m/>
    <x v="2"/>
    <m/>
    <s v="Diskon 78rb"/>
  </r>
  <r>
    <s v="Kost Singgahsini Scholier Dochter Tipe B Pondok Cabe Tangerang Selatan"/>
    <x v="2"/>
    <s v="Pamulang"/>
    <n v="9"/>
    <s v="3 x 3 meter"/>
    <s v="Tidak termasuk listrik"/>
    <n v="1225000"/>
    <s v="Rp1.225.000"/>
    <s v="3 x 3 meter; Tidak termasuk listrik; AC; Kasur; Meja; Lemari Baju; Kursi; Bantal; Jendela; Kloset Duduk; K. Mandi Luar; Ember mandi; Shower; WiFi; R. Tamu; R. Jemur; Dapur; TV; Taman; Jemuran; Parkir Mobil; Parkir Motor &amp; Sepeda"/>
    <x v="86"/>
    <s v="Rp1.165.000"/>
    <x v="3"/>
    <d v="1899-12-30T05:00:00"/>
    <x v="2"/>
    <m/>
    <s v="Diskon 60rb"/>
  </r>
  <r>
    <s v="Kost Singgahsini Sedoso Tipe A Kalibata Jakarta Selatan"/>
    <x v="5"/>
    <s v="Kecamatan Pancoran"/>
    <n v="14.8"/>
    <s v="4 x 3.7 meter"/>
    <s v="Tidak termasuk listrik"/>
    <n v="2725000"/>
    <s v="Rp2.725.000"/>
    <s v="4 x 3.7 meter; Tidak termasuk listrik; AC; Kasur; Meja; Lemari Baju; Kursi; Bantal; Guling; Jendela; K. Mandi Dalam; Kloset Duduk; Shower; Air panas; WiFi; R. Cuci; R. Tamu; Penjaga Kos; Dapur; Dispenser; K. Mandi Luar; Parkir Mobil; Parkir Motor; Parkir Sepeda; Parkir Motor &amp; Sepeda"/>
    <x v="292"/>
    <s v="Rp2.590.000"/>
    <x v="6"/>
    <d v="1899-12-30T04:06:00"/>
    <x v="2"/>
    <m/>
    <s v="Diskon 135rb"/>
  </r>
  <r>
    <s v="Kost Singgahsini Sedoso Tipe B Kalibata Jakarta Selatan"/>
    <x v="5"/>
    <s v="Kecamatan Pancoran"/>
    <n v="10"/>
    <s v="4 x 2.5 meter"/>
    <s v="Tidak termasuk listrik"/>
    <s v=""/>
    <s v="N/A"/>
    <s v="4 x 2.5 meter; Tidak termasuk listrik; AC; Kasur; Meja; Lemari Baju; Kursi; Bantal; Guling; Jendela; K. Mandi Dalam; Kloset Duduk; Shower; Air panas; WiFi; R. Cuci; R. Tamu; Penjaga Kos; Dapur; Dispenser; K. Mandi Luar; Parkir Mobil; Parkir Motor; Parkir Sepeda; Parkir Motor &amp; Sepeda"/>
    <x v="233"/>
    <s v="Rp2.325.000"/>
    <x v="2"/>
    <d v="1899-12-30T04:08:00"/>
    <x v="2"/>
    <m/>
    <s v="Diskon 135rb"/>
  </r>
  <r>
    <s v="Kost Singgahsini Sepintu Rawa Buntu Tipe A Serpong Tangerang Selatan"/>
    <x v="2"/>
    <s v="Serpong"/>
    <n v="9"/>
    <s v="3 x 3 meter"/>
    <s v="Tidak termasuk listrik"/>
    <s v=""/>
    <s v="N/A"/>
    <s v="3 x 3 meter; Tidak termasuk listrik; AC; Kasur; Meja; Lemari Baju; Kursi; Bantal; Jendela; K. Mandi Dalam; Kloset Duduk; Wastafel; Shower; WiFi; R. Tamu; Penjaga Kos; R. Makan; R. Jemur; Dapur; CCTV; Rice Cooker; Jemuran; Parkir Mobil; Parkir Motor; Parkir Sepeda"/>
    <x v="52"/>
    <s v="Rp1.875.000"/>
    <x v="6"/>
    <d v="1899-12-30T04:06:00"/>
    <x v="0"/>
    <m/>
    <m/>
  </r>
  <r>
    <s v="Kost Singgahsini Sepintu Rawa Buntu Tipe B Serpong Tangerang Selatan"/>
    <x v="2"/>
    <s v="Serpong"/>
    <n v="7.5"/>
    <s v="2.5 x 3 meter"/>
    <s v="Tidak termasuk listrik"/>
    <s v=""/>
    <s v="N/A"/>
    <s v="2.5 x 3 meter; Tidak termasuk listrik; AC; Kasur; Meja; Lemari Baju; Kursi; Bantal; Jendela; K. Mandi Dalam; Kloset Duduk; Wastafel; Shower; WiFi; R. Tamu; Penjaga Kos; R. Makan; R. Jemur; Dapur; CCTV; Rice Cooker; Jemuran; Parkir Mobil; Parkir Motor; Parkir Sepeda"/>
    <x v="243"/>
    <s v="Rp1.675.000"/>
    <x v="3"/>
    <d v="1899-12-30T05:00:00"/>
    <x v="0"/>
    <m/>
    <m/>
  </r>
  <r>
    <s v="Kost Singgahsini Serenity Living Tipe A Kelapa Gading Jakarta Utara"/>
    <x v="4"/>
    <s v="Kelapa Gading"/>
    <n v="6"/>
    <s v="3 x 2 meter"/>
    <s v="Tidak termasuk listrik"/>
    <n v="1575000"/>
    <s v="Rp1.575.000"/>
    <s v="3 x 2 meter; Tidak termasuk listrik; AC; Kasur; Meja; Lemari Baju; Bantal; Jendela; Kloset Duduk; K. Mandi Luar; Ember mandi; Shower; Air panas; WiFi; Penjaga Kos; Dapur; Dispenser; Parkir Mobil; Parkir Motor &amp; Sepeda"/>
    <x v="108"/>
    <s v="Rp1.451.000"/>
    <x v="5"/>
    <d v="1899-12-30T04:00:00"/>
    <x v="0"/>
    <m/>
    <s v="Diskon 124rb"/>
  </r>
  <r>
    <s v="Kost Singgahsini Serenity Living Tipe B Kelapa Gading Jakarta Utara"/>
    <x v="4"/>
    <s v="Kelapa Gading"/>
    <n v="6"/>
    <s v="3 x 2 meter"/>
    <s v="Tidak termasuk listrik"/>
    <n v="1375000"/>
    <s v="Rp1.375.000"/>
    <s v="3 x 2 meter; Tidak termasuk listrik; AC; Kasur; Meja; Lemari Baju; Bantal; Kloset Duduk; K. Mandi Luar; Ember mandi; Shower; Air panas; WiFi; Penjaga Kos; Dapur; Dispenser; Parkir Mobil; Parkir Motor &amp; Sepeda"/>
    <x v="271"/>
    <s v="Rp1.267.000"/>
    <x v="3"/>
    <d v="1899-12-30T05:00:00"/>
    <x v="0"/>
    <m/>
    <s v="Diskon 108rb"/>
  </r>
  <r>
    <s v="Kost Singgahsini Serenity Living Tipe C Kelapa Gading Jakarta Utara"/>
    <x v="4"/>
    <s v="Kelapa Gading"/>
    <n v="4"/>
    <s v="2 x 2 meter"/>
    <s v="Tidak termasuk listrik"/>
    <s v=""/>
    <s v="N/A"/>
    <s v="2 x 2 meter; Tidak termasuk listrik; AC; Kasur; Meja; Lemari Baju; Bantal; Kloset Duduk; K. Mandi Luar; Ember mandi; Shower; Air panas; WiFi; Penjaga Kos; Dapur; Dispenser; Parkir Mobil; Parkir Motor &amp; Sepeda"/>
    <x v="56"/>
    <s v="Rp1.225.000"/>
    <x v="3"/>
    <d v="1899-12-30T05:00:00"/>
    <x v="0"/>
    <m/>
    <s v="Diskon 108rb"/>
  </r>
  <r>
    <s v="Kost Singgahsini Seruma Latumenten Tipe A Tambora Jakarta Barat"/>
    <x v="3"/>
    <s v="Tambora"/>
    <n v="9"/>
    <s v="3 x 3 meter"/>
    <s v="Tidak termasuk listrik"/>
    <s v=""/>
    <s v="N/A"/>
    <s v="3 x 3 meter; Tidak termasuk listrik; AC; Kasur; Meja; Lemari Baju; Kursi; Bantal; Cermin; K. Mandi Dalam; Kloset Duduk; Shower; Air panas; WiFi; Kulkas; Penjaga Kos; R. Jemur; Dapur; Dispenser; Parkir Motor &amp; Sepeda"/>
    <x v="163"/>
    <s v="Rp1.700.000"/>
    <x v="8"/>
    <d v="1899-12-30T04:09:00"/>
    <x v="0"/>
    <m/>
    <s v="Diskon 144rb"/>
  </r>
  <r>
    <s v="Kost Singgahsini Seruma Latumenten Tipe A Tambora Jakarta Barat"/>
    <x v="3"/>
    <s v="Tambora"/>
    <n v="9"/>
    <s v="3 x 3 meter"/>
    <s v="Tidak termasuk listrik"/>
    <s v=""/>
    <s v="N/A"/>
    <s v="3 x 3 meter; Tidak termasuk listrik; AC; Kasur; Meja; Lemari Baju; Kursi; Bantal; Cermin; K. Mandi Dalam; Kloset Duduk; Shower; Air panas; WiFi; Kulkas; Penjaga Kos; R. Jemur; Dapur; Dispenser; Parkir Motor &amp; Sepeda"/>
    <x v="163"/>
    <s v="Rp1.700.000"/>
    <x v="8"/>
    <d v="1899-12-30T04:09:00"/>
    <x v="0"/>
    <m/>
    <s v="Diskon 100rb"/>
  </r>
  <r>
    <s v="Kost Singgahsini Seruma Latumenten Tipe B Tambora Jakarta Barat"/>
    <x v="3"/>
    <s v="Tambora"/>
    <n v="9"/>
    <s v="3 x 3 meter"/>
    <s v="Tidak termasuk listrik"/>
    <s v=""/>
    <s v="N/A"/>
    <s v="3 x 3 meter; Tidak termasuk listrik; AC; Kasur; Lemari Baju; Bantal; Cermin; K. Mandi Dalam; Kloset Duduk; Shower; Air panas; WiFi; Kulkas; Penjaga Kos; R. Jemur; Dapur; Dispenser; Parkir Motor &amp; Sepeda"/>
    <x v="3"/>
    <s v="Rp1.500.000"/>
    <x v="5"/>
    <d v="1899-12-30T04:00:00"/>
    <x v="0"/>
    <m/>
    <s v="Diskon 112rb"/>
  </r>
  <r>
    <s v="Kost Singgahsini Seventeen Tipe B Setia Budi Jakarta Selatan"/>
    <x v="5"/>
    <s v="Setiabudi"/>
    <n v="17.479999999999997"/>
    <s v="4.6 x 3.8 meter"/>
    <s v="Tidak termasuk listrik"/>
    <n v="3225000"/>
    <s v="Rp3.225.000"/>
    <s v="4.6 x 3.8 meter; Tidak termasuk listrik; AC; Kasur; Meja; Lemari Baju; Kursi; Jendela; Bantal; K. Mandi Dalam; Kloset Duduk; Wastafel; Shower; Air panas; WiFi; R. Cuci; Kulkas; R. Tamu; Mesin Cuci; Penjaga Kos; R. Jemur; Dapur; TV; Rooftop; Parkir Mobil; Parkir Motor &amp; Sepeda"/>
    <x v="381"/>
    <s v="Rp3.065.000"/>
    <x v="10"/>
    <d v="1899-12-30T04:05:00"/>
    <x v="1"/>
    <m/>
    <s v="Diskon 160rb"/>
  </r>
  <r>
    <s v="Kost Singgahsini Seventeen Tipe C Setia Budi Jakarta Selatan"/>
    <x v="5"/>
    <s v="Setiabudi"/>
    <n v="14.719999999999999"/>
    <s v="4.6 x 3.2 meter"/>
    <s v="Tidak termasuk listrik"/>
    <n v="2925000"/>
    <s v="Rp2.925.000"/>
    <s v="4.6 x 3.2 meter; Tidak termasuk listrik; AC; Kasur; Meja; Lemari Baju; Ventilasi; Kursi; Jendela; Bantal; K. Mandi Dalam; Kloset Duduk; Wastafel; Shower; Air panas; WiFi; R. Cuci; Kulkas; R. Tamu; Mesin Cuci; Penjaga Kos; R. Jemur; Dapur; TV; Rooftop; Parkir Mobil; Parkir Motor &amp; Sepeda"/>
    <x v="391"/>
    <s v="Rp2.780.000"/>
    <x v="2"/>
    <d v="1899-12-30T04:08:00"/>
    <x v="1"/>
    <m/>
    <s v="Diskon 145rb"/>
  </r>
  <r>
    <s v="Kost Singgahsini Seventeen Tipe D Setia Budi Jakarta Selatan"/>
    <x v="5"/>
    <s v="Setiabudi"/>
    <n v="16.72"/>
    <s v="4.4 x 3.8 meter"/>
    <s v="Tidak termasuk listrik"/>
    <n v="2625000"/>
    <s v="Rp2.625.000"/>
    <s v="4.4 x 3.8 meter; Tidak termasuk listrik; AC; Kasur; Meja; Lemari Baju; Ventilasi; Kursi; Jendela; Bantal; K. Mandi Dalam; Kloset Duduk; Wastafel; Shower; Air panas; WiFi; R. Cuci; Kulkas; R. Tamu; Mesin Cuci; Penjaga Kos; R. Jemur; Dapur; TV; Rooftop; Parkir Mobil; Parkir Motor &amp; Sepeda"/>
    <x v="280"/>
    <s v="Rp2.495.000"/>
    <x v="6"/>
    <d v="1899-12-30T04:06:00"/>
    <x v="1"/>
    <m/>
    <s v="Diskon 130rb"/>
  </r>
  <r>
    <s v="Kost Singgahsini Shabila Tipe B Pasar Minggu Jakarta Selatan"/>
    <x v="5"/>
    <s v="Pasar Minggu"/>
    <n v="12"/>
    <s v="3 x 4 meter"/>
    <s v="Tidak termasuk listrik"/>
    <s v=""/>
    <s v="N/A"/>
    <s v="3 x 4 meter; Tidak termasuk listrik; AC; Kasur; Meja; Lemari Baju; Ventilasi; Kursi; Bantal; Cermin; Guling; Jendela; K. Mandi Dalam; Kloset Duduk; Wastafel; Shower; Air panas; WiFi; Kulkas; R. Tamu; Penjaga Kos; R. Jemur; R. Santai; Dapur; TV; CCTV; Parkir Mobil; Parkir Sepeda; Parkir Motor; Parkir Motor &amp; Sepeda"/>
    <x v="443"/>
    <s v="Rp2.360.000"/>
    <x v="2"/>
    <d v="1899-12-30T04:08:00"/>
    <x v="2"/>
    <m/>
    <s v="Diskon 113rb"/>
  </r>
  <r>
    <s v="Kost Singgahsini Shabila Tipe C Pasar Minggu Jakarta Selatan"/>
    <x v="5"/>
    <s v="Pasar Minggu"/>
    <n v="10"/>
    <s v="2.5 x 4 meter"/>
    <s v="Tidak termasuk listrik"/>
    <s v=""/>
    <s v="N/A"/>
    <s v="2.5 x 4 meter; Tidak termasuk listrik; AC; Kasur; Meja; Lemari Baju; Ventilasi; Kursi; Bantal; Cermin; Guling; Jendela; K. Mandi Dalam; Kloset Duduk; Wastafel; Shower; Air panas; WiFi; Kulkas; R. Tamu; Penjaga Kos; R. Jemur; R. Santai; Dapur; TV; CCTV; Parkir Mobil; Parkir Sepeda; Parkir Motor; Parkir Motor &amp; Sepeda"/>
    <x v="51"/>
    <s v="Rp2.025.000"/>
    <x v="2"/>
    <d v="1899-12-30T04:08:00"/>
    <x v="2"/>
    <m/>
    <s v="Diskon 104rb"/>
  </r>
  <r>
    <s v="Kost Singgahsini Shafara Tipe C Pesanggrahan Jakarta Selatan"/>
    <x v="5"/>
    <s v="Pesanggrahan"/>
    <n v="15"/>
    <s v="5 x 3 meter"/>
    <s v="Tidak termasuk listrik"/>
    <s v=""/>
    <s v="N/A"/>
    <s v="5 x 3 meter; Tidak termasuk listrik; AC; Kasur; Meja; Lemari Baju; Ventilasi; Kursi; Jendela; Wastafel; Bantal; Guling; K. Mandi Dalam; Kloset Duduk; Shower; WiFi; R. Tamu; Penjaga Kos; R. Jemur; CCTV; Parkir Motor &amp; Sepeda"/>
    <x v="153"/>
    <s v="Rp2.125.000"/>
    <x v="10"/>
    <d v="1899-12-30T04:05:00"/>
    <x v="0"/>
    <m/>
    <m/>
  </r>
  <r>
    <s v="Kost Singgahsini Shaka Plaza Slipi Tipe A Palmerah Jakarta Barat"/>
    <x v="3"/>
    <s v="Palmerah"/>
    <n v="10.240000000000002"/>
    <s v="3.2 x 3.2 meter"/>
    <s v="Termasuk listrik (implied)"/>
    <s v=""/>
    <s v="N/A"/>
    <s v="3.2 x 3.2 meter; Termasuk listrik; AC; Kasur; Meja; Lemari Baju; Ventilasi; Kursi; Bantal; Guling; K. Mandi Dalam; Kloset Duduk; Ember mandi; WiFi; R. Cuci; Kulkas; R. Tamu; Mesin Cuci; Dapur; Dispenser; TV; K. Mandi Luar; Parkir Motor; Parkir Sepeda"/>
    <x v="338"/>
    <s v="Rp2.275.000"/>
    <x v="3"/>
    <d v="1899-12-30T05:00:00"/>
    <x v="1"/>
    <m/>
    <m/>
  </r>
  <r>
    <s v="Kost Singgahsini Shaka Plaza Slipi Tipe B Palmerah Jakarta Barat"/>
    <x v="3"/>
    <s v="Palmerah"/>
    <n v="8.9599999999999991"/>
    <s v="3.2 x 2.8 meter"/>
    <s v="Termasuk listrik (implied)"/>
    <s v=""/>
    <s v="N/A"/>
    <s v="3.2 x 2.8 meter; Termasuk listrik; AC; Kasur; Meja; Lemari Baju; Ventilasi; Kursi; Bantal; Cermin; Guling; Jendela; K. Mandi Dalam; Kloset Duduk; Ember mandi; WiFi; R. Cuci; Kulkas; R. Tamu; Mesin Cuci; Dapur; Dispenser; TV; K. Mandi Luar; Parkir Motor; Parkir Sepeda"/>
    <x v="286"/>
    <s v="Rp2.175.000"/>
    <x v="2"/>
    <d v="1899-12-30T04:08:00"/>
    <x v="1"/>
    <m/>
    <m/>
  </r>
  <r>
    <s v="Kost Singgahsini Shaka Plaza Slipi Tipe C Palmerah Jakarta Barat"/>
    <x v="3"/>
    <s v="Palmerah"/>
    <n v="4.32"/>
    <s v="2.4 x 1.8 meter"/>
    <s v="Termasuk listrik (implied)"/>
    <s v=""/>
    <s v="N/A"/>
    <s v="2.4 x 1.8 meter; Termasuk listrik; Kasur; Meja; TV; Lemari Baju; Kursi; Bantal; Guling; Jendela; Kloset Duduk; K. Mandi Luar; Ember mandi; WiFi; R. Cuci; Kulkas; R. Tamu; Mesin Cuci; Dapur; Dispenser; Parkir Motor; Parkir Sepeda"/>
    <x v="11"/>
    <s v="Rp1.400.000"/>
    <x v="2"/>
    <d v="1899-12-30T04:08:00"/>
    <x v="1"/>
    <m/>
    <m/>
  </r>
  <r>
    <s v="Kost Singgahsini Simprug Corner 51 Tipe D Kebayoran Lama Jakarta Selatan"/>
    <x v="5"/>
    <s v="Kebayoran Lama"/>
    <n v="5"/>
    <s v="2.5 x 2 meter"/>
    <s v="Tidak termasuk listrik"/>
    <s v=""/>
    <s v="N/A"/>
    <s v="2.5 x 2 meter; Tidak termasuk listrik; AC; Kasur; Meja; TV; Lemari Baju; Kursi; Bantal; Cermin; Guling; Jendela; Kloset Duduk; K. Mandi Luar; Shower; Air panas; WiFi; Kulkas; Mesin Cuci; Penjaga Kos; Dapur; CCTV; Parkir Motor; Parkir Sepeda"/>
    <x v="286"/>
    <s v="Rp2.175.000"/>
    <x v="8"/>
    <d v="1899-12-30T04:09:00"/>
    <x v="0"/>
    <m/>
    <s v="Diskon 148rb"/>
  </r>
  <r>
    <s v="Kost Singgahsini Sinar Resident Pedurenan Tipe A Setia Budi Jakarta Selatan"/>
    <x v="5"/>
    <s v="Setia Budi"/>
    <n v="10.26"/>
    <s v="3.8 x 2.7 meter"/>
    <s v="Tidak termasuk listrik"/>
    <s v=""/>
    <s v="N/A"/>
    <s v="3.8 x 2.7 meter; Tidak termasuk listrik; AC; Kasur; Lemari Baju; Kulkas; Bantal; Cermin; Guling; Jendela; K. Mandi Dalam; Kloset Duduk; K. Mandi Luar; Wastafel; Shower; Air panas; WiFi; Penjaga Kos; Laundry; R. Makan; R. Jemur; Dapur; CCTV; Jemuran; Parkir Motor &amp; Sepeda"/>
    <x v="260"/>
    <s v="Rp2.525.000"/>
    <x v="2"/>
    <d v="1899-12-30T04:08:00"/>
    <x v="2"/>
    <m/>
    <s v="Diskon 120rb"/>
  </r>
  <r>
    <s v="Kost Singgahsini Slipi 18 Tipe B Palmerah Jakarta Barat"/>
    <x v="3"/>
    <s v="Palmerah"/>
    <n v="6"/>
    <s v="2 x 3 meter"/>
    <s v="Tidak termasuk listrik"/>
    <s v=""/>
    <s v="N/A"/>
    <s v="2 x 3 meter; Tidak termasuk listrik; Kasur; Lemari Baju; Ventilasi; Bantal; Kloset Duduk; K. Mandi Luar; Ember mandi; Shower; WiFi; R. Jemur; Dapur; CCTV; Parkir Motor"/>
    <x v="0"/>
    <s v="Rp950.000"/>
    <x v="10"/>
    <d v="1899-12-30T04:05:00"/>
    <x v="2"/>
    <m/>
    <m/>
  </r>
  <r>
    <s v="Kost Singgahsini SMAN 64 Tipe A Cipayung Jakarta Timur"/>
    <x v="8"/>
    <s v="Cipayung"/>
    <n v="6.72"/>
    <s v="2.8 x 2.4 meter"/>
    <s v="Termasuk listrik (implied)"/>
    <s v=""/>
    <s v="N/A"/>
    <s v="2.8 x 2.4 meter; Termasuk listrik; AC; Kasur; Meja; Lemari Baju; Kursi; Bantal; Cermin; Guling; Jendela; K. Mandi Dalam; Kloset Duduk; Shower; WiFi; Kulkas; R. Tamu; Dapur; CCTV; Rice Cooker; Parkir Mobil; Parkir Motor; Parkir Sepeda"/>
    <x v="3"/>
    <s v="Rp1.500.000"/>
    <x v="8"/>
    <d v="1899-12-30T04:09:00"/>
    <x v="2"/>
    <m/>
    <s v="Diskon 160rb"/>
  </r>
  <r>
    <s v="Kost Singgahsini Sofia Thamrin Tipe B Tanah Abang Jakarta Pusat"/>
    <x v="9"/>
    <s v="Tanah Abang"/>
    <n v="9.4500000000000011"/>
    <s v="3.5 x 2.7 meter"/>
    <s v="Tidak termasuk listrik"/>
    <n v="3025000"/>
    <s v="Rp3.025.000"/>
    <s v="3.5 x 2.7 meter; Tidak termasuk listrik; AC; Kasur; Meja; Lemari Baju; Kursi; Jendela; Cermin; Bantal; K. Mandi Dalam; Kloset Duduk; Wastafel; Shower; WiFi; R. Tamu; Penjaga Kos; Dapur; CCTV; Rooftop; Parkir Mobil; Parkir Motor &amp; Sepeda"/>
    <x v="305"/>
    <s v="Rp2.875.000"/>
    <x v="4"/>
    <d v="1899-12-30T04:01:00"/>
    <x v="0"/>
    <m/>
    <s v="Diskon 150rb"/>
  </r>
  <r>
    <s v="Kost Singgahsini Sofia Thamrin Tipe C Tanah Abang Jakarta Pusat"/>
    <x v="9"/>
    <s v="Tanah Abang"/>
    <n v="9.4500000000000011"/>
    <s v="3.5 x 2.7 meter"/>
    <s v="Tidak termasuk listrik"/>
    <n v="2525000"/>
    <s v="Rp2.525.000"/>
    <s v="3.5 x 2.7 meter; Tidak termasuk listrik; AC; Kasur; Meja; Lemari Baju; Kursi; Jendela; Bantal; K. Mandi Dalam; Kloset Duduk; Shower; WiFi; R. Tamu; Penjaga Kos; Dapur; CCTV; Rooftop; Parkir Mobil; Parkir Motor &amp; Sepeda"/>
    <x v="33"/>
    <s v="Rp2.400.000"/>
    <x v="10"/>
    <d v="1899-12-30T04:05:00"/>
    <x v="0"/>
    <m/>
    <s v="Diskon 125rb"/>
  </r>
  <r>
    <s v="Kost Singgahsini Sofia Thamrin Tipe D Tanah Abang Jakarta Pusat"/>
    <x v="9"/>
    <s v="Tanah Abang"/>
    <n v="9"/>
    <s v="3 x 3 meter"/>
    <s v="Tidak termasuk listrik"/>
    <n v="2025000"/>
    <s v="Rp2.025.000"/>
    <s v="3 x 3 meter; Tidak termasuk listrik; AC; Kasur; Meja; Lemari Baju; Kursi; Jendela; Bantal; Cermin; K. Mandi Dalam; Kloset Duduk; Shower"/>
    <x v="228"/>
    <s v="Rp1.925.000"/>
    <x v="6"/>
    <d v="1899-12-30T04:06:00"/>
    <x v="0"/>
    <m/>
    <s v="Diskon 100rb"/>
  </r>
  <r>
    <s v="Kost Singgahsini Soldier Xosan Tipe A Cipondoh Tangerang"/>
    <x v="6"/>
    <s v="Cipondoh"/>
    <n v="6.75"/>
    <s v="2.5 x 2.7 meter"/>
    <s v="Tidak termasuk listrik"/>
    <n v="1475000"/>
    <s v="Rp1.475.000"/>
    <s v="2.5 x 2.7 meter; Tidak termasuk listrik; AC; Kasur; Lemari Baju; Ventilasi; Bantal; Cermin; Guling; Jendela; Kloset Duduk; K. Mandi Luar; Ember mandi; Shower; WiFi; Penjaga Kos; Dapur; Parkir Motor &amp; Sepeda"/>
    <x v="387"/>
    <s v="Rp1.359.000"/>
    <x v="7"/>
    <d v="1899-12-30T03:06:00"/>
    <x v="0"/>
    <m/>
    <s v="Diskon 116rb"/>
  </r>
  <r>
    <s v="Kost Singgahsini Soldier Xosan Tipe B Cipondoh Tangerang"/>
    <x v="6"/>
    <s v="Cipondoh"/>
    <n v="5.44"/>
    <s v="3.2 x 1.7 meter"/>
    <s v="Tidak termasuk listrik"/>
    <n v="1375000"/>
    <s v="Rp1.375.000"/>
    <s v="3.2 x 1.7 meter; Tidak termasuk listrik; AC; Kasur; Lemari Baju; Ventilasi; Bantal; Cermin; Guling; Kloset Duduk; K. Mandi Luar; Ember mandi; Shower; WiFi; Penjaga Kos; Dapur; Parkir Motor &amp; Sepeda"/>
    <x v="271"/>
    <s v="Rp1.267.000"/>
    <x v="10"/>
    <d v="1899-12-30T04:05:00"/>
    <x v="0"/>
    <m/>
    <s v="Diskon 108rb"/>
  </r>
  <r>
    <s v="Kost Singgahsini STAN Bintaro Andalusia Tipe A Pondok Aren Tangerang Selatan"/>
    <x v="2"/>
    <s v="Kecamatan Pondok Aren"/>
    <n v="6.4399999999999995"/>
    <s v="2.3 x 2.8 meter"/>
    <s v="Tidak termasuk listrik"/>
    <n v="1425000"/>
    <s v="Rp1.425.000"/>
    <s v="2.3 x 2.8 meter; Tidak termasuk listrik; AC; Kasur; Meja; Lemari Baju; Kursi; Bantal; Guling; Jendela; K. Mandi Dalam; Kloset Duduk; WiFi; Kulkas; R. Jemur; Dapur; TV; K. Mandi Luar; Parkir Motor; Parkir Sepeda"/>
    <x v="426"/>
    <s v="Rp1.285.000"/>
    <x v="8"/>
    <d v="1899-12-30T04:09:00"/>
    <x v="1"/>
    <m/>
    <s v="Diskon 140rb"/>
  </r>
  <r>
    <s v="Kost Singgahsini STAN Bintaro Andalusia Tipe B Pondok Aren Tangerang Selatan"/>
    <x v="2"/>
    <s v="Kecamatan Pondok Aren"/>
    <n v="8.6999999999999993"/>
    <s v="3 x 2.9 meter"/>
    <s v="Tidak termasuk listrik"/>
    <n v="1525000"/>
    <s v="Rp1.525.000"/>
    <s v="3 x 2.9 meter; Tidak termasuk listrik; AC; Kasur; Meja; Lemari Baju; Kursi; Guling; Jendela; K. Mandi Dalam; Kloset Duduk; Ember mandi; WiFi; Kulkas; R. Jemur; Dapur; TV; K. Mandi Luar; Parkir Motor; Parkir Sepeda"/>
    <x v="92"/>
    <s v="Rp1.405.000"/>
    <x v="6"/>
    <d v="1899-12-30T04:06:00"/>
    <x v="1"/>
    <m/>
    <s v="Diskon 120rb"/>
  </r>
  <r>
    <s v="Kost Singgahsini STAN Bintaro Andalusia Tipe C Pondok Aren Tangerang Selatan"/>
    <x v="2"/>
    <s v="Pondok Aren"/>
    <n v="6.4399999999999995"/>
    <s v="2.3 x 2.8 meter"/>
    <s v="Tidak termasuk listrik"/>
    <n v="1125000"/>
    <s v="Rp1.125.000"/>
    <s v="2.3 x 2.8 meter; Tidak termasuk listrik; Kasur; Meja; Lemari Baju; Kursi; Bantal; Guling; Jendela; K. Mandi Dalam; Kloset Duduk; Ember mandi; WiFi; Kulkas; R. Jemur; Dapur; TV; K. Mandi Luar; Parkir Motor; Parkir Sepeda"/>
    <x v="67"/>
    <s v="Rp1.070.000"/>
    <x v="2"/>
    <d v="1899-12-30T04:08:00"/>
    <x v="1"/>
    <m/>
    <s v="Diskon 55rb"/>
  </r>
  <r>
    <s v="Kost Singgahsini STAN Bintaro Andalusia Tipe D Pondok Aren Tangerang Selatan"/>
    <x v="2"/>
    <s v="Pondok Aren"/>
    <n v="9.1199999999999992"/>
    <s v="3.8 x 2.4 meter"/>
    <s v="Tidak termasuk listrik"/>
    <n v="1225000"/>
    <s v="Rp1.225.000"/>
    <s v="3.8 x 2.4 meter; Tidak termasuk listrik; Kasur; Meja; Lemari Baju; Kursi; Bantal; Guling; Jendela; K. Mandi Dalam; Kloset Duduk; Ember mandi; WiFi; Kulkas; R. Jemur; Dapur; TV; K. Mandi Luar; Parkir Motor; Parkir Sepeda"/>
    <x v="86"/>
    <s v="Rp1.165.000"/>
    <x v="8"/>
    <d v="1899-12-30T04:09:00"/>
    <x v="1"/>
    <m/>
    <s v="Diskon 60rb"/>
  </r>
  <r>
    <s v="Kost Singgahsini STAN Ceger Raya Tipe A Pondok Aren Tangerang"/>
    <x v="2"/>
    <s v="Kecamatan Pondok Aren"/>
    <n v="13.86"/>
    <s v="3.3 x 4.2 meter"/>
    <s v="Tidak termasuk listrik"/>
    <s v=""/>
    <s v="N/A"/>
    <s v="3.3 x 4.2 meter; Tidak termasuk listrik; AC; Kasur; Meja; Lemari Baju; Kulkas; Kursi; Bantal; Cermin; Jendela; K. Mandi Dalam; Kloset Duduk; Wastafel; Ember mandi; Shower; WiFi; R. Jemur; Dapur; Jemuran; Parkir Mobil; Parkir Motor"/>
    <x v="444"/>
    <s v="Rp1.585.000"/>
    <x v="10"/>
    <d v="1899-12-30T04:05:00"/>
    <x v="0"/>
    <m/>
    <m/>
  </r>
  <r>
    <s v="Kost Singgahsini STAN Rain Tipe A Pondok Aren Tangerang Selatan"/>
    <x v="2"/>
    <s v="PONDOK AREN"/>
    <n v="11.2"/>
    <s v="4 x 2.8 meter"/>
    <s v="Tidak termasuk listrik"/>
    <s v=""/>
    <s v="N/A"/>
    <s v="4 x 2.8 meter; Tidak termasuk listrik; AC; Kasur; Meja; Lemari Baju; Kursi; Bantal; Cermin; Jendela; K. Mandi Dalam; Kloset Duduk; Shower; WiFi; R. Tamu; Dapur; Parkir Motor; Parkir Sepeda"/>
    <x v="445"/>
    <s v="Rp1.595.000"/>
    <x v="8"/>
    <d v="1899-12-30T04:09:00"/>
    <x v="0"/>
    <m/>
    <m/>
  </r>
  <r>
    <s v="Kost Singgahsini STAN Tipe A Jurang Mangu Tangerang Selatan"/>
    <x v="2"/>
    <s v="Pondok Aren"/>
    <n v="12"/>
    <s v="4 x 3 meter"/>
    <s v="Tidak termasuk listrik"/>
    <s v=""/>
    <s v="N/A"/>
    <s v="4 x 3 meter; Tidak termasuk listrik; AC; Kasur; Meja; Lemari Baju; Kulkas; Ventilasi; Kursi; Bantal; Cermin; Jendela; K. Mandi Dalam; Kloset Duduk; Shower; WiFi; R. Cuci; R. Tamu; Dapur; Dispenser; Parkir Mobil; Parkir Motor; Parkir Sepeda; Parkir Motor &amp; Sepeda"/>
    <x v="34"/>
    <s v="Rp1.325.000"/>
    <x v="6"/>
    <d v="1899-12-30T04:06:00"/>
    <x v="0"/>
    <m/>
    <m/>
  </r>
  <r>
    <s v="Kost Singgahsini STAN Tipe B Jurang Mangu Tangerang Selatan"/>
    <x v="2"/>
    <s v="Pondok Aren"/>
    <n v="12"/>
    <s v="4 x 3 meter"/>
    <s v="Tidak termasuk listrik"/>
    <s v=""/>
    <s v="N/A"/>
    <s v="4 x 3 meter; Tidak termasuk listrik; Kasur; Meja; Lemari Baju; Kulkas; Ventilasi; Kursi; Kipas Angin; Bantal; Cermin; Jendela; K. Mandi Dalam; Kloset Duduk; Shower; WiFi; R. Cuci; R. Tamu; Dapur; Dispenser; Parkir Mobil; Parkir Motor; Parkir Sepeda; Parkir Motor &amp; Sepeda"/>
    <x v="43"/>
    <s v="Rp925.000"/>
    <x v="2"/>
    <d v="1899-12-30T04:08:00"/>
    <x v="0"/>
    <m/>
    <m/>
  </r>
  <r>
    <s v="Kost Singgahsini Sudarto Kukusan Tipe A Beji Depok"/>
    <x v="1"/>
    <s v="Beji"/>
    <e v="#VALUE!"/>
    <s v="N/A"/>
    <s v="N/A"/>
    <n v="1535000"/>
    <s v="Rp1.535.000"/>
    <s v="WiFi; R. Tamu; Penjaga Kos; R. Makan; Gazebo; K. Mandi Luar; CCTV; Parkir Mobil; Parkir Motor; Parkir Sepeda"/>
    <x v="446"/>
    <s v="Rp1.384.000"/>
    <x v="2"/>
    <d v="1899-12-30T04:08:00"/>
    <x v="0"/>
    <m/>
    <s v="Diskon 151rb"/>
  </r>
  <r>
    <s v="Kost Singgahsini Sumie Dream Tipe A Duren Sawit Jakarta Timur"/>
    <x v="8"/>
    <s v="Kecamatan Duren Sawit"/>
    <n v="7.5"/>
    <s v="2.5 x 3 meter"/>
    <s v="Tidak termasuk listrik"/>
    <n v="1225000"/>
    <s v="Rp1.225.000"/>
    <s v="2.5 x 3 meter; Tidak termasuk listrik; AC; Kasur; Lemari Baju; Bantal; Jendela; K. Mandi Dalam; Kloset Jongkok; Ember mandi; Shower; WiFi; R. Cuci; Kulkas; R. Tamu; Penjaga Kos; Laundry; Dapur; Dispenser; Parkir Mobil; Parkir Motor; Parkir Sepeda; Parkir Motor &amp; Sepeda"/>
    <x v="86"/>
    <s v="Rp1.165.000"/>
    <x v="8"/>
    <d v="1899-12-30T04:09:00"/>
    <x v="2"/>
    <m/>
    <s v="Diskon 60rb"/>
  </r>
  <r>
    <s v="Kost Singgahsini Sumie Dream Tipe B Duren Sawit Jakarta Timur"/>
    <x v="8"/>
    <s v="Kecamatan Duren Sawit"/>
    <n v="9"/>
    <s v="3 x 3 meter"/>
    <s v="Tidak termasuk listrik"/>
    <n v="1325000"/>
    <s v="Rp1.325.000"/>
    <s v="3 x 3 meter; Tidak termasuk listrik; AC; Kasur; Lemari Baju; Bantal; Jendela; K. Mandi Dalam; Kloset Jongkok; Ember mandi; Shower; WiFi; R. Cuci; Kulkas; R. Tamu; Penjaga Kos; Laundry; Dapur; Dispenser; Parkir Mobil; Parkir Motor; Parkir Sepeda; Parkir Motor &amp; Sepeda"/>
    <x v="147"/>
    <s v="Rp1.260.000"/>
    <x v="2"/>
    <d v="1899-12-30T04:08:00"/>
    <x v="2"/>
    <m/>
    <s v="Diskon 65rb"/>
  </r>
  <r>
    <s v="Kost Singgahsini Summagung Tipe B Kelapa Gading Jakarta Utara"/>
    <x v="4"/>
    <s v="Kecamatan Kelapa Gading"/>
    <n v="8.75"/>
    <s v="3.5 x 2.5 meter"/>
    <s v="Tidak termasuk listrik"/>
    <s v=""/>
    <s v="N/A"/>
    <s v="3.5 x 2.5 meter; Tidak termasuk listrik; AC; Kasur; Meja; Lemari Baju; Kursi; Bantal; Cermin; Guling; K. Mandi Dalam; Kloset Duduk; Shower; Air panas; WiFi; Kulkas; R. Tamu; Penjaga Kos; Dapur; Dispenser; Parkir Mobil; Parkir Motor; Parkir Sepeda"/>
    <x v="366"/>
    <s v="Rp1.645.000"/>
    <x v="10"/>
    <d v="1899-12-30T04:05:00"/>
    <x v="0"/>
    <m/>
    <m/>
  </r>
  <r>
    <s v="Kost Singgahsini Sunrise Living Tipe A Pasar Minggu Jakarta Selatan"/>
    <x v="5"/>
    <s v="Pasar Minggu"/>
    <n v="18"/>
    <s v="6 x 3 meter"/>
    <s v="Tidak termasuk listrik"/>
    <n v="2925000"/>
    <s v="Rp2.925.000"/>
    <s v="6 x 3 meter; Tidak termasuk listrik; AC; Kasur; Meja; Lemari Baju; Kursi; Bantal; Jendela; K. Mandi Dalam; Kloset Duduk; Shower; Air panas; WiFi; Kulkas; Penjaga Kos; R. Jemur; Dapur; CCTV; Rooftop; Parkir Mobil; Parkir Motor &amp; Sepeda"/>
    <x v="447"/>
    <s v="Rp2.635.000"/>
    <x v="8"/>
    <d v="1899-12-30T04:09:00"/>
    <x v="0"/>
    <m/>
    <s v="Diskon 290rb"/>
  </r>
  <r>
    <s v="Kost Singgahsini Sunrise Living Tipe B Pasar Minggu Jakarta Selatan"/>
    <x v="5"/>
    <s v="Pasar Minggu"/>
    <n v="15.75"/>
    <s v="4.5 x 3.5 meter"/>
    <s v="Tidak termasuk listrik"/>
    <n v="2725000"/>
    <s v="Rp2.725.000"/>
    <s v="4.5 x 3.5 meter; Tidak termasuk listrik; AC; Kasur; Meja; Lemari Baju; Kursi; Bantal; Jendela; K. Mandi Dalam; Kloset Duduk; Shower; Air panas; WiFi; Kulkas; Penjaga Kos; R. Jemur; Dapur; CCTV; Rooftop; Parkir Mobil; Parkir Motor &amp; Sepeda"/>
    <x v="304"/>
    <s v="Rp2.455.000"/>
    <x v="8"/>
    <d v="1899-12-30T04:09:00"/>
    <x v="0"/>
    <m/>
    <s v="Diskon 270rb"/>
  </r>
  <r>
    <s v="Kost Singgahsini Sunrise Living Tipe C Pasar Minggu Jakarta Selatan"/>
    <x v="5"/>
    <s v="Pasar Minggu"/>
    <n v="13.5"/>
    <s v="4.5 x 3 meter"/>
    <s v="Tidak termasuk listrik"/>
    <n v="2325000"/>
    <s v="Rp2.325.000"/>
    <s v="4.5 x 3 meter; Tidak termasuk listrik; AC; Kasur; Meja; Lemari Baju; Kursi; Bantal; Jendela; K. Mandi Dalam; Kloset Duduk; Shower; Air panas; WiFi; Kulkas; Penjaga Kos; R. Jemur; Dapur; CCTV; Rooftop; Parkir Mobil; Parkir Motor &amp; Sepeda"/>
    <x v="383"/>
    <s v="Rp2.095.000"/>
    <x v="13"/>
    <d v="1899-12-30T04:03:00"/>
    <x v="0"/>
    <m/>
    <s v="Diskon 230rb"/>
  </r>
  <r>
    <s v="Kost Singgahsini Sunrise Living Tipe D Pasar Minggu Jakarta Selatan"/>
    <x v="5"/>
    <s v="Pasar Minggu"/>
    <n v="11.25"/>
    <s v="4.5 x 2.5 meter"/>
    <s v="Tidak termasuk listrik"/>
    <n v="2025000"/>
    <s v="Rp2.025.000"/>
    <s v="4.5 x 2.5 meter; Tidak termasuk listrik; AC; Kasur; Meja; Lemari Baju; Kursi; Bantal; Jendela; K. Mandi Dalam; Kloset Duduk; Shower; Air panas; WiFi; Kulkas; Penjaga Kos; R. Jemur; Dapur; CCTV; Rooftop; Parkir Mobil; Parkir Motor &amp; Sepeda"/>
    <x v="154"/>
    <s v="Rp1.825.000"/>
    <x v="8"/>
    <d v="1899-12-30T04:09:00"/>
    <x v="0"/>
    <m/>
    <s v="Diskon 200rb"/>
  </r>
  <r>
    <s v="Kost Singgahsini Sunter Jaya 48 Tipe A Tanjung Priok Jakarta Utara"/>
    <x v="4"/>
    <s v="Tanjung Priok"/>
    <n v="11.100000000000001"/>
    <s v="3.7 x 3 meter"/>
    <s v="Tidak termasuk listrik"/>
    <n v="1625000"/>
    <s v="Rp1.625.000"/>
    <s v="3.7 x 3 meter; Tidak termasuk listrik; AC; Kasur; Lemari Baju; Bantal; Cermin; Dapur Pribadi; Jendela; K. Mandi Dalam; Kloset Duduk; Shower; WiFi; Penjaga Kos; R. Jemur; CCTV; Jemuran; Rooftop; Parkir Motor &amp; Sepeda"/>
    <x v="276"/>
    <s v="Rp1.545.000"/>
    <x v="12"/>
    <d v="1899-12-30T04:04:00"/>
    <x v="0"/>
    <m/>
    <s v="Diskon 80rb"/>
  </r>
  <r>
    <s v="Kost Singgahsini Suryopranoto Petojo Tipe A Gambir Jakarta Pusat"/>
    <x v="9"/>
    <s v="Gambir"/>
    <n v="10.240000000000002"/>
    <s v="3.2 x 3.2 meter"/>
    <s v="Tidak termasuk listrik"/>
    <n v="2775000"/>
    <s v="Rp2.775.000"/>
    <s v="3.2 x 3.2 meter; Tidak termasuk listrik; AC; Kasur; Meja; Lemari Baju; Kursi; Bantal; Cermin; Jendela; K. Mandi Dalam; Kloset Duduk; Shower; Air panas; WiFi; R. Cuci; Penjaga Kos; R. Jemur; Dapur; K. Mandi Luar; Rooftop; Parkir Mobil; Parkir Motor &amp; Sepeda"/>
    <x v="416"/>
    <s v="Rp2.637.500"/>
    <x v="8"/>
    <d v="1899-12-30T04:09:00"/>
    <x v="0"/>
    <m/>
    <s v="Diskon 138rb"/>
  </r>
  <r>
    <s v="Kost Singgahsini Suryopranoto Petojo Tipe B Gambir Jakarta Pusat"/>
    <x v="9"/>
    <s v="Gambir"/>
    <n v="9"/>
    <s v="3 x 3 meter"/>
    <s v="Tidak termasuk listrik"/>
    <n v="2525000"/>
    <s v="Rp2.525.000"/>
    <s v="3 x 3 meter; Tidak termasuk listrik; AC; Kasur; Meja; Lemari Baju; Kursi; Bantal; Cermin; Jendela; K. Mandi Dalam; Kloset Duduk; Shower; Air panas; WiFi; R. Cuci; Penjaga Kos; R. Jemur; Dapur; K. Mandi Luar; Rooftop; Parkir Mobil; Parkir Motor &amp; Sepeda"/>
    <x v="233"/>
    <s v="Rp2.325.000"/>
    <x v="12"/>
    <d v="1899-12-30T04:04:00"/>
    <x v="0"/>
    <m/>
    <s v="Diskon 200rb"/>
  </r>
  <r>
    <s v="Kost Singgahsini Syahrin Tipe C Gandaria Jakarta Selatan"/>
    <x v="5"/>
    <s v="Kecamatan Kebayoran Baru"/>
    <n v="16"/>
    <s v="4 x 4 meter"/>
    <s v="Termasuk listrik (implied)"/>
    <s v=""/>
    <s v="N/A"/>
    <s v="4 x 4 meter; Termasuk listrik; AC; Kasur; Meja; Lemari Baju; Kursi; Bantal; Cermin; Jendela; K. Mandi Dalam; Kloset Duduk; Wastafel; Shower; Air panas; WiFi; R. Cuci; Kulkas; R. Tamu; Mesin Cuci; Penjaga Kos; Dapur; Dispenser; Balcon; K. Mandi Luar; Parkir Mobil; Parkir Motor; Parkir Motor &amp; Sepeda"/>
    <x v="448"/>
    <s v="Rp3.575.000"/>
    <x v="8"/>
    <d v="1899-12-30T04:09:00"/>
    <x v="2"/>
    <m/>
    <s v="Diskon 170rb"/>
  </r>
  <r>
    <s v="Kost Singgahsini T18A Pegangsaan Dua Tipe A Kelapa Gading Jakarta Utara"/>
    <x v="4"/>
    <s v="Kelapa Gading"/>
    <n v="8.3999999999999986"/>
    <s v="3 x 2.8 meter"/>
    <s v="Tidak termasuk listrik"/>
    <n v="1690000"/>
    <s v="Rp1.690.000"/>
    <s v="3 x 2.8 meter; Tidak termasuk listrik; AC; Kasur; Meja; Lemari Baju; Ventilasi; Kursi; Bantal; Kloset Duduk; K. Mandi Luar; Wastafel; Shower; WiFi; Kulkas; Penjaga Kos; R. Jemur; Dapur; Rooftop; Parkir Motor &amp; Sepeda"/>
    <x v="449"/>
    <s v="Rp1.556.800"/>
    <x v="8"/>
    <d v="1899-12-30T04:09:00"/>
    <x v="2"/>
    <m/>
    <s v="Diskon 133rb"/>
  </r>
  <r>
    <s v="Kost Singgahsini T18A Pegangsaan Dua Tipe B Kelapa Gading Jakarta Utara"/>
    <x v="4"/>
    <s v="Kelapa Gading"/>
    <n v="8.3999999999999986"/>
    <s v="3 x 2.8 meter"/>
    <s v="Tidak termasuk listrik"/>
    <n v="1510000"/>
    <s v="Rp1.510.000"/>
    <s v="3 x 2.8 meter; Tidak termasuk listrik; AC; Kasur; Lemari Baju; Ventilasi; Bantal; Kloset Duduk; K. Mandi Luar; Wastafel; Shower; WiFi; Kulkas; Penjaga Kos; R. Jemur; Dapur; Rooftop; Parkir Motor &amp; Sepeda"/>
    <x v="450"/>
    <s v="Rp1.391.200"/>
    <x v="3"/>
    <d v="1899-12-30T05:00:00"/>
    <x v="2"/>
    <m/>
    <s v="Diskon 119rb"/>
  </r>
  <r>
    <s v="Kost Singgahsini Taman Apel IV Tipe A Grogol Petamburan Jakarta Barat"/>
    <x v="3"/>
    <s v="Grogol Petamburan"/>
    <n v="8.19"/>
    <s v="2.1 x 3.9 meter"/>
    <s v="Tidak termasuk listrik"/>
    <s v=""/>
    <s v="N/A"/>
    <s v="2.1 x 3.9 meter; Tidak termasuk listrik; AC; Kasur; Meja; Lemari Baju; Kursi; Bantal; Jendela; K. Mandi Dalam; Kloset Duduk; Shower; Air panas; WiFi; Kulkas; Penjaga Kos; R. Jemur; Dapur; CCTV; Rooftop; Parkir Motor &amp; Sepeda"/>
    <x v="232"/>
    <s v="Rp2.225.000"/>
    <x v="6"/>
    <d v="1899-12-30T04:06:00"/>
    <x v="0"/>
    <m/>
    <s v="Diskon 113rb"/>
  </r>
  <r>
    <s v="Kost Singgahsini Taman Apel IV Tipe B Grogol Petamburan Jakarta Barat"/>
    <x v="3"/>
    <s v="Grogol Petamburan"/>
    <n v="8.19"/>
    <s v="2.1 x 3.9 meter"/>
    <s v="Tidak termasuk listrik"/>
    <s v=""/>
    <s v="N/A"/>
    <s v="2.1 x 3.9 meter; Tidak termasuk listrik; AC; Kasur; Meja; Lemari Baju; Kursi; Bantal; Cermin; Jendela; K. Mandi Dalam; Kloset Duduk; Shower; Air panas; WiFi; Kulkas; Penjaga Kos; R. Jemur; Dapur; CCTV; Rooftop; Parkir Motor &amp; Sepeda"/>
    <x v="111"/>
    <s v="Rp1.975.000"/>
    <x v="6"/>
    <d v="1899-12-30T04:06:00"/>
    <x v="0"/>
    <m/>
    <s v="Diskon 98rb"/>
  </r>
  <r>
    <s v="Kost Singgahsini Taman Bunga Tipe A Cimanggis Depok"/>
    <x v="1"/>
    <s v="Cimanggis"/>
    <n v="20"/>
    <s v="5 x 4 meter"/>
    <s v="Tidak termasuk listrik"/>
    <n v="2500000"/>
    <s v="Rp2.500.000"/>
    <s v="5 x 4 meter; Tidak termasuk listrik; AC; Kasur; Meja; Lemari Baju; Ventilasi; Kursi; Jendela; Bantal; Cermin; K. Mandi Dalam; Kloset Duduk; Shower; Air panas; WiFi; R. Cuci; Kulkas; R. Tamu; Penjaga Kos; R. Makan; R. Jemur; Dapur; CCTV; Parkir Mobil; Parkir Motor &amp; Sepeda"/>
    <x v="170"/>
    <s v="Rp2.250.000"/>
    <x v="3"/>
    <d v="1899-12-30T05:00:00"/>
    <x v="2"/>
    <m/>
    <s v="Diskon 250rb"/>
  </r>
  <r>
    <s v="Kost Singgahsini Taman Bunga Tipe B Cimanggis Depok"/>
    <x v="1"/>
    <s v="Cimanggis"/>
    <n v="12"/>
    <s v="4 x 3 meter"/>
    <s v="Tidak termasuk listrik"/>
    <n v="2200000"/>
    <s v="Rp2.200.000"/>
    <s v="4 x 3 meter; Tidak termasuk listrik; AC; Kasur; Meja; Lemari Baju; Kursi; Jendela; Bantal; Cermin; K. Mandi Dalam; Kloset Duduk; Shower; Air panas; WiFi; R. Cuci; Kulkas; R. Tamu; Penjaga Kos; R. Makan; R. Jemur; Dapur; CCTV; Parkir Mobil; Parkir Motor &amp; Sepeda"/>
    <x v="172"/>
    <s v="Rp1.980.000"/>
    <x v="3"/>
    <d v="1899-12-30T05:00:00"/>
    <x v="2"/>
    <m/>
    <s v="Diskon 220rb"/>
  </r>
  <r>
    <s v="Kost Singgahsini Taman Bunga Tipe C Cimanggis Depok"/>
    <x v="1"/>
    <s v="Cimanggis"/>
    <n v="10.5"/>
    <s v="3.5 x 3 meter"/>
    <s v="Tidak termasuk listrik"/>
    <n v="2000000"/>
    <s v="Rp2.000.000"/>
    <s v="3.5 x 3 meter; Tidak termasuk listrik; AC; Kasur; Meja; Lemari Baju; Kursi; Jendela; Cermin; Bantal; K. Mandi Dalam; Kloset Duduk; Shower; Air panas; WiFi; R. Cuci; Kulkas; R. Tamu; Penjaga Kos; R. Makan; R. Jemur; Dapur; CCTV; Parkir Mobil; Parkir Motor &amp; Sepeda"/>
    <x v="19"/>
    <s v="Rp1.800.000"/>
    <x v="10"/>
    <d v="1899-12-30T04:05:00"/>
    <x v="2"/>
    <m/>
    <s v="Diskon 200rb"/>
  </r>
  <r>
    <s v="Kost Singgahsini Taman Bunga Tipe D Cimanggis Depok"/>
    <x v="1"/>
    <s v="Cimanggis"/>
    <n v="6.6000000000000005"/>
    <s v="3 x 2.2 meter"/>
    <s v="Tidak termasuk listrik"/>
    <n v="1700000"/>
    <s v="Rp1.700.000"/>
    <s v="3 x 2.2 meter; Tidak termasuk listrik; AC; Kasur; Meja; Lemari Baju; Ventilasi; Kursi; Jendela; Bantal; Cermin; Guling; K. Mandi Dalam; Kloset Duduk; Shower; Air panas; WiFi; R. Cuci; Kulkas; R. Tamu; Penjaga Kos; R. Makan; R. Jemur; Dapur; CCTV; Parkir Mobil; Parkir Motor &amp; Sepeda"/>
    <x v="451"/>
    <s v="Rp1.530.000"/>
    <x v="12"/>
    <d v="1899-12-30T04:04:00"/>
    <x v="2"/>
    <m/>
    <s v="Diskon 170rb"/>
  </r>
  <r>
    <s v="Kost Singgahsini Taman Malaka 21 Tipe A Duren Sawit Jakarta Timur"/>
    <x v="8"/>
    <s v="Duren Sawit"/>
    <n v="8.75"/>
    <s v="3.5 x 2.5 meter"/>
    <s v="Tidak termasuk listrik"/>
    <n v="1800000"/>
    <s v="Rp1.800.000"/>
    <s v="3.5 x 2.5 meter; Tidak termasuk listrik; AC; Kasur; Meja; Lemari Baju; Kursi; Bantal; Jendela; K. Mandi Dalam; Kloset Duduk; Shower; WiFi; R. Cuci; R. Makan; R. Jemur; Dapur; CCTV; Parkir Motor &amp; Sepeda"/>
    <x v="452"/>
    <s v="Rp1.656.000"/>
    <x v="3"/>
    <d v="1899-12-30T05:00:00"/>
    <x v="2"/>
    <m/>
    <s v="Diskon 144rb"/>
  </r>
  <r>
    <s v="Kost Singgahsini Taman Malaka 21 Tipe A Duren Sawit Jakarta Timur"/>
    <x v="8"/>
    <s v="Duren Sawit"/>
    <e v="#VALUE!"/>
    <s v="N/A"/>
    <s v="N/A"/>
    <n v="1800000"/>
    <s v="Rp1.800.000"/>
    <s v=""/>
    <x v="452"/>
    <s v="Rp1.656.000"/>
    <x v="3"/>
    <d v="1899-12-30T05:00:00"/>
    <x v="2"/>
    <m/>
    <s v="Diskon 144rb"/>
  </r>
  <r>
    <s v="Kost Singgahsini Tanah Abang Tipe A Jakarta Pusat"/>
    <x v="9"/>
    <s v="Kecamatan Tanah Abang"/>
    <n v="14"/>
    <s v="4 x 3.5 meter"/>
    <s v="Tidak termasuk listrik"/>
    <n v="1825000"/>
    <s v="Rp1.825.000"/>
    <s v="4 x 3.5 meter; Tidak termasuk listrik; AC; Kasur; Meja; Lemari Baju; Kursi; K. Mandi Dalam; Kloset Jongkok; Shower; WiFi; Kulkas; R. Tamu; Penjaga Kos; R. Jemur; Parkir Mobil; Parkir Motor; Parkir Sepeda; Parkir Motor &amp; Sepeda"/>
    <x v="143"/>
    <s v="Rp1.735.000"/>
    <x v="8"/>
    <d v="1899-12-30T04:09:00"/>
    <x v="2"/>
    <m/>
    <s v="Diskon 90rb"/>
  </r>
  <r>
    <s v="Kost Singgahsini Tanah Abang Tipe C Jakarta Pusat"/>
    <x v="9"/>
    <s v="Kecamatan Tanah Abang"/>
    <n v="12"/>
    <s v="4 x 3 meter"/>
    <s v="Tidak termasuk listrik"/>
    <s v=""/>
    <s v="N/A"/>
    <s v="4 x 3 meter; Tidak termasuk listrik; AC; Kasur; Meja; Lemari Baju; Kursi; K. Mandi Dalam; Kloset Jongkok; Shower; WiFi; Kulkas; R. Tamu; Penjaga Kos; R. Jemur; Parkir Mobil; Parkir Motor; Parkir Sepeda; Parkir Motor &amp; Sepeda"/>
    <x v="78"/>
    <s v="Rp1.625.000"/>
    <x v="6"/>
    <d v="1899-12-30T04:06:00"/>
    <x v="2"/>
    <m/>
    <s v="Diskon 90rb"/>
  </r>
  <r>
    <s v="Kost Singgahsini Tang City Tipe A Tangerang"/>
    <x v="6"/>
    <s v="Tangerang"/>
    <n v="6"/>
    <s v="3 x 2 meter"/>
    <s v="Tidak termasuk listrik"/>
    <n v="1525000"/>
    <s v="Rp1.525.000"/>
    <s v="3 x 2 meter; Tidak termasuk listrik; AC; Kasur; Meja; Lemari Baju; Kursi; Bantal; Guling; Kloset Duduk; K. Mandi Luar; Wastafel; Shower; Air panas; WiFi; R. Cuci; Kulkas; R. Tamu; Penjaga Kos; Mesin Cuci; R. Makan; R. Jemur; Dapur; Dispenser; Parkir Mobil; Parkir Motor &amp; Sepeda"/>
    <x v="21"/>
    <s v="Rp1.450.000"/>
    <x v="6"/>
    <d v="1899-12-30T04:06:00"/>
    <x v="2"/>
    <m/>
    <s v="Diskon 75rb"/>
  </r>
  <r>
    <s v="Kost Singgahsini Tanjung Duren 33 Tipe A Grogol Jakarta Barat"/>
    <x v="3"/>
    <s v="Kecamatan Grogol petamburan"/>
    <n v="8.75"/>
    <s v="2.5 x 3.5 meter"/>
    <s v="Tidak termasuk listrik"/>
    <n v="1895000"/>
    <s v="Rp1.895.000"/>
    <s v="2.5 x 3.5 meter; Tidak termasuk listrik; AC; Kasur; Meja; Lemari Baju; Kursi; Bantal; Jendela; K. Mandi Dalam; Kloset Duduk; Wastafel; Shower; WiFi; R. Cuci; Kulkas; R. Tamu; Laundry; R. Jemur; Dapur; K. Mandi Luar; Parkir Mobil; Parkir Motor; Parkir Sepeda; Parkir Motor &amp; Sepeda"/>
    <x v="453"/>
    <s v="Rp1.745.400"/>
    <x v="6"/>
    <d v="1899-12-30T04:06:00"/>
    <x v="0"/>
    <m/>
    <s v="Diskon 150rb"/>
  </r>
  <r>
    <s v="Kost Singgahsini Tanjung Duren 33 Tipe B Grogol Jakarta Barat"/>
    <x v="3"/>
    <s v="Kecamatan Grogol petamburan"/>
    <n v="8.75"/>
    <s v="2.5 x 3.5 meter"/>
    <s v="Tidak termasuk listrik"/>
    <s v=""/>
    <s v="N/A"/>
    <s v="2.5 x 3.5 meter; Tidak termasuk listrik; AC; Kasur; Meja; Lemari Baju; Kursi; Bantal; Jendela; Kloset Duduk; K. Mandi Luar; Shower; WiFi; R. Cuci; Kulkas; R. Tamu; Laundry; R. Jemur; Dapur; Parkir Mobil; Parkir Motor; Parkir Sepeda; Parkir Motor &amp; Sepeda"/>
    <x v="58"/>
    <s v="Rp1.525.000"/>
    <x v="6"/>
    <d v="1899-12-30T04:06:00"/>
    <x v="0"/>
    <m/>
    <s v="Diskon 150rb"/>
  </r>
  <r>
    <s v="Kost Singgahsini Tanjung Duren 33 Tipe C Grogol Jakarta Barat"/>
    <x v="3"/>
    <s v="Kecamatan Grogol petamburan"/>
    <n v="7"/>
    <s v="2.5 x 2.8 meter"/>
    <s v="Tidak termasuk listrik"/>
    <s v=""/>
    <s v="N/A"/>
    <s v="2.5 x 2.8 meter; Tidak termasuk listrik; AC; Kasur; Meja; Lemari Baju; Kursi; Bantal; Jendela; Kloset Duduk; K. Mandi Luar; Shower; WiFi; R. Cuci; Kulkas; R. Tamu; Laundry; R. Jemur; Dapur; Parkir Mobil; Parkir Motor; Parkir Sepeda; Parkir Motor &amp; Sepeda"/>
    <x v="85"/>
    <s v="Rp1.345.000"/>
    <x v="6"/>
    <d v="1899-12-30T04:06:00"/>
    <x v="0"/>
    <m/>
    <s v="Diskon 150rb"/>
  </r>
  <r>
    <s v="Kost Singgahsini Tanjung Duren 46 Tipe A Grogol Petamburan Jakarta Barat"/>
    <x v="3"/>
    <s v="Grogol Petamburan"/>
    <n v="8.64"/>
    <s v="3.6 x 2.4 meter"/>
    <s v="Tidak termasuk listrik"/>
    <n v="2275000"/>
    <s v="Rp2.275.000"/>
    <s v="3.6 x 2.4 meter; Tidak termasuk listrik; AC; Kasur; Meja; TV; Lemari Baju; Kursi; Bantal; Cermin; Guling; Jendela; K. Mandi Dalam; Kloset Duduk; Shower; Air panas; WiFi; Penjaga Kos; Dapur; K. Mandi Luar; CCTV; Parkir Motor; Parkir Sepeda"/>
    <x v="282"/>
    <s v="Rp2.162.500"/>
    <x v="2"/>
    <d v="1899-12-30T04:08:00"/>
    <x v="0"/>
    <m/>
    <s v="Diskon 113rb"/>
  </r>
  <r>
    <s v="Kost Singgahsini Tanjung Duren 46 Tipe B Grogol Petamburan Jakarta Barat"/>
    <x v="3"/>
    <s v="Grogol Petamburan"/>
    <n v="8.64"/>
    <s v="3.6 x 2.4 meter"/>
    <s v="Tidak termasuk listrik"/>
    <n v="2325000"/>
    <s v="Rp2.325.000"/>
    <s v="3.6 x 2.4 meter; Tidak termasuk listrik; AC; Kasur; Meja; TV; Lemari Baju; Kursi; Bantal; Cermin; Guling; Jendela; K. Mandi Dalam; Kloset Duduk; Shower; Air panas; WiFi; Penjaga Kos; Dapur; K. Mandi Luar; CCTV; Parkir Sepeda; Parkir Motor &amp; Sepeda"/>
    <x v="341"/>
    <s v="Rp2.210.000"/>
    <x v="2"/>
    <d v="1899-12-30T04:08:00"/>
    <x v="0"/>
    <m/>
    <s v="Diskon 115rb"/>
  </r>
  <r>
    <s v="Kost Singgahsini Taska 33 Tipe A Kelapa Gading Jakarta Utara"/>
    <x v="4"/>
    <s v="Kecamatan Kelapa Gading"/>
    <n v="6.72"/>
    <s v="2.8 x 2.4 meter"/>
    <s v="Tidak termasuk listrik"/>
    <s v=""/>
    <s v="N/A"/>
    <s v="2.8 x 2.4 meter; Tidak termasuk listrik; AC; Kasur; Meja; Lemari Baju; Bantal; Guling; K. Mandi Dalam; Kloset Duduk; Wastafel; Shower; WiFi; R. Cuci; Mesin Cuci; R. Jemur; Dapur; CCTV; Parkir Motor; Parkir Sepeda; Parkir Motor &amp; Sepeda"/>
    <x v="228"/>
    <s v="Rp1.925.000"/>
    <x v="8"/>
    <d v="1899-12-30T04:09:00"/>
    <x v="0"/>
    <m/>
    <s v="Diskon 168rb"/>
  </r>
  <r>
    <s v="Kost Singgahsini Tawes 23 Rawamangun Tipe A Pulo Gadung Jakarta Timur"/>
    <x v="8"/>
    <s v="Pulo Gadung"/>
    <n v="11.2"/>
    <s v="2.8 x 4 meter"/>
    <s v="Tidak termasuk listrik"/>
    <n v="2375000"/>
    <s v="Rp2.375.000"/>
    <s v="2.8 x 4 meter; Tidak termasuk listrik; AC; Kasur; Meja; Lemari Baju; Ventilasi; Kursi; Jendela; Bantal; Cermin; Guling; K. Mandi Dalam; Kloset Duduk; Wastafel; Shower; WiFi; R. Tamu; Penjaga Kos; R. Jemur; TV; Parkir Mobil; Parkir Motor &amp; Sepeda"/>
    <x v="301"/>
    <s v="Rp2.257.500"/>
    <x v="10"/>
    <d v="1899-12-30T04:05:00"/>
    <x v="0"/>
    <m/>
    <s v="Diskon 118rb"/>
  </r>
  <r>
    <s v="Kost Singgahsini Tawes 23 Rawamangun Tipe B Pulo Gadung Jakarta Timur"/>
    <x v="8"/>
    <s v="Pulo Gadung"/>
    <n v="10.5"/>
    <s v="3 x 3.5 meter"/>
    <s v="Tidak termasuk listrik"/>
    <n v="2275000"/>
    <s v="Rp2.275.000"/>
    <s v="3 x 3.5 meter; Tidak termasuk listrik; AC; Kasur; Meja; TV; Lemari Baju; Kursi; K. Mandi Dalam; Kloset Duduk; Shower; Air panas; WiFi; R. Tamu; Penjaga Kos; R. Jemur; Parkir Mobil; Parkir Motor &amp; Sepeda"/>
    <x v="282"/>
    <s v="Rp2.162.500"/>
    <x v="2"/>
    <d v="1899-12-30T04:08:00"/>
    <x v="0"/>
    <m/>
    <s v="Diskon 113rb"/>
  </r>
  <r>
    <s v="Kost Singgahsini Tebet Barat 11 Tipe B Jakarta Selatan"/>
    <x v="5"/>
    <s v="Tebet"/>
    <n v="6.6000000000000005"/>
    <s v="3 x 2.2 meter"/>
    <s v="Termasuk listrik (implied)"/>
    <s v=""/>
    <s v="N/A"/>
    <s v="3 x 2.2 meter; Termasuk listrik; Kasur; Meja; TV; Kursi; Cermin; Jendela; Bantal; Guling; Kloset Duduk; K. Mandi Luar; Ember mandi; Shower; WiFi; Kulkas; R. Tamu; Penjaga Kos; R. Makan; R. Jemur; Dapur; Jemuran; Parkir Motor &amp; Sepeda"/>
    <x v="56"/>
    <s v="Rp1.225.000"/>
    <x v="8"/>
    <d v="1899-12-30T04:09:00"/>
    <x v="1"/>
    <m/>
    <m/>
  </r>
  <r>
    <s v="Kost Singgahsini Tebet Barat II Tipe B Tebet Jakarta Selatan"/>
    <x v="5"/>
    <s v="Tebet"/>
    <n v="6"/>
    <s v="3 x 2 meter"/>
    <s v="Tidak termasuk listrik"/>
    <n v="2225000"/>
    <s v="Rp2.225.000"/>
    <s v="3 x 2 meter; Tidak termasuk listrik; AC; Kasur; Meja; Meja Rias; Lemari Baju; Kursi; Bantal; Cermin; Guling; Jendela; Kloset Duduk; K. Mandi Luar; Shower; WiFi; Kulkas; Penjaga Kos; R. Makan; R. Jemur; Dapur; CCTV; Parkir Mobil; Parkir Motor; Parkir Sepeda"/>
    <x v="454"/>
    <s v="Rp2.005.000"/>
    <x v="6"/>
    <d v="1899-12-30T04:06:00"/>
    <x v="2"/>
    <m/>
    <s v="Diskon 220rb"/>
  </r>
  <r>
    <s v="Kost Singgahsini Teduh Tebet Timur Tipe A Jakarta Selatan"/>
    <x v="5"/>
    <s v="Tebet"/>
    <n v="32"/>
    <s v="8 x 4 meter"/>
    <s v="Tidak termasuk listrik"/>
    <n v="3300000"/>
    <s v="Rp3.300.000"/>
    <s v="8 x 4 meter; Tidak termasuk listrik; AC; Kasur; Meja; TV; Lemari Baju; Kulkas; Kursi; Sofa; Bantal; Cermin; K. Mandi Dalam; Kloset Duduk; Shower; Air panas; WiFi; R. Tamu; R. Jemur; Dapur; Parkir Mobil; Parkir Motor; Parkir Sepeda"/>
    <x v="455"/>
    <s v="Rp3.135.000"/>
    <x v="8"/>
    <d v="1899-12-30T04:09:00"/>
    <x v="1"/>
    <m/>
    <s v="Diskon 165rb"/>
  </r>
  <r>
    <s v="Kost Singgahsini Teduh Tebet Timur Tipe B Jakarta Selatan"/>
    <x v="5"/>
    <s v="Tebet"/>
    <n v="20"/>
    <s v="5 x 4 meter"/>
    <s v="Tidak termasuk listrik"/>
    <n v="2550000"/>
    <s v="Rp2.550.000"/>
    <s v="5 x 4 meter; Tidak termasuk listrik; AC; Kasur; Meja; Lemari Baju; Kursi; Bantal; Jendela; K. Mandi Dalam; Kloset Duduk; Shower; Air panas; WiFi; R. Tamu; R. Jemur; Dapur; Parkir Mobil; Parkir Motor; Parkir Sepeda"/>
    <x v="456"/>
    <s v="Rp2.422.500"/>
    <x v="6"/>
    <d v="1899-12-30T04:06:00"/>
    <x v="1"/>
    <m/>
    <s v="Diskon 128rb"/>
  </r>
  <r>
    <s v="Kost Singgahsini Teduh Tebet Timur Tipe C Jakarta Selatan"/>
    <x v="5"/>
    <s v="Tebet"/>
    <n v="12.25"/>
    <s v="3.5 x 3.5 meter"/>
    <s v="Tidak termasuk listrik"/>
    <s v=""/>
    <s v="N/A"/>
    <s v="3.5 x 3.5 meter; Tidak termasuk listrik; AC; Kasur; Meja; Lemari Baju; Kursi; Bantal; Jendela; Kloset Duduk; K. Mandi Luar; Shower; Air panas; WiFi; R. Tamu; R. Jemur; Dapur; Parkir Mobil; Parkir Motor; Parkir Sepeda"/>
    <x v="457"/>
    <s v="Rp2.130.000"/>
    <x v="3"/>
    <d v="1899-12-30T05:00:00"/>
    <x v="1"/>
    <m/>
    <s v="Diskon 128rb"/>
  </r>
  <r>
    <s v="Kost Singgahsini Tegal Parang Tipe A Mampang Prapatan Jakarta Selatan"/>
    <x v="5"/>
    <s v="Kecamatan Mampang Prapatan"/>
    <n v="21"/>
    <s v="3 x 7 meter"/>
    <s v="Termasuk listrik (implied)"/>
    <s v=""/>
    <s v="N/A"/>
    <s v="3 x 7 meter; Termasuk listrik; AC; Kasur; Meja; TV; Lemari Baju; Kursi; Bantal; Cermin; Guling; Jendela; K. Mandi Dalam; Kloset Duduk; Wastafel; Shower; Air panas; WiFi; R. Cuci; Kulkas; R. Tamu; R. Jemur; Dapur; K. Mandi Luar; Parkir Mobil; Parkir Motor; Parkir Sepeda; Parkir Motor &amp; Sepeda"/>
    <x v="392"/>
    <s v="Rp3.875.000"/>
    <x v="0"/>
    <m/>
    <x v="2"/>
    <m/>
    <m/>
  </r>
  <r>
    <s v="Kost Singgahsini Tegal Parang Tipe B Mampang Prapatan Jakarta Selatan"/>
    <x v="5"/>
    <s v="Kecamatan Mampang Prapatan"/>
    <n v="8.9599999999999991"/>
    <s v="2.8 x 3.2 meter"/>
    <s v="Termasuk listrik (implied)"/>
    <s v=""/>
    <s v="N/A"/>
    <s v="2.8 x 3.2 meter; Termasuk listrik; AC; Kasur; Meja; TV; Lemari Baju; Kursi; Bantal; Cermin; Guling; K. Mandi Dalam; Kloset Duduk; Shower; Air panas; Parkir Mobil; Parkir Motor; Parkir Sepeda; Parkir Motor &amp; Sepeda"/>
    <x v="305"/>
    <s v="Rp2.875.000"/>
    <x v="8"/>
    <d v="1899-12-30T04:09:00"/>
    <x v="2"/>
    <m/>
    <m/>
  </r>
  <r>
    <s v="Kost Singgahsini Tegal Parang Tipe C Mampang Prapatan Jakarta Selatan"/>
    <x v="5"/>
    <s v="Kecamatan Mampang Prapatan"/>
    <n v="12"/>
    <s v="3 x 4 meter"/>
    <s v="Termasuk listrik (implied)"/>
    <s v=""/>
    <s v="N/A"/>
    <s v="3 x 4 meter; Termasuk listrik; AC; Kasur; Meja; TV; Lemari Baju; Kursi; Bantal; Cermin; Guling; Jendela; Kloset Duduk; K. Mandi Luar; Wastafel; Shower; Air panas; WiFi; R. Cuci; Kulkas; R. Tamu; R. Jemur; Dapur; Parkir Mobil; Parkir Motor; Parkir Sepeda; Parkir Motor &amp; Sepeda"/>
    <x v="405"/>
    <s v="Rp2.475.000"/>
    <x v="2"/>
    <d v="1899-12-30T04:08:00"/>
    <x v="2"/>
    <m/>
    <m/>
  </r>
  <r>
    <s v="Kost Singgahsini The Bed Tipe A Serpong Tangerang Selatan"/>
    <x v="2"/>
    <s v="Serpong Utara"/>
    <n v="6"/>
    <s v="2.5 x 2.4 meter"/>
    <s v="Tidak termasuk listrik"/>
    <s v=""/>
    <s v="N/A"/>
    <s v="2.5 x 2.4 meter; Tidak termasuk listrik; AC; Kasur; Meja; Lemari Baju; Kursi; Wastafel; Bantal; Cermin; Kloset Duduk; Kloset Jongkok; K. Mandi Luar; WiFi; Kulkas; R. Tamu; Penjaga Kos; Dapur; Kartu Akses; CCTV; Parkir Motor &amp; Sepeda"/>
    <x v="228"/>
    <s v="Rp1.925.000"/>
    <x v="3"/>
    <d v="1899-12-30T05:00:00"/>
    <x v="2"/>
    <m/>
    <m/>
  </r>
  <r>
    <s v="Kost Singgahsini The Best Kost Tipe A Serpong Tangerang Selatan"/>
    <x v="2"/>
    <s v="Serpong"/>
    <n v="15.600000000000001"/>
    <s v="3 x 5.2 meter"/>
    <s v="Tidak termasuk listrik"/>
    <n v="1800000"/>
    <s v="Rp1.800.000"/>
    <s v="3 x 5.2 meter; Tidak termasuk listrik; AC; Kasur; Meja; Lemari Baju; Kursi; Jendela; Wastafel; Bantal; Cermin; K. Mandi Dalam; Kloset Jongkok; Ember mandi; Shower; WiFi; Kulkas; Penjaga Kos; R. Tamu; Dapur; Kartu Akses; CCTV; Rooftop; Parkir Mobil; Parkir Motor &amp; Sepeda"/>
    <x v="118"/>
    <s v="Rp1.710.000"/>
    <x v="2"/>
    <d v="1899-12-30T04:08:00"/>
    <x v="0"/>
    <m/>
    <s v="Diskon 90rb"/>
  </r>
  <r>
    <s v="Kost Singgahsini The Best Kost Tipe C Serpong Tangerang Selatan"/>
    <x v="2"/>
    <s v="Serpong"/>
    <n v="15.600000000000001"/>
    <s v="3 x 5.2 meter"/>
    <s v="Tidak termasuk listrik"/>
    <n v="1600000"/>
    <s v="Rp1.600.000"/>
    <s v="3 x 5.2 meter; Tidak termasuk listrik; AC; Kasur; Meja; Lemari Baju; Kursi; Jendela; Wastafel; Bantal; Cermin; K. Mandi Dalam; Kloset Jongkok; Ember mandi; Shower; WiFi; Kulkas; Penjaga Kos; R. Tamu; Dapur; Kartu Akses; CCTV; Rooftop; Parkir Mobil; Parkir Motor &amp; Sepeda"/>
    <x v="458"/>
    <s v="Rp1.520.000"/>
    <x v="8"/>
    <d v="1899-12-30T04:09:00"/>
    <x v="0"/>
    <m/>
    <s v="Diskon 80rb"/>
  </r>
  <r>
    <s v="Kost Singgahsini The Casa Tipe B Tebet Jakarta Selatan"/>
    <x v="5"/>
    <s v="Kecamatan Tebet"/>
    <n v="16"/>
    <s v="4 x 4 meter"/>
    <s v="Tidak termasuk listrik"/>
    <n v="2475000"/>
    <s v="Rp2.475.000"/>
    <s v="4 x 4 meter; Tidak termasuk listrik; AC; Kasur; Meja; TV; Lemari Baju; Kulkas; Ventilasi; Kursi; Bantal; Cermin; K. Mandi Dalam; Kloset Duduk; Wastafel; Shower; WiFi; R. Cuci; R. Tamu; R. Jemur; Dapur; Jemuran; Parkir Mobil"/>
    <x v="429"/>
    <s v="Rp2.352.500"/>
    <x v="10"/>
    <d v="1899-12-30T04:05:00"/>
    <x v="2"/>
    <m/>
    <s v="Diskon 123rb"/>
  </r>
  <r>
    <s v="Kost Singgahsini The Hartonos Rawasari Tipe A Cempaka Putih Jakarta Pusat"/>
    <x v="9"/>
    <s v="Cempaka Putih"/>
    <n v="12.8"/>
    <s v="4 x 3.2 meter"/>
    <s v="Tidak termasuk listrik"/>
    <n v="1900000"/>
    <s v="Rp1.900.000"/>
    <s v="4 x 3.2 meter; Tidak termasuk listrik; AC; Kasur; Meja; Lemari Baju; Kursi; Jendela; Wastafel; Bantal; Cermin; Guling; K. Mandi Dalam; Kloset Duduk; Shower; Air panas; WiFi; Kulkas; Penjaga Kos; Dapur; Parkir Mobil; Parkir Motor &amp; Sepeda"/>
    <x v="315"/>
    <s v="Rp1.805.000"/>
    <x v="6"/>
    <d v="1899-12-30T04:06:00"/>
    <x v="0"/>
    <m/>
    <s v="Diskon 95rb"/>
  </r>
  <r>
    <s v="Kost Singgahsini Theresia Tipe A Kelapa Gading Jakarta Utara"/>
    <x v="4"/>
    <s v="Kelapa Gading"/>
    <n v="9"/>
    <s v="2.5 x 3.6 meter"/>
    <s v="Termasuk listrik (implied)"/>
    <n v="2325000"/>
    <s v="Rp2.325.000"/>
    <s v="2.5 x 3.6 meter; Termasuk listrik; AC; Kasur; Lemari Baju; Bantal; Cermin; Guling; K. Mandi Dalam; Kloset Duduk; Wastafel; Shower; Air panas; WiFi; Kulkas; R. Jemur; Dapur; K. Mandi Luar; CCTV; Parkir Mobil; Parkir Motor"/>
    <x v="153"/>
    <s v="Rp2.125.000"/>
    <x v="8"/>
    <d v="1899-12-30T04:09:00"/>
    <x v="0"/>
    <m/>
    <s v="Diskon 200rb"/>
  </r>
  <r>
    <s v="Kost Singgahsini Theresia Tipe B Kelapa Gading Jakarta Utara"/>
    <x v="4"/>
    <s v="Kelapa Gading"/>
    <n v="7.5"/>
    <s v="2.5 x 3 meter"/>
    <s v="Termasuk listrik (implied)"/>
    <n v="2125000"/>
    <s v="Rp2.125.000"/>
    <s v="2.5 x 3 meter; Termasuk listrik; AC; Kasur; Lemari Baju; Bantal; Cermin; Guling; K. Mandi Dalam; Kloset Duduk; Wastafel; Shower; Air panas; WiFi; Kulkas; R. Jemur; Dapur; K. Mandi Luar; CCTV; Parkir Mobil; Parkir Motor"/>
    <x v="459"/>
    <s v="Rp1.945.000"/>
    <x v="8"/>
    <d v="1899-12-30T04:09:00"/>
    <x v="0"/>
    <m/>
    <s v="Diskon 180rb"/>
  </r>
  <r>
    <s v="Kost Singgahsini Theresia Tipe C Kelapa Gading Jakarta Utara"/>
    <x v="4"/>
    <s v="Kelapa Gading"/>
    <n v="6.25"/>
    <s v="2.5 x 2.5 meter"/>
    <s v="Termasuk listrik (implied)"/>
    <n v="1875000"/>
    <s v="Rp1.875.000"/>
    <s v="2.5 x 2.5 meter; Termasuk listrik; AC; Kasur; Lemari Baju; Bantal; Guling; Kloset Duduk; K. Mandi Luar; Shower; WiFi; Kulkas; R. Jemur; Dapur; CCTV; Parkir Mobil; Parkir Motor"/>
    <x v="460"/>
    <s v="Rp1.751.000"/>
    <x v="2"/>
    <d v="1899-12-30T04:08:00"/>
    <x v="0"/>
    <m/>
    <s v="Diskon 124rb"/>
  </r>
  <r>
    <s v="Kost Singgahsini Tin Pisangan Baru Timur Tipe A Matraman Jakarta Timur"/>
    <x v="8"/>
    <s v="Matraman"/>
    <n v="6.25"/>
    <s v="2.5 x 2.5 meter"/>
    <s v="Termasuk listrik (implied)"/>
    <n v="1625000"/>
    <s v="Rp1.625.000"/>
    <s v="2.5 x 2.5 meter; Termasuk listrik; AC; Kasur; Meja; Lemari Baju; Bantal; Cermin; Jendela; K. Mandi Dalam; Kloset Duduk; WiFi; R. Jemur; Parkir Mobil; Parkir Motor; Parkir Sepeda; Parkir Motor &amp; Sepeda"/>
    <x v="276"/>
    <s v="Rp1.545.000"/>
    <x v="8"/>
    <d v="1899-12-30T04:09:00"/>
    <x v="0"/>
    <m/>
    <s v="Diskon 80rb"/>
  </r>
  <r>
    <s v="Kost Singgahsini Tin Pisangan Baru Timur Tipe B Matraman Jakarta Timur"/>
    <x v="8"/>
    <s v="Matraman"/>
    <n v="6.25"/>
    <s v="2.5 x 2.5 meter"/>
    <s v="Termasuk listrik (implied)"/>
    <n v="1225000"/>
    <s v="Rp1.225.000"/>
    <s v="2.5 x 2.5 meter; Termasuk listrik; Kasur; Meja; Lemari Baju; Ventilasi; Kipas Angin; Bantal; K. Mandi Dalam; Kloset Duduk; WiFi; R. Jemur; Parkir Mobil; Parkir Motor; Parkir Sepeda; Parkir Motor &amp; Sepeda"/>
    <x v="84"/>
    <s v="Rp1.129.000"/>
    <x v="6"/>
    <d v="1899-12-30T04:06:00"/>
    <x v="0"/>
    <m/>
    <s v="Diskon 96rb"/>
  </r>
  <r>
    <s v="Kost Singgahsini Tin Pisangan Baru Timur Tipe C Matraman Jakarta Timur"/>
    <x v="8"/>
    <s v="Matraman"/>
    <n v="6.25"/>
    <s v="2.5 x 2.5 meter"/>
    <s v="Termasuk listrik (implied)"/>
    <n v="1125000"/>
    <s v="Rp1.125.000"/>
    <s v="2.5 x 2.5 meter; Termasuk listrik; Kasur; Meja; Lemari Baju; Ventilasi; Kipas Angin; Bantal; Kloset Duduk; K. Mandi Luar; WiFi; R. Jemur; Parkir Mobil; Parkir Motor; Parkir Sepeda; Parkir Motor &amp; Sepeda"/>
    <x v="41"/>
    <s v="Rp1.037.000"/>
    <x v="8"/>
    <d v="1899-12-30T04:09:00"/>
    <x v="0"/>
    <m/>
    <s v="Diskon 88rb"/>
  </r>
  <r>
    <s v="Kost Singgahsini Tin Pisangan Baru Timur Tipe D Matraman Jakarta Timur"/>
    <x v="8"/>
    <s v="Matraman"/>
    <n v="12"/>
    <s v="3 x 4 meter"/>
    <s v="Termasuk listrik (implied)"/>
    <n v="1725000"/>
    <s v="Rp1.725.000"/>
    <s v="3 x 4 meter; Termasuk listrik; AC; Kasur; Meja; Lemari Baju; Bantal; Cermin; Jendela; K. Mandi Dalam; Kloset Duduk; WiFi; R. Jemur; Parkir Motor &amp; Sepeda"/>
    <x v="103"/>
    <s v="Rp1.640.000"/>
    <x v="8"/>
    <d v="1899-12-30T04:09:00"/>
    <x v="0"/>
    <m/>
    <s v="Diskon 85rb"/>
  </r>
  <r>
    <s v="Kost Singgahsini Tobasa 3 Tipe B Pulo Gadung Jakarta Timur"/>
    <x v="8"/>
    <s v="Pulo Gadung"/>
    <n v="10.8"/>
    <s v="3.6 x 3 meter"/>
    <s v="Termasuk listrik (implied)"/>
    <n v="1900000"/>
    <s v="Rp1.900.000"/>
    <s v="3.6 x 3 meter; Termasuk listrik; AC; Kasur; Meja; Lemari Baju; Ventilasi; Bantal; Cermin; Jendela; K. Mandi Dalam; Kloset Duduk; Shower; WiFi; Kulkas; R. Tamu; Mesin Cuci; Penjaga Kos; Dapur; Dispenser; Parkir Motor &amp; Sepeda"/>
    <x v="118"/>
    <s v="Rp1.710.000"/>
    <x v="2"/>
    <d v="1899-12-30T04:08:00"/>
    <x v="0"/>
    <m/>
    <s v="Diskon 190rb"/>
  </r>
  <r>
    <s v="Kost Singgahsini Tobasa 3 Tipe C Pulo Gadung Jakarta Timur"/>
    <x v="8"/>
    <s v="Pulo Gadung"/>
    <n v="10.8"/>
    <s v="3.6 x 3 meter"/>
    <s v="Tidak termasuk listrik"/>
    <n v="1800000"/>
    <s v="Rp1.800.000"/>
    <s v="3.6 x 3 meter; Tidak termasuk listrik; AC; Kasur; Meja; Lemari Baju; Ventilasi; Kursi; Bantal; Jendela; K. Mandi Dalam; Kloset Duduk; Shower; WiFi; Kulkas; R. Tamu; Mesin Cuci; Penjaga Kos; Dapur; Dispenser; Parkir Motor &amp; Sepeda"/>
    <x v="461"/>
    <s v="Rp1.620.000"/>
    <x v="0"/>
    <m/>
    <x v="0"/>
    <m/>
    <s v="Diskon 180rb"/>
  </r>
  <r>
    <s v="Kost Singgahsini Tobasa 3 Tipe D Pulo Gadung Jakarta Timur"/>
    <x v="8"/>
    <s v="Pulo Gadung"/>
    <n v="12.92"/>
    <s v="3.8 x 3.4 meter"/>
    <s v="Termasuk listrik (implied)"/>
    <n v="1700000"/>
    <s v="Rp1.700.000"/>
    <s v="3.8 x 3.4 meter; Termasuk listrik; AC; Kasur; Meja; Lemari Baju; Ventilasi; Kursi; Bantal; Cermin; Jendela; K. Mandi Dalam; Kloset Duduk; Shower; WiFi; Kulkas; R. Tamu; Mesin Cuci; Penjaga Kos; Dapur; Dispenser; Parkir Motor &amp; Sepeda"/>
    <x v="451"/>
    <s v="Rp1.530.000"/>
    <x v="8"/>
    <d v="1899-12-30T04:09:00"/>
    <x v="0"/>
    <m/>
    <s v="Diskon 170rb"/>
  </r>
  <r>
    <s v="Kost Singgahsini Tobasa 3 Tipe E Pulo Gadung Jakarta Timur"/>
    <x v="8"/>
    <s v="Pulo Gadung"/>
    <n v="10.8"/>
    <s v="3.6 x 3 meter"/>
    <s v="Tidak termasuk listrik"/>
    <n v="1500000"/>
    <s v="Rp1.500.000"/>
    <s v="3.6 x 3 meter; Tidak termasuk listrik; AC; Kasur; Meja; Lemari Baju; Ventilasi; Kursi; Bantal; K. Mandi Dalam; Kloset Duduk; Shower; WiFi; Kulkas; R. Tamu; Mesin Cuci; Penjaga Kos; Dapur; Dispenser; Parkir Motor &amp; Sepeda"/>
    <x v="5"/>
    <s v="Rp1.350.000"/>
    <x v="8"/>
    <d v="1899-12-30T04:09:00"/>
    <x v="0"/>
    <m/>
    <s v="Diskon 150rb"/>
  </r>
  <r>
    <s v="Kost Singgahsini Tobasa 3 Tipe F Pulo Gadung Jakarta Timur"/>
    <x v="8"/>
    <s v="Pulo Gadung"/>
    <n v="10.8"/>
    <s v="3.6 x 3 meter"/>
    <s v="Termasuk listrik (implied)"/>
    <n v="1600000"/>
    <s v="Rp1.600.000"/>
    <s v="3.6 x 3 meter; Termasuk listrik; AC; Kasur; Meja; Lemari Baju; Kursi; Bantal; Guling; Jendela; K. Mandi Dalam; Kloset Duduk; Shower; WiFi; Kulkas; R. Tamu; Mesin Cuci; Penjaga Kos; Dapur; Dispenser; Parkir Motor &amp; Sepeda"/>
    <x v="122"/>
    <s v="Rp1.440.000"/>
    <x v="14"/>
    <d v="1899-12-30T03:05:00"/>
    <x v="0"/>
    <m/>
    <s v="Diskon 160rb"/>
  </r>
  <r>
    <s v="Kost Singgahsini Torrycoffe Homes Tipe A Grogol Petamburan Jakarta Barat"/>
    <x v="3"/>
    <s v="Grogol Petamburan"/>
    <n v="6.6000000000000005"/>
    <s v="3 x 2.2 meter"/>
    <s v="Tidak termasuk listrik"/>
    <s v=""/>
    <s v="N/A"/>
    <s v="3 x 2.2 meter; Tidak termasuk listrik; AC; Kasur; Meja; Lemari Baju; Kursi; Bantal; Cermin; Guling; Jendela; Kloset Duduk; K. Mandi Luar; Shower; WiFi; Penjaga Kos; Dapur; CCTV; Parkir Motor &amp; Sepeda"/>
    <x v="228"/>
    <s v="Rp1.925.000"/>
    <x v="8"/>
    <d v="1899-12-30T04:09:00"/>
    <x v="0"/>
    <m/>
    <s v="Diskon 144rb"/>
  </r>
  <r>
    <s v="Kost Singgahsini Tressa Tipe A Kelapa Gading Jakarta Utara"/>
    <x v="4"/>
    <s v="Kelapa Gading"/>
    <n v="10.5"/>
    <s v="3.5 x 3 meter"/>
    <s v="Tidak termasuk listrik"/>
    <n v="2005000"/>
    <s v="Rp2.005.000"/>
    <s v="3.5 x 3 meter; Tidak termasuk listrik; AC; Kasur; Meja; Lemari Baju; Ventilasi; Kursi; Bantal; Cermin; K. Mandi Dalam; Kloset Duduk; Wastafel; Shower; Air panas; WiFi; Kulkas; Mesin Cuci; Penjaga Kos; R. Makan; R. Jemur; Dapur; Dispenser; CCTV; Rooftop; Parkir Motor &amp; Sepeda"/>
    <x v="462"/>
    <s v="Rp1.807.000"/>
    <x v="6"/>
    <d v="1899-12-30T04:06:00"/>
    <x v="2"/>
    <m/>
    <s v="Diskon 198rb"/>
  </r>
  <r>
    <s v="Kost Singgahsini Triani 32 Tipe A Lenteng Agung Jakarta Selatan"/>
    <x v="5"/>
    <s v="Jagakarsa"/>
    <n v="9"/>
    <s v="3 x 3 meter"/>
    <s v="Tidak termasuk listrik"/>
    <s v=""/>
    <s v="N/A"/>
    <s v="3 x 3 meter; Tidak termasuk listrik; AC; Kasur; Lemari Baju; Ventilasi; Bantal; Jendela; K. Mandi Dalam; Kloset Duduk; Shower; WiFi; Penjaga Kos; Dapur; Dispenser; Parkir Motor; Parkir Sepeda; Parkir Motor &amp; Sepeda"/>
    <x v="126"/>
    <s v="Rp1.425.000"/>
    <x v="2"/>
    <d v="1899-12-30T04:08:00"/>
    <x v="2"/>
    <m/>
    <s v="Diskon 112rb"/>
  </r>
  <r>
    <s v="Kost Singgahsini Trimur Tanjung Duren Tipe A Grogol Petamburan Jakarta Barat"/>
    <x v="3"/>
    <s v="Grogol Petamburan"/>
    <n v="8"/>
    <s v="4 x 2 meter"/>
    <s v="Tidak termasuk listrik"/>
    <n v="1875000"/>
    <s v="Rp1.875.000"/>
    <s v="4 x 2 meter; Tidak termasuk listrik; AC; Kasur; Meja; Lemari Baju; Kursi; Bantal; Cermin; K. Mandi Dalam; Kloset Duduk; Shower; Air panas; WiFi; Kulkas; Penjaga Kos; Dapur; CCTV; Rooftop; Parkir Motor &amp; Sepeda"/>
    <x v="259"/>
    <s v="Rp1.727.000"/>
    <x v="3"/>
    <d v="1899-12-30T05:00:00"/>
    <x v="0"/>
    <m/>
    <s v="Diskon 148rb"/>
  </r>
  <r>
    <s v="Kost Singgahsini Trimur Tanjung Duren Tipe B Grogol Petamburan Jakarta Barat"/>
    <x v="3"/>
    <s v="Grogol Petamburan"/>
    <n v="8"/>
    <s v="4 x 2 meter"/>
    <s v="Tidak termasuk listrik"/>
    <n v="1825000"/>
    <s v="Rp1.825.000"/>
    <s v="4 x 2 meter; Tidak termasuk listrik; AC; Kasur; Meja; Lemari Baju; Kursi; Cermin; Jendela; K. Mandi Dalam; Kloset Duduk; Shower; WiFi; Kulkas; Penjaga Kos; Dapur; CCTV; Rooftop; Parkir Motor &amp; Sepeda"/>
    <x v="53"/>
    <s v="Rp1.681.000"/>
    <x v="10"/>
    <d v="1899-12-30T04:05:00"/>
    <x v="0"/>
    <m/>
    <s v="Diskon 144rb"/>
  </r>
  <r>
    <s v="Kost Singgahsini Tutul 402 Pondok Bambu Tipe A Duren Sawit Jakarta Timur"/>
    <x v="8"/>
    <s v="Duren Sawit"/>
    <n v="16"/>
    <s v="4 x 4 meter"/>
    <s v="Tidak termasuk listrik"/>
    <s v=""/>
    <s v="N/A"/>
    <s v="4 x 4 meter; Tidak termasuk listrik; AC; Kasur; Meja; Lemari Baju; Kursi; Bantal; Cermin; Jendela; K. Mandi Dalam; Kloset Duduk; Shower; WiFi; Kulkas; Penjaga Kos; R. Jemur; Dapur; Dispenser; Jemuran; Parkir Motor &amp; Sepeda"/>
    <x v="52"/>
    <s v="Rp1.875.000"/>
    <x v="5"/>
    <d v="1899-12-30T04:00:00"/>
    <x v="2"/>
    <m/>
    <m/>
  </r>
  <r>
    <s v="Kost Singgahsini Tutul 402 Pondok Bambu Tipe B Duren Sawit Jakarta Timur"/>
    <x v="8"/>
    <s v="Duren Sawit"/>
    <n v="10.5"/>
    <s v="3 x 3.5 meter"/>
    <s v="Tidak termasuk listrik"/>
    <s v=""/>
    <s v="N/A"/>
    <s v="3 x 3.5 meter; Tidak termasuk listrik; AC; Kasur; Meja; Lemari Baju; Kursi; Bantal; Cermin; Jendela; K. Mandi Dalam; Kloset Duduk; Shower; WiFi; Kulkas; Penjaga Kos; R. Jemur; Dapur; Dispenser; Jemuran; Parkir Motor &amp; Sepeda"/>
    <x v="312"/>
    <s v="Rp1.775.000"/>
    <x v="8"/>
    <d v="1899-12-30T04:09:00"/>
    <x v="2"/>
    <m/>
    <m/>
  </r>
  <r>
    <s v="Kost Singgahsini Tutul 402 Pondok Bambu Tipe C Duren Sawit Jakarta Timur"/>
    <x v="8"/>
    <s v="Duren Sawit"/>
    <n v="9"/>
    <s v="3 x 3 meter"/>
    <s v="Tidak termasuk listrik"/>
    <s v=""/>
    <s v="N/A"/>
    <s v="3 x 3 meter; Tidak termasuk listrik; AC; Kasur; Meja; Lemari Baju; Kursi; Bantal; Cermin; Jendela; K. Mandi Dalam; Kloset Duduk; Shower; WiFi; Kulkas; Penjaga Kos; R. Jemur; Dapur; Dispenser; Jemuran; Parkir Motor &amp; Sepeda"/>
    <x v="243"/>
    <s v="Rp1.675.000"/>
    <x v="8"/>
    <d v="1899-12-30T04:09:00"/>
    <x v="2"/>
    <m/>
    <m/>
  </r>
  <r>
    <s v="Kost Singgahsini UI Raisa Tipe A Beji Depok"/>
    <x v="1"/>
    <s v="Beji"/>
    <n v="12"/>
    <s v="3 x 4 meter"/>
    <s v="Tidak termasuk listrik"/>
    <n v="1625000"/>
    <s v="Rp1.625.000"/>
    <s v="3 x 4 meter; Tidak termasuk listrik; AC; Kasur; Meja; Lemari Baju; Kursi; Bantal; Cermin; Guling; Jendela; K. Mandi Dalam; Kloset Duduk; Shower; WiFi; Kulkas; R. Jemur; Dapur; Dispenser; CCTV; Parkir Motor; Parkir Sepeda"/>
    <x v="343"/>
    <s v="Rp1.465.000"/>
    <x v="2"/>
    <d v="1899-12-30T04:08:00"/>
    <x v="2"/>
    <m/>
    <s v="Diskon 160rb"/>
  </r>
  <r>
    <s v="Kost Singgahsini Ulujami 5 Tipe A Pesanggrahan Jakarta Selatan"/>
    <x v="5"/>
    <s v="Pesanggrahan"/>
    <n v="12"/>
    <s v="3 x 4 meter"/>
    <s v="Tidak termasuk listrik"/>
    <n v="2275000"/>
    <s v="Rp2.275.000"/>
    <s v="3 x 4 meter; Tidak termasuk listrik; AC; Kasur; Meja; Lemari Baju; Kursi; Bantal; Cermin; Jendela; K. Mandi Dalam; Kloset Duduk; Ember mandi; Shower; WiFi; Kulkas; R. Tamu; Penjaga Kos; R. Makan; R. Jemur; Dapur; Dispenser; K. Mandi Luar; Jemuran; Parkir Mobil; Parkir Motor; Parkir Sepeda"/>
    <x v="282"/>
    <s v="Rp2.162.500"/>
    <x v="2"/>
    <d v="1899-12-30T04:08:00"/>
    <x v="2"/>
    <m/>
    <s v="Diskon 113rb"/>
  </r>
  <r>
    <s v="Kost Singgahsini Umi Abadi 6 Tipe A Larangan Tangerang"/>
    <x v="6"/>
    <s v="Larangan"/>
    <n v="9"/>
    <s v="3 x 3 meter"/>
    <s v="Tidak termasuk listrik"/>
    <n v="1925000"/>
    <s v="Rp1.925.000"/>
    <s v="3 x 3 meter; Tidak termasuk listrik; AC; Kasur; Meja; Lemari Baju; Ventilasi; Kursi; Bantal; Cermin; Jendela; K. Mandi Dalam; Kloset Duduk; Shower"/>
    <x v="386"/>
    <s v="Rp1.773.000"/>
    <x v="6"/>
    <d v="1899-12-30T04:06:00"/>
    <x v="2"/>
    <m/>
    <s v="Diskon 152rb"/>
  </r>
  <r>
    <s v="Kost Singgahsini Umi Abadi 6 Tipe B Larangan Tangerang"/>
    <x v="6"/>
    <s v="Larangan"/>
    <n v="9"/>
    <s v="3 x 3 meter"/>
    <s v="Tidak termasuk listrik"/>
    <n v="1495000"/>
    <s v="Rp1.495.000"/>
    <s v="3 x 3 meter; Tidak termasuk listrik; AC; Kasur; Meja; Lemari Baju; Ventilasi; Kursi; Bantal; Cermin; Jendela; K. Mandi Dalam; Kloset Duduk; Shower; WiFi; Kulkas; Penjaga Kos; R. Makan; R. Jemur; Dapur; Dispenser; CCTV; Jemuran; Parkir Motor; Parkir Sepeda"/>
    <x v="463"/>
    <s v="Rp1.421.500"/>
    <x v="8"/>
    <d v="1899-12-30T04:09:00"/>
    <x v="2"/>
    <m/>
    <s v="Diskon 74rb"/>
  </r>
  <r>
    <s v="Kost Singgahsini Umi Abadi 6 Tipe C Larangan Tangerang"/>
    <x v="6"/>
    <s v="Larangan"/>
    <n v="9"/>
    <s v="3 x 3 meter"/>
    <s v="Tidak termasuk listrik"/>
    <n v="1425000"/>
    <s v="Rp1.425.000"/>
    <s v="3 x 3 meter; Tidak termasuk listrik; AC; Kasur; Meja; Lemari Baju; Ventilasi; Kursi; Bantal; Cermin; Jendela; K. Mandi Dalam; Kloset Duduk; Shower; WiFi; Kulkas; Penjaga Kos; R. Makan; R. Jemur; Dapur; Dispenser; CCTV; Jemuran; Parkir Motor; Parkir Sepeda"/>
    <x v="46"/>
    <s v="Rp1.355.000"/>
    <x v="3"/>
    <d v="1899-12-30T05:00:00"/>
    <x v="2"/>
    <m/>
    <s v="Diskon 70rb"/>
  </r>
  <r>
    <s v="Kost Singgahsini Ummi Residence Tipe C Pasar Minggu Jakarta Selatan"/>
    <x v="5"/>
    <s v="Pasar Minggu"/>
    <n v="17.28"/>
    <s v="3.6 x 4.8 meter"/>
    <s v="Tidak termasuk listrik"/>
    <n v="3500000"/>
    <s v="Rp3.500.000"/>
    <s v="3.6 x 4.8 meter; Tidak termasuk listrik; AC; Kasur; Meja; TV; Lemari Baju; Kursi; Bantal; Cermin; Guling; Jendela; K. Mandi Dalam; Kloset Duduk; Wastafel; Shower; Air panas; WiFi; Kulkas; R. Tamu; Mesin Cuci; R. Makan; R. Jemur; Dapur; Dispenser; K. Mandi Luar; Parkir Mobil; Parkir Sepeda"/>
    <x v="464"/>
    <s v="Rp3.150.000"/>
    <x v="8"/>
    <d v="1899-12-30T04:09:00"/>
    <x v="0"/>
    <m/>
    <s v="Diskon 350rb"/>
  </r>
  <r>
    <s v="Kost Singgahsini Ummi Residence Tipe D Pasar Minggu Jakarta Selatan"/>
    <x v="5"/>
    <s v="Pasar Minggu"/>
    <n v="15.2"/>
    <s v="4 x 3.8 meter"/>
    <s v="Tidak termasuk listrik"/>
    <n v="2900000"/>
    <s v="Rp2.900.000"/>
    <s v="4 x 3.8 meter; Tidak termasuk listrik; AC; Kasur; Meja; TV; Lemari Baju; Kursi; Bantal; Cermin; Guling; K. Mandi Dalam; Kloset Duduk; Wastafel; Shower; Air panas; WiFi; Kulkas; R. Tamu; Mesin Cuci; R. Makan; R. Jemur; Dapur; Dispenser; K. Mandi Luar; Parkir Mobil; Parkir Sepeda"/>
    <x v="222"/>
    <s v="Rp2.755.000"/>
    <x v="8"/>
    <d v="1899-12-30T04:09:00"/>
    <x v="0"/>
    <m/>
    <s v="Diskon 145rb"/>
  </r>
  <r>
    <s v="Kost Singgahsini UNTAR S Parman Tipe A Tomang Jakarta Barat"/>
    <x v="3"/>
    <s v="Kecamatan Grogol petamburan"/>
    <n v="9"/>
    <s v="3 x 3 meter"/>
    <s v="Tidak termasuk listrik"/>
    <s v=""/>
    <s v="N/A"/>
    <s v="3 x 3 meter; Tidak termasuk listrik; AC; Kasur; Meja; Lemari Baju; Kursi; Bantal; Jendela; K. Mandi Dalam; Kloset Duduk; Wastafel; Shower; WiFi; R. Tamu; Dapur; Dispenser; TV; Locker; K. Mandi Luar; Parkir Mobil; Parkir Motor; Parkir Sepeda"/>
    <x v="182"/>
    <s v="Rp2.900.000"/>
    <x v="12"/>
    <d v="1899-12-30T04:04:00"/>
    <x v="0"/>
    <m/>
    <s v="Diskon 240rb"/>
  </r>
  <r>
    <s v="Kost Singgahsini UNTAR S Parman Tipe B Tomang Jakarta Barat"/>
    <x v="3"/>
    <s v="Kecamatan Grogol petamburan"/>
    <n v="12"/>
    <s v="4 x 3 meter"/>
    <s v="Tidak termasuk listrik"/>
    <s v=""/>
    <s v="N/A"/>
    <s v="4 x 3 meter; Tidak termasuk listrik; AC; Kasur; Meja; Lemari Baju; Kursi; Bantal; Guling; Jendela; K. Mandi Dalam; Kloset Duduk; Wastafel; Shower; WiFi; Kulkas; R. Tamu; Dapur; Dispenser; TV; Locker; K. Mandi Luar; Parkir Mobil; Parkir Motor; Parkir Sepeda"/>
    <x v="33"/>
    <s v="Rp2.400.000"/>
    <x v="6"/>
    <d v="1899-12-30T04:06:00"/>
    <x v="0"/>
    <m/>
    <s v="Diskon 240rb"/>
  </r>
  <r>
    <s v="Kost Singgahsini Vanela 15 Tipe A Menteng Jakarta Pusat"/>
    <x v="9"/>
    <s v="Kecamatan Menteng"/>
    <n v="10.5"/>
    <s v="3 x 3.5 meter"/>
    <s v="Tidak termasuk listrik"/>
    <s v=""/>
    <s v="N/A"/>
    <s v="3 x 3.5 meter; Tidak termasuk listrik; AC; Kasur; Meja; Dispenser; TV; Lemari Baju; Kulkas; Ventilasi; Kursi; Bantal; K. Mandi Dalam; Kloset Duduk; Wastafel; Shower; Air panas; WiFi; R. Cuci; Laundry; R. Jemur; Dapur; CCTV; Parkir Mobil; Parkir Motor; Parkir Sepeda; Parkir Motor &amp; Sepeda"/>
    <x v="465"/>
    <s v="Rp3.205.000"/>
    <x v="2"/>
    <d v="1899-12-30T04:08:00"/>
    <x v="0"/>
    <m/>
    <m/>
  </r>
  <r>
    <s v="Kost Singgahsini Vanela 15 Tipe B Menteng Jakarta Pusat"/>
    <x v="9"/>
    <s v="Kecamatan Menteng"/>
    <n v="10.5"/>
    <s v="3 x 3.5 meter"/>
    <s v="Tidak termasuk listrik"/>
    <s v=""/>
    <s v="N/A"/>
    <s v="3 x 3.5 meter; Tidak termasuk listrik; AC; Kasur; Meja; Dispenser; TV; Lemari Baju; Kulkas; Ventilasi; Kursi; Bantal; K. Mandi Dalam; Kloset Duduk; Wastafel; Shower; Air panas; WiFi; R. Cuci; Laundry; R. Jemur; Dapur; CCTV; Parkir Mobil; Parkir Motor; Parkir Sepeda; Parkir Motor &amp; Sepeda"/>
    <x v="466"/>
    <s v="Rp3.095.000"/>
    <x v="6"/>
    <d v="1899-12-30T04:06:00"/>
    <x v="0"/>
    <m/>
    <m/>
  </r>
  <r>
    <s v="Kost Singgahsini Vanela 15 Tipe C Menteng Jakarta Pusat"/>
    <x v="9"/>
    <s v="Kecamatan Menteng"/>
    <n v="10.5"/>
    <s v="3 x 3.5 meter"/>
    <s v="Tidak termasuk listrik"/>
    <s v=""/>
    <s v="N/A"/>
    <s v="3 x 3.5 meter; Tidak termasuk listrik; AC; Kasur; Meja; Dispenser; TV; Lemari Baju; Kulkas; Ventilasi; Kursi; Bantal; K. Mandi Dalam; Kloset Duduk; Wastafel; Shower; Air panas; WiFi; R. Cuci; Laundry; R. Jemur; Dapur; CCTV; Parkir Mobil; Parkir Motor; Parkir Sepeda; Parkir Motor &amp; Sepeda"/>
    <x v="305"/>
    <s v="Rp2.875.000"/>
    <x v="6"/>
    <d v="1899-12-30T04:06:00"/>
    <x v="0"/>
    <m/>
    <m/>
  </r>
  <r>
    <s v="Kost Singgahsini Vanela 8 Benhil Tipe A Tanah Abang Jakarta Pusat"/>
    <x v="9"/>
    <s v="Tanah Abang"/>
    <n v="9"/>
    <s v="3 x 3 meter"/>
    <s v="Tidak termasuk listrik"/>
    <n v="3020000"/>
    <s v="Rp3.020.000"/>
    <s v="3 x 3 meter; Tidak termasuk listrik; AC; Kasur; Meja; Lemari Baju; Ventilasi; Kursi; Bantal; Cermin; Guling; Jendela; K. Mandi Dalam; Kloset Duduk; Shower; Air panas; WiFi; Kulkas; R. Tamu; Penjaga Kos; Dapur; Dispenser; CCTV; Parkir Motor &amp; Sepeda"/>
    <x v="467"/>
    <s v="Rp2.722.500"/>
    <x v="6"/>
    <d v="1899-12-30T04:06:00"/>
    <x v="0"/>
    <m/>
    <s v="Diskon 298rb"/>
  </r>
  <r>
    <s v="Kost Singgahsini Vanela 8 Benhil Tipe B Tanah Abang Jakarta Pusat"/>
    <x v="9"/>
    <s v="Tanah Abang"/>
    <n v="7.5"/>
    <s v="2.5 x 3 meter"/>
    <s v="Tidak termasuk listrik"/>
    <n v="2895000"/>
    <s v="Rp2.895.000"/>
    <s v="2.5 x 3 meter; Tidak termasuk listrik; AC; Kasur; Meja; Lemari Baju; Ventilasi; Kursi; Bantal; Cermin; Guling; Jendela; K. Mandi Dalam; Kloset Duduk; Shower; Air panas; WiFi; Kulkas; R. Tamu; Penjaga Kos; Dapur; Dispenser; CCTV; Parkir Motor &amp; Sepeda"/>
    <x v="468"/>
    <s v="Rp2.610.000"/>
    <x v="6"/>
    <d v="1899-12-30T04:06:00"/>
    <x v="0"/>
    <m/>
    <s v="Diskon 285rb"/>
  </r>
  <r>
    <s v="Kost Singgahsini Vanela 8 Benhil Tipe C Tanah Abang Jakarta Pusat"/>
    <x v="9"/>
    <s v="Tanah Abang"/>
    <n v="6.25"/>
    <s v="2.5 x 2.5 meter"/>
    <s v="Tidak termasuk listrik"/>
    <n v="2545000"/>
    <s v="Rp2.545.000"/>
    <s v="2.5 x 2.5 meter; Tidak termasuk listrik; AC; Kasur; Meja; Lemari Baju; Ventilasi; Kursi; Bantal; Cermin; Guling; Jendela; K. Mandi Dalam; Kloset Duduk; Shower; Air panas; WiFi; Kulkas; R. Tamu; Penjaga Kos; Dapur; Dispenser; CCTV; Parkir Motor &amp; Sepeda"/>
    <x v="469"/>
    <s v="Rp2.295.000"/>
    <x v="6"/>
    <d v="1899-12-30T04:06:00"/>
    <x v="0"/>
    <m/>
    <s v="Diskon 250rb"/>
  </r>
  <r>
    <s v="Kost Singgahsini Victory Tipe A Kelapa Gading Jakarta Utara"/>
    <x v="4"/>
    <s v="Kelapa Gading"/>
    <n v="10.240000000000002"/>
    <s v="3.2 x 3.2 meter"/>
    <s v="Tidak termasuk listrik"/>
    <n v="2500000"/>
    <s v="Rp2.500.000"/>
    <s v="3.2 x 3.2 meter; Tidak termasuk listrik; AC; Kasur; Meja; Lemari Baju; Kursi; Jendela; Bantal; Cermin; K. Mandi Dalam; Kloset Duduk; Shower; Air panas; WiFi; Kulkas; R. Tamu; Penjaga Kos; R. Jemur; Dapur; Dispenser; CCTV; Parkir Mobil; Parkir Motor &amp; Sepeda"/>
    <x v="176"/>
    <s v="Rp2.300.000"/>
    <x v="0"/>
    <m/>
    <x v="2"/>
    <m/>
    <s v="Diskon 200rb"/>
  </r>
  <r>
    <s v="Kost Singgahsini Victory Tipe B Kelapa Gading Jakarta Utara"/>
    <x v="4"/>
    <s v="Kelapa Gading"/>
    <n v="10.240000000000002"/>
    <s v="3.2 x 3.2 meter"/>
    <s v="Tidak termasuk listrik"/>
    <n v="2300000"/>
    <s v="Rp2.300.000"/>
    <s v="3.2 x 3.2 meter; Tidak termasuk listrik; AC; Kasur; Meja; Lemari Baju; Kursi; Jendela; Bantal; Cermin; K. Mandi Dalam; Kloset Duduk; Shower; Air panas; WiFi; Kulkas; R. Tamu; Penjaga Kos; R. Jemur; Dapur; Dispenser; CCTV; Parkir Mobil; Parkir Motor &amp; Sepeda"/>
    <x v="470"/>
    <s v="Rp2.116.000"/>
    <x v="0"/>
    <m/>
    <x v="2"/>
    <m/>
    <s v="Diskon 184rb"/>
  </r>
  <r>
    <s v="Kost Singgahsini W One Kebon Kacang Tipe B Tanah Abang Jakarta Pusat"/>
    <x v="9"/>
    <s v="Tanah Abang"/>
    <n v="12.600000000000001"/>
    <s v="4.2 x 3 meter"/>
    <s v="Tidak termasuk listrik"/>
    <n v="3225000"/>
    <s v="Rp3.225.000"/>
    <s v="4.2 x 3 meter; Tidak termasuk listrik; AC; Kasur; Meja; TV; Lemari Baju; Kursi; Jendela; Bantal; Cermin; K. Mandi Dalam; Kloset Duduk; Wastafel; Shower; Air panas; WiFi; Kulkas; Penjaga Kos; R. Tamu; Dispenser; CCTV; Parkir Motor &amp; Sepeda"/>
    <x v="471"/>
    <s v="Rp2.969.000"/>
    <x v="8"/>
    <d v="1899-12-30T04:09:00"/>
    <x v="0"/>
    <m/>
    <s v="Diskon 256rb"/>
  </r>
  <r>
    <s v="Kost Singgahsini W One Pasar Baru Tipe B Sawah Besar Jakarta Pusat"/>
    <x v="9"/>
    <s v="Sawah Besar"/>
    <n v="12"/>
    <s v="4 x 3 meter"/>
    <s v="Tidak termasuk listrik"/>
    <n v="2925000"/>
    <s v="Rp2.925.000"/>
    <s v="4 x 3 meter; Tidak termasuk listrik; AC; Kasur; TV; Lemari Baju; Bantal; Jendela; K. Mandi Dalam; Kloset Duduk; Shower; Air panas; WiFi; Kulkas; Penjaga Kos; R. Jemur; R. Makan; Dapur; CCTV; Rooftop; Parkir Motor &amp; Sepeda"/>
    <x v="472"/>
    <s v="Rp2.693.000"/>
    <x v="12"/>
    <d v="1899-12-30T04:04:00"/>
    <x v="0"/>
    <m/>
    <s v="Diskon 232rb"/>
  </r>
  <r>
    <s v="Kost Singgahsini W Residence Tipe B Taman Sari Jakarta Barat"/>
    <x v="3"/>
    <s v="Taman Sari"/>
    <n v="10.35"/>
    <s v="4.5 x 2.3 meter"/>
    <s v="Termasuk listrik (implied)"/>
    <s v=""/>
    <s v="N/A"/>
    <s v="4.5 x 2.3 meter; Termasuk listrik; AC; Kasur; Meja; TV; Lemari Baju; Kursi; Bantal; K. Mandi Dalam; Kloset Duduk; Wastafel; Shower; Air panas; WiFi; Kulkas; R. Tamu; Dapur; CCTV; Parkir Mobil; Parkir Motor; Parkir Sepeda"/>
    <x v="111"/>
    <s v="Rp1.975.000"/>
    <x v="6"/>
    <d v="1899-12-30T04:06:00"/>
    <x v="0"/>
    <m/>
    <s v="Diskon 100rb"/>
  </r>
  <r>
    <s v="Kost Singgahsini Warna Warni Mangga Besar Tipe A Taman Sari Jakarta Barat"/>
    <x v="3"/>
    <s v="Taman Sari"/>
    <n v="21.830000000000002"/>
    <s v="5.9 x 3.7 meter"/>
    <s v="Tidak termasuk listrik"/>
    <n v="2825000"/>
    <s v="Rp2.825.000"/>
    <s v="5.9 x 3.7 meter; Tidak termasuk listrik; AC; Kasur; Meja; Lemari Baju; Kursi; Bantal; Cermin; Guling; Jendela; K. Mandi Dalam; Kloset Duduk; Wastafel; Shower; Air panas; WiFi; Penjaga Kos; R. Jemur; Locker; CCTV; Parkir Mobil; Parkir Motor; Parkir Sepeda"/>
    <x v="141"/>
    <s v="Rp2.685.000"/>
    <x v="12"/>
    <d v="1899-12-30T04:04:00"/>
    <x v="0"/>
    <m/>
    <s v="Diskon 140rb"/>
  </r>
  <r>
    <s v="Kost Singgahsini Warna Warni Mangga Besar Tipe D Taman Sari Jakarta Barat"/>
    <x v="3"/>
    <s v="Taman Sari"/>
    <n v="6.16"/>
    <s v="2.8 x 2.2 meter"/>
    <s v="Tidak termasuk listrik"/>
    <n v="2225000"/>
    <s v="Rp2.225.000"/>
    <s v="2.8 x 2.2 meter; Tidak termasuk listrik; AC; Kasur; Meja; Lemari Baju; Kursi; Bantal; Cermin; Guling; Jendela; K. Mandi Dalam; Kloset Duduk; Wastafel; Shower; Air panas; WiFi; Penjaga Kos; R. Jemur; Locker; CCTV; Parkir Mobil; Parkir Motor; Parkir Sepeda"/>
    <x v="311"/>
    <s v="Rp2.115.000"/>
    <x v="2"/>
    <d v="1899-12-30T04:08:00"/>
    <x v="0"/>
    <m/>
    <s v="Diskon 110rb"/>
  </r>
  <r>
    <s v="Kost Singgahsini Waru 15A Tipe A Pasar Rebo Jakarta Timur"/>
    <x v="8"/>
    <s v="Pasar Rebo"/>
    <e v="#VALUE!"/>
    <s v="N/A"/>
    <s v="N/A"/>
    <n v="1625000"/>
    <s v="Rp1.625.000"/>
    <s v=""/>
    <x v="413"/>
    <s v="Rp1.497.000"/>
    <x v="2"/>
    <d v="1899-12-30T04:08:00"/>
    <x v="2"/>
    <m/>
    <s v="Diskon 128rb"/>
  </r>
  <r>
    <s v="Kost Singgahsini White House Tipe A Mampang Prapatan Jakarta Selatan"/>
    <x v="5"/>
    <s v="Kecamatan Mampang Prapatan"/>
    <n v="9"/>
    <s v="3 x 3 meter"/>
    <s v="Tidak termasuk listrik"/>
    <s v=""/>
    <s v="N/A"/>
    <s v="3 x 3 meter; Tidak termasuk listrik; AC; Kasur; Meja; Lemari Baju; Kursi; Bantal; Guling; K. Mandi Dalam; Kloset Duduk; Wastafel; Shower; WiFi; R. Cuci; Kulkas; R. Tamu; Dapur; Dispenser; K. Mandi Luar; Parkir Mobil; Parkir Motor"/>
    <x v="83"/>
    <s v="Rp2.605.000"/>
    <x v="6"/>
    <d v="1899-12-30T04:06:00"/>
    <x v="2"/>
    <m/>
    <s v="Diskon 222rb"/>
  </r>
  <r>
    <s v="Kost Singgahsini White House Tipe B Mampang Prapatan Jakarta Selatan"/>
    <x v="5"/>
    <s v="Kecamatan Mampang Prapatan"/>
    <n v="10.5"/>
    <s v="3.5 x 3 meter"/>
    <s v="Termasuk listrik (implied)"/>
    <n v="2805000"/>
    <s v="Rp2.805.000"/>
    <s v="3.5 x 3 meter; Termasuk listrik; AC; Kasur; Meja; Lemari Baju; Kursi; Bantal; Guling; Jendela; K. Mandi Dalam; Kloset Duduk; Wastafel; Shower; WiFi; R. Cuci; Kulkas; R. Tamu; Dapur; Dispenser; K. Mandi Luar; Parkir Mobil; Parkir Motor"/>
    <x v="473"/>
    <s v="Rp2.582.600"/>
    <x v="6"/>
    <d v="1899-12-30T04:06:00"/>
    <x v="2"/>
    <m/>
    <s v="Diskon 222rb"/>
  </r>
  <r>
    <s v="Kost Singgahsini Widuri Bendungan Hilir Tipe A Tanah Abang Jakarta Pusat"/>
    <x v="9"/>
    <s v="Tanah Abang"/>
    <n v="12.5"/>
    <s v="5 x 2.5 meter"/>
    <s v="Tidak termasuk listrik"/>
    <s v=""/>
    <s v="N/A"/>
    <s v="5 x 2.5 meter; Tidak termasuk listrik; AC; Kasur; Meja; Lemari Baju; Kursi; Bantal; Guling; Jendela; K. Mandi Dalam; Kloset Duduk; Ember mandi; Shower; WiFi; Kulkas; R. Tamu; Mesin Cuci; Laundry; R. Jemur; Dapur; Dispenser; K. Mandi Luar; CCTV; Parkir Mobil; Parkir Sepeda; Parkir Motor &amp; Sepeda"/>
    <x v="260"/>
    <s v="Rp2.525.000"/>
    <x v="6"/>
    <d v="1899-12-30T04:06:00"/>
    <x v="2"/>
    <m/>
    <m/>
  </r>
  <r>
    <s v="Kost Singgahsini Widuri Bendungan Hilir Tipe B Tanah Abang Jakarta Pusat"/>
    <x v="9"/>
    <s v="Tanah Abang"/>
    <n v="12"/>
    <s v="4 x 3 meter"/>
    <s v="Tidak termasuk listrik"/>
    <s v=""/>
    <s v="N/A"/>
    <s v="4 x 3 meter; Tidak termasuk listrik; AC; Kasur; Meja; Lemari Baju; Kursi; Bantal; Guling; Jendela; Kloset Duduk; K. Mandi Luar; Shower; WiFi; Kulkas; R. Tamu; Laundry; R. Jemur; Dapur; Dispenser; CCTV; Parkir Mobil; Parkir Sepeda; Parkir Motor &amp; Sepeda"/>
    <x v="310"/>
    <s v="Rp2.075.000"/>
    <x v="2"/>
    <d v="1899-12-30T04:08:00"/>
    <x v="2"/>
    <m/>
    <s v="Diskon 96rb"/>
  </r>
  <r>
    <s v="Kost Singgahsini Wisma Abyu UI Tipe A Beji Depok"/>
    <x v="1"/>
    <s v="Beji"/>
    <n v="7.2900000000000009"/>
    <s v="2.7 x 2.7 meter"/>
    <s v="Tidak termasuk listrik"/>
    <n v="1725000"/>
    <s v="Rp1.725.000"/>
    <s v="2.7 x 2.7 meter; Tidak termasuk listrik; AC; Kasur; Meja; Lemari Baju; Kursi; Jendela; Bantal; K. Mandi Dalam; Kloset Duduk; Ember mandi; Shower; Air panas; WiFi; Kulkas; R. Tamu; Penjaga Kos; CCTV; Parkir Motor &amp; Sepeda"/>
    <x v="418"/>
    <s v="Rp1.555.000"/>
    <x v="10"/>
    <d v="1899-12-30T04:05:00"/>
    <x v="1"/>
    <m/>
    <s v="Diskon 170rb"/>
  </r>
  <r>
    <s v="Kost Singgahsini Wisma Abyu UI Tipe B Beji Depok"/>
    <x v="1"/>
    <s v="Beji"/>
    <n v="7.2900000000000009"/>
    <s v="2.7 x 2.7 meter"/>
    <s v="Tidak termasuk listrik"/>
    <n v="1575000"/>
    <s v="Rp1.575.000"/>
    <s v="2.7 x 2.7 meter; Tidak termasuk listrik; AC; Kasur; Meja; Lemari Baju; Kursi; Jendela; Bantal; K. Mandi Dalam; Kloset Duduk; Ember mandi; Shower; WiFi; Kulkas; R. Tamu; Penjaga Kos; CCTV; Parkir Motor &amp; Sepeda"/>
    <x v="417"/>
    <s v="Rp1.420.000"/>
    <x v="3"/>
    <d v="1899-12-30T05:00:00"/>
    <x v="1"/>
    <m/>
    <s v="Diskon 155rb"/>
  </r>
  <r>
    <s v="Kost Singgahsini Wisma KS23 Tipe B Setiabudi Jakarta Selatan"/>
    <x v="5"/>
    <s v="Setia Budi"/>
    <n v="16"/>
    <s v="4 x 4 meter"/>
    <s v="Tidak termasuk listrik"/>
    <s v=""/>
    <s v="N/A"/>
    <s v="4 x 4 meter; Tidak termasuk listrik; AC; Kasur; Meja; Lemari Baju; Kursi; K. Mandi Dalam; Kloset Duduk; Wastafel; Shower; Air panas; WiFi; R. Tamu; Mesin Cuci; Penjaga Kos; Laundry; R. Jemur; Dapur; Parkir Mobil; Parkir Motor"/>
    <x v="363"/>
    <s v="Rp2.825.000"/>
    <x v="10"/>
    <d v="1899-12-30T04:05:00"/>
    <x v="0"/>
    <m/>
    <s v="Diskon 140rb"/>
  </r>
  <r>
    <s v="Kost Singgahsini Wisma Serasi Tipe A Serpong Tangerang Selatan"/>
    <x v="2"/>
    <s v="Serpong"/>
    <n v="14"/>
    <s v="3.5 x 4 meter"/>
    <s v="Tidak termasuk listrik"/>
    <s v=""/>
    <s v="N/A"/>
    <s v="3.5 x 4 meter; Tidak termasuk listrik; AC; Kasur; Meja; Lemari Baju; Kulkas; Kursi; Bantal; Dapur Pribadi; Jendela; K. Mandi Dalam; Kloset Jongkok; Ember mandi; WiFi; Penjaga Kos; R. Jemur; Parkir Motor &amp; Sepeda"/>
    <x v="102"/>
    <s v="Rp1.475.000"/>
    <x v="6"/>
    <d v="1899-12-30T04:06:00"/>
    <x v="0"/>
    <m/>
    <s v="Diskon 80rb"/>
  </r>
  <r>
    <s v="Kost Singgahsini Wisma Serasi Tipe B Serpong Tangerang Selatan"/>
    <x v="2"/>
    <s v="Serpong"/>
    <n v="14"/>
    <s v="3.5 x 4 meter"/>
    <s v="Tidak termasuk listrik"/>
    <s v=""/>
    <s v="N/A"/>
    <s v="3.5 x 4 meter; Tidak termasuk listrik; AC; Kasur; Meja; Lemari Baju; Kursi; Bantal; Jendela; K. Mandi Dalam; Kloset Jongkok; Ember mandi; WiFi; Penjaga Kos; R. Jemur; Parkir Motor &amp; Sepeda"/>
    <x v="54"/>
    <s v="Rp1.375.000"/>
    <x v="6"/>
    <d v="1899-12-30T04:06:00"/>
    <x v="0"/>
    <m/>
    <m/>
  </r>
  <r>
    <s v="Kost Singgahsini Yulimar Petamburan 5 Tipe A Tanah Abang Jakarta Pusat"/>
    <x v="9"/>
    <s v="Tanah Abang"/>
    <n v="7.5"/>
    <s v="2.5 x 3 meter"/>
    <s v="Tidak termasuk listrik"/>
    <n v="1375000"/>
    <s v="Rp1.375.000"/>
    <s v="2.5 x 3 meter; Tidak termasuk listrik; AC; Kasur; Lemari Baju; Ventilasi; Jendela; Bantal; Cermin; Guling; Kloset Duduk; Kloset Jongkok; K. Mandi Luar; Ember mandi; WiFi; R. Cuci; Kulkas; R. Tamu; Penjaga Kos; R. Jemur; Dapur; TV; Rice Cooker; Parkir Motor &amp; Sepeda"/>
    <x v="68"/>
    <s v="Rp1.307.500"/>
    <x v="8"/>
    <d v="1899-12-30T04:09:00"/>
    <x v="2"/>
    <m/>
    <s v="Diskon 68rb"/>
  </r>
  <r>
    <s v="Kost Singgahsini Zakiah Kelapa Hijau Tipe A Duren Sawit Jakarta Timur"/>
    <x v="8"/>
    <s v="Duren Sawit"/>
    <e v="#VALUE!"/>
    <s v="N/A"/>
    <s v="N/A"/>
    <n v="2025000"/>
    <s v="Rp2.025.000"/>
    <s v=""/>
    <x v="228"/>
    <s v="Rp1.925.000"/>
    <x v="3"/>
    <d v="1899-12-30T05:00:00"/>
    <x v="2"/>
    <m/>
    <s v="Diskon 100rb"/>
  </r>
  <r>
    <s v="Kost Singgahsini Zebra Kemang Tipe A Mampang Prapatan Jakarta Selatan"/>
    <x v="5"/>
    <s v="Mampang Prapatan"/>
    <n v="20"/>
    <s v="5 x 4 meter"/>
    <s v="Tidak termasuk listrik"/>
    <s v=""/>
    <s v="N/A"/>
    <s v="5 x 4 meter; Tidak termasuk listrik; AC; Kasur; Lemari Baju; Bantal; Cermin; Guling; Jendela; K. Mandi Dalam; Kloset Duduk; Shower; WiFi; R. Jemur; Dapur; CCTV; Jemuran; Parkir Mobil; Parkir Motor; Parkir Sepeda; Parkir Motor &amp; Sepeda"/>
    <x v="454"/>
    <s v="Rp2.005.000"/>
    <x v="2"/>
    <d v="1899-12-30T04:08:00"/>
    <x v="0"/>
    <m/>
    <s v="Diskon 168rb"/>
  </r>
  <r>
    <s v="Kost Singgahsini Zire Kukusan Beji Depok"/>
    <x v="1"/>
    <s v="Beji"/>
    <n v="16"/>
    <s v="4 x 4 meter"/>
    <s v="Tidak termasuk listrik"/>
    <n v="925000"/>
    <s v="Rp925.000"/>
    <s v="4 x 4 meter; Tidak termasuk listrik; Kasur; Meja; Lemari Baju; Ventilasi; Kursi; Bantal; Jendela; K. Mandi Dalam; Kloset Duduk; Kloset Jongkok; Ember mandi; Shower; WiFi; R. Cuci; Penjaga Kos; Dapur; Parkir Mobil; Parkir Motor; Parkir Sepeda; Parkir Motor &amp; Sepeda"/>
    <x v="60"/>
    <s v="Rp835.000"/>
    <x v="6"/>
    <d v="1899-12-30T04:06:00"/>
    <x v="1"/>
    <m/>
    <s v="Diskon 90rb"/>
  </r>
  <r>
    <s v="Kost Sister Tipe A Pulo Gadung Jakarta Timur"/>
    <x v="8"/>
    <s v="Pulo Gadung"/>
    <n v="12"/>
    <s v="3 x 4 meter"/>
    <s v="Termasuk listrik (implied)"/>
    <s v=""/>
    <s v="N/A"/>
    <s v="3 x 4 meter; Termasuk listrik; Kasur; Meja; Meja Rias; Lemari Baju; Ventilasi; Bantal; Cermin; Jendela; Kursi; Kloset Duduk; K. Mandi Luar; Bak mandi; WiFi; Kulkas; R. Tamu; R. Jemur; R. Makan; R. Santai; Dapur; Jemuran; R. Keluarga; Parkir Motor"/>
    <x v="23"/>
    <s v="Rp1.200.000"/>
    <x v="0"/>
    <m/>
    <x v="2"/>
    <m/>
    <m/>
  </r>
  <r>
    <s v="Kost Siti Marwah AC Pulo Gadung Jakarta Timur"/>
    <x v="8"/>
    <s v="Kecamatan Pulo Gadung"/>
    <n v="8"/>
    <s v="2 x 4 meter"/>
    <s v="Termasuk listrik (implied)"/>
    <s v=""/>
    <s v="N/A"/>
    <s v="2 x 4 meter; Termasuk listrik; AC; Kasur; Meja; Lemari Baju; Ventilasi; Bantal; Guling; Jendela; Cermin; Kursi; Kloset Duduk; K. Mandi Luar; Bak mandi; WiFi; Kulkas; R. Cuci; Penjaga Kos; R. Jemur; R. Santai; Dapur; Jemuran; Parkir Motor; Parkir Sepeda; Parkir Motor &amp; Sepeda"/>
    <x v="23"/>
    <s v="Rp1.200.000"/>
    <x v="0"/>
    <m/>
    <x v="2"/>
    <m/>
    <m/>
  </r>
  <r>
    <s v="Kost Skyland Gunung Putri Bogor"/>
    <x v="0"/>
    <s v="Gunung Putri"/>
    <n v="6"/>
    <s v="3 x 2 meter"/>
    <s v="Termasuk listrik (implied)"/>
    <s v=""/>
    <s v="N/A"/>
    <s v="3 x 2 meter; Termasuk listrik; Kasur; Dispenser; Ventilasi; Wastafel; Kipas Angin; Bantal; Jendela; Kloset Jongkok; K. Mandi Luar; Shower; WiFi; R. Cuci; Kulkas; Mesin Cuci; R. Jemur; Dapur; TV; CCTV; Parkir Motor; Parkir Sepeda"/>
    <x v="10"/>
    <s v="Rp750.000"/>
    <x v="0"/>
    <m/>
    <x v="0"/>
    <m/>
    <m/>
  </r>
  <r>
    <s v="Kost Sofia Tipe 1 Dramaga Bogor"/>
    <x v="0"/>
    <s v="Kecamatan Dramaga"/>
    <n v="12"/>
    <s v="4 x 3 meter"/>
    <s v="Termasuk listrik (implied)"/>
    <s v=""/>
    <s v="N/A"/>
    <s v="4 x 3 meter; Termasuk listrik; AC; Kasur; Meja; TV; Lemari Baju; Bantal; Cermin; Guling; Kursi; Meja makan; K. Mandi Dalam; Kloset Duduk; Ember mandi; Shower; Air panas; WiFi; R. Cuci; Mesin Cuci; Penjaga Kos; R. Tamu; R. Jemur; R. Makan; Dapur; Dispenser; Jemuran; Parkir Mobil; Parkir Motor; Parkir Sepeda; Parkir Motor &amp; Sepeda"/>
    <x v="3"/>
    <s v="Rp1.500.000"/>
    <x v="0"/>
    <m/>
    <x v="0"/>
    <m/>
    <m/>
  </r>
  <r>
    <s v="Kost Soja I Tipe A Pinang Tangerang"/>
    <x v="6"/>
    <s v="Pinang"/>
    <n v="6.25"/>
    <s v="2.5 x 2.5 meter"/>
    <s v="Termasuk listrik (implied)"/>
    <s v=""/>
    <s v="N/A"/>
    <s v="2.5 x 2.5 meter; Termasuk listrik; Kasur; Meja; Lemari Baju; Ventilasi; Bantal; Cermin; Guling; Jendela; Kipas Angin; Kloset Jongkok; K. Mandi Luar; Bak mandi; WiFi; Kulkas; R. Cuci; R. Jemur; Dapur; CCTV; Jemuran; TV; Pengurus Kos; Parkir Motor &amp; Sepeda"/>
    <x v="12"/>
    <s v="Rp850.000"/>
    <x v="0"/>
    <m/>
    <x v="2"/>
    <m/>
    <m/>
  </r>
  <r>
    <s v="Kost Sollana Fancy Gold Neglasari Tangerang"/>
    <x v="6"/>
    <s v="Kecamatan Neglasari"/>
    <n v="9.9"/>
    <s v="2.2 x 4.5 meter"/>
    <s v="Tidak termasuk listrik"/>
    <s v=""/>
    <s v="N/A"/>
    <s v="2.2 x 4.5 meter; Tidak termasuk listrik; AC; Kasur; Meja; TV; Kulkas; Lemari Baju; Ventilasi; Bantal; Cermin; Guling; K. Mandi Dalam; Kloset Duduk; Ember mandi; Shower; Air panas; WiFi; Laundry; Penjaga Kos; R. Tamu; R. Jemur; R. Makan; R. Santai; Dapur; Dispenser; Parkir Motor"/>
    <x v="178"/>
    <s v="Rp1.950.000"/>
    <x v="0"/>
    <m/>
    <x v="0"/>
    <m/>
    <m/>
  </r>
  <r>
    <s v="Kost Sollana Premium Superior Neglasari Tangerang"/>
    <x v="6"/>
    <s v="Kecamatan Neglasari"/>
    <n v="9.5"/>
    <s v="2.5 x 3.8 meter"/>
    <s v="Tidak termasuk listrik"/>
    <s v=""/>
    <s v="N/A"/>
    <s v="2.5 x 3.8 meter; Tidak termasuk listrik; AC; Kasur; Meja; TV; Lemari Baju; Ventilasi; Bantal; Cermin; Cleaning service; Guling; K. Mandi Dalam; Kloset Duduk; Ember mandi; Shower; Air panas; WiFi; Kulkas; R. Cuci; Laundry; Mesin Cuci; Penjaga Kos; R. Tamu; R. Jemur; R. Makan; R. Santai; Parkir Mobil; Parkir Motor"/>
    <x v="163"/>
    <s v="Rp1.700.000"/>
    <x v="0"/>
    <m/>
    <x v="0"/>
    <m/>
    <m/>
  </r>
  <r>
    <s v="Kost Sollana Premium Tipe Mezzanine Green Neglasari Tangerang"/>
    <x v="6"/>
    <s v="Kecamatan Neglasari"/>
    <n v="15"/>
    <s v="2.5 x 6 meter"/>
    <s v="Tidak termasuk listrik"/>
    <s v=""/>
    <s v="N/A"/>
    <s v="2.5 x 6 meter; Tidak termasuk listrik; AC; Kasur; Dispenser; Meja; TV; Kulkas; Lemari Baju; Ventilasi; Bantal; Cermin; K. Mandi Dalam; Kloset Duduk; Ember mandi; Shower; Air panas; WiFi; R. Cuci; Laundry; Mesin Cuci; Penjaga Kos; R. Tamu; R. Jemur; R. Makan; R. Santai; Parkir Mobil; Parkir Motor"/>
    <x v="474"/>
    <s v="Rp1.999.000"/>
    <x v="3"/>
    <d v="1899-12-30T05:00:00"/>
    <x v="0"/>
    <m/>
    <s v="Diskon 95rb"/>
  </r>
  <r>
    <s v="Kost Sollana Premium Tipe Superior Green Neglasari Tangerang"/>
    <x v="6"/>
    <s v="Kecamatan Neglasari"/>
    <n v="10"/>
    <s v="2.5 x 4 meter"/>
    <s v="Tidak termasuk listrik"/>
    <s v=""/>
    <s v="N/A"/>
    <s v="2.5 x 4 meter; Tidak termasuk listrik; AC; Kasur; Meja; Meja Rias; TV; Lemari Baju; Ventilasi; Bantal; Cermin; Cleaning service; K. Mandi Dalam; Kloset Duduk; Ember mandi; Shower; Air panas; WiFi; Kulkas; R. Cuci; Laundry; Mesin Cuci; Penjaga Kos; R. Tamu; R. Jemur; R. Makan; R. Santai; Parkir Mobil; Parkir Motor"/>
    <x v="475"/>
    <s v="Rp1.899.000"/>
    <x v="0"/>
    <m/>
    <x v="0"/>
    <m/>
    <m/>
  </r>
  <r>
    <s v="Kost Sopo House Cileungsi Bogor"/>
    <x v="0"/>
    <s v="Cileungsi"/>
    <n v="12"/>
    <s v="3 x 4 meter"/>
    <s v="Tidak termasuk listrik"/>
    <s v=""/>
    <s v="N/A"/>
    <s v="3 x 4 meter; Tidak termasuk listrik; AC; Kasur; Meja; Lemari Baju; Bantal; Cermin; Jendela; Kursi; Guling; K. Mandi Dalam; Kloset Duduk; Shower; Air panas; WiFi; Kulkas; Penjaga Kos; Mesin Cuci; R. Tamu; R. Makan; R. Jemur; R. Santai; Dapur; CCTV; Parkir Mobil; Parkir Motor; Parkir Sepeda; Parkir Motor &amp; Sepeda"/>
    <x v="18"/>
    <s v="Rp1.300.000"/>
    <x v="0"/>
    <m/>
    <x v="2"/>
    <m/>
    <m/>
  </r>
  <r>
    <s v="Kost Sr Tipe VIP Cikarang Barat Bekasi"/>
    <x v="7"/>
    <s v="Cikarang Barat"/>
    <n v="9"/>
    <s v="3 x 3 meter"/>
    <s v="Tidak termasuk listrik"/>
    <s v=""/>
    <s v="N/A"/>
    <s v="3 x 3 meter; Tidak termasuk listrik; AC; Kasur; Lemari Baju; Ventilasi; Jendela; Cermin; Wastafel; K. Mandi Dalam; Kloset Jongkok; Ember mandi; WiFi; Penjaga Kos; Dapur; Balcon; Jemuran; Parkir Motor; Parkir Sepeda"/>
    <x v="30"/>
    <s v="Rp1.150.000"/>
    <x v="3"/>
    <d v="1899-12-30T05:00:00"/>
    <x v="0"/>
    <m/>
    <m/>
  </r>
  <r>
    <s v="Kost Star Residence Beji Depok"/>
    <x v="1"/>
    <s v="Beji"/>
    <n v="12"/>
    <s v="3 x 4 meter"/>
    <s v="Termasuk listrik (implied)"/>
    <s v=""/>
    <s v="N/A"/>
    <s v="3 x 4 meter; Termasuk listrik; AC; Kasur; Meja; Lemari Baju; Bantal; Cleaning service; Guling; Jendela; Kursi; Kloset Duduk; Wastafel; Shower; WiFi; Kulkas; Laundry; Penjaga Kos; R. Tamu; Mushola; R. Santai; Dapur; Dispenser; Balcon; Parkir Mobil; Parkir Motor"/>
    <x v="27"/>
    <s v="Rp2.000.000"/>
    <x v="8"/>
    <d v="1899-12-30T04:09:00"/>
    <x v="0"/>
    <m/>
    <s v="Diskon 90rb"/>
  </r>
  <r>
    <s v="Kost StayZone Sunter Agung Tipe B Tanjung Priok Jakarta Utara"/>
    <x v="4"/>
    <s v="Tanjung Priok"/>
    <n v="8.25"/>
    <s v="3.3 x 2.5 meter"/>
    <s v="Tidak termasuk listrik"/>
    <s v=""/>
    <s v="N/A"/>
    <s v="3.3 x 2.5 meter; Tidak termasuk listrik; AC; Kasur; Meja; Lemari Baju; Ventilasi; Bantal; Cermin; Guling; Kursi; K. Mandi Dalam; Kloset Duduk; Shower; WiFi; Kulkas; Laundry; Penjaga Kos; R. Jemur; R. Makan; R. Santai; Dapur; Dispenser; Balcon; Parkir Mobil; Parkir Motor &amp; Sepeda"/>
    <x v="89"/>
    <s v="Rp1.900.000"/>
    <x v="3"/>
    <d v="1899-12-30T05:00:00"/>
    <x v="0"/>
    <m/>
    <m/>
  </r>
  <r>
    <s v="Kost Studio Residence VVIP Koja Jakarta Utara"/>
    <x v="4"/>
    <s v="Koja"/>
    <n v="12"/>
    <s v="3 x 4 meter"/>
    <s v="Tidak termasuk listrik"/>
    <s v=""/>
    <s v="N/A"/>
    <s v="3 x 4 meter; Tidak termasuk listrik; AC; Kasur; Meja; TV; Lemari Baju; Bantal; Cermin; Jendela; Kursi; K. Mandi Dalam; Kloset Duduk; Ember mandi; Shower; Air panas; WiFi; Kulkas; Penjaga Kos; R. Santai; Dapur; Dispenser; CCTV; Gazebo; Jual Makanan; Kartu Akses; Parkir Motor; Parkir Sepeda"/>
    <x v="27"/>
    <s v="Rp2.000.000"/>
    <x v="0"/>
    <m/>
    <x v="0"/>
    <m/>
    <m/>
  </r>
  <r>
    <s v="Kost Suari Executive Water Heater Cikarang Utara Bekasi"/>
    <x v="7"/>
    <s v="Kecamatan Cikarang Utara"/>
    <n v="11.25"/>
    <s v="4.5 x 2.5 meter"/>
    <s v="Tidak termasuk listrik"/>
    <s v=""/>
    <s v="N/A"/>
    <s v="4.5 x 2.5 meter; Tidak termasuk listrik; AC; Kasur; Meja; TV; Lemari Baju; Ventilasi; Bantal; Cermin; Guling; Jendela; K. Mandi Dalam; Kloset Duduk; Shower; Air panas; WiFi; Kulkas; Dapur; CCTV; Pengurus Kos; Parkir Motor; Parkir Sepeda"/>
    <x v="13"/>
    <s v="Rp1.600.000"/>
    <x v="0"/>
    <m/>
    <x v="2"/>
    <m/>
    <m/>
  </r>
  <r>
    <s v="Kost Sudut Dua Belas Babakan Madang Bogor"/>
    <x v="0"/>
    <s v="Kecamatan Babakan Madang"/>
    <n v="20"/>
    <s v="5 x 4 meter"/>
    <s v="Tidak termasuk listrik"/>
    <s v=""/>
    <s v="N/A"/>
    <s v="5 x 4 meter; Tidak termasuk listrik; AC; Kasur; TV; Kulkas; Lemari Baju; Bantal; Cermin; Dapur Pribadi; Guling; Jendela; K. Mandi Dalam; Kloset Duduk; Shower; Air panas; Dapur; CCTV; Parkir Mobil; Parkir Motor &amp; Sepeda"/>
    <x v="33"/>
    <s v="Rp2.400.000"/>
    <x v="8"/>
    <d v="1899-12-30T04:09:00"/>
    <x v="0"/>
    <m/>
    <m/>
  </r>
  <r>
    <s v="Kost Sukatani Type B Tapos Depok"/>
    <x v="1"/>
    <s v="Kecamatan Tapos"/>
    <n v="12"/>
    <s v="3 x 4 meter"/>
    <s v="Tidak termasuk listrik"/>
    <s v=""/>
    <s v="N/A"/>
    <s v="3 x 4 meter; Tidak termasuk listrik; Kasur; Guling; Jendela; Kloset Jongkok; R. Jemur; Parkir Mobil; Parkir Motor; Parkir Sepeda"/>
    <x v="17"/>
    <s v="Rp650.000"/>
    <x v="0"/>
    <m/>
    <x v="1"/>
    <m/>
    <m/>
  </r>
  <r>
    <s v="Kost Sun Kostel Duren Sawit Jakarta Timur"/>
    <x v="8"/>
    <s v="Duren Sawit"/>
    <n v="18"/>
    <s v="3 x 6 meter"/>
    <s v="Tidak termasuk listrik"/>
    <s v=""/>
    <s v="N/A"/>
    <s v="3 x 6 meter; Tidak termasuk listrik; AC; Kasur; Meja; TV; Lemari Baju; Ventilasi; Kursi; Wastafel; Kipas Angin; Bantal; K. Mandi Dalam; Kloset Jongkok; R. Cuci; R. Jemur; Parkir Motor; Parkir Sepeda"/>
    <x v="19"/>
    <s v="Rp1.800.000"/>
    <x v="0"/>
    <m/>
    <x v="0"/>
    <m/>
    <m/>
  </r>
  <r>
    <s v="Kost Sunter Indah Raya VIP Tanjung Priok Jakarta Utara"/>
    <x v="4"/>
    <s v="Tanjung Priok"/>
    <n v="12"/>
    <s v="3 x 4 meter"/>
    <s v="Tidak termasuk listrik"/>
    <s v=""/>
    <s v="N/A"/>
    <s v="3 x 4 meter; Tidak termasuk listrik; AC; Dispenser; Meja; TV; Lemari Baju; Bantal; Cermin; Jendela; Wastafel; K. Mandi Dalam; Kloset Duduk; Shower; Air panas; WiFi; R. Tamu; R. Makan; R. Santai; Balcon; CCTV; Jual Makanan; Pengurus Kos; R. Keluarga; Parkir Mobil; Parkir Motor; Parkir Sepeda"/>
    <x v="22"/>
    <s v="Rp2.500.000"/>
    <x v="3"/>
    <d v="1899-12-30T05:00:00"/>
    <x v="0"/>
    <m/>
    <m/>
  </r>
  <r>
    <s v="Kost Sunter Jaya 12 Tipe Standart Tanjung Priok Jakarta Utara"/>
    <x v="4"/>
    <s v="Tanjung Priok"/>
    <n v="12"/>
    <s v="3 x 4 meter"/>
    <s v="Tidak termasuk listrik"/>
    <s v=""/>
    <s v="N/A"/>
    <s v="3 x 4 meter; Tidak termasuk listrik; AC; Kasur; Dispenser; Meja; Kulkas; Lemari Baju; Ventilasi; Bantal; Cermin; Cleaning service; K. Mandi Dalam; Kloset Duduk; Wastafel; Shower; Air panas; WiFi; R. Cuci; Laundry; Mesin Cuci; Penjaga Kos; R. Tamu; R. Jemur; R. Makan; R. Santai; Parkir Mobil; Parkir Motor; Parkir Sepeda"/>
    <x v="210"/>
    <s v="Rp2.450.000"/>
    <x v="0"/>
    <m/>
    <x v="0"/>
    <m/>
    <m/>
  </r>
  <r>
    <s v="Kost Sunter Karya Bianca Tipe A Tanjung Priok Jakarta Utara"/>
    <x v="4"/>
    <s v="Tanjung Priok"/>
    <n v="12"/>
    <s v="3 x 4 meter"/>
    <s v="Tidak termasuk listrik"/>
    <s v=""/>
    <s v="N/A"/>
    <s v="3 x 4 meter; Tidak termasuk listrik; AC; Kasur; Meja; Lemari Baju; Cermin; Guling; Jendela; Kursi; Kloset Duduk; Shower; Dapur; Parkir Motor"/>
    <x v="90"/>
    <s v="Rp1.650.000"/>
    <x v="2"/>
    <d v="1899-12-30T04:08:00"/>
    <x v="0"/>
    <m/>
    <s v="Diskon 78rb"/>
  </r>
  <r>
    <s v="Kost Surya Kencana Tipe A Pondok Aren Tangerang Selatan"/>
    <x v="2"/>
    <s v="Pondok Aren"/>
    <n v="14"/>
    <s v="4 x 3.5 meter"/>
    <s v="Tidak termasuk listrik"/>
    <s v=""/>
    <s v="N/A"/>
    <s v="4 x 3.5 meter; Tidak termasuk listrik; AC; Kasur; Meja; Lemari Baju; Ventilasi; Kursi; Bantal; Cermin; Guling; Jendela; K. Mandi Dalam; Kloset Duduk; Ember mandi; Shower; WiFi; Kulkas; R. Tamu; Penjaga Kos; R. Jemur; R. Santai; Dapur; Dispenser; TV; Taman; Parkir Mobil; Parkir Motor; Parkir Sepeda"/>
    <x v="5"/>
    <s v="Rp1.350.000"/>
    <x v="3"/>
    <d v="1899-12-30T05:00:00"/>
    <x v="0"/>
    <m/>
    <m/>
  </r>
  <r>
    <s v="Kost Swadaya II Tipe Executive Pondok Aren Tangerang Selatan"/>
    <x v="2"/>
    <s v="Kecamatan Pondok Aren"/>
    <n v="9"/>
    <s v="3 x 3 meter"/>
    <s v="Tidak termasuk listrik"/>
    <s v=""/>
    <s v="N/A"/>
    <s v="3 x 3 meter; Tidak termasuk listrik; AC; Kasur; Meja; Bantal; Guling; Jendela; K. Mandi Dalam; Kloset Duduk; WiFi; Kulkas; Penjaga Kos; Dapur; Pengurus Kos; Parkir Motor &amp; Sepeda"/>
    <x v="23"/>
    <s v="Rp1.200.000"/>
    <x v="6"/>
    <d v="1899-12-30T04:06:00"/>
    <x v="1"/>
    <m/>
    <m/>
  </r>
  <r>
    <s v="Kost Swanhouse Tipe A Ciampea Bogor"/>
    <x v="0"/>
    <s v="Kecamatan Ciampea"/>
    <n v="20"/>
    <s v="4 x 5 meter"/>
    <s v="Tidak termasuk listrik"/>
    <s v=""/>
    <s v="N/A"/>
    <s v="4 x 5 meter; Tidak termasuk listrik; AC; Kasur; Dispenser; Meja; Lemari Baju; Ventilasi; Bantal; Cermin; Cleaning service; Jendela; K. Mandi Dalam; Kloset Duduk; Ember mandi; Wastafel; Shower; Air panas; WiFi; Laundry; Penjaga Kos; R. Tamu; R. Jemur; R. Santai; Dapur; Balcon; CCTV; Parkir Mobil; Parkir Motor; Parkir Sepeda; Parkir Motor &amp; Sepeda"/>
    <x v="3"/>
    <s v="Rp1.500.000"/>
    <x v="0"/>
    <m/>
    <x v="0"/>
    <m/>
    <m/>
  </r>
  <r>
    <s v="Kost Swasembada Tipe A Tanjung Priok Jakarta Utara"/>
    <x v="4"/>
    <s v="Tanjung Priok"/>
    <n v="12.5"/>
    <s v="2.5 x 5 meter"/>
    <s v="Termasuk listrik (implied)"/>
    <s v=""/>
    <s v="N/A"/>
    <s v="2.5 x 5 meter; Termasuk listrik; Kasur; Kipas Angin; Bantal; K. Mandi Dalam; Kloset Jongkok; Ember mandi; WiFi; Dapur; Balcon; Jemuran; Parkir Motor"/>
    <x v="0"/>
    <s v="Rp950.000"/>
    <x v="0"/>
    <m/>
    <x v="0"/>
    <m/>
    <m/>
  </r>
  <r>
    <s v="Kost Sweet Home Tambun Selatan Bekasi"/>
    <x v="7"/>
    <s v="Kecamatan Tambun Selatan"/>
    <n v="13.5"/>
    <s v="4.5 x 3 meter"/>
    <s v="Tidak termasuk listrik"/>
    <s v=""/>
    <s v="N/A"/>
    <s v="4.5 x 3 meter; Tidak termasuk listrik; AC; Kasur; Meja; TV; Lemari Baju; Ventilasi; Bantal; Cermin; Guling; Jendela; K. Mandi Dalam; Kloset Duduk; Ember mandi; Shower; WiFi; Kulkas; Penjaga Kos; Dapur; Dispenser; CCTV; Jemuran; Taman; Parkir Motor"/>
    <x v="19"/>
    <s v="Rp1.800.000"/>
    <x v="0"/>
    <m/>
    <x v="0"/>
    <m/>
    <m/>
  </r>
  <r>
    <s v="Kost Syariah Asri Hijau Cikarang Selatan Bekasi"/>
    <x v="7"/>
    <s v="Cikarang Selatan"/>
    <n v="12"/>
    <s v="3 x 4 meter"/>
    <s v="Tidak termasuk listrik"/>
    <s v=""/>
    <s v="N/A"/>
    <s v="3 x 4 meter; Tidak termasuk listrik; Kasur; Lemari Baju; Ventilasi; Dapur Pribadi; Jendela; Kipas Angin; Wastafel; K. Mandi Dalam; Kloset Duduk; Kloset Jongkok; Shower; Bak mandi; Penjaga Kos; Dapur; CCTV; Gazebo; Pengurus Kos; Taman; Jemuran; Joglo; Parkir Motor; Parkir Sepeda; Parkir Motor &amp; Sepeda"/>
    <x v="10"/>
    <s v="Rp750.000"/>
    <x v="3"/>
    <d v="1899-12-30T05:00:00"/>
    <x v="0"/>
    <m/>
    <m/>
  </r>
  <r>
    <s v="Kost Tafkya House Tipe Standard Parung Panjang Bogor"/>
    <x v="0"/>
    <s v="Parung Panjang"/>
    <n v="12"/>
    <s v="3 x 4 meter"/>
    <s v="Termasuk listrik (implied)"/>
    <s v=""/>
    <s v="N/A"/>
    <s v="3 x 4 meter; Termasuk listrik; AC; Kasur; Meja; Meja Rias; Lemari Baju; Ventilasi; Bantal; Cermin; Kursi; Jendela; K. Mandi Dalam; Kloset Duduk; Wastafel; Shower; WiFi; Kulkas; R. Cuci; R. Tamu; R. Jemur; R. Makan; R. Santai; Dapur; Pengurus Kos; Jemuran; Parkir Mobil; Parkir Motor"/>
    <x v="163"/>
    <s v="Rp1.700.000"/>
    <x v="0"/>
    <m/>
    <x v="2"/>
    <m/>
    <m/>
  </r>
  <r>
    <s v="Kost Takwa Tipe B1 Cikarang Selatan Bekasi"/>
    <x v="7"/>
    <s v="Cikarang Selatan"/>
    <n v="8"/>
    <s v="2 x 4 meter"/>
    <s v="Tidak termasuk listrik"/>
    <s v=""/>
    <s v="N/A"/>
    <s v="2 x 4 meter; Tidak termasuk listrik; AC; Kasur; Lemari Baju; Ventilasi; Bantal; Guling; Jendela; Kloset Duduk; K. Mandi Luar; Ember mandi; WiFi; Kulkas; R. Cuci; Laundry; R. Jemur; R. Santai; Dapur; Jemuran; Joglo; Pengurus Kos; Parkir Motor; Parkir Sepeda; Parkir Motor &amp; Sepeda"/>
    <x v="11"/>
    <s v="Rp1.400.000"/>
    <x v="0"/>
    <m/>
    <x v="1"/>
    <m/>
    <m/>
  </r>
  <r>
    <s v="Kost Talas 107 Tipe B Pamulang Tangerang Selatan"/>
    <x v="2"/>
    <s v="Pamulang"/>
    <n v="18"/>
    <s v="3 x 6 meter"/>
    <s v="Termasuk listrik (implied)"/>
    <s v=""/>
    <s v="N/A"/>
    <s v="3 x 6 meter; Termasuk listrik; Kasur; Meja; K. Mandi Dalam; Kloset Jongkok; WiFi"/>
    <x v="99"/>
    <s v="Rp900.000"/>
    <x v="8"/>
    <d v="1899-12-30T04:09:00"/>
    <x v="1"/>
    <m/>
    <m/>
  </r>
  <r>
    <s v="Kost Talitha Homie Tipe B Cikarang Pusat Bekasi"/>
    <x v="7"/>
    <s v="Cikarang Pusat"/>
    <n v="12"/>
    <s v="3 x 4 meter"/>
    <s v="Tidak termasuk listrik"/>
    <s v=""/>
    <s v="N/A"/>
    <s v="3 x 4 meter; Tidak termasuk listrik; AC; Kasur; TV; Lemari Baju; Bantal; Guling; Jendela; K. Mandi Dalam; Kloset Jongkok; Shower; WiFi; Kulkas; R. Jemur; Dapur; Jemuran; Parkir Motor; Parkir Sepeda"/>
    <x v="20"/>
    <s v="Rp1.250.000"/>
    <x v="0"/>
    <m/>
    <x v="2"/>
    <m/>
    <m/>
  </r>
  <r>
    <s v="Kost Taman Beringin Tipe B Kelapa Dua Tangerang"/>
    <x v="6"/>
    <s v="Kelapa Dua"/>
    <n v="9"/>
    <s v="3 x 3 meter"/>
    <s v="Tidak termasuk listrik"/>
    <s v=""/>
    <s v="N/A"/>
    <s v="3 x 3 meter; Tidak termasuk listrik; Kasur; Meja; Bantal; Guling; Kipas Angin; Kloset Jongkok; K. Mandi Luar; WiFi; Kulkas; Mesin Cuci; Penjaga Kos; R. Tamu; R. Makan; R. Santai; Dapur; Dispenser; CCTV; Parkir Motor; Parkir Sepeda"/>
    <x v="1"/>
    <s v="Rp1.100.000"/>
    <x v="5"/>
    <d v="1899-12-30T04:00:00"/>
    <x v="2"/>
    <m/>
    <m/>
  </r>
  <r>
    <s v="Kost Taman Beringin VVIP Cibodas Tangerang"/>
    <x v="6"/>
    <s v="Kecamatan Cibodas"/>
    <n v="12"/>
    <s v="3 x 4 meter"/>
    <s v="Tidak termasuk listrik"/>
    <s v=""/>
    <s v="N/A"/>
    <s v="3 x 4 meter; Tidak termasuk listrik; AC; Kasur; Meja; Lemari Baju; Bantal; Guling; Jendela; Kursi; K. Mandi Dalam; Kloset Duduk; Wastafel; Shower; WiFi; Kulkas; Mesin Cuci; Penjaga Kos; Dapur; Dispenser; CCTV; Jemuran; Kartu Akses; Pengurus Kos; Parkir Motor"/>
    <x v="13"/>
    <s v="Rp1.600.000"/>
    <x v="0"/>
    <m/>
    <x v="2"/>
    <m/>
    <m/>
  </r>
  <r>
    <s v="Kost Taman Budaya Compact Babakan Madang Bogor"/>
    <x v="0"/>
    <s v="Babakan Madang"/>
    <n v="15"/>
    <s v="3 x 5 meter"/>
    <s v="Tidak termasuk listrik"/>
    <s v=""/>
    <s v="N/A"/>
    <s v="3 x 5 meter; Tidak termasuk listrik; AC; Kasur; Meja; Lemari Baju; Ventilasi; Bantal; Guling; Jendela; Kursi; TV Kabel; Kloset Duduk; K. Mandi Luar; Shower; WiFi; Kulkas; Penjaga Kos; R. Tamu; R. Jemur; R. Makan; R. Santai; Dispenser; CCTV; Balcon; Parkir Mobil; Parkir Motor"/>
    <x v="3"/>
    <s v="Rp1.500.000"/>
    <x v="3"/>
    <d v="1899-12-30T05:00:00"/>
    <x v="2"/>
    <m/>
    <s v="Diskon 75rb"/>
  </r>
  <r>
    <s v="Kost Taman Kebalen Tipe A Babelan Bekasi"/>
    <x v="7"/>
    <s v="Kecamatan Babelan"/>
    <n v="12"/>
    <s v="3 x 4 meter"/>
    <s v="Tidak termasuk listrik"/>
    <s v=""/>
    <s v="N/A"/>
    <s v="3 x 4 meter; Tidak termasuk listrik; AC; Kipas Angin; Kloset Duduk; Dapur; Parkir Mobil; Parkir Motor &amp; Sepeda"/>
    <x v="28"/>
    <s v="Rp1.000.000"/>
    <x v="0"/>
    <m/>
    <x v="1"/>
    <m/>
    <m/>
  </r>
  <r>
    <s v="Kost Taman Mahkota Tipe B Benda Tangerang"/>
    <x v="6"/>
    <s v="Benda"/>
    <n v="12"/>
    <s v="3 x 4 meter"/>
    <s v="Tidak termasuk listrik"/>
    <s v=""/>
    <s v="N/A"/>
    <s v="3 x 4 meter; Tidak termasuk listrik; AC; Kasur; Meja; Lemari Baju; Ventilasi; Kursi; Wastafel; Bantal; Cermin; Guling; K. Mandi Dalam; Kloset Duduk; Shower; WiFi; Kulkas; R. Tamu; Penjaga Kos; R. Makan; R. Jemur; R. Santai; Dapur; TV; CCTV; Parkir Motor; Parkir Sepeda"/>
    <x v="166"/>
    <s v="Rp1.750.000"/>
    <x v="3"/>
    <d v="1899-12-30T05:00:00"/>
    <x v="2"/>
    <m/>
    <m/>
  </r>
  <r>
    <s v="Kost Taman Surya Palem Lestari Cengkareng Kalideres Jakarta Barat"/>
    <x v="3"/>
    <s v="Kecamatan Kalideres"/>
    <n v="9"/>
    <s v="3 x 3 meter"/>
    <s v="Tidak termasuk listrik"/>
    <s v=""/>
    <s v="N/A"/>
    <s v="3 x 3 meter; Tidak termasuk listrik; AC; Kasur; Meja; Lemari Baju; Bantal; Cermin; Guling; Kursi; Kloset Duduk; K. Mandi Luar; Shower; WiFi; Kulkas; R. Cuci; Penjaga Kos; R. Jemur; R. Santai; Dapur; Balcon; CCTV; Jemuran; Parkir Motor; Parkir Sepeda"/>
    <x v="11"/>
    <s v="Rp1.400.000"/>
    <x v="6"/>
    <d v="1899-12-30T04:06:00"/>
    <x v="0"/>
    <m/>
    <m/>
  </r>
  <r>
    <s v="Kost Tanjung Duren Avela Residence Grogol Petamburan Jakarta Barat"/>
    <x v="3"/>
    <s v="Kecamatan Grogol petamburan"/>
    <n v="9"/>
    <s v="3 x 3 meter"/>
    <s v="Tidak termasuk listrik"/>
    <s v=""/>
    <s v="N/A"/>
    <s v="3 x 3 meter; Tidak termasuk listrik; AC; Kasur; Meja; TV; Kulkas; Lemari Baju; Bantal; Cermin; Guling; Jendela; K. Mandi Dalam; Kloset Duduk; Shower; Air panas; WiFi; R. Cuci; Laundry; Penjaga Kos; R. Tamu; R. Jemur; R. Makan; R. Santai; Dapur; Parkir Motor; Parkir Sepeda; Parkir Motor &amp; Sepeda"/>
    <x v="4"/>
    <s v="Rp2.200.000"/>
    <x v="2"/>
    <d v="1899-12-30T04:08:00"/>
    <x v="0"/>
    <m/>
    <s v="Diskon 113rb"/>
  </r>
  <r>
    <s v="Kost Tanjung Priok Jakarta Utara"/>
    <x v="4"/>
    <s v="Tanjung Priok"/>
    <n v="12"/>
    <s v="3 x 4 meter"/>
    <s v="Tidak termasuk listrik"/>
    <s v=""/>
    <s v="N/A"/>
    <s v="3 x 4 meter; Tidak termasuk listrik; AC; K. Mandi Dalam; Kloset Jongkok; Ember mandi; Shower; WiFi; Penjaga Kos; Pengurus Kos; Parkir Motor"/>
    <x v="3"/>
    <s v="Rp1.500.000"/>
    <x v="3"/>
    <d v="1899-12-30T05:00:00"/>
    <x v="0"/>
    <m/>
    <s v="Diskon 78rb"/>
  </r>
  <r>
    <s v="Kost Tante Madia Cileungsi Bogor"/>
    <x v="0"/>
    <s v="Kecamatan Cileungsi"/>
    <n v="12"/>
    <s v="3 x 4 meter"/>
    <s v="Tidak termasuk listrik"/>
    <s v=""/>
    <s v="N/A"/>
    <s v="3 x 4 meter; Tidak termasuk listrik; Dapur Pribadi; Jendela; Kloset Duduk; Dapur; Jemuran; Parkir Mobil; Parkir Motor; Parkir Sepeda; Parkir Motor &amp; Sepeda"/>
    <x v="31"/>
    <s v="Rp600.000"/>
    <x v="0"/>
    <m/>
    <x v="0"/>
    <m/>
    <m/>
  </r>
  <r>
    <s v="Kost Tapas 25 VIP Blue Penjaringan Jakarta Utara"/>
    <x v="4"/>
    <s v="Kecamatan Penjaringan"/>
    <n v="12"/>
    <s v="3 x 4 meter"/>
    <s v="Tidak termasuk listrik"/>
    <s v=""/>
    <s v="N/A"/>
    <s v="3 x 4 meter; Tidak termasuk listrik; AC; Kasur; Lemari Baju; Bantal; Cermin; Guling; Jendela; Wastafel; K. Mandi Dalam; Kloset Duduk; Shower; WiFi; CCTV; Jemuran; Pengurus Kos; Parkir Motor &amp; Sepeda"/>
    <x v="90"/>
    <s v="Rp1.650.000"/>
    <x v="0"/>
    <m/>
    <x v="2"/>
    <m/>
    <m/>
  </r>
  <r>
    <s v="Kost Tara Residence Deluxe Beji Depok"/>
    <x v="1"/>
    <s v="Kecamatan Beji"/>
    <n v="8.3999999999999986"/>
    <s v="2.8 x 3 meter"/>
    <s v="Tidak termasuk listrik"/>
    <s v=""/>
    <s v="N/A"/>
    <s v="2.8 x 3 meter; Tidak termasuk listrik; AC; Kasur; Meja; Lemari Baju; Ventilasi; Bantal; Kursi; Jendela; Kloset Duduk; K. Mandi Luar; Wastafel; Shower; Air panas; WiFi; Kulkas; Laundry; R. Tamu; Penjaga Kos; R. Jemur; Dapur; Rooftop; CCTV; Parkir Motor &amp; Sepeda"/>
    <x v="23"/>
    <s v="Rp1.200.000"/>
    <x v="6"/>
    <d v="1899-12-30T04:06:00"/>
    <x v="0"/>
    <m/>
    <m/>
  </r>
  <r>
    <s v="Kost Tasha Tipe A Beji Depok"/>
    <x v="1"/>
    <s v="Beji"/>
    <n v="9"/>
    <s v="3 x 3 meter"/>
    <s v="Termasuk listrik (implied)"/>
    <s v=""/>
    <s v="N/A"/>
    <s v="3 x 3 meter; Termasuk listrik; Kasur; Lemari Baju; Kulkas; Ventilasi; Kipas Angin; Bantal; Jendela; Cermin; Kursi; K. Mandi Dalam; Kloset Duduk; Kloset Jongkok; K. Mandi Luar; Ember mandi; Shower; Bak mandi; WiFi; R. Cuci; Penjaga Kos; R. Tamu; R. Jemur; R. Santai; Dapur; CCTV; Jemuran; Parkir Motor; Parkir Sepeda; Parkir Motor &amp; Sepeda"/>
    <x v="10"/>
    <s v="Rp750.000"/>
    <x v="12"/>
    <d v="1899-12-30T04:04:00"/>
    <x v="0"/>
    <m/>
    <m/>
  </r>
  <r>
    <s v="Kost Tasima Adaro Ciampea Bogor"/>
    <x v="0"/>
    <s v="Kecamatan Ciampea"/>
    <n v="9"/>
    <s v="3 x 3 meter"/>
    <s v="Termasuk listrik (implied)"/>
    <s v=""/>
    <s v="N/A"/>
    <s v="3 x 3 meter; Termasuk listrik; Kasur; Meja; Lemari Baju; Bantal; Guling; Kursi; K. Mandi Dalam; Kloset Jongkok; Ember mandi; WiFi; Kulkas; Penjaga Kos; R. Tamu; R. Jemur; R. Makan; R. Santai; Dapur; Balcon; CCTV; Parkir Motor"/>
    <x v="14"/>
    <s v="Rp800.000"/>
    <x v="4"/>
    <d v="1899-12-30T04:01:00"/>
    <x v="0"/>
    <m/>
    <m/>
  </r>
  <r>
    <s v="Kost Tawakal Premier Home Tipe A Grogol Petamburan Jakarta Barat"/>
    <x v="3"/>
    <s v="Grogol Petamburan"/>
    <n v="9"/>
    <s v="3 x 3 meter"/>
    <s v="Tidak termasuk listrik"/>
    <s v=""/>
    <s v="N/A"/>
    <s v="3 x 3 meter; Tidak termasuk listrik; AC; Kasur; Meja; TV; Lemari Baju; Bantal; Cermin; Jendela; Kursi; K. Mandi Dalam; Kloset Duduk; K. Mandi Luar; Shower; WiFi; Kulkas; Mesin Cuci; R. Tamu; Dapur; CCTV; Pengurus Kos; Parkir Motor; Parkir Sepeda"/>
    <x v="186"/>
    <s v="Rp3.000.000"/>
    <x v="8"/>
    <d v="1899-12-30T04:09:00"/>
    <x v="0"/>
    <m/>
    <m/>
  </r>
  <r>
    <s v="Kost Tawakal Premier Home Tipe B Grogol Petamburan Jakarta Barat"/>
    <x v="3"/>
    <s v="Kecamatan Grogol petamburan"/>
    <n v="9"/>
    <s v="3 x 3 meter"/>
    <s v="Tidak termasuk listrik"/>
    <s v=""/>
    <s v="N/A"/>
    <s v="3 x 3 meter; Tidak termasuk listrik; AC; Kasur; Meja; TV; Lemari Baju; Bantal; Cermin; Jendela; Kursi; K. Mandi Dalam; Kloset Duduk; K. Mandi Luar; Shower; WiFi; Kulkas; Mesin Cuci; Penjaga Kos; Dapur; Balcon; CCTV; Jemuran; Pengurus Kos; Parkir Mobil; Parkir Motor; Parkir Sepeda"/>
    <x v="22"/>
    <s v="Rp2.500.000"/>
    <x v="6"/>
    <d v="1899-12-30T04:06:00"/>
    <x v="0"/>
    <m/>
    <m/>
  </r>
  <r>
    <s v="Kost Tawes Residence Tipe Executive Pulo Gadung Jakarta Timur"/>
    <x v="8"/>
    <s v="Pulo Gadung"/>
    <n v="16"/>
    <s v="4 x 4 meter"/>
    <s v="Termasuk listrik (implied)"/>
    <s v=""/>
    <s v="N/A"/>
    <s v="4 x 4 meter; Termasuk listrik; AC; Kasur; Meja; TV; Lemari Baju; Ventilasi; Kursi; Wastafel; Cleaning service; TV Kabel; K. Mandi Dalam; Kloset Duduk; Shower; Air panas; WiFi; R. Cuci; Kulkas; R. Tamu; Mesin Cuci; Penjaga Kos; Laundry; R. Makan; R. Jemur; R. Santai; Parkir Mobil; Parkir Motor; Parkir Sepeda"/>
    <x v="227"/>
    <s v="Rp3.300.000"/>
    <x v="3"/>
    <d v="1899-12-30T05:00:00"/>
    <x v="0"/>
    <m/>
    <m/>
  </r>
  <r>
    <s v="Kost Teman Residence 2 Koja Jakarta Utara"/>
    <x v="4"/>
    <s v="Kecamatan Koja"/>
    <n v="21"/>
    <s v="3 x 7 meter"/>
    <s v="Tidak termasuk listrik"/>
    <s v=""/>
    <s v="N/A"/>
    <s v="3 x 7 meter; Tidak termasuk listrik; Dapur Pribadi; Jendela; K. Mandi Dalam; Kloset Jongkok; Shower; Balcon; Parkir Motor; Parkir Sepeda; Parkir Motor &amp; Sepeda"/>
    <x v="163"/>
    <s v="Rp1.700.000"/>
    <x v="2"/>
    <d v="1899-12-30T04:08:00"/>
    <x v="0"/>
    <m/>
    <s v="Diskon 83rb"/>
  </r>
  <r>
    <s v="Kost Tembok 8 Tipe AC 1 Menteng Jakarta Pusat"/>
    <x v="9"/>
    <s v="Menteng"/>
    <n v="9"/>
    <s v="3 x 3 meter"/>
    <s v="Termasuk listrik (implied)"/>
    <s v=""/>
    <s v="N/A"/>
    <s v="3 x 3 meter; Termasuk listrik; AC; Kasur; Meja; Lemari Baju; Ventilasi; Kursi; Cermin; Jendela; Bantal; Kloset Jongkok; Ember mandi; Shower; WiFi; R. Cuci; R. Jemur; Dapur; Jemuran; Pengurus Kos"/>
    <x v="25"/>
    <s v="Rp1.850.000"/>
    <x v="2"/>
    <d v="1899-12-30T04:08:00"/>
    <x v="2"/>
    <m/>
    <m/>
  </r>
  <r>
    <s v="Kost Tenggiri 3R Tipe B Tanjung Priok Jakarta Utara"/>
    <x v="4"/>
    <s v="Tanjung Priok"/>
    <n v="9"/>
    <s v="3 x 3 meter"/>
    <s v="Tidak termasuk listrik"/>
    <s v=""/>
    <s v="N/A"/>
    <s v="3 x 3 meter; Tidak termasuk listrik; AC; Kasur; TV; Lemari Baju; Bantal; Kipas Angin; K. Mandi Dalam; Kloset Duduk; Ember mandi; Shower; WiFi; Kulkas; Penjaga Kos; R. Santai; Dapur; Dispenser; Balcon; CCTV; Gazebo; Jual Makanan; Parkir Motor; Parkir Sepeda"/>
    <x v="18"/>
    <s v="Rp1.300.000"/>
    <x v="15"/>
    <d v="1899-12-30T03:01:00"/>
    <x v="0"/>
    <m/>
    <m/>
  </r>
  <r>
    <s v="Kost Tentram Tipe 1 Benda Tangerang"/>
    <x v="6"/>
    <s v="Kecamatan Benda"/>
    <n v="9"/>
    <s v="3 x 3 meter"/>
    <s v="Tidak termasuk listrik"/>
    <s v=""/>
    <s v="N/A"/>
    <s v="3 x 3 meter; Tidak termasuk listrik; Ventilasi; Jendela; K. Mandi Dalam; Kloset Jongkok; Ember mandi; CCTV; Jemuran; Parkir Motor &amp; Sepeda"/>
    <x v="2"/>
    <s v="Rp700.000"/>
    <x v="0"/>
    <m/>
    <x v="2"/>
    <m/>
    <m/>
  </r>
  <r>
    <s v="Kost Teras Berkat Tipe A Babakan Madang Bogor"/>
    <x v="0"/>
    <s v="Kecamatan Babakan Madang"/>
    <n v="12"/>
    <s v="3 x 4 meter"/>
    <s v="Termasuk listrik (implied)"/>
    <s v=""/>
    <s v="N/A"/>
    <s v="3 x 4 meter; Termasuk listrik; AC; Kasur; Meja; Lemari Baju; Bantal; Guling; Jendela; Kursi; Wastafel; Kloset Duduk; K. Mandi Luar; Ember mandi; Shower; Air panas; Kulkas; R. Cuci; Mesin Cuci; R. Jemur; R. Makan; R. Santai; Dapur; Balcon; Jemuran; Jual Makanan; Parkir Mobil; Parkir Motor; Parkir Sepeda"/>
    <x v="3"/>
    <s v="Rp1.500.000"/>
    <x v="0"/>
    <m/>
    <x v="2"/>
    <m/>
    <m/>
  </r>
  <r>
    <s v="Kost Teras Tipe A Pondok Aren Tangerang Selatan"/>
    <x v="2"/>
    <s v="Pondok Aren"/>
    <n v="9"/>
    <s v="3 x 3 meter"/>
    <s v="Tidak termasuk listrik"/>
    <s v=""/>
    <s v="N/A"/>
    <s v="3 x 3 meter; Tidak termasuk listrik; AC; Kasur; Meja; Lemari Baju; Ventilasi; Bantal; Cermin; Guling; Wastafel; Kursi; K. Mandi Dalam; Kloset Duduk; Shower; WiFi; Kulkas; Penjaga Kos; R. Tamu; R. Makan; R. Jemur; Dapur; Dispenser; Balcon; CCTV; Parkir Motor"/>
    <x v="11"/>
    <s v="Rp1.400.000"/>
    <x v="8"/>
    <d v="1899-12-30T04:09:00"/>
    <x v="0"/>
    <m/>
    <s v="Diskon 104rb"/>
  </r>
  <r>
    <s v="Kost The Gading Residence Kelapa Gading Jakarta Utara"/>
    <x v="4"/>
    <s v="Kecamatan Kelapa Gading"/>
    <n v="5.5"/>
    <s v="2.5 x 2.2 meter"/>
    <s v="Tidak termasuk listrik"/>
    <s v=""/>
    <s v="N/A"/>
    <s v="2.5 x 2.2 meter; Tidak termasuk listrik; AC; Ventilasi; Bantal; Guling; Kloset Duduk; Wastafel; Shower; WiFi; Kulkas; R. Cuci; R. Jemur; R. Makan; Dispenser; Dapur; Jemuran; K. Mandi Luar; Parkir Mobil; Parkir Motor; Parkir Sepeda"/>
    <x v="25"/>
    <s v="Rp1.850.000"/>
    <x v="2"/>
    <d v="1899-12-30T04:08:00"/>
    <x v="0"/>
    <m/>
    <s v="Diskon 124rb"/>
  </r>
  <r>
    <s v="Kost The Grey Barn Tipe B Cikarang Utara Bekasi"/>
    <x v="7"/>
    <s v="Kecamatan Cikarang Utara"/>
    <n v="12"/>
    <s v="3 x 4 meter"/>
    <s v="Tidak termasuk listrik"/>
    <s v=""/>
    <s v="N/A"/>
    <s v="3 x 4 meter; Tidak termasuk listrik; AC; Kasur; Meja; Lemari Baju; Bantal; Cermin; Cleaning service; Guling; Jendela; Kursi; K. Mandi Dalam; Kloset Duduk; Shower; WiFi; Kulkas; R. Cuci; Laundry; Mesin Cuci; Penjaga Kos; R. Tamu; R. Jemur; R. Makan; Dapur; Parkir Mobil; Parkir Motor"/>
    <x v="89"/>
    <s v="Rp1.900.000"/>
    <x v="0"/>
    <m/>
    <x v="2"/>
    <m/>
    <m/>
  </r>
  <r>
    <s v="Kost The Lavender Executive Pamulang Tangerang Selatan"/>
    <x v="2"/>
    <s v="Kecamatan Pamulang"/>
    <n v="9"/>
    <s v="3 x 3 meter"/>
    <s v="Tidak termasuk listrik"/>
    <s v=""/>
    <s v="N/A"/>
    <s v="3 x 3 meter; Tidak termasuk listrik; AC; Kasur; Meja; Lemari Baju; Bantal; Cermin; Guling; Jendela; Kursi; Kloset Duduk; Kloset Jongkok; Shower; R. Cuci; R. Tamu; R. Jemur; R. Makan; Dapur; Jemuran; K. Mandi Luar; Pengurus Kos; R. Keluarga; Parkir Mobil; Parkir Motor; Parkir Sepeda"/>
    <x v="18"/>
    <s v="Rp1.300.000"/>
    <x v="0"/>
    <m/>
    <x v="2"/>
    <m/>
    <m/>
  </r>
  <r>
    <s v="Kost The Legacy Residence Pondok Indah Syariah Kebayoran Lama Jakarta Selatan"/>
    <x v="5"/>
    <s v="Kecamatan Kebayoran Lama"/>
    <n v="17.5"/>
    <s v="5 x 3.5 meter"/>
    <s v="Tidak termasuk listrik"/>
    <s v=""/>
    <s v="N/A"/>
    <s v="5 x 3.5 meter; Tidak termasuk listrik; AC; Kasur; Meja; TV; Lemari Baju; Ventilasi; Bantal; Cermin; Cleaning service; Guling; K. Mandi Dalam; Kloset Duduk; Wastafel; Shower; Air panas; WiFi; Penjaga Kos; Mushola; Dapur; Dispenser; Balcon; CCTV; Jemuran; Kartu Akses; Pengurus Kos; Parkir Mobil; Parkir Motor"/>
    <x v="476"/>
    <s v="Rp3.850.000"/>
    <x v="6"/>
    <d v="1899-12-30T04:06:00"/>
    <x v="0"/>
    <m/>
    <s v="Diskon 193rb"/>
  </r>
  <r>
    <s v="Kost The Mansions Tipe B 1 Kelapa Gading Jakarta Utara"/>
    <x v="4"/>
    <s v="Kelapa Gading"/>
    <n v="9"/>
    <s v="3 x 3 meter"/>
    <s v="Tidak termasuk listrik"/>
    <s v=""/>
    <s v="N/A"/>
    <s v="3 x 3 meter; Tidak termasuk listrik; AC; Kasur; Meja; Lemari Baju; Kursi; Bantal; K. Mandi Dalam; Kloset Duduk; Shower; Air panas; WiFi; R. Cuci; Kulkas; Mesin Cuci; Penjaga Kos; R. Makan; R. Jemur; Dispenser; Dapur; TV; Parkir Motor; Parkir Sepeda"/>
    <x v="25"/>
    <s v="Rp1.850.000"/>
    <x v="7"/>
    <d v="1899-12-30T03:06:00"/>
    <x v="0"/>
    <m/>
    <s v="Diskon 168rb"/>
  </r>
  <r>
    <s v="Kost The Pom Tipe Standard Dramaga Bogor"/>
    <x v="0"/>
    <s v="Dramaga"/>
    <n v="12"/>
    <s v="3 x 4 meter"/>
    <s v="Tidak termasuk listrik"/>
    <s v=""/>
    <s v="N/A"/>
    <s v="3 x 4 meter; Tidak termasuk listrik; Kasur; Meja; Lemari Baju; Ventilasi; Bantal; Cermin; Cleaning service; Dapur Pribadi; Guling; Jendela; K. Mandi Dalam; Kloset Duduk; Ember mandi; Wastafel; Shower; Penjaga Kos; Jual Makanan; Pengurus Kos; Taman; Parkir Mobil; Parkir Motor; Parkir Sepeda; Parkir Motor &amp; Sepeda"/>
    <x v="14"/>
    <s v="Rp800.000"/>
    <x v="3"/>
    <d v="1899-12-30T05:00:00"/>
    <x v="0"/>
    <m/>
    <m/>
  </r>
  <r>
    <s v="Kost Thekos Cikarang Pusat Bekasi"/>
    <x v="7"/>
    <s v="Kecamatan Cikarang Pusat"/>
    <n v="35"/>
    <s v="7 x 5 meter"/>
    <s v="Tidak termasuk listrik"/>
    <s v=""/>
    <s v="N/A"/>
    <s v="7 x 5 meter; Tidak termasuk listrik; AC; Kasur; Lemari Baju; Ventilasi; Dapur Pribadi; Wastafel; Bantal; Cleaning service; Jendela; K. Mandi Dalam; Kloset Jongkok; Ember mandi; Shower; WiFi; CCTV; Jemuran; Parkir Mobil; Parkir Motor; Parkir Sepeda"/>
    <x v="163"/>
    <s v="Rp1.700.000"/>
    <x v="0"/>
    <m/>
    <x v="0"/>
    <m/>
    <m/>
  </r>
  <r>
    <s v="Kost Tiara Ciampea Bogor"/>
    <x v="0"/>
    <s v="Kecamatan Ciampea"/>
    <n v="9"/>
    <s v="3 x 3 meter"/>
    <s v="Tidak termasuk listrik"/>
    <s v=""/>
    <s v="N/A"/>
    <s v="3 x 3 meter; Tidak termasuk listrik; Kasur; Meja; Lemari Baju; Jendela; Kursi; K. Mandi Dalam; Kloset Duduk; Kloset Jongkok; K. Mandi Luar; Bak mandi; WiFi; Dapur; Jemuran; Parkir Mobil; Parkir Motor"/>
    <x v="31"/>
    <s v="Rp600.000"/>
    <x v="0"/>
    <m/>
    <x v="0"/>
    <m/>
    <m/>
  </r>
  <r>
    <s v="Kost Tiara Tipe A1 Koja Jakarta Utara"/>
    <x v="4"/>
    <s v="Koja"/>
    <n v="12"/>
    <s v="3 x 4 meter"/>
    <s v="Tidak termasuk listrik"/>
    <s v=""/>
    <s v="N/A"/>
    <s v="3 x 4 meter; Tidak termasuk listrik; AC; Kasur; Meja; Lemari Baju; Kulkas; Kursi; Bantal; Cermin; Jendela; K. Mandi Dalam; Kloset Jongkok; Ember mandi; WiFi; R. Tamu; Penjaga Kos; R. Jemur; Balcon; CCTV; Jemuran; Parkir Motor; Parkir Sepeda"/>
    <x v="13"/>
    <s v="Rp1.600.000"/>
    <x v="2"/>
    <d v="1899-12-30T04:08:00"/>
    <x v="0"/>
    <m/>
    <s v="Diskon 83rb"/>
  </r>
  <r>
    <s v="Kost Tiara Tipe B1 Koja Jakarta Utara"/>
    <x v="4"/>
    <s v="Koja"/>
    <n v="20"/>
    <s v="4 x 5 meter"/>
    <s v="Tidak termasuk listrik"/>
    <s v=""/>
    <s v="N/A"/>
    <s v="4 x 5 meter; Tidak termasuk listrik; AC; Kasur; Meja; Lemari Baju; Kulkas; Kursi; Bantal; Cermin; Jendela; K. Mandi Dalam; Kloset Jongkok; Ember mandi; WiFi; R. Tamu; Penjaga Kos; Laundry; R. Jemur; Balcon; CCTV; Jemuran"/>
    <x v="13"/>
    <s v="Rp1.600.000"/>
    <x v="2"/>
    <d v="1899-12-30T04:08:00"/>
    <x v="0"/>
    <m/>
    <s v="Diskon 83rb"/>
  </r>
  <r>
    <s v="Kost Tifani Tipe A Dramaga Bogor"/>
    <x v="0"/>
    <s v="Kecamatan Dramaga"/>
    <n v="9"/>
    <s v="3 x 3 meter"/>
    <s v="Tidak termasuk listrik"/>
    <s v=""/>
    <s v="N/A"/>
    <s v="3 x 3 meter; Tidak termasuk listrik; AC; Kasur; Meja; Lemari Baju; Bantal; Cleaning service; Kursi; Guling; Jendela; K. Mandi Dalam; Kloset Duduk; Shower; WiFi; Kulkas; R. Tamu; R. Jemur; R. Makan; Dapur; Jemuran; CCTV; Parkir Motor"/>
    <x v="11"/>
    <s v="Rp1.400.000"/>
    <x v="0"/>
    <m/>
    <x v="2"/>
    <m/>
    <m/>
  </r>
  <r>
    <s v="Kost Tinto Tipe 2 Cikarang Selatan Bekasi"/>
    <x v="7"/>
    <s v="Cikarang Selatan"/>
    <n v="8.41"/>
    <s v="2.9 x 2.9 meter"/>
    <s v="Tidak termasuk listrik"/>
    <s v=""/>
    <s v="N/A"/>
    <s v="2.9 x 2.9 meter; Tidak termasuk listrik; AC; Kasur; Meja; Lemari Baju; Ventilasi; Bantal; Cermin; Cleaning service; Guling; Jendela; K. Mandi Dalam; Kloset Duduk; Ember mandi; Shower; WiFi; Kulkas; Penjaga Kos; R. Tamu; R. Jemur; R. Makan; R. Santai; Dapur; Balcon; CCTV; Parkir Mobil; Parkir Motor; Parkir Sepeda; Parkir Motor &amp; Sepeda"/>
    <x v="34"/>
    <s v="Rp1.325.000"/>
    <x v="0"/>
    <m/>
    <x v="2"/>
    <m/>
    <m/>
  </r>
  <r>
    <s v="Kost Tinto Tipe 2 Cikarang Selatan Bekasi"/>
    <x v="7"/>
    <s v="Cikarang Selatan"/>
    <n v="8.41"/>
    <s v="2.9 x 2.9 meter"/>
    <s v="Tidak termasuk listrik"/>
    <s v=""/>
    <s v="N/A"/>
    <s v="2.9 x 2.9 meter; Tidak termasuk listrik; AC; Kasur; Meja; Lemari Baju; Ventilasi; Bantal; Cermin; Cleaning service; Guling; Jendela; K. Mandi Dalam; Kloset Duduk; Ember mandi; Shower; Parkir Mobil; Parkir Motor; Parkir Sepeda; Parkir Motor &amp; Sepeda"/>
    <x v="34"/>
    <s v="Rp1.325.000"/>
    <x v="0"/>
    <m/>
    <x v="2"/>
    <m/>
    <m/>
  </r>
  <r>
    <s v="Kost Tinto Tipe A Cikarang Selatan Bekasi"/>
    <x v="7"/>
    <s v="Cikarang Selatan"/>
    <n v="9"/>
    <s v="3 x 3 meter"/>
    <s v="Tidak termasuk listrik"/>
    <s v=""/>
    <s v="N/A"/>
    <s v="3 x 3 meter; Tidak termasuk listrik; AC; Kasur; Meja; Lemari Baju; Ventilasi; Bantal; Cermin; Cleaning service; Guling; Jendela; K. Mandi Dalam; Kloset Duduk; Ember mandi; Shower; WiFi; Kulkas; Penjaga Kos; R. Tamu; R. Jemur; R. Makan; R. Santai; Dapur; Balcon; CCTV; Parkir Mobil; Parkir Motor; Parkir Sepeda; Parkir Motor &amp; Sepeda"/>
    <x v="48"/>
    <s v="Rp1.380.000"/>
    <x v="2"/>
    <d v="1899-12-30T04:08:00"/>
    <x v="0"/>
    <m/>
    <m/>
  </r>
  <r>
    <s v="Kost Tinto Tipe C Cikarang Selatan Bekasi"/>
    <x v="7"/>
    <s v="Cikarang Selatan"/>
    <n v="12"/>
    <s v="3 x 4 meter"/>
    <s v="Tidak termasuk listrik"/>
    <s v=""/>
    <s v="N/A"/>
    <s v="3 x 4 meter; Tidak termasuk listrik; AC; Kasur; Meja; Lemari Baju; Ventilasi; Bantal; Cermin; Cleaning service; Guling; Jendela; K. Mandi Dalam; Kloset Duduk; Ember mandi; Shower; WiFi; Kulkas; Penjaga Kos; R. Tamu; R. Jemur; R. Makan; R. Santai; Dapur; Balcon; CCTV; Parkir Mobil; Parkir Motor; Parkir Sepeda; Parkir Motor &amp; Sepeda"/>
    <x v="477"/>
    <s v="Rp1.330.000"/>
    <x v="2"/>
    <d v="1899-12-30T04:08:00"/>
    <x v="0"/>
    <m/>
    <m/>
  </r>
  <r>
    <s v="Kost Tirta F30 Tipe A Dramaga Bogor"/>
    <x v="0"/>
    <s v="Kecamatan Dramaga"/>
    <n v="9"/>
    <s v="3 x 3 meter"/>
    <s v="Tidak termasuk listrik"/>
    <s v=""/>
    <s v="N/A"/>
    <s v="3 x 3 meter; Tidak termasuk listrik; AC; Kasur; Meja; Lemari Baju; Ventilasi; Bantal; Cermin; Jendela; Kursi; K. Mandi Dalam; Kloset Jongkok; Ember mandi; Shower; WiFi; Kulkas; R. Cuci; R. Tamu; R. Jemur; R. Makan; R. Santai; Dapur; Jemuran; K. Mandi Luar; Parkir Mobil; Parkir Motor; Parkir Sepeda"/>
    <x v="11"/>
    <s v="Rp1.400.000"/>
    <x v="0"/>
    <m/>
    <x v="2"/>
    <m/>
    <m/>
  </r>
  <r>
    <s v="Kost Tiseri Tipe Standar Dramaga Bogor"/>
    <x v="0"/>
    <s v="Kecamatan Dramaga"/>
    <n v="7.5"/>
    <s v="2.5 x 3 meter"/>
    <s v="Tidak termasuk listrik"/>
    <s v=""/>
    <s v="N/A"/>
    <s v="2.5 x 3 meter; Tidak termasuk listrik; AC; Kasur; Meja; Dispenser; Lemari Baju; Ventilasi; Bantal; Cermin; Kursi; K. Mandi Dalam; Kloset Duduk; Shower; WiFi; Kulkas; R. Cuci; R. Tamu; R. Jemur; R. Santai; Dapur; Balcon; Jemuran; Parkir Motor; Parkir Motor &amp; Sepeda"/>
    <x v="5"/>
    <s v="Rp1.350.000"/>
    <x v="0"/>
    <m/>
    <x v="2"/>
    <m/>
    <m/>
  </r>
  <r>
    <s v="Kost Titi Tipe A Cipondoh Tangerang"/>
    <x v="6"/>
    <s v="Kecamatan Cipondoh"/>
    <n v="18"/>
    <s v="3 x 6 meter"/>
    <s v="Tidak termasuk listrik"/>
    <s v=""/>
    <s v="N/A"/>
    <s v="3 x 6 meter; Tidak termasuk listrik; Meja; Ventilasi; Jendela; K. Mandi Dalam; Kloset Jongkok; Ember mandi; Bak mandi; Jemuran; Jual Makanan; Taman"/>
    <x v="12"/>
    <s v="Rp850.000"/>
    <x v="3"/>
    <d v="1899-12-30T05:00:00"/>
    <x v="0"/>
    <m/>
    <m/>
  </r>
  <r>
    <s v="Kost Tjek Ma Tipe A Pondok Aren Tangerang Selatan"/>
    <x v="2"/>
    <s v="Pondok Aren"/>
    <n v="9"/>
    <s v="3 x 3 meter"/>
    <s v="Tidak termasuk listrik"/>
    <s v=""/>
    <s v="N/A"/>
    <s v="3 x 3 meter; Tidak termasuk listrik; AC; Kasur; Lemari Baju; Cleaning service; Bantal; Guling; Jendela; Kloset Duduk; K. Mandi Luar; Shower; WiFi; R. Tamu; Penjaga Kos; R. Jemur; R. Santai; Dapur; Pengurus Kos; Parkir Mobil; Parkir Motor; Parkir Sepeda"/>
    <x v="18"/>
    <s v="Rp1.300.000"/>
    <x v="26"/>
    <d v="1899-12-30T01:04:00"/>
    <x v="2"/>
    <m/>
    <m/>
  </r>
  <r>
    <s v="Kost Tjek Ma Tipe C Pondok Aren Tangerang Selatan"/>
    <x v="2"/>
    <s v="Pondok Aren"/>
    <n v="15"/>
    <s v="5 x 3 meter"/>
    <s v="Tidak termasuk listrik"/>
    <s v=""/>
    <s v="N/A"/>
    <s v="5 x 3 meter; Tidak termasuk listrik; AC; Kasur; Lemari Baju; Cleaning service; Bantal; Guling; Jendela; Kloset Duduk; K. Mandi Luar; Shower; WiFi; R. Tamu; Penjaga Kos; R. Jemur; R. Santai; Dapur; Pengurus Kos; Parkir Mobil; Parkir Motor; Parkir Sepeda"/>
    <x v="11"/>
    <s v="Rp1.400.000"/>
    <x v="0"/>
    <m/>
    <x v="2"/>
    <m/>
    <m/>
  </r>
  <r>
    <s v="Kost TK 9C Tipe AC Karang Tengah Tangerang"/>
    <x v="6"/>
    <s v="Karang Tengah"/>
    <n v="9"/>
    <s v="3 x 3 meter"/>
    <s v="Tidak termasuk listrik"/>
    <s v=""/>
    <s v="N/A"/>
    <s v="3 x 3 meter; Tidak termasuk listrik; AC; Kasur; Lemari Baju; Ventilasi; K. Mandi Dalam; Kloset Duduk; Ember mandi; Shower; WiFi; R. Cuci; R. Tamu; R. Jemur; Jemuran; Pengurus Kos; CCTV; Parkir Motor; Parkir Motor &amp; Sepeda"/>
    <x v="30"/>
    <s v="Rp1.150.000"/>
    <x v="0"/>
    <m/>
    <x v="1"/>
    <m/>
    <m/>
  </r>
  <r>
    <s v="Kost Toha Limo Depok"/>
    <x v="1"/>
    <s v="Limo"/>
    <n v="9"/>
    <s v="3 x 3 meter"/>
    <s v="Tidak termasuk listrik"/>
    <s v=""/>
    <s v="N/A"/>
    <s v="3 x 3 meter; Tidak termasuk listrik; Kasur; TV; Lemari Baju; Kipas Angin; Bantal; Guling; Jendela; Cermin; Kloset Jongkok; K. Mandi Luar; Ember mandi; Bak mandi; WiFi; R. Cuci; Mesin Cuci; R. Santai; Taman; Gazebo; Jemuran; Parkir Motor"/>
    <x v="14"/>
    <s v="Rp800.000"/>
    <x v="0"/>
    <m/>
    <x v="2"/>
    <m/>
    <m/>
  </r>
  <r>
    <s v="Kost Tresidence Kramatjati Jakarta Timur"/>
    <x v="8"/>
    <s v="Kramat jati"/>
    <n v="21"/>
    <s v="3 x 7 meter"/>
    <s v="Tidak termasuk listrik"/>
    <s v=""/>
    <s v="N/A"/>
    <s v="3 x 7 meter; Tidak termasuk listrik; AC; Kasur; Meja; TV; Lemari Baju; Kursi; Wastafel; Cermin; Jendela; K. Mandi Dalam; Kloset Duduk; Shower; Air panas; WiFi; Penjaga Kos; Laundry; R. Jemur; CCTV; Pengurus Kos; Parkir Mobil; Parkir Motor; Parkir Sepeda"/>
    <x v="33"/>
    <s v="Rp2.400.000"/>
    <x v="0"/>
    <m/>
    <x v="0"/>
    <m/>
    <m/>
  </r>
  <r>
    <s v="Kost Tri Irianto 1 Pulo Gadung Jakarta Timur"/>
    <x v="8"/>
    <s v="Kecamatan Pulo Gadung"/>
    <n v="12"/>
    <s v="3 x 4 meter"/>
    <s v="Tidak termasuk listrik"/>
    <s v=""/>
    <s v="N/A"/>
    <s v="3 x 4 meter; Tidak termasuk listrik; Kasur; Meja; Lemari Baju; Guling; Jendela; Kipas Angin; Kursi; K. Mandi Dalam; Kloset Jongkok; Ember mandi; Shower; WiFi; Kulkas; Dapur; TV; Parkir Motor"/>
    <x v="28"/>
    <s v="Rp1.000.000"/>
    <x v="0"/>
    <m/>
    <x v="0"/>
    <m/>
    <m/>
  </r>
  <r>
    <s v="Kost Tri Tipe B Matraman Jakarta Timur"/>
    <x v="8"/>
    <s v="Matraman"/>
    <n v="12"/>
    <s v="3 x 4 meter"/>
    <s v="Termasuk listrik (implied)"/>
    <s v=""/>
    <s v="N/A"/>
    <s v="3 x 4 meter; Termasuk listrik; AC; Kasur; Lemari Baju; Kursi; K. Mandi Dalam; Kloset Jongkok; Bak mandi; R. Cuci; R. Tamu; R. Jemur; R. Santai; Dapur; Balcon"/>
    <x v="11"/>
    <s v="Rp1.400.000"/>
    <x v="3"/>
    <d v="1899-12-30T05:00:00"/>
    <x v="1"/>
    <m/>
    <m/>
  </r>
  <r>
    <s v="Kost Tricasa Deluxe Doubel Tangerang"/>
    <x v="6"/>
    <s v="Kecamatan Tangerang"/>
    <n v="15.17"/>
    <s v="3.7 x 4.1 meter"/>
    <s v="Tidak termasuk listrik"/>
    <s v=""/>
    <s v="N/A"/>
    <s v="3.7 x 4.1 meter; Tidak termasuk listrik; AC; Kasur; Meja; Lemari Baju; Bantal; Cleaning service; Jendela; Kursi; K. Mandi Dalam; Kloset Duduk; Shower; Air panas; WiFi; Kulkas; Mesin Cuci; Penjaga Kos; R. Jemur; Dapur; Dispenser; Balcon; CCTV; Jemuran; Parkir Motor &amp; Sepeda"/>
    <x v="176"/>
    <s v="Rp2.300.000"/>
    <x v="6"/>
    <d v="1899-12-30T04:06:00"/>
    <x v="0"/>
    <m/>
    <s v="Diskon 105rb"/>
  </r>
  <r>
    <s v="Kost Trio Tipe A Ciampea Bogor"/>
    <x v="0"/>
    <s v="Kecamatan Ciampea"/>
    <n v="9"/>
    <s v="3 x 3 meter"/>
    <s v="Tidak termasuk listrik"/>
    <s v=""/>
    <s v="N/A"/>
    <s v="3 x 3 meter; Tidak termasuk listrik; Dapur Pribadi; Jendela; Kloset Duduk; Shower; R. Tamu; R. Makan; R. Santai; Dapur; Balcon; K. Mandi Luar; R. Keluarga; Parkir Mobil; Parkir Motor; Parkir Sepeda; Parkir Motor &amp; Sepeda"/>
    <x v="99"/>
    <s v="Rp900.000"/>
    <x v="0"/>
    <m/>
    <x v="2"/>
    <m/>
    <m/>
  </r>
  <r>
    <s v="Kost Trust Living Tipe A Grogol Petamburan Jakarta Barat"/>
    <x v="3"/>
    <s v="Grogol Petamburan"/>
    <n v="9"/>
    <s v="3 x 3 meter"/>
    <s v="Tidak termasuk listrik"/>
    <s v=""/>
    <s v="N/A"/>
    <s v="3 x 3 meter; Tidak termasuk listrik; AC; Kasur; Meja; TV; Lemari Baju; Ventilasi; Cermin; Jendela; Wastafel; K. Mandi Dalam; Kloset Duduk; Shower; Air panas; WiFi; Kulkas; Laundry; Penjaga Kos; Dapur; Dispenser; CCTV; Jemuran; Kartu Akses; Pengurus Kos; Parkir Motor; Parkir Sepeda; Parkir Motor &amp; Sepeda"/>
    <x v="176"/>
    <s v="Rp2.300.000"/>
    <x v="2"/>
    <d v="1899-12-30T04:08:00"/>
    <x v="0"/>
    <m/>
    <s v="Diskon 113rb"/>
  </r>
  <r>
    <s v="Kost Tulip Tipe A Pondok Aren Tangerang Selatann"/>
    <x v="2"/>
    <s v="Pondok Aren"/>
    <n v="12"/>
    <s v="3 x 4 meter"/>
    <s v="Tidak termasuk listrik"/>
    <s v=""/>
    <s v="N/A"/>
    <s v="3 x 4 meter; Tidak termasuk listrik; AC; Kasur; Meja; TV; Lemari Baju; Kulkas; Kursi; Bantal; Guling; Kloset Jongkok; K. Mandi Luar; Ember mandi; Bak mandi; R. Tamu; R. Jemur; R. Santai; Taman; Balcon; Jemuran; Parkir Mobil; Parkir Motor; Parkir Sepeda"/>
    <x v="12"/>
    <s v="Rp850.000"/>
    <x v="0"/>
    <m/>
    <x v="1"/>
    <m/>
    <m/>
  </r>
  <r>
    <s v="Kost Turbo Space VIP Suite Duren Sawit Jakarta Timur"/>
    <x v="8"/>
    <s v="Duren Sawit"/>
    <n v="40"/>
    <s v="8 x 5 meter"/>
    <s v="Tidak termasuk listrik"/>
    <s v=""/>
    <s v="N/A"/>
    <s v="8 x 5 meter; Tidak termasuk listrik; AC; Kasur; Dispenser; Meja; TV; Lemari Baju; Ventilasi; Bantal; Cermin; Guling; K. Mandi Dalam; Kloset Duduk; Wastafel; Shower; Air panas; WiFi; Kulkas; Penjaga Kos; R. Tamu; Laundry; R. Makan; R. Santai; Dapur; CCTV; Jual Makanan; Parkir Mobil; Parkir Motor; Parkir Sepeda"/>
    <x v="186"/>
    <s v="Rp3.000.000"/>
    <x v="0"/>
    <m/>
    <x v="0"/>
    <m/>
    <m/>
  </r>
  <r>
    <s v="Kost Tuscany Garden 17 Cikarang Selatan Bekasi"/>
    <x v="7"/>
    <s v="Cikarang Selatan"/>
    <n v="12"/>
    <s v="3 x 4 meter"/>
    <s v="Tidak termasuk listrik"/>
    <s v=""/>
    <s v="N/A"/>
    <s v="3 x 4 meter; Tidak termasuk listrik; AC; Kasur; Meja; Lemari Baju; WiFi; Parkir Mobil"/>
    <x v="178"/>
    <s v="Rp1.950.000"/>
    <x v="8"/>
    <d v="1899-12-30T04:09:00"/>
    <x v="0"/>
    <m/>
    <m/>
  </r>
  <r>
    <s v="Kost Tuscany Garden 9 Tipe B Cikarang Selatan Bekasi"/>
    <x v="7"/>
    <s v="Cikarang Selatan"/>
    <n v="12"/>
    <s v="3 x 4 meter"/>
    <s v="Tidak termasuk listrik"/>
    <s v=""/>
    <s v="N/A"/>
    <s v="3 x 4 meter; Tidak termasuk listrik; Kasur; Meja; Lemari Baju; K. Mandi Dalam; Kloset Duduk; WiFi; Parkir Mobil"/>
    <x v="90"/>
    <s v="Rp1.650.000"/>
    <x v="2"/>
    <d v="1899-12-30T04:08:00"/>
    <x v="0"/>
    <m/>
    <m/>
  </r>
  <r>
    <s v="Kost Twin House Tipe VVIP Dramaga Bogor"/>
    <x v="0"/>
    <s v="Dramaga"/>
    <n v="9"/>
    <s v="3 x 3 meter"/>
    <s v="Tidak termasuk listrik"/>
    <s v=""/>
    <s v="N/A"/>
    <s v="3 x 3 meter; Tidak termasuk listrik; AC; Kasur; Meja; Lemari Baju; Ventilasi; Bantal; Cermin; Jendela; Kursi; K. Mandi Dalam; Kloset Duduk; Shower; WiFi; Kulkas; R. Tamu; R. Makan; R. Santai; Dapur; CCTV; Kartu Akses; R. Keluarga; Taman; Parkir Mobil; Parkir Motor; Parkir Sepeda"/>
    <x v="167"/>
    <s v="Rp1.550.000"/>
    <x v="0"/>
    <m/>
    <x v="2"/>
    <m/>
    <m/>
  </r>
  <r>
    <s v="Kost UI Tidar Tipe A Beji Depok"/>
    <x v="1"/>
    <s v="Beji"/>
    <n v="7.5"/>
    <s v="3 x 2.5 meter"/>
    <s v="Termasuk listrik (implied)"/>
    <s v=""/>
    <s v="N/A"/>
    <s v="3 x 2.5 meter; Termasuk listrik; Kasur; Meja; Lemari Baju; Ventilasi; Kursi; Bantal; Guling; Jendela; K. Mandi Dalam; Kloset Jongkok; Ember mandi; WiFi; R. Tamu; Parkir Sepeda"/>
    <x v="478"/>
    <s v="Rp703.250"/>
    <x v="3"/>
    <d v="1899-12-30T05:00:00"/>
    <x v="1"/>
    <m/>
    <m/>
  </r>
  <r>
    <s v="Kost Uj Babakan Madang Bogor"/>
    <x v="0"/>
    <s v="Kecamatan Babakan Madang"/>
    <n v="12"/>
    <s v="3 x 4 meter"/>
    <s v="Tidak termasuk listrik"/>
    <s v=""/>
    <s v="N/A"/>
    <s v="3 x 4 meter; Tidak termasuk listrik; AC; Kasur; Bantal; Cermin; Guling; Jendela; K. Mandi Dalam; Kloset Duduk; Ember mandi; WiFi; Kulkas; Dapur; Dispenser; CCTV; Parkir Mobil; Parkir Motor"/>
    <x v="3"/>
    <s v="Rp1.500.000"/>
    <x v="0"/>
    <m/>
    <x v="1"/>
    <m/>
    <m/>
  </r>
  <r>
    <s v="Kost Umah Putih Tipe A Ciampea Bogor"/>
    <x v="0"/>
    <s v="Kecamatan Ciampea"/>
    <n v="9"/>
    <s v="3 x 3 meter"/>
    <s v="Termasuk listrik (implied)"/>
    <s v=""/>
    <s v="N/A"/>
    <s v="3 x 3 meter; Termasuk listrik; Kasur; Meja; Ventilasi; Bantal; Cermin; Jendela; Kipas Angin; Kursi; K. Mandi Dalam; Kloset Jongkok; K. Mandi Luar; Ember mandi; Penjaga Kos; Jemuran; Pengurus Kos; Taman; Parkir Mobil; Parkir Motor"/>
    <x v="10"/>
    <s v="Rp750.000"/>
    <x v="0"/>
    <m/>
    <x v="0"/>
    <m/>
    <m/>
  </r>
  <r>
    <s v="Kost Umanami Standar Gunung Putri Bogor"/>
    <x v="0"/>
    <s v="Kecamatan Gunung Putri"/>
    <n v="12"/>
    <s v="3 x 4 meter"/>
    <s v="Tidak termasuk listrik"/>
    <s v=""/>
    <s v="N/A"/>
    <s v="3 x 4 meter; Tidak termasuk listrik; Kasur; Lemari Baju; Ventilasi; Bantal; Guling; Jendela; Kloset Jongkok; K. Mandi Luar; Bak mandi; R. Cuci; Kulkas; R. Tamu; Mesin Cuci; R. Jemur; R. Makan; Dapur; Dispenser; Balcon; Jemuran; Parkir Mobil; Parkir Motor"/>
    <x v="2"/>
    <s v="Rp700.000"/>
    <x v="3"/>
    <d v="1899-12-30T05:00:00"/>
    <x v="2"/>
    <m/>
    <m/>
  </r>
  <r>
    <s v="Kost Umi 1 Tipe Non Ac Bojongsari Depok"/>
    <x v="1"/>
    <s v="Kecamatan Bojongsari"/>
    <n v="12"/>
    <s v="3 x 4 meter"/>
    <s v="Tidak termasuk listrik"/>
    <s v=""/>
    <s v="N/A"/>
    <s v="3 x 4 meter; Tidak termasuk listrik; Kasur; Lemari Baju; Bantal; Dapur Pribadi; Guling; Jendela; Kipas Angin; Wastafel; K. Mandi Dalam; Kloset Jongkok; Shower; WiFi; CCTV; Parkir Motor"/>
    <x v="479"/>
    <s v="Rp715.000"/>
    <x v="0"/>
    <m/>
    <x v="1"/>
    <m/>
    <m/>
  </r>
  <r>
    <s v="Kost Unfurnished Karang Tengah Tangerang"/>
    <x v="6"/>
    <s v="Karang Tengah"/>
    <n v="38.5"/>
    <s v="11 x 3.5 meter"/>
    <s v="Tidak termasuk listrik"/>
    <s v=""/>
    <s v="N/A"/>
    <s v="11 x 3.5 meter; Tidak termasuk listrik; Meja; Ventilasi; Jendela; Wastafel; K. Mandi Dalam; Kloset Jongkok; R. Cuci; R. Tamu; R. Jemur; R. Makan; R. Santai; Dapur; Gazebo; Jemuran; Joglo; R. Keluarga; Parkir Mobil; Parkir Motor; Parkir Sepeda; Parkir Motor &amp; Sepeda"/>
    <x v="163"/>
    <s v="Rp1.700.000"/>
    <x v="8"/>
    <d v="1899-12-30T04:09:00"/>
    <x v="0"/>
    <m/>
    <m/>
  </r>
  <r>
    <s v="Kost Unicorn Residence Suite Kembangan Jakarta Barat"/>
    <x v="3"/>
    <s v="Kecamatan Kembangan"/>
    <n v="28"/>
    <s v="7 x 4 meter"/>
    <s v="Tidak termasuk listrik"/>
    <s v=""/>
    <s v="N/A"/>
    <s v="7 x 4 meter; Tidak termasuk listrik; AC; Kasur; Meja; Dispenser; TV; Lemari Baju; Kulkas; Ventilasi; Bantal; Cermin; K. Mandi Dalam; Kloset Duduk; Wastafel; Shower; Air panas; WiFi; R. Cuci; Penjaga Kos; Laundry; Mesin Cuci; R. Jemur; Dapur; Balcon; Parkir Mobil; Parkir Motor; Parkir Sepeda; Parkir Motor &amp; Sepeda"/>
    <x v="480"/>
    <s v="Rp3.050.000"/>
    <x v="3"/>
    <d v="1899-12-30T05:00:00"/>
    <x v="0"/>
    <m/>
    <m/>
  </r>
  <r>
    <s v="Kost Unilever D9 Tipe B Karang Tengah Tangerang"/>
    <x v="6"/>
    <s v="Kecamatan Karang Tengah"/>
    <n v="8.75"/>
    <s v="2.5 x 3.5 meter"/>
    <s v="Tidak termasuk listrik"/>
    <s v=""/>
    <s v="N/A"/>
    <s v="2.5 x 3.5 meter; Tidak termasuk listrik; AC; Kasur; Meja; TV; Lemari Baju; Ventilasi; Bantal; Cermin; Dapur Pribadi; Guling; K. Mandi Dalam; Kloset Duduk; Kloset Jongkok; Ember mandi; Shower; WiFi; Kulkas; R. Jemur; Dapur; CCTV; Jemuran; Parkir Mobil; Parkir Motor"/>
    <x v="163"/>
    <s v="Rp1.700.000"/>
    <x v="0"/>
    <m/>
    <x v="0"/>
    <m/>
    <m/>
  </r>
  <r>
    <s v="Kost Valencia Jaya 9 Grogol Petamburan Jakarta Barat"/>
    <x v="3"/>
    <s v="Kecamatan Grogol petamburan"/>
    <n v="9"/>
    <s v="3 x 3 meter"/>
    <s v="Tidak termasuk listrik"/>
    <s v=""/>
    <s v="N/A"/>
    <s v="3 x 3 meter; Tidak termasuk listrik; AC; Kasur; Lemari Baju; Kloset Jongkok; K. Mandi Luar; Ember mandi; WiFi; R. Cuci; R. Jemur; Locker; Parkir Motor; Parkir Sepeda"/>
    <x v="66"/>
    <s v="Rp775.000"/>
    <x v="9"/>
    <d v="1899-12-30T03:04:00"/>
    <x v="0"/>
    <m/>
    <m/>
  </r>
  <r>
    <s v="Kost Valencia Jaya Tipe B Grogol Petamburan Jakarta Barat"/>
    <x v="3"/>
    <s v="Kecamatan Grogol petamburan"/>
    <n v="9"/>
    <s v="3 x 3 meter"/>
    <s v="Tidak termasuk listrik"/>
    <s v=""/>
    <s v="N/A"/>
    <s v="3 x 3 meter; Tidak termasuk listrik; AC; Kasur; Lemari Baju; Kloset Jongkok; K. Mandi Luar; Ember mandi; WiFi; R. Cuci; R. Jemur; Locker; Parkir Motor; Parkir Sepeda"/>
    <x v="66"/>
    <s v="Rp775.000"/>
    <x v="7"/>
    <d v="1899-12-30T03:06:00"/>
    <x v="0"/>
    <m/>
    <m/>
  </r>
  <r>
    <s v="Kost Valentina Tipe Silver Tanjung Priok Jakarta Utara"/>
    <x v="4"/>
    <s v="Kecamatan Tanjung Priok"/>
    <n v="9"/>
    <s v="3 x 3 meter"/>
    <s v="Tidak termasuk listrik"/>
    <s v=""/>
    <s v="N/A"/>
    <s v="3 x 3 meter; Tidak termasuk listrik; AC; Kasur; Meja; Kulkas; Lemari Baju; Ventilasi; Bantal; Cermin; Jendela; Guling; Kloset Duduk; K. Mandi Luar; Ember mandi; Shower; WiFi; R. Cuci; Penjaga Kos; Mesin Cuci; R. Jemur; R. Makan; Dapur; Dispenser; CCTV; Parkir Motor; Parkir Sepeda"/>
    <x v="1"/>
    <s v="Rp1.100.000"/>
    <x v="17"/>
    <d v="1899-12-30T03:09:00"/>
    <x v="0"/>
    <m/>
    <s v="Diskon 96rb"/>
  </r>
  <r>
    <s v="Kost Vanya 2 Dramaga Bogor"/>
    <x v="0"/>
    <s v="Kecamatan Dramaga"/>
    <n v="16"/>
    <s v="4 x 4 meter"/>
    <s v="Tidak termasuk listrik"/>
    <s v=""/>
    <s v="N/A"/>
    <s v="4 x 4 meter; Tidak termasuk listrik; AC; Kasur; Meja; Dispenser; Lemari Baju; Ventilasi; Bantal; Guling; Jendela; Kursi; K. Mandi Dalam; Kloset Duduk; Wastafel; Shower; Air panas; WiFi; Kulkas; R. Cuci; Penjaga Kos; R. Tamu; Laundry; Mesin Cuci; R. Jemur; R. Makan; Mushola; Parkir Mobil; Parkir Motor; Parkir Sepeda; Parkir Motor &amp; Sepeda"/>
    <x v="11"/>
    <s v="Rp1.400.000"/>
    <x v="3"/>
    <d v="1899-12-30T05:00:00"/>
    <x v="2"/>
    <m/>
    <m/>
  </r>
  <r>
    <s v="Kost VB98 Sentul City Babakan Madang Bogor"/>
    <x v="0"/>
    <s v="Kecamatan Babakan Madang"/>
    <n v="7"/>
    <s v="2.5 x 2.8 meter"/>
    <s v="Tidak termasuk listrik"/>
    <s v=""/>
    <s v="N/A"/>
    <s v="2.5 x 2.8 meter; Tidak termasuk listrik; AC; Kasur; Meja; Ventilasi; Jendela; Guling; Kursi; Bantal; K. Mandi Dalam; Kloset Duduk; Ember mandi; Shower; Air panas; Kulkas; R. Cuci; Penjaga Kos; R. Tamu; R. Jemur; R. Santai; Dispenser; Dapur; Balcon; Jemuran; Parkir Motor"/>
    <x v="33"/>
    <s v="Rp2.400.000"/>
    <x v="0"/>
    <m/>
    <x v="0"/>
    <m/>
    <m/>
  </r>
  <r>
    <s v="Kost Venice Tipe A Taman Sari Jakarta Barat"/>
    <x v="3"/>
    <s v="Kecamatan Taman Sari"/>
    <n v="8.8000000000000007"/>
    <s v="4 x 2.2 meter"/>
    <s v="Tidak termasuk listrik"/>
    <s v=""/>
    <s v="N/A"/>
    <s v="4 x 2.2 meter; Tidak termasuk listrik; AC; Kasur; Meja; Bantal; Cermin; Cleaning service; Guling; Jendela; K. Mandi Dalam; Shower; Air panas; WiFi; Kulkas; Penjaga Kos; R. Santai; Dapur; Dispenser; CCTV; Pengurus Kos; Rooftop; Parkir Motor &amp; Sepeda"/>
    <x v="25"/>
    <s v="Rp1.850.000"/>
    <x v="12"/>
    <d v="1899-12-30T04:04:00"/>
    <x v="0"/>
    <m/>
    <s v="Diskon 160rb"/>
  </r>
  <r>
    <s v="Kost Verena I Tipe AC Cikarang Selatan Bekasi"/>
    <x v="7"/>
    <s v="Cikarang Selatan"/>
    <n v="12"/>
    <s v="3 x 4 meter"/>
    <s v="Termasuk listrik (implied)"/>
    <s v=""/>
    <s v="N/A"/>
    <s v="3 x 4 meter; Termasuk listrik; AC; Kasur; Meja Rias; Lemari Baju; Ventilasi; Bantal; Cermin; Guling; Jendela; Wastafel; K. Mandi Dalam; Kloset Duduk; Ember mandi; Bak mandi; WiFi; Penjaga Kos; R. Jemur; R. Makan; R. Santai; Dapur; Dispenser; Balcon; CCTV; Jemuran; Parkir Mobil; Parkir Motor; Parkir Sepeda; Parkir Motor &amp; Sepeda"/>
    <x v="27"/>
    <s v="Rp2.000.000"/>
    <x v="8"/>
    <d v="1899-12-30T04:09:00"/>
    <x v="0"/>
    <m/>
    <m/>
  </r>
  <r>
    <s v="Kost Versanda Homestay BSD City Tipe A Serpong Tangerang Selatan"/>
    <x v="2"/>
    <s v="Serpong"/>
    <n v="12"/>
    <s v="3 x 4 meter"/>
    <s v="Tidak termasuk listrik"/>
    <s v=""/>
    <s v="N/A"/>
    <s v="3 x 4 meter; Tidak termasuk listrik; AC; Kasur; Meja; Lemari Baju; Ventilasi; Bantal; Jendela; Kursi; Wastafel; Cermin; K. Mandi Dalam; Kloset Duduk; Shower; Air panas; WiFi; Kulkas; Penjaga Kos; Dapur; CCTV; Pengurus Kos; Parkir Mobil; Parkir Motor; Parkir Sepeda"/>
    <x v="26"/>
    <s v="Rp2.100.000"/>
    <x v="6"/>
    <d v="1899-12-30T04:06:00"/>
    <x v="0"/>
    <m/>
    <s v="Diskon 101rb"/>
  </r>
  <r>
    <s v="Kost Villa Melati Mas Tipe B Serpong Utara Tangerang Selatan"/>
    <x v="2"/>
    <s v="Serpong Utara"/>
    <n v="10.5"/>
    <s v="3 x 3.5 meter"/>
    <s v="Termasuk listrik (implied)"/>
    <s v=""/>
    <s v="N/A"/>
    <s v="3 x 3.5 meter; Termasuk listrik; AC; Kasur; Meja; Lemari Baju; Kursi; Kloset Duduk; K. Mandi Luar; Shower; Air panas; WiFi; R. Cuci; Kulkas; R. Tamu; R. Makan; R. Jemur; Dapur; Dispenser; TV; Parkir Mobil; Parkir Motor; Parkir Sepeda"/>
    <x v="89"/>
    <s v="Rp1.900.000"/>
    <x v="3"/>
    <d v="1899-12-30T05:00:00"/>
    <x v="2"/>
    <m/>
    <m/>
  </r>
  <r>
    <s v="Kost Village Marpaung Tipe A Ciledug Tangerang"/>
    <x v="6"/>
    <s v="Ciledug"/>
    <n v="12"/>
    <s v="3 x 4 meter"/>
    <s v="Termasuk listrik (implied)"/>
    <s v=""/>
    <s v="N/A"/>
    <s v="3 x 4 meter; Termasuk listrik; Kasur; Lemari Baju; Jendela; K. Mandi Dalam; Kloset Jongkok; Ember mandi; WiFi; R. Tamu; Penjaga Kos; R. Jemur; Mushola; R. Santai; K. Mandi Luar; CCTV; Jual Makanan; Pengurus Kos; Parkir Motor; Parkir Sepeda"/>
    <x v="14"/>
    <s v="Rp800.000"/>
    <x v="0"/>
    <m/>
    <x v="0"/>
    <m/>
    <m/>
  </r>
  <r>
    <s v="Kost Village Marpaung Tipe AC Ciledug Tangerang"/>
    <x v="6"/>
    <s v="Ciledug"/>
    <n v="12"/>
    <s v="3 x 4 meter"/>
    <s v="Termasuk listrik (implied)"/>
    <s v=""/>
    <s v="N/A"/>
    <s v="3 x 4 meter; Termasuk listrik; Ventilasi; K. Mandi Dalam; Kloset Jongkok; WiFi; R. Cuci; Penjaga Kos; R. Jemur; R. Santai; K. Mandi Luar; CCTV; Jual Makanan; Pengurus Kos; Jemuran; Parkir Motor"/>
    <x v="18"/>
    <s v="Rp1.300.000"/>
    <x v="23"/>
    <d v="1899-12-30T01:03:00"/>
    <x v="0"/>
    <m/>
    <m/>
  </r>
  <r>
    <s v="Kost Vimala VVIP Cengkareng Jakarta Barat"/>
    <x v="3"/>
    <s v="Cengkareng"/>
    <n v="13.5"/>
    <s v="3 x 4.5 meter"/>
    <s v="Tidak termasuk listrik"/>
    <s v=""/>
    <s v="N/A"/>
    <s v="3 x 4.5 meter; Tidak termasuk listrik; AC; Kasur; Meja; TV; Lemari Baju; Ventilasi; Bantal; Cermin; Jendela; Kursi; K. Mandi Dalam; Kloset Duduk; Wastafel; Shower; Air panas; WiFi; Kulkas; Penjaga Kos; Dapur; Dispenser; CCTV; Pengurus Kos; Rice Cooker; Rooftop; Parkir Motor; Parkir Sepeda; Parkir Motor &amp; Sepeda"/>
    <x v="27"/>
    <s v="Rp2.000.000"/>
    <x v="0"/>
    <m/>
    <x v="0"/>
    <m/>
    <m/>
  </r>
  <r>
    <s v="Kost Vinn Room 1 Lux Kelapa Gading Jakarta Utara"/>
    <x v="4"/>
    <s v="Kelapa Gading"/>
    <n v="12"/>
    <s v="4 x 3 meter"/>
    <s v="Tidak termasuk listrik"/>
    <s v=""/>
    <s v="N/A"/>
    <s v="4 x 3 meter; Tidak termasuk listrik; AC; Kasur; Meja; Lemari Baju; Ventilasi; Kursi; Bantal; Guling; Cermin; Jendela; Kloset Duduk; K. Mandi Luar; Wastafel; Shower; WiFi; Kulkas; R. Cuci; R. Tamu; R. Makan; R. Jemur; R. Santai; Dapur; Jemuran; Balcon; Parkir Mobil; Parkir Motor; Parkir Sepeda"/>
    <x v="481"/>
    <s v="Rp1.499.999"/>
    <x v="3"/>
    <d v="1899-12-30T05:00:00"/>
    <x v="0"/>
    <m/>
    <m/>
  </r>
  <r>
    <s v="Kost Viveka Residence Bintaro Deluxe Pondok Aren Tangerang Selatan"/>
    <x v="2"/>
    <s v="Kecamatan Pondok Aren"/>
    <n v="7.5"/>
    <s v="3 x 2.5 meter"/>
    <s v="Tidak termasuk listrik"/>
    <s v=""/>
    <s v="N/A"/>
    <s v="3 x 2.5 meter; Tidak termasuk listrik; AC; Kasur; Meja; TV; Lemari Baju; Bantal; Cermin; Guling; Jendela; Kursi; K. Mandi Dalam; Kloset Duduk; Shower; Air panas; WiFi; Kulkas; Laundry; Penjaga Kos; R. Tamu; R. Makan; Dapur; Dispenser; CCTV; Kartu Akses; Parkir Motor; Parkir Sepeda; Parkir Motor &amp; Sepeda"/>
    <x v="27"/>
    <s v="Rp2.000.000"/>
    <x v="3"/>
    <d v="1899-12-30T05:00:00"/>
    <x v="0"/>
    <m/>
    <m/>
  </r>
  <r>
    <s v="Kost Viveka Residence Bintaro Premium Pondok Aren Tangerang Selatan"/>
    <x v="2"/>
    <s v="Kecamatan Pondok Aren"/>
    <n v="7.5"/>
    <s v="3 x 2.5 meter"/>
    <s v="Tidak termasuk listrik"/>
    <s v=""/>
    <s v="N/A"/>
    <s v="3 x 2.5 meter; Tidak termasuk listrik; AC; Kasur; Meja; TV; Lemari Baju; Kulkas; Bantal; Guling; Jendela; Kursi; K. Mandi Dalam; Kloset Duduk; Shower; Air panas; WiFi; Laundry; Penjaga Kos; R. Tamu; R. Makan; Dapur; Dispenser; CCTV; Kartu Akses; Parkir Motor; Parkir Sepeda; Parkir Motor &amp; Sepeda"/>
    <x v="4"/>
    <s v="Rp2.200.000"/>
    <x v="3"/>
    <d v="1899-12-30T05:00:00"/>
    <x v="0"/>
    <m/>
    <m/>
  </r>
  <r>
    <s v="Kost Vorden Tipe A Cibinong Bogor"/>
    <x v="0"/>
    <s v="Cibinong"/>
    <n v="12"/>
    <s v="3 x 4 meter"/>
    <s v="Tidak termasuk listrik"/>
    <s v=""/>
    <s v="N/A"/>
    <s v="3 x 4 meter; Tidak termasuk listrik; Kasur; Lemari Baju; Ventilasi; Jendela; K. Mandi Dalam; Kloset Jongkok; Ember mandi; WiFi; R. Jemur; R. Santai; Dapur; CCTV; Gazebo; Jemuran; Rooftop; Taman; Parkir Mobil; Parkir Motor; Parkir Sepeda; Parkir Motor &amp; Sepeda"/>
    <x v="31"/>
    <s v="Rp600.000"/>
    <x v="0"/>
    <m/>
    <x v="0"/>
    <m/>
    <m/>
  </r>
  <r>
    <s v="Kost Waikiki 2 Cikarang Pusat Bekasi"/>
    <x v="7"/>
    <s v="Kecamatan Cikarang Pusat"/>
    <n v="9"/>
    <s v="3 x 3 meter"/>
    <s v="Tidak termasuk listrik"/>
    <s v=""/>
    <s v="N/A"/>
    <s v="3 x 3 meter; Tidak termasuk listrik; AC; Kasur; Meja; Lemari Baju; Bantal; Cermin; K. Mandi Dalam; Kloset Duduk; Shower; WiFi; Kulkas; R. Makan; Dapur; Dispenser; Parkir Mobil; Parkir Motor"/>
    <x v="19"/>
    <s v="Rp1.800.000"/>
    <x v="0"/>
    <m/>
    <x v="0"/>
    <m/>
    <m/>
  </r>
  <r>
    <s v="Kost Walank Dcost Koja Jakarta Utara"/>
    <x v="4"/>
    <s v="Koja"/>
    <n v="17.5"/>
    <s v="3.5 x 5 meter"/>
    <s v="Tidak termasuk listrik"/>
    <s v=""/>
    <s v="N/A"/>
    <s v="3.5 x 5 meter; Tidak termasuk listrik; AC; Kasur; Meja; TV; Lemari Baju; Kulkas; Ventilasi; Bantal; Cermin; Cleaning service; K. Mandi Dalam; Kloset Duduk; Ember mandi; Shower; Air panas; WiFi; Penjaga Kos; R. Tamu; Laundry; R. Jemur; R. Santai; Dapur; Balcon; CCTV; Parkir Mobil; Parkir Motor"/>
    <x v="22"/>
    <s v="Rp2.500.000"/>
    <x v="0"/>
    <m/>
    <x v="0"/>
    <m/>
    <m/>
  </r>
  <r>
    <s v="Kost Warbun Tipe C Cileungsi Bogor"/>
    <x v="0"/>
    <s v="Cileungsi"/>
    <n v="12"/>
    <s v="3 x 4 meter"/>
    <s v="Tidak termasuk listrik"/>
    <s v=""/>
    <s v="N/A"/>
    <s v="3 x 4 meter; Tidak termasuk listrik; Kasur; Ventilasi; Kloset Duduk; K. Mandi Luar; Wastafel; Shower; Air panas; WiFi; Penjaga Kos; R. Jemur; Balcon; CCTV; Gazebo; Jemuran; Jual Makanan; Rooftop; Parkir Mobil; Parkir Motor; Parkir Sepeda; Parkir Motor &amp; Sepeda"/>
    <x v="31"/>
    <s v="Rp600.000"/>
    <x v="0"/>
    <m/>
    <x v="0"/>
    <m/>
    <m/>
  </r>
  <r>
    <s v="Kost Warbun Tipe VIP Cileungsi Bogor"/>
    <x v="0"/>
    <s v="Cileungsi"/>
    <n v="12"/>
    <s v="3 x 4 meter"/>
    <s v="Tidak termasuk listrik"/>
    <s v=""/>
    <s v="N/A"/>
    <s v="3 x 4 meter; Tidak termasuk listrik; AC; Kasur; Dispenser; Meja; Meja Rias; Bantal; Cermin; Kursi; Wastafel; K. Mandi Dalam; Kloset Duduk; Shower; R. Jemur; Balcon; CCTV; Gazebo; Jemuran; Jual Makanan; Parkir Mobil; Parkir Motor; Parkir Sepeda; Parkir Motor &amp; Sepeda"/>
    <x v="3"/>
    <s v="Rp1.500.000"/>
    <x v="0"/>
    <m/>
    <x v="0"/>
    <m/>
    <m/>
  </r>
  <r>
    <s v="Kost White Eksklusif Pamulang Tangerang Selatan"/>
    <x v="2"/>
    <s v="Kecamatan Pamulang"/>
    <n v="9"/>
    <s v="3 x 3 meter"/>
    <s v="Tidak termasuk listrik"/>
    <s v=""/>
    <s v="N/A"/>
    <s v="3 x 3 meter; Tidak termasuk listrik; AC; Kasur; Meja; TV; Lemari Baju; Bantal; Cermin; Jendela; Kursi; K. Mandi Dalam; Kloset Duduk; Shower; WiFi; Kulkas; R. Cuci; Mesin Cuci; R. Jemur; Dapur; CCTV; Jemuran; Parkir Motor &amp; Sepeda"/>
    <x v="3"/>
    <s v="Rp1.500.000"/>
    <x v="0"/>
    <m/>
    <x v="2"/>
    <m/>
    <m/>
  </r>
  <r>
    <s v="Kost Wie Tipe A Cikarang Selatan Bekasi"/>
    <x v="7"/>
    <s v="Cikarang Selatan"/>
    <n v="9"/>
    <s v="3 x 3 meter"/>
    <s v="Tidak termasuk listrik"/>
    <s v=""/>
    <s v="N/A"/>
    <s v="3 x 3 meter; Tidak termasuk listrik; AC; Kasur; Lemari Baju; Ventilasi; Bantal; Wastafel; K. Mandi Dalam; Kloset Duduk; Shower; WiFi; Kulkas; R. Tamu; R. Jemur; R. Santai; Dapur; Jemuran; K. Mandi Luar; Pengurus Kos; Parkir Mobil; Parkir Motor"/>
    <x v="23"/>
    <s v="Rp1.200.000"/>
    <x v="0"/>
    <m/>
    <x v="1"/>
    <m/>
    <m/>
  </r>
  <r>
    <s v="Kost Wijaya Kusuma Non AC Tebet Jakarta Selatan"/>
    <x v="5"/>
    <s v="Kecamatan Tebet"/>
    <n v="12"/>
    <s v="3 x 4 meter"/>
    <s v="Tidak termasuk listrik"/>
    <s v=""/>
    <s v="N/A"/>
    <s v="3 x 4 meter; Tidak termasuk listrik; AC; Kasur; Bantal; Guling; Jendela; Kipas Angin; K. Mandi Dalam; Kloset Duduk; WiFi; Penjaga Kos; Dapur; CCTV; Gazebo; Jemuran; Pengurus Kos; R. Keluarga; Parkir Motor"/>
    <x v="23"/>
    <s v="Rp1.200.000"/>
    <x v="0"/>
    <m/>
    <x v="2"/>
    <m/>
    <m/>
  </r>
  <r>
    <s v="Kost Wijaya Neglasari Tangerang"/>
    <x v="6"/>
    <s v="Neglasari"/>
    <n v="15"/>
    <s v="3 x 5 meter"/>
    <s v="Tidak termasuk listrik"/>
    <s v=""/>
    <s v="N/A"/>
    <s v="3 x 5 meter; Tidak termasuk listrik; AC; Kasur; Meja; Lemari Baju; Ventilasi; Kursi; Bantal; Dapur Pribadi; Guling; K. Mandi Dalam; Kloset Duduk; Ember mandi; WiFi; Penjaga Kos; Jemuran; Kartu Akses; Parkir Mobil; Parkir Motor"/>
    <x v="3"/>
    <s v="Rp1.500.000"/>
    <x v="3"/>
    <d v="1899-12-30T05:00:00"/>
    <x v="0"/>
    <m/>
    <m/>
  </r>
  <r>
    <s v="Kost Wilka Larangan Tangerang"/>
    <x v="6"/>
    <s v="Larangan"/>
    <n v="12"/>
    <s v="3 x 4 meter"/>
    <s v="Tidak termasuk listrik"/>
    <s v=""/>
    <s v="N/A"/>
    <s v="3 x 4 meter; Tidak termasuk listrik; AC; Kasur; Meja; Bantal; Jendela; Kursi; K. Mandi Dalam; Kloset Duduk; Shower; WiFi; R. Cuci; Penjaga Kos; R. Jemur; R. Santai; Jemuran; Jual Makanan; Taman; Parkir Motor"/>
    <x v="3"/>
    <s v="Rp1.500.000"/>
    <x v="8"/>
    <d v="1899-12-30T04:09:00"/>
    <x v="0"/>
    <m/>
    <m/>
  </r>
  <r>
    <s v="Kost Wimala Suites Co Living Tipe Deluxe Plus Taman Sari Jakarta Barat"/>
    <x v="3"/>
    <s v="Kecamatan Taman Sari"/>
    <n v="16"/>
    <s v="4 x 4 meter"/>
    <s v="Tidak termasuk listrik"/>
    <s v=""/>
    <s v="N/A"/>
    <s v="4 x 4 meter; Tidak termasuk listrik; AC; Kasur; Meja; TV; Kulkas; Lemari Baju; Ventilasi; Bantal; Cermin; Cleaning service; K. Mandi Dalam; Kloset Duduk; Wastafel; Shower; Air panas; WiFi; R. Cuci; Laundry; Penjaga Kos; R. Tamu; R. Jemur; R. Makan; R. Santai; Dapur; Parkir Motor; Parkir Sepeda"/>
    <x v="482"/>
    <s v="Rp3.600.000"/>
    <x v="10"/>
    <d v="1899-12-30T04:05:00"/>
    <x v="0"/>
    <m/>
    <m/>
  </r>
  <r>
    <s v="Kost Wimala Suites Co Living Tipe Deluxe Taman Sari Jakarta Barat"/>
    <x v="3"/>
    <s v="Kecamatan Taman Sari"/>
    <n v="16"/>
    <s v="4 x 4 meter"/>
    <s v="Tidak termasuk listrik"/>
    <s v=""/>
    <s v="N/A"/>
    <s v="4 x 4 meter; Tidak termasuk listrik; AC; Kasur; Meja; TV; Kulkas; Lemari Baju; Ventilasi; Bantal; Cermin; Cleaning service; K. Mandi Dalam; Kloset Duduk; Wastafel; Shower; Air panas; WiFi; R. Cuci; Laundry; Penjaga Kos; R. Tamu; R. Jemur; R. Makan; R. Santai; Dapur; Parkir Motor; Parkir Sepeda"/>
    <x v="7"/>
    <s v="Rp3.500.000"/>
    <x v="3"/>
    <d v="1899-12-30T05:00:00"/>
    <x v="0"/>
    <m/>
    <s v="Diskon 288rb"/>
  </r>
  <r>
    <s v="Kost Wimala Suites Co Living Tipe Royal Plus Taman Sari Jakarta Barat"/>
    <x v="3"/>
    <s v="Kecamatan Taman Sari"/>
    <n v="12"/>
    <s v="3 x 4 meter"/>
    <s v="Tidak termasuk listrik"/>
    <s v=""/>
    <s v="N/A"/>
    <s v="3 x 4 meter; Tidak termasuk listrik; AC; Kasur; Meja; TV; Lemari Baju; Ventilasi; Bantal; Cermin; Cleaning service; Guling; K. Mandi Dalam; Kloset Duduk; Wastafel; Shower; Air panas; WiFi; Kulkas; R. Cuci; Laundry; Penjaga Kos; R. Tamu; R. Jemur; R. Makan; R. Santai; Dapur; Parkir Motor; Parkir Sepeda"/>
    <x v="6"/>
    <s v="Rp3.100.000"/>
    <x v="8"/>
    <d v="1899-12-30T04:09:00"/>
    <x v="0"/>
    <m/>
    <m/>
  </r>
  <r>
    <s v="Kost Wish Choice Tipe Non AC Serpong Utara Tangerang Selatan"/>
    <x v="2"/>
    <s v="Serpong Utara"/>
    <n v="9"/>
    <s v="3 x 3 meter"/>
    <s v="Termasuk listrik (implied)"/>
    <s v=""/>
    <s v="N/A"/>
    <s v="3 x 3 meter; Termasuk listrik; Kasur; Dispenser; Meja; Kulkas; Lemari Baju; Ventilasi; Bantal; Guling; Jendela; Kipas Angin; K. Mandi Dalam; Kloset Jongkok; K. Mandi Luar; Ember mandi; WiFi; Penjaga Kos; R. Tamu; R. Jemur; Dapur; CCTV; Jemuran; Pengurus Kos; Parkir Motor &amp; Sepeda"/>
    <x v="0"/>
    <s v="Rp950.000"/>
    <x v="0"/>
    <m/>
    <x v="1"/>
    <m/>
    <m/>
  </r>
  <r>
    <s v="Kost Wisma Adika Ibu Sulis Tipe A Cikarang Utara Bekasi"/>
    <x v="7"/>
    <s v="Kecamatan Cikarang Utara"/>
    <n v="9"/>
    <s v="3 x 3 meter"/>
    <s v="Termasuk listrik (implied)"/>
    <s v=""/>
    <s v="N/A"/>
    <s v="3 x 3 meter; Termasuk listrik; Kasur; Meja; Lemari Baju; Ventilasi; Bantal; Jendela; Kursi; K. Mandi Dalam; Kloset Jongkok; Ember mandi; WiFi; Dispenser; Balcon; CCTV; Jemuran; Pengurus Kos; Parkir Motor &amp; Sepeda"/>
    <x v="177"/>
    <s v="Rp550.000"/>
    <x v="0"/>
    <m/>
    <x v="1"/>
    <m/>
    <m/>
  </r>
  <r>
    <s v="Kost Wisma Adirama Cikarang Selatan Bekasi"/>
    <x v="7"/>
    <s v="Cikarang Selatan"/>
    <n v="9"/>
    <s v="3 x 3 meter"/>
    <s v="Termasuk listrik (implied)"/>
    <s v=""/>
    <s v="N/A"/>
    <s v="3 x 3 meter; Termasuk listrik; Kasur; Meja; Lemari Baju; Ventilasi; Bantal; Jendela; Kursi; Kloset Jongkok; K. Mandi Luar; Ember mandi; Shower; WiFi; Mushola; R. Jemur; Dispenser; CCTV; Jemuran; Pengurus Kos; Parkir Motor &amp; Sepeda"/>
    <x v="483"/>
    <s v="Rp675.000"/>
    <x v="0"/>
    <m/>
    <x v="1"/>
    <m/>
    <m/>
  </r>
  <r>
    <s v="Kost Wisma Azkara I Tipe AC Beji Depok"/>
    <x v="1"/>
    <s v="Beji"/>
    <n v="12.25"/>
    <s v="3.5 x 3.5 meter"/>
    <s v="Tidak termasuk listrik"/>
    <s v=""/>
    <s v="N/A"/>
    <s v="3.5 x 3.5 meter; Tidak termasuk listrik; AC; Kasur; Meja; Lemari Baju; Ventilasi; Bantal; Guling; Jendela; Kursi; K. Mandi Dalam; Kloset Duduk; Shower; WiFi; Kulkas; Penjaga Kos; R. Santai; Dapur; Jemuran; Parkir Motor"/>
    <x v="5"/>
    <s v="Rp1.350.000"/>
    <x v="4"/>
    <d v="1899-12-30T04:01:00"/>
    <x v="1"/>
    <m/>
    <m/>
  </r>
  <r>
    <s v="Kost Wisma Dewa Ruci Premium Cikarang Utara Bekasi"/>
    <x v="7"/>
    <s v="Kecamatan Cikarang Utara"/>
    <n v="32"/>
    <s v="8 x 4 meter"/>
    <s v="Tidak termasuk listrik"/>
    <s v=""/>
    <s v="N/A"/>
    <s v="8 x 4 meter; Tidak termasuk listrik; AC; Kasur; Meja; TV; Kulkas; Lemari Baju; Bantal; Cermin; Jendela; Kursi; K. Mandi Dalam; Kloset Duduk; Wastafel; Shower; WiFi; Penjaga Kos; Mushola; R. Jemur; R. Makan; Dapur; CCTV; Jemuran; Jual Makanan; K. Mandi Luar; Parkir Mobil; Parkir Motor"/>
    <x v="19"/>
    <s v="Rp1.800.000"/>
    <x v="0"/>
    <m/>
    <x v="0"/>
    <m/>
    <m/>
  </r>
  <r>
    <s v="Kost Wisma Kedurang Cikarang Utara Bekasi"/>
    <x v="7"/>
    <s v="Cikarang Utara"/>
    <n v="9"/>
    <s v="3 x 3 meter"/>
    <s v="Tidak termasuk listrik"/>
    <s v=""/>
    <s v="N/A"/>
    <s v="3 x 3 meter; Tidak termasuk listrik; Ventilasi; Dapur Pribadi; K. Mandi Dalam; Kloset Jongkok; R. Jemur; Jemuran; Jual Makanan; CCTV; Parkir Motor"/>
    <x v="484"/>
    <s v="Rp515.000"/>
    <x v="4"/>
    <d v="1899-12-30T04:01:00"/>
    <x v="0"/>
    <m/>
    <m/>
  </r>
  <r>
    <s v="Kost Wisma La Sapienza Dramaga Bogor"/>
    <x v="0"/>
    <s v="Kecamatan Dramaga"/>
    <n v="12"/>
    <s v="3 x 4 meter"/>
    <s v="Tidak termasuk listrik"/>
    <s v=""/>
    <s v="N/A"/>
    <s v="3 x 4 meter; Tidak termasuk listrik; Kasur; Meja; Lemari Baju; Jendela; Kloset Jongkok; Bak mandi; WiFi; Kulkas; R. Cuci; R. Tamu; R. Jemur; R. Santai; Dapur; Jemuran; K. Mandi Luar; Pengurus Kos; Parkir Motor"/>
    <x v="31"/>
    <s v="Rp600.000"/>
    <x v="10"/>
    <d v="1899-12-30T04:05:00"/>
    <x v="2"/>
    <m/>
    <m/>
  </r>
  <r>
    <s v="Kost Wisma Mandiri Tipe A Tambun Selatan Bekasi"/>
    <x v="7"/>
    <s v="Kecamatan Tambun Selatan"/>
    <n v="9"/>
    <s v="3 x 3 meter"/>
    <s v="Termasuk listrik (implied)"/>
    <s v=""/>
    <s v="N/A"/>
    <s v="3 x 3 meter; Termasuk listrik; AC; Meja; Lemari Baju; Bantal; Cermin; Guling; Kursi; K. Mandi Dalam; Kloset Duduk; K. Mandi Luar; Ember mandi; Shower; Air panas; WiFi; Kulkas; R. Cuci; Laundry; Mesin Cuci; Penjaga Kos; R. Tamu; R. Jemur; R. Makan; R. Santai; Parkir Mobil; Parkir Motor"/>
    <x v="166"/>
    <s v="Rp1.750.000"/>
    <x v="0"/>
    <m/>
    <x v="2"/>
    <m/>
    <m/>
  </r>
  <r>
    <s v="Kost Wisma Nusantara Dramaga Bogor"/>
    <x v="0"/>
    <s v="Kecamatan Dramaga"/>
    <n v="6"/>
    <s v="3 x 2 meter"/>
    <s v="Tidak termasuk listrik"/>
    <s v=""/>
    <s v="N/A"/>
    <s v="3 x 2 meter; Tidak termasuk listrik; Kasur; Lemari Baju; K. Mandi Dalam; Kloset Jongkok; WiFi; Kulkas; Penjaga Kos; Dapur; CCTV; Jemuran; Parkir Motor"/>
    <x v="14"/>
    <s v="Rp800.000"/>
    <x v="3"/>
    <d v="1899-12-30T05:00:00"/>
    <x v="2"/>
    <m/>
    <m/>
  </r>
  <r>
    <s v="Kost Wisma Orange Stasiun Tenjo Bogor"/>
    <x v="0"/>
    <s v="Kecamatan Tenjo"/>
    <n v="27"/>
    <s v="3 x 9 meter"/>
    <s v="Tidak termasuk listrik"/>
    <s v=""/>
    <s v="N/A"/>
    <s v="3 x 9 meter; Tidak termasuk listrik; Ventilasi; Dapur Pribadi; Kloset Jongkok; R. Tamu; R. Jemur; Dapur; Taman; Parkir Mobil; Parkir Motor; Parkir Sepeda"/>
    <x v="31"/>
    <s v="Rp600.000"/>
    <x v="0"/>
    <m/>
    <x v="0"/>
    <m/>
    <m/>
  </r>
  <r>
    <s v="Kost Wisma Pertenunan Senayan Kebayoran Lama Jakarta Selatan"/>
    <x v="5"/>
    <s v="Kebayoran Lama"/>
    <n v="25"/>
    <s v="5 x 5 meter"/>
    <s v="Termasuk listrik (implied)"/>
    <s v=""/>
    <s v="N/A"/>
    <s v="5 x 5 meter; Termasuk listrik; AC; Kasur; Meja; Dispenser; TV; Meja Rias; Lemari Baju; Kulkas; Ventilasi; Kursi; K. Mandi Dalam; Kloset Duduk; Wastafel; Shower; Air panas; WiFi; R. Tamu; Penjaga Kos; Laundry; R. Makan; R. Santai; Dapur; Balcon; Parkir Mobil; Parkir Motor"/>
    <x v="485"/>
    <s v="Rp6.800.000"/>
    <x v="0"/>
    <m/>
    <x v="0"/>
    <m/>
    <m/>
  </r>
  <r>
    <s v="Kost Wisma Puteri Ayu Beji Depok"/>
    <x v="1"/>
    <s v="Beji"/>
    <n v="13.5"/>
    <s v="4.5 x 3 meter"/>
    <s v="Termasuk listrik (implied)"/>
    <s v=""/>
    <s v="N/A"/>
    <s v="4.5 x 3 meter; Termasuk listrik; Kasur; Lemari Baju; K. Mandi Dalam; Kloset Jongkok; Ember mandi; WiFi; Penjaga Kos; R. Santai; Pengurus Kos; Parkir Motor"/>
    <x v="2"/>
    <s v="Rp700.000"/>
    <x v="0"/>
    <m/>
    <x v="2"/>
    <m/>
    <m/>
  </r>
  <r>
    <s v="Kost Wisma Sanata Nur Tipe B1 Gunung Sindur Bogor"/>
    <x v="0"/>
    <s v="Gunung Sindur"/>
    <n v="8.1000000000000014"/>
    <s v="2.7 x 3 meter"/>
    <s v="Termasuk listrik (implied)"/>
    <s v=""/>
    <s v="N/A"/>
    <s v="2.7 x 3 meter; Termasuk listrik; Kasur; Meja; Lemari Baju; Ventilasi; Bantal; Cermin; Guling; Jendela; Kipas Angin; Kursi; K. Mandi Dalam; Kloset Duduk; Ember mandi; Shower; WiFi; Kulkas; R. Cuci; Penjaga Kos; R. Tamu; Mushola; R. Jemur; R. Makan; R. Santai; Dapur; Parkir Mobil; Parkir Motor; Parkir Sepeda"/>
    <x v="1"/>
    <s v="Rp1.100.000"/>
    <x v="0"/>
    <m/>
    <x v="0"/>
    <m/>
    <m/>
  </r>
  <r>
    <s v="Kost Wisma Tiara Tipe A Beji Depok"/>
    <x v="1"/>
    <s v="Kecamatan Beji"/>
    <n v="24"/>
    <s v="3 x 8 meter"/>
    <s v="Tidak termasuk listrik"/>
    <s v=""/>
    <s v="N/A"/>
    <s v="3 x 8 meter; Tidak termasuk listrik; AC; Kasur; Meja; Lemari Baju; Bantal; Jendela; Kursi; K. Mandi Dalam; Kloset Jongkok; Ember mandi; WiFi; Balcon; Parkir Mobil; Parkir Motor"/>
    <x v="23"/>
    <s v="Rp1.200.000"/>
    <x v="13"/>
    <d v="1899-12-30T04:03:00"/>
    <x v="1"/>
    <m/>
    <m/>
  </r>
  <r>
    <s v="Kost Wisma Tonitaa Karawaci Tangerang"/>
    <x v="6"/>
    <s v="Kecamatan Karawaci"/>
    <n v="9"/>
    <s v="3 x 3 meter"/>
    <s v="Termasuk listrik (implied)"/>
    <s v=""/>
    <s v="N/A"/>
    <s v="3 x 3 meter; Termasuk listrik; Kasur; Lemari Baju; Bantal; K. Mandi Dalam; Kloset Jongkok; Bak mandi; WiFi; Penjaga Kos; Dapur; Balcon; CCTV; Jemuran; Parkir Motor; Parkir Sepeda"/>
    <x v="14"/>
    <s v="Rp800.000"/>
    <x v="0"/>
    <m/>
    <x v="0"/>
    <m/>
    <m/>
  </r>
  <r>
    <s v="Kost Wisma Torina Cikarang Pusat Bekasi"/>
    <x v="7"/>
    <s v="Cikarang Pusat"/>
    <n v="12"/>
    <s v="3 x 4 meter"/>
    <s v="Tidak termasuk listrik"/>
    <s v=""/>
    <s v="N/A"/>
    <s v="3 x 4 meter; Tidak termasuk listrik; AC; Kasur; Lemari Baju; Ventilasi; Bantal; Cermin; Dapur Pribadi; Guling; Jendela; Wastafel; K. Mandi Dalam; Kloset Duduk; Shower; WiFi; Penjaga Kos; CCTV; Pengurus Kos; Parkir Mobil; Parkir Motor; Parkir Sepeda; Parkir Motor &amp; Sepeda"/>
    <x v="90"/>
    <s v="Rp1.650.000"/>
    <x v="0"/>
    <m/>
    <x v="0"/>
    <m/>
    <m/>
  </r>
  <r>
    <s v="Kost WM Tipe A Cakung Jakarta Timur"/>
    <x v="8"/>
    <s v="Kecamatan Cakung"/>
    <n v="9"/>
    <s v="3 x 3 meter"/>
    <s v="Termasuk listrik (implied)"/>
    <s v=""/>
    <s v="N/A"/>
    <s v="3 x 3 meter; Termasuk listrik; Lemari Baju; Bantal; Jendela; Kipas Angin; Kloset Duduk; Ember mandi; Shower; R. Cuci; Jemuran; K. Mandi Luar; CCTV; Parkir Motor; Parkir Sepeda"/>
    <x v="1"/>
    <s v="Rp1.100.000"/>
    <x v="3"/>
    <d v="1899-12-30T05:00:00"/>
    <x v="0"/>
    <m/>
    <m/>
  </r>
  <r>
    <s v="Kost Wulan Gunung Sindur Bogor"/>
    <x v="0"/>
    <s v="Kecamatan Gunung Sindur"/>
    <n v="9"/>
    <s v="3 x 3 meter"/>
    <s v="Termasuk listrik (implied)"/>
    <s v=""/>
    <s v="N/A"/>
    <s v="3 x 3 meter; Termasuk listrik; Kasur; Meja; Lemari Baju; Bantal; Kipas Angin; Kursi; Ember mandi; WiFi; Kulkas; R. Tamu; Dapur; Parkir Motor; Parkir Sepeda"/>
    <x v="99"/>
    <s v="Rp900.000"/>
    <x v="0"/>
    <m/>
    <x v="1"/>
    <m/>
    <m/>
  </r>
  <r>
    <s v="Kost Wynn Sunter Tipe 1 Tanjung Priok Jakarta Utara"/>
    <x v="4"/>
    <s v="Tanjung Priok"/>
    <n v="6"/>
    <s v="2 x 3 meter"/>
    <s v="Tidak termasuk listrik"/>
    <s v=""/>
    <s v="N/A"/>
    <s v="2 x 3 meter; Tidak termasuk listrik; AC; Kasur; Ventilasi; Bantal; Cermin; Jendela; Wastafel; K. Mandi Dalam; Kloset Duduk; Shower; WiFi; Kulkas; R. Cuci; Laundry; Mesin Cuci; Penjaga Kos; R. Jemur; Dapur; Dispenser; CCTV; Parkir Motor"/>
    <x v="11"/>
    <s v="Rp1.400.000"/>
    <x v="2"/>
    <d v="1899-12-30T04:08:00"/>
    <x v="0"/>
    <m/>
    <s v="Diskon 78rb"/>
  </r>
  <r>
    <s v="Kost Yahya Sirkuit Sentul Citeureup Bogor"/>
    <x v="0"/>
    <s v="Citeureup"/>
    <n v="13.5"/>
    <s v="3 x 4.5 meter"/>
    <s v="Termasuk listrik (implied)"/>
    <s v=""/>
    <s v="N/A"/>
    <s v="3 x 4.5 meter; Termasuk listrik; Kasur; Meja; Lemari Baju; Kulkas; Ventilasi; Kursi; Bantal; Cermin; Guling; Jendela; K. Mandi Dalam; Kloset Jongkok; K. Mandi Luar; Ember mandi; Bak mandi; WiFi; Penjaga Kos; R. Jemur; Mushola; R. Santai; Balcon; Pengurus Kos; Jemuran; Kartu Akses; Parkir Mobil; Parkir Motor; Parkir Sepeda"/>
    <x v="11"/>
    <s v="Rp1.400.000"/>
    <x v="10"/>
    <d v="1899-12-30T04:05:00"/>
    <x v="0"/>
    <m/>
    <m/>
  </r>
  <r>
    <s v="Kost Yani Exclusive Cikarang Barat Bekasi"/>
    <x v="7"/>
    <s v="Kecamatan Cikarang Barat"/>
    <n v="9"/>
    <s v="3 x 3 meter"/>
    <s v="Termasuk listrik (implied)"/>
    <s v=""/>
    <s v="N/A"/>
    <s v="3 x 3 meter; Termasuk listrik; AC; Kasur; Meja; Lemari Baju; Ventilasi; Cermin; Jendela; Kloset Duduk; WiFi; Kulkas; Laundry; R. Makan; R. Santai; Dapur; Dispenser; Balcon; Jemuran; Jual Makanan; Parkir Motor"/>
    <x v="3"/>
    <s v="Rp1.500.000"/>
    <x v="0"/>
    <m/>
    <x v="2"/>
    <m/>
    <m/>
  </r>
  <r>
    <s v="Kost Yasin Tipe A Kebon Jeruk Jakarta Barat"/>
    <x v="3"/>
    <s v="Kecamatan Kebon Jeruk"/>
    <n v="12"/>
    <s v="3 x 4 meter"/>
    <s v="Termasuk listrik (implied)"/>
    <s v=""/>
    <s v="N/A"/>
    <s v="3 x 4 meter; Termasuk listrik; Kasur; Lemari Baju; Bantal; Guling; Jendela; Kipas Angin; K. Mandi Dalam; Kloset Jongkok; K. Mandi Luar; Ember mandi; Bak mandi; WiFi; R. Cuci; R. Jemur; Balcon; Jemuran; Jual Makanan; Parkir Motor &amp; Sepeda"/>
    <x v="2"/>
    <s v="Rp700.000"/>
    <x v="0"/>
    <m/>
    <x v="0"/>
    <m/>
    <m/>
  </r>
  <r>
    <s v="Kost Yasmin Tipe B Dramaga Bogor"/>
    <x v="0"/>
    <s v="Dramaga"/>
    <n v="12"/>
    <s v="3 x 4 meter"/>
    <s v="Termasuk listrik (implied)"/>
    <s v=""/>
    <s v="N/A"/>
    <s v="3 x 4 meter; Termasuk listrik; Kasur; Dispenser; Lemari Baju; Ventilasi; Bantal; Cermin; Guling; Jendela; Kipas Angin; Kursi; K. Mandi Dalam; Kloset Jongkok; Ember mandi; Shower; WiFi; Penjaga Kos; R. Jemur; Balcon; Jemuran; Pengurus Kos; Parkir Motor; Parkir Motor &amp; Sepeda"/>
    <x v="29"/>
    <s v="Rp500.000"/>
    <x v="0"/>
    <m/>
    <x v="0"/>
    <m/>
    <m/>
  </r>
  <r>
    <s v="Kost Yellow Cipondoh Tangerang"/>
    <x v="6"/>
    <s v="Cipondoh"/>
    <n v="12"/>
    <s v="3 x 4 meter"/>
    <s v="Tidak termasuk listrik"/>
    <s v=""/>
    <s v="N/A"/>
    <s v="3 x 4 meter; Tidak termasuk listrik; AC; Kasur; Meja; TV; Lemari Baju; Bantal; Cermin; Guling; Jendela; Kursi; K. Mandi Dalam; Kloset Duduk; Shower; WiFi; Kulkas; Laundry; R. Jemur; R. Santai; Dapur; CCTV; Jemuran; Rooftop; Pengurus Kos; Parkir Mobil; Parkir Motor; Parkir Sepeda"/>
    <x v="89"/>
    <s v="Rp1.900.000"/>
    <x v="0"/>
    <m/>
    <x v="2"/>
    <m/>
    <m/>
  </r>
  <r>
    <s v="Kost Yellow Unhan Sentul Tipe Executive Citeureup Bogor"/>
    <x v="0"/>
    <s v="Citeureup"/>
    <n v="12"/>
    <s v="3 x 4 meter"/>
    <s v="Termasuk listrik (implied)"/>
    <s v=""/>
    <s v="N/A"/>
    <s v="3 x 4 meter; Termasuk listrik; Kasur; Meja; Lemari Baju; Ventilasi; Bantal; Dapur Pribadi; Guling; Jendela; Kipas Angin; K. Mandi Dalam; Kloset Duduk; Kloset Jongkok; K. Mandi Luar; Ember mandi; Shower; Bak mandi; Kulkas; R. Cuci; R. Tamu; Mushola; R. Jemur; R. Makan; R. Santai; Dapur; Dispenser; Balcon; Parkir Mobil; Parkir Motor; Parkir Sepeda"/>
    <x v="14"/>
    <s v="Rp800.000"/>
    <x v="0"/>
    <m/>
    <x v="0"/>
    <m/>
    <m/>
  </r>
  <r>
    <s v="Kost YL 62 Sawangan Depok"/>
    <x v="1"/>
    <s v="Sawangan"/>
    <n v="12"/>
    <s v="3 x 4 meter"/>
    <s v="Tidak termasuk listrik"/>
    <s v=""/>
    <s v="N/A"/>
    <s v="3 x 4 meter; Tidak termasuk listrik; Kasur; Lemari Baju; Ventilasi; Bantal; Jendela; Kipas Angin; K. Mandi Dalam; Kloset Duduk; Kloset Jongkok; Ember mandi; Shower; WiFi; Penjaga Kos; R. Jemur; R. Makan; Dapur; Balcon; Jemuran; Pengurus Kos; Parkir Motor; Parkir Sepeda"/>
    <x v="99"/>
    <s v="Rp900.000"/>
    <x v="6"/>
    <d v="1899-12-30T04:06:00"/>
    <x v="0"/>
    <m/>
    <m/>
  </r>
  <r>
    <s v="Kost Yudi Residence Tipe A Tanjung Priok Jakarta Utara"/>
    <x v="4"/>
    <s v="Tanjung Priok"/>
    <n v="9"/>
    <s v="3 x 3 meter"/>
    <s v="Tidak termasuk listrik"/>
    <s v=""/>
    <s v="N/A"/>
    <s v="3 x 3 meter; Tidak termasuk listrik; AC; Kasur; Meja; TV; Lemari Baju; Kulkas; Ventilasi; Kursi; Wastafel; Kipas Angin; K. Mandi Dalam; Kloset Duduk; Shower; WiFi; R. Cuci; R. Tamu; Penjaga Kos; R. Makan; R. Jemur; R. Santai; Dapur; Parkir Motor; Parkir Sepeda"/>
    <x v="22"/>
    <s v="Rp2.500.000"/>
    <x v="6"/>
    <d v="1899-12-30T04:06:00"/>
    <x v="0"/>
    <m/>
    <s v="Diskon 118rb"/>
  </r>
  <r>
    <s v="Kost Yudi Residence Tipe A Tanjung Priok Jakarta Utara"/>
    <x v="4"/>
    <s v="Tanjung Priok"/>
    <n v="9"/>
    <s v="3 x 3 meter"/>
    <s v="Tidak termasuk listrik"/>
    <s v=""/>
    <s v="N/A"/>
    <s v="3 x 3 meter; Tidak termasuk listrik; AC; Kasur; Meja; TV; Lemari Baju; Kulkas; Ventilasi; Kursi; Wastafel; Kipas Angin; K. Mandi Dalam; Kloset Duduk; Shower; WiFi; R. Cuci; R. Tamu; Penjaga Kos; R. Makan; R. Jemur; R. Santai; Dapur; Parkir Motor; Parkir Sepeda"/>
    <x v="22"/>
    <s v="Rp2.500.000"/>
    <x v="2"/>
    <d v="1899-12-30T04:08:00"/>
    <x v="0"/>
    <m/>
    <s v="Diskon 118rb"/>
  </r>
  <r>
    <s v="Kost Yudi Residence Tipe C Tanjung Priok Jakarta Utara"/>
    <x v="4"/>
    <s v="Tanjung Priok"/>
    <n v="9"/>
    <s v="3 x 3 meter"/>
    <s v="Termasuk listrik (implied)"/>
    <s v=""/>
    <s v="N/A"/>
    <s v="3 x 3 meter; Termasuk listrik; AC; Kasur; Lemari Baju; Ventilasi; Bantal; Cermin; Guling; Jendela; Kipas Angin; K. Mandi Dalam; Kloset Duduk; Shower; R. Cuci; Kulkas; R. Tamu; Penjaga Kos; R. Makan; R. Jemur; R. Santai; Dapur; TV; R. Keluarga; Parkir Motor; Parkir Sepeda"/>
    <x v="19"/>
    <s v="Rp1.800.000"/>
    <x v="12"/>
    <d v="1899-12-30T04:04:00"/>
    <x v="0"/>
    <m/>
    <s v="Diskon 80rb"/>
  </r>
  <r>
    <s v="Kost Yume Home Executive Kali Deres Jakarta Barat"/>
    <x v="3"/>
    <s v="Kali Deres"/>
    <n v="12"/>
    <s v="3 x 4 meter"/>
    <s v="Tidak termasuk listrik"/>
    <s v=""/>
    <s v="N/A"/>
    <s v="3 x 4 meter; Tidak termasuk listrik; AC; Kasur; TV; Lemari Baju; Ventilasi; Bantal; Guling; Jendela; Kursi; K. Mandi Dalam; Kloset Duduk; Shower; Air panas; WiFi; Kulkas; R. Cuci; Mesin Cuci; Penjaga Kos; R. Tamu; R. Jemur; R. Makan; R. Santai; Dapur; Parkir Motor; Parkir Sepeda; Parkir Motor &amp; Sepeda"/>
    <x v="26"/>
    <s v="Rp2.100.000"/>
    <x v="3"/>
    <d v="1899-12-30T05:00:00"/>
    <x v="0"/>
    <m/>
    <m/>
  </r>
  <r>
    <s v="Kost Z Dramaga Bogor"/>
    <x v="0"/>
    <s v="Dramaga"/>
    <n v="12"/>
    <s v="3 x 4 meter"/>
    <s v="Tidak termasuk listrik"/>
    <s v=""/>
    <s v="N/A"/>
    <s v="3 x 4 meter; Tidak termasuk listrik; AC; Kasur; Meja; Lemari Baju; Bantal; Cermin; Guling; Jendela; Kursi; K. Mandi Dalam; Kloset Duduk; Shower; WiFi; Kulkas; R. Cuci; Mesin Cuci; Penjaga Kos; R. Tamu; R. Jemur; R. Santai; Dapur; Dispenser; Parkir Motor; Parkir Sepeda"/>
    <x v="3"/>
    <s v="Rp1.500.000"/>
    <x v="3"/>
    <d v="1899-12-30T05:00:00"/>
    <x v="2"/>
    <m/>
    <m/>
  </r>
  <r>
    <s v="Kost ZAHIRA 2 Tipe B Cikarang Utara Bekasi"/>
    <x v="7"/>
    <s v="Kecamatan Cikarang Utara"/>
    <n v="12"/>
    <s v="3 x 4 meter"/>
    <s v="Termasuk listrik (implied)"/>
    <s v=""/>
    <s v="N/A"/>
    <s v="3 x 4 meter; Termasuk listrik; Ventilasi; Kloset Jongkok; R. Jemur; Dapur; Balcon; Jemuran; Kartu Akses; Parkir Motor; Parkir Sepeda; Parkir Motor &amp; Sepeda"/>
    <x v="486"/>
    <s v="Rp485.000"/>
    <x v="0"/>
    <m/>
    <x v="0"/>
    <m/>
    <m/>
  </r>
  <r>
    <s v="Kost Zahira 4 Executive Cikarang Barat Bekasi"/>
    <x v="7"/>
    <s v="Cikarang Barat"/>
    <n v="9"/>
    <s v="3 x 3 meter"/>
    <s v="Tidak termasuk listrik"/>
    <s v=""/>
    <s v="N/A"/>
    <s v="3 x 3 meter; Tidak termasuk listrik; AC; Kasur; Meja; Lemari Baju; Bantal; Cermin; Guling; Jendela; Kursi; K. Mandi Dalam; Kloset Duduk; Ember mandi; Shower; WiFi; Laundry; Penjaga Kos; R. Jemur; Dispenser; Balcon; CCTV; Jemuran; Pengurus Kos; Parkir Motor; Parkir Sepeda"/>
    <x v="1"/>
    <s v="Rp1.100.000"/>
    <x v="0"/>
    <m/>
    <x v="2"/>
    <m/>
    <m/>
  </r>
  <r>
    <s v="Kost Zahira 4 Executive Cikarang Barat Bekasi"/>
    <x v="7"/>
    <s v="Cikarang Barat"/>
    <n v="9"/>
    <s v="3 x 3 meter"/>
    <s v="Tidak termasuk listrik"/>
    <s v=""/>
    <s v="N/A"/>
    <s v="3 x 3 meter; Tidak termasuk listrik; AC; Kasur; Meja; Lemari Baju; Bantal; Cermin; Guling; Jendela; Kursi; Parkir Motor; Parkir Sepeda"/>
    <x v="1"/>
    <s v="Rp1.100.000"/>
    <x v="0"/>
    <m/>
    <x v="2"/>
    <m/>
    <m/>
  </r>
  <r>
    <s v="Kost Zahra Beji Depok"/>
    <x v="1"/>
    <s v="Beji"/>
    <n v="12"/>
    <s v="3 x 4 meter"/>
    <s v="Termasuk listrik (implied)"/>
    <s v=""/>
    <s v="N/A"/>
    <s v="3 x 4 meter; Termasuk listrik; AC; Kasur; Meja; Lemari Baju; Ventilasi; Kursi; Bantal; Jendela; K. Mandi Dalam; Kloset Duduk; Shower; WiFi; R. Cuci; Kulkas; R. Tamu; Mesin Cuci; Penjaga Kos; R. Makan; R. Jemur; R. Santai; Dapur; Parkir Motor; Parkir Sepeda"/>
    <x v="11"/>
    <s v="Rp1.400.000"/>
    <x v="3"/>
    <d v="1899-12-30T05:00:00"/>
    <x v="2"/>
    <m/>
    <m/>
  </r>
  <r>
    <s v="Kost Zahra Pinang Tangerang"/>
    <x v="6"/>
    <s v="Kecamatan Pinang"/>
    <n v="15"/>
    <s v="3 x 5 meter"/>
    <s v="Tidak termasuk listrik"/>
    <s v=""/>
    <s v="N/A"/>
    <s v="3 x 5 meter; Tidak termasuk listrik; Ventilasi; Dapur Pribadi; Jendela; Wastafel; K. Mandi Dalam; Kloset Jongkok; Ember mandi; R. Tamu; Balcon; Jemuran; Pengurus Kos; Parkir Motor; Parkir Sepeda"/>
    <x v="10"/>
    <s v="Rp750.000"/>
    <x v="0"/>
    <m/>
    <x v="0"/>
    <m/>
    <m/>
  </r>
  <r>
    <s v="Kost Zahra Puri Flamboyan Ciputat Timur Tangerang Selatan"/>
    <x v="2"/>
    <s v="Ciputat Timur"/>
    <n v="16"/>
    <s v="4 x 4 meter"/>
    <s v="Termasuk listrik (implied)"/>
    <s v=""/>
    <s v="N/A"/>
    <s v="4 x 4 meter; Termasuk listrik; Kasur; Meja; Dispenser; Lemari Baju; Ventilasi; Kursi; Bantal; Guling; Jendela; Dapur Pribadi; K. Mandi Dalam; Kloset Duduk; K. Mandi Luar; Shower; WiFi; R. Cuci; R. Tamu; Mesin Cuci; Penjaga Kos; R. Jemur; R. Santai; Dapur; Balcon; Parkir Mobil; Parkir Motor; Parkir Sepeda"/>
    <x v="487"/>
    <s v="Rp12.300.000"/>
    <x v="0"/>
    <m/>
    <x v="2"/>
    <m/>
    <m/>
  </r>
  <r>
    <s v="Kost Zahsy Tipe A Tangerang"/>
    <x v="6"/>
    <s v="Kecamatan Tangerang"/>
    <n v="18"/>
    <s v="3 x 6 meter"/>
    <s v="Tidak termasuk listrik"/>
    <s v=""/>
    <s v="N/A"/>
    <s v="3 x 6 meter; Tidak termasuk listrik; Kasur; Lemari Baju; Ventilasi; Bantal; Guling; Jendela; Kipas Angin; K. Mandi Dalam; Kloset Duduk; Ember mandi; Laundry; Balcon; CCTV; Gazebo; Jemuran; Joglo; Parkir Motor; Parkir Sepeda"/>
    <x v="0"/>
    <s v="Rp950.000"/>
    <x v="0"/>
    <m/>
    <x v="0"/>
    <m/>
    <m/>
  </r>
  <r>
    <s v="Kost Zea Andri Alam Sutera Pinang Tangerang"/>
    <x v="6"/>
    <s v="Kecamatan Pinang"/>
    <n v="12"/>
    <s v="3 x 4 meter"/>
    <s v="Tidak termasuk listrik"/>
    <s v=""/>
    <s v="N/A"/>
    <s v="3 x 4 meter; Tidak termasuk listrik; AC; Kasur; Meja; Lemari Baju; Ventilasi; Bantal; Guling; Jendela; Cermin; K. Mandi Dalam; Kloset Duduk; Ember mandi; Shower; WiFi; R. Cuci; Kulkas; Mesin Cuci; Penjaga Kos; R. Jemur; Dapur; Jemuran; Balcon; Pengurus Kos; Parkir Motor; Parkir Sepeda; Parkir Motor &amp; Sepeda"/>
    <x v="3"/>
    <s v="Rp1.500.000"/>
    <x v="10"/>
    <d v="1899-12-30T04:05:00"/>
    <x v="0"/>
    <m/>
    <s v="Diskon 90rb"/>
  </r>
  <r>
    <s v="Kost Zeal 2 Residence Serpong Utara Tangerang Selatan"/>
    <x v="2"/>
    <s v="Serpong Utara"/>
    <n v="18"/>
    <s v="3 x 6 meter"/>
    <s v="Termasuk listrik (implied)"/>
    <s v=""/>
    <s v="N/A"/>
    <s v="3 x 6 meter; Termasuk listrik; AC; Kasur; Meja; TV; Meja Rias; Lemari Baju; Kulkas; Ventilasi; Kursi; Wastafel; K. Mandi Dalam; Kloset Duduk; Shower; Air panas; WiFi; Penjaga Kos; Laundry; R. Santai; Dapur; Dispenser; Kartu Akses; CCTV; Pengurus Kos; Parkir Mobil; Parkir Motor; Parkir Sepeda; Parkir Motor &amp; Sepeda"/>
    <x v="200"/>
    <s v="Rp3.700.000"/>
    <x v="0"/>
    <m/>
    <x v="0"/>
    <m/>
    <m/>
  </r>
  <r>
    <s v="Kost Zeeka Kutek Ui Beji Depok"/>
    <x v="1"/>
    <s v="Kecamatan Beji"/>
    <n v="14"/>
    <s v="3.5 x 4 meter"/>
    <s v="Tidak termasuk listrik"/>
    <s v=""/>
    <s v="N/A"/>
    <s v="3.5 x 4 meter; Tidak termasuk listrik; AC; Kasur; Meja; Lemari Baju; Ventilasi; Bantal; Cermin; Cleaning service; Guling; Jendela; K. Mandi Dalam; Kloset Duduk; Wastafel; Shower; Air panas; WiFi; Kulkas; Penjaga Kos; R. Tamu; Dapur; Dispenser; CCTV; Pengurus Kos; R. Keluarga; TV; Parkir Motor"/>
    <x v="90"/>
    <s v="Rp1.650.000"/>
    <x v="27"/>
    <d v="1899-12-30T04:05:00"/>
    <x v="2"/>
    <m/>
    <s v="Diskon 179rb"/>
  </r>
  <r>
    <s v="Kost Zhakost Dramaga Bogor"/>
    <x v="0"/>
    <s v="Dramaga"/>
    <n v="9"/>
    <s v="3 x 3 meter"/>
    <s v="Termasuk listrik (implied)"/>
    <s v=""/>
    <s v="N/A"/>
    <s v="3 x 3 meter; Termasuk listrik; Kasur; Meja; Kursi; Cleaning service; Bantal; Jendela; K. Mandi Dalam; Kloset Jongkok; K. Mandi Luar; Ember mandi; WiFi; Kulkas; R. Makan; R. Jemur; R. Santai; Dapur; Balcon; CCTV; Jemuran; Parkir Motor"/>
    <x v="2"/>
    <s v="Rp700.000"/>
    <x v="27"/>
    <d v="1899-12-30T04:05:00"/>
    <x v="1"/>
    <m/>
    <m/>
  </r>
  <r>
    <s v="Kost Zuzu Tipe A Pamulang Tangerang Selatan"/>
    <x v="2"/>
    <s v="Kecamatan Pamulang"/>
    <n v="9"/>
    <s v="3 x 3 meter"/>
    <s v="Termasuk listrik (implied)"/>
    <s v=""/>
    <s v="N/A"/>
    <s v="3 x 3 meter; Termasuk listrik; Kasur; Lemari Baju; Bantal; Jendela; Kipas Angin; Kloset Duduk; K. Mandi Luar; Ember mandi; WiFi; R. Jemur; Jemuran; Parkir Motor &amp; Sepeda"/>
    <x v="14"/>
    <s v="Rp800.000"/>
    <x v="27"/>
    <d v="1899-12-30T05:00:00"/>
    <x v="2"/>
    <m/>
    <s v="Diskon 72rb"/>
  </r>
  <r>
    <s v="Rumah Kontrakan Alantoti Serang Baru Bekasi"/>
    <x v="7"/>
    <s v="Kecamatan Serang Baru"/>
    <n v="1800"/>
    <s v="30 x 60 meter"/>
    <s v="Tidak termasuk listrik"/>
    <s v=""/>
    <s v="N/A"/>
    <s v="30 x 60 meter; Tidak termasuk listrik; Ventilasi; Dapur Pribadi; Jendela; Wastafel; Kloset Jongkok; K. Mandi Luar; Ember mandi; Bak mandi; Penjaga Kos; R. Tamu; R. Santai; Dapur; R. Keluarga; Parkir Mobil; Parkir Motor; Parkir Sepeda; Parkir Motor &amp; Sepeda"/>
    <x v="1"/>
    <s v="Rp1.100.000"/>
    <x v="27"/>
    <m/>
    <x v="0"/>
    <m/>
    <m/>
  </r>
  <r>
    <s v="Rumah Kontrakan Anastra Village Cibitung Bekasi"/>
    <x v="7"/>
    <s v="Cibitung"/>
    <n v="60"/>
    <s v="6 x 10 meter"/>
    <s v="Tidak termasuk listrik"/>
    <s v=""/>
    <s v="N/A"/>
    <s v="6 x 10 meter; Tidak termasuk listrik; Dapur Pribadi; Jendela; K. Mandi Dalam; Kloset Jongkok; Ember mandi; Bak mandi; R. Cuci; R. Tamu; Mushola; R. Jemur; R. Santai; Dapur; Balcon; Gazebo; Jemuran; Joglo; Parkir Mobil; Parkir Motor; Parkir Sepeda; Parkir Motor &amp; Sepeda"/>
    <x v="10"/>
    <s v="Rp750.000"/>
    <x v="27"/>
    <m/>
    <x v="0"/>
    <m/>
    <m/>
  </r>
  <r>
    <s v="Rumah Kontrakan Baladewa Depok Sukmajaya Depok"/>
    <x v="1"/>
    <s v="Kecamatan Sukmajaya"/>
    <n v="9"/>
    <s v="3 x 3 meter"/>
    <s v="Tidak termasuk listrik"/>
    <s v=""/>
    <s v="N/A"/>
    <s v="3 x 3 meter; Tidak termasuk listrik; Jendela; Kloset Duduk; Shower; R. Tamu; R. Makan; R. Santai; Dapur; Jemuran; R. Keluarga; Parkir Mobil; Parkir Motor"/>
    <x v="22"/>
    <s v="Rp2.500.000"/>
    <x v="27"/>
    <m/>
    <x v="0"/>
    <m/>
    <m/>
  </r>
  <r>
    <s v="Rumah Kontrakan CNA Home Tamansari Bogor"/>
    <x v="0"/>
    <s v="Tamansari"/>
    <n v="30"/>
    <s v="5 x 6 meter"/>
    <s v="Tidak termasuk listrik"/>
    <s v=""/>
    <s v="N/A"/>
    <s v="5 x 6 meter; Tidak termasuk listrik; AC; Kasur; Meja; TV; Kulkas; Kursi; K. Mandi Dalam; Kloset Duduk; Ember mandi; Wastafel; Shower; Air panas; R. Tamu; Dapur; Taman; Parkir Mobil; Parkir Motor; Parkir Sepeda; Parkir Motor &amp; Sepeda"/>
    <x v="7"/>
    <s v="Rp3.500.000"/>
    <x v="27"/>
    <m/>
    <x v="0"/>
    <m/>
    <m/>
  </r>
  <r>
    <s v="Rumah Kontrakan Gang H Nasir Ciputat Tangerang Selatan"/>
    <x v="2"/>
    <s v="Kecamatan Ciputat"/>
    <n v="10"/>
    <s v="2 x 5 meter"/>
    <s v="Tidak termasuk listrik"/>
    <s v=""/>
    <s v="N/A"/>
    <s v="2 x 5 meter; Tidak termasuk listrik; Jendela; Kloset Jongkok; R. Cuci; R. Tamu; R. Jemur; R. Makan; R. Santai; Balcon; R. Keluarga; Parkir Motor"/>
    <x v="28"/>
    <s v="Rp1.000.000"/>
    <x v="27"/>
    <m/>
    <x v="0"/>
    <m/>
    <m/>
  </r>
  <r>
    <s v="Rumah Kontrakan Komplek Sunter Jaya Baru Tanjung Priok Jakarta Utara"/>
    <x v="4"/>
    <s v="Kecamatan Tanjung Priok"/>
    <n v="12"/>
    <s v="3 x 4 meter"/>
    <s v="Tidak termasuk listrik"/>
    <s v=""/>
    <s v="N/A"/>
    <s v="3 x 4 meter; Tidak termasuk listrik; Ventilasi; Jendela; K. Mandi Dalam; Kloset Duduk; Kloset Jongkok; Bak mandi; R. Cuci; R. Tamu; R. Jemur; R. Makan; R. Santai; Dapur; R. Keluarga; Parkir Mobil; Parkir Motor; Parkir Sepeda; Parkir Motor &amp; Sepeda"/>
    <x v="488"/>
    <s v="Rp4.600.000"/>
    <x v="27"/>
    <m/>
    <x v="0"/>
    <m/>
    <m/>
  </r>
  <r>
    <s v="Rumah Kontrakan Lily Jonggol Bogor"/>
    <x v="0"/>
    <s v="Jonggol"/>
    <n v="6"/>
    <s v="2 x 3 meter"/>
    <s v="Tidak termasuk listrik"/>
    <s v=""/>
    <s v="N/A"/>
    <s v="2 x 3 meter; Tidak termasuk listrik; AC; Kloset Duduk; CCTV; Parkir Mobil"/>
    <x v="3"/>
    <s v="Rp1.500.000"/>
    <x v="27"/>
    <m/>
    <x v="0"/>
    <m/>
    <m/>
  </r>
  <r>
    <s v="Rumah Kontrakan Mustika Tambelang Bekasi"/>
    <x v="7"/>
    <s v="Tambelang"/>
    <n v="12"/>
    <s v="3 x 4 meter"/>
    <s v="Tidak termasuk listrik"/>
    <s v=""/>
    <s v="N/A"/>
    <s v="3 x 4 meter; Tidak termasuk listrik; Jendela; Dapur Pribadi; Kloset Jongkok; Ember mandi; Shower; R. Tamu; Dapur; Parkir Mobil; Parkir Motor; Parkir Sepeda; Parkir Motor &amp; Sepeda"/>
    <x v="3"/>
    <s v="Rp1.500.000"/>
    <x v="27"/>
    <m/>
    <x v="0"/>
    <m/>
    <m/>
  </r>
  <r>
    <s v="Rumah Kontrakan Nanang Bojong Rangkas Ciampea Bogor"/>
    <x v="0"/>
    <s v="Kecamatan Ciampea"/>
    <n v="9"/>
    <s v="3 x 3 meter"/>
    <s v="Tidak termasuk listrik"/>
    <s v=""/>
    <s v="N/A"/>
    <s v="3 x 3 meter; Tidak termasuk listrik; Ventilasi; Dapur Pribadi; Jendela; Wastafel; Kloset Jongkok; K. Mandi Luar; Shower; R. Cuci; R. Tamu; R. Jemur; R. Makan; R. Santai; Dapur; Balcon; Jual Makanan; R. Keluarga; Parkir Motor; Parkir Sepeda"/>
    <x v="14"/>
    <s v="Rp800.000"/>
    <x v="27"/>
    <m/>
    <x v="0"/>
    <m/>
    <m/>
  </r>
  <r>
    <m/>
    <x v="10"/>
    <m/>
    <n v="2326"/>
    <m/>
    <m/>
    <n v="621"/>
    <s v="1732"/>
    <e v="#REF!"/>
    <x v="489"/>
    <n v="0"/>
    <x v="27"/>
    <b v="1"/>
    <x v="3"/>
    <m/>
    <m/>
  </r>
  <r>
    <m/>
    <x v="10"/>
    <m/>
    <m/>
    <m/>
    <m/>
    <m/>
    <m/>
    <m/>
    <x v="490"/>
    <b v="0"/>
    <x v="27"/>
    <m/>
    <x v="3"/>
    <m/>
    <m/>
  </r>
  <r>
    <m/>
    <x v="10"/>
    <m/>
    <m/>
    <m/>
    <m/>
    <m/>
    <m/>
    <s v="average"/>
    <x v="491"/>
    <m/>
    <x v="27"/>
    <m/>
    <x v="3"/>
    <m/>
    <m/>
  </r>
  <r>
    <m/>
    <x v="10"/>
    <m/>
    <m/>
    <m/>
    <m/>
    <m/>
    <m/>
    <s v="min"/>
    <x v="88"/>
    <m/>
    <x v="27"/>
    <m/>
    <x v="3"/>
    <m/>
    <m/>
  </r>
  <r>
    <m/>
    <x v="10"/>
    <m/>
    <m/>
    <m/>
    <m/>
    <m/>
    <m/>
    <s v="max"/>
    <x v="487"/>
    <m/>
    <x v="27"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2">
  <location ref="A3:B14" firstHeaderRow="1" firstDataRow="1" firstDataCol="1"/>
  <pivotFields count="16">
    <pivotField showAll="0"/>
    <pivotField axis="axisRow" dataField="1" showAll="0">
      <items count="12">
        <item x="7"/>
        <item x="0"/>
        <item x="1"/>
        <item x="3"/>
        <item x="9"/>
        <item x="5"/>
        <item x="8"/>
        <item x="4"/>
        <item x="6"/>
        <item x="2"/>
        <item h="1" x="10"/>
        <item t="default"/>
      </items>
    </pivotField>
    <pivotField showAll="0">
      <items count="203">
        <item x="0"/>
        <item x="155"/>
        <item x="165"/>
        <item x="15"/>
        <item x="160"/>
        <item x="24"/>
        <item x="102"/>
        <item x="11"/>
        <item x="48"/>
        <item x="51"/>
        <item x="53"/>
        <item x="117"/>
        <item x="76"/>
        <item x="35"/>
        <item x="110"/>
        <item x="92"/>
        <item x="120"/>
        <item x="19"/>
        <item x="118"/>
        <item x="27"/>
        <item x="91"/>
        <item x="78"/>
        <item x="7"/>
        <item x="147"/>
        <item x="31"/>
        <item x="49"/>
        <item x="150"/>
        <item x="46"/>
        <item x="1"/>
        <item x="142"/>
        <item x="25"/>
        <item x="97"/>
        <item x="65"/>
        <item x="52"/>
        <item x="37"/>
        <item x="20"/>
        <item x="109"/>
        <item x="73"/>
        <item x="39"/>
        <item x="62"/>
        <item x="13"/>
        <item x="95"/>
        <item x="159"/>
        <item x="40"/>
        <item x="63"/>
        <item x="60"/>
        <item x="58"/>
        <item x="86"/>
        <item x="50"/>
        <item x="199"/>
        <item x="184"/>
        <item x="130"/>
        <item x="26"/>
        <item x="134"/>
        <item x="116"/>
        <item x="6"/>
        <item x="57"/>
        <item x="14"/>
        <item x="80"/>
        <item x="195"/>
        <item x="157"/>
        <item x="16"/>
        <item x="122"/>
        <item x="173"/>
        <item x="148"/>
        <item x="196"/>
        <item x="119"/>
        <item x="30"/>
        <item x="66"/>
        <item x="169"/>
        <item x="85"/>
        <item x="75"/>
        <item x="96"/>
        <item x="129"/>
        <item x="108"/>
        <item x="100"/>
        <item x="112"/>
        <item x="33"/>
        <item x="172"/>
        <item x="140"/>
        <item x="128"/>
        <item x="145"/>
        <item x="114"/>
        <item x="124"/>
        <item x="176"/>
        <item x="98"/>
        <item x="103"/>
        <item x="8"/>
        <item x="161"/>
        <item x="23"/>
        <item x="115"/>
        <item x="135"/>
        <item x="82"/>
        <item x="89"/>
        <item x="126"/>
        <item x="69"/>
        <item x="174"/>
        <item x="180"/>
        <item x="131"/>
        <item x="121"/>
        <item x="141"/>
        <item x="182"/>
        <item x="188"/>
        <item x="61"/>
        <item x="79"/>
        <item x="56"/>
        <item x="133"/>
        <item x="36"/>
        <item x="163"/>
        <item x="87"/>
        <item x="138"/>
        <item x="178"/>
        <item x="83"/>
        <item x="127"/>
        <item x="34"/>
        <item x="158"/>
        <item x="104"/>
        <item x="77"/>
        <item x="190"/>
        <item x="171"/>
        <item x="139"/>
        <item x="123"/>
        <item x="156"/>
        <item x="152"/>
        <item x="166"/>
        <item x="17"/>
        <item x="2"/>
        <item x="94"/>
        <item x="162"/>
        <item x="68"/>
        <item x="197"/>
        <item x="106"/>
        <item x="3"/>
        <item x="185"/>
        <item x="21"/>
        <item x="164"/>
        <item x="84"/>
        <item x="136"/>
        <item x="101"/>
        <item x="175"/>
        <item x="186"/>
        <item x="90"/>
        <item x="10"/>
        <item x="99"/>
        <item x="183"/>
        <item x="64"/>
        <item x="168"/>
        <item x="194"/>
        <item x="111"/>
        <item x="137"/>
        <item x="38"/>
        <item x="71"/>
        <item x="93"/>
        <item x="47"/>
        <item x="74"/>
        <item x="9"/>
        <item x="45"/>
        <item x="67"/>
        <item x="72"/>
        <item x="125"/>
        <item x="144"/>
        <item x="88"/>
        <item x="4"/>
        <item x="54"/>
        <item x="55"/>
        <item x="170"/>
        <item x="177"/>
        <item x="193"/>
        <item x="43"/>
        <item x="28"/>
        <item x="146"/>
        <item x="12"/>
        <item x="81"/>
        <item x="187"/>
        <item x="105"/>
        <item x="29"/>
        <item x="32"/>
        <item x="59"/>
        <item x="179"/>
        <item x="41"/>
        <item x="18"/>
        <item x="181"/>
        <item x="44"/>
        <item x="192"/>
        <item x="70"/>
        <item x="107"/>
        <item x="132"/>
        <item x="143"/>
        <item x="151"/>
        <item x="149"/>
        <item x="198"/>
        <item x="200"/>
        <item x="191"/>
        <item x="113"/>
        <item x="167"/>
        <item x="42"/>
        <item x="22"/>
        <item x="154"/>
        <item x="5"/>
        <item x="153"/>
        <item x="189"/>
        <item x="2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reg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3:B14" firstHeaderRow="1" firstDataRow="1" firstDataCol="1"/>
  <pivotFields count="16">
    <pivotField showAll="0"/>
    <pivotField axis="axisRow" showAll="0">
      <items count="12">
        <item x="7"/>
        <item x="0"/>
        <item x="1"/>
        <item x="3"/>
        <item x="9"/>
        <item x="5"/>
        <item x="8"/>
        <item x="4"/>
        <item x="6"/>
        <item x="2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493">
        <item x="490"/>
        <item x="88"/>
        <item x="217"/>
        <item x="486"/>
        <item x="256"/>
        <item x="29"/>
        <item x="484"/>
        <item x="188"/>
        <item x="187"/>
        <item x="177"/>
        <item x="251"/>
        <item x="130"/>
        <item x="87"/>
        <item x="31"/>
        <item x="254"/>
        <item x="175"/>
        <item x="159"/>
        <item x="226"/>
        <item x="160"/>
        <item x="69"/>
        <item x="17"/>
        <item x="47"/>
        <item x="101"/>
        <item x="225"/>
        <item x="158"/>
        <item x="483"/>
        <item x="57"/>
        <item x="234"/>
        <item x="2"/>
        <item x="478"/>
        <item x="128"/>
        <item x="121"/>
        <item x="77"/>
        <item x="252"/>
        <item x="146"/>
        <item x="479"/>
        <item x="94"/>
        <item x="150"/>
        <item x="62"/>
        <item x="10"/>
        <item x="38"/>
        <item x="149"/>
        <item x="66"/>
        <item x="205"/>
        <item x="76"/>
        <item x="295"/>
        <item x="72"/>
        <item x="14"/>
        <item x="110"/>
        <item x="75"/>
        <item x="145"/>
        <item x="136"/>
        <item x="140"/>
        <item x="55"/>
        <item x="253"/>
        <item x="45"/>
        <item x="114"/>
        <item x="60"/>
        <item x="12"/>
        <item x="61"/>
        <item x="35"/>
        <item x="213"/>
        <item x="240"/>
        <item x="109"/>
        <item x="74"/>
        <item x="16"/>
        <item x="231"/>
        <item x="218"/>
        <item x="248"/>
        <item x="95"/>
        <item x="99"/>
        <item x="119"/>
        <item x="368"/>
        <item x="106"/>
        <item x="139"/>
        <item x="43"/>
        <item x="39"/>
        <item x="82"/>
        <item x="0"/>
        <item x="93"/>
        <item x="105"/>
        <item x="215"/>
        <item x="236"/>
        <item x="107"/>
        <item x="59"/>
        <item x="157"/>
        <item x="42"/>
        <item x="71"/>
        <item x="28"/>
        <item x="206"/>
        <item x="247"/>
        <item x="65"/>
        <item x="129"/>
        <item x="214"/>
        <item x="98"/>
        <item x="100"/>
        <item x="244"/>
        <item x="41"/>
        <item x="245"/>
        <item x="117"/>
        <item x="190"/>
        <item x="131"/>
        <item x="249"/>
        <item x="67"/>
        <item x="80"/>
        <item x="294"/>
        <item x="287"/>
        <item x="40"/>
        <item x="156"/>
        <item x="1"/>
        <item x="307"/>
        <item x="96"/>
        <item x="223"/>
        <item x="144"/>
        <item x="184"/>
        <item x="125"/>
        <item x="84"/>
        <item x="37"/>
        <item x="30"/>
        <item x="168"/>
        <item x="148"/>
        <item x="266"/>
        <item x="86"/>
        <item x="124"/>
        <item x="79"/>
        <item x="374"/>
        <item x="433"/>
        <item x="91"/>
        <item x="116"/>
        <item x="49"/>
        <item x="23"/>
        <item x="132"/>
        <item x="73"/>
        <item x="375"/>
        <item x="161"/>
        <item x="162"/>
        <item x="81"/>
        <item x="273"/>
        <item x="56"/>
        <item x="183"/>
        <item x="36"/>
        <item x="267"/>
        <item x="20"/>
        <item x="127"/>
        <item x="318"/>
        <item x="147"/>
        <item x="271"/>
        <item x="155"/>
        <item x="63"/>
        <item x="50"/>
        <item x="264"/>
        <item x="426"/>
        <item x="123"/>
        <item x="133"/>
        <item x="18"/>
        <item x="274"/>
        <item x="68"/>
        <item x="70"/>
        <item x="151"/>
        <item x="138"/>
        <item x="34"/>
        <item x="477"/>
        <item x="398"/>
        <item x="85"/>
        <item x="5"/>
        <item x="46"/>
        <item x="113"/>
        <item x="387"/>
        <item x="235"/>
        <item x="54"/>
        <item x="403"/>
        <item x="48"/>
        <item x="446"/>
        <item x="423"/>
        <item x="450"/>
        <item x="270"/>
        <item x="317"/>
        <item x="181"/>
        <item x="246"/>
        <item x="11"/>
        <item x="364"/>
        <item x="268"/>
        <item x="92"/>
        <item x="263"/>
        <item x="417"/>
        <item x="463"/>
        <item x="126"/>
        <item x="389"/>
        <item x="171"/>
        <item x="377"/>
        <item x="191"/>
        <item x="122"/>
        <item x="314"/>
        <item x="21"/>
        <item x="108"/>
        <item x="402"/>
        <item x="343"/>
        <item x="102"/>
        <item x="216"/>
        <item x="115"/>
        <item x="24"/>
        <item x="413"/>
        <item x="352"/>
        <item x="481"/>
        <item x="3"/>
        <item x="250"/>
        <item x="289"/>
        <item x="458"/>
        <item x="58"/>
        <item x="285"/>
        <item x="451"/>
        <item x="134"/>
        <item x="411"/>
        <item x="276"/>
        <item x="167"/>
        <item x="418"/>
        <item x="449"/>
        <item x="422"/>
        <item x="408"/>
        <item x="135"/>
        <item x="444"/>
        <item x="334"/>
        <item x="346"/>
        <item x="328"/>
        <item x="445"/>
        <item x="224"/>
        <item x="13"/>
        <item x="388"/>
        <item x="64"/>
        <item x="461"/>
        <item x="272"/>
        <item x="288"/>
        <item x="78"/>
        <item x="152"/>
        <item x="424"/>
        <item x="103"/>
        <item x="366"/>
        <item x="491"/>
        <item x="90"/>
        <item x="262"/>
        <item x="452"/>
        <item x="243"/>
        <item x="373"/>
        <item x="53"/>
        <item x="351"/>
        <item x="112"/>
        <item x="209"/>
        <item x="163"/>
        <item x="313"/>
        <item x="118"/>
        <item x="44"/>
        <item x="259"/>
        <item x="137"/>
        <item x="143"/>
        <item x="453"/>
        <item x="166"/>
        <item x="460"/>
        <item x="435"/>
        <item x="120"/>
        <item x="202"/>
        <item x="399"/>
        <item x="219"/>
        <item x="378"/>
        <item x="386"/>
        <item x="312"/>
        <item x="342"/>
        <item x="401"/>
        <item x="19"/>
        <item x="315"/>
        <item x="462"/>
        <item x="400"/>
        <item x="431"/>
        <item x="154"/>
        <item x="142"/>
        <item x="434"/>
        <item x="329"/>
        <item x="25"/>
        <item x="358"/>
        <item x="104"/>
        <item x="52"/>
        <item x="308"/>
        <item x="185"/>
        <item x="345"/>
        <item x="475"/>
        <item x="89"/>
        <item x="330"/>
        <item x="261"/>
        <item x="275"/>
        <item x="228"/>
        <item x="432"/>
        <item x="459"/>
        <item x="299"/>
        <item x="178"/>
        <item x="290"/>
        <item x="258"/>
        <item x="203"/>
        <item x="306"/>
        <item x="111"/>
        <item x="172"/>
        <item x="425"/>
        <item x="269"/>
        <item x="474"/>
        <item x="27"/>
        <item x="97"/>
        <item x="454"/>
        <item x="291"/>
        <item x="51"/>
        <item x="404"/>
        <item x="238"/>
        <item x="303"/>
        <item x="283"/>
        <item x="201"/>
        <item x="353"/>
        <item x="310"/>
        <item x="410"/>
        <item x="383"/>
        <item x="26"/>
        <item x="347"/>
        <item x="311"/>
        <item x="470"/>
        <item x="153"/>
        <item x="457"/>
        <item x="380"/>
        <item x="265"/>
        <item x="165"/>
        <item x="421"/>
        <item x="282"/>
        <item x="286"/>
        <item x="15"/>
        <item x="407"/>
        <item x="336"/>
        <item x="4"/>
        <item x="341"/>
        <item x="232"/>
        <item x="409"/>
        <item x="257"/>
        <item x="316"/>
        <item x="170"/>
        <item x="301"/>
        <item x="428"/>
        <item x="338"/>
        <item x="412"/>
        <item x="339"/>
        <item x="469"/>
        <item x="176"/>
        <item x="337"/>
        <item x="233"/>
        <item x="189"/>
        <item x="429"/>
        <item x="443"/>
        <item x="414"/>
        <item x="349"/>
        <item x="229"/>
        <item x="281"/>
        <item x="230"/>
        <item x="208"/>
        <item x="33"/>
        <item x="354"/>
        <item x="395"/>
        <item x="456"/>
        <item x="300"/>
        <item x="440"/>
        <item x="210"/>
        <item x="304"/>
        <item x="297"/>
        <item x="221"/>
        <item x="405"/>
        <item x="164"/>
        <item x="280"/>
        <item x="174"/>
        <item x="22"/>
        <item x="302"/>
        <item x="260"/>
        <item x="430"/>
        <item x="365"/>
        <item x="169"/>
        <item x="279"/>
        <item x="473"/>
        <item x="292"/>
        <item x="179"/>
        <item x="32"/>
        <item x="83"/>
        <item x="468"/>
        <item x="396"/>
        <item x="355"/>
        <item x="447"/>
        <item x="416"/>
        <item x="367"/>
        <item x="204"/>
        <item x="320"/>
        <item x="141"/>
        <item x="331"/>
        <item x="472"/>
        <item x="199"/>
        <item x="370"/>
        <item x="467"/>
        <item x="278"/>
        <item x="356"/>
        <item x="385"/>
        <item x="420"/>
        <item x="194"/>
        <item x="222"/>
        <item x="360"/>
        <item x="379"/>
        <item x="298"/>
        <item x="391"/>
        <item x="397"/>
        <item x="180"/>
        <item x="363"/>
        <item x="371"/>
        <item x="325"/>
        <item x="212"/>
        <item x="305"/>
        <item x="384"/>
        <item x="182"/>
        <item x="415"/>
        <item x="348"/>
        <item x="427"/>
        <item x="359"/>
        <item x="220"/>
        <item x="369"/>
        <item x="471"/>
        <item x="437"/>
        <item x="333"/>
        <item x="293"/>
        <item x="237"/>
        <item x="186"/>
        <item x="207"/>
        <item x="277"/>
        <item x="480"/>
        <item x="381"/>
        <item x="406"/>
        <item x="466"/>
        <item x="6"/>
        <item x="436"/>
        <item x="455"/>
        <item x="464"/>
        <item x="319"/>
        <item x="340"/>
        <item x="362"/>
        <item x="211"/>
        <item x="465"/>
        <item x="323"/>
        <item x="309"/>
        <item x="197"/>
        <item x="394"/>
        <item x="350"/>
        <item x="419"/>
        <item x="227"/>
        <item x="332"/>
        <item x="344"/>
        <item x="284"/>
        <item x="296"/>
        <item x="361"/>
        <item x="173"/>
        <item x="372"/>
        <item x="382"/>
        <item x="7"/>
        <item x="438"/>
        <item x="322"/>
        <item x="442"/>
        <item x="448"/>
        <item x="390"/>
        <item x="482"/>
        <item x="327"/>
        <item x="242"/>
        <item x="393"/>
        <item x="357"/>
        <item x="326"/>
        <item x="200"/>
        <item x="192"/>
        <item x="376"/>
        <item x="8"/>
        <item x="439"/>
        <item x="321"/>
        <item x="476"/>
        <item x="392"/>
        <item x="9"/>
        <item x="335"/>
        <item x="198"/>
        <item x="324"/>
        <item x="255"/>
        <item x="441"/>
        <item x="193"/>
        <item x="196"/>
        <item x="195"/>
        <item x="488"/>
        <item x="241"/>
        <item x="239"/>
        <item x="485"/>
        <item x="487"/>
        <item x="489"/>
        <item t="default"/>
      </items>
    </pivotField>
    <pivotField showAll="0"/>
    <pivotField showAll="0">
      <items count="29">
        <item x="0"/>
        <item x="1"/>
        <item x="23"/>
        <item x="26"/>
        <item x="22"/>
        <item x="18"/>
        <item x="21"/>
        <item x="20"/>
        <item x="16"/>
        <item x="19"/>
        <item x="24"/>
        <item x="15"/>
        <item x="25"/>
        <item x="9"/>
        <item x="14"/>
        <item x="7"/>
        <item x="11"/>
        <item x="17"/>
        <item x="5"/>
        <item x="4"/>
        <item x="13"/>
        <item x="12"/>
        <item x="10"/>
        <item x="6"/>
        <item x="2"/>
        <item x="8"/>
        <item x="3"/>
        <item x="2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rice_clean" fld="9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1">
  <location ref="A3:B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93">
        <item x="490"/>
        <item x="88"/>
        <item x="217"/>
        <item x="486"/>
        <item x="256"/>
        <item x="29"/>
        <item x="484"/>
        <item x="188"/>
        <item x="187"/>
        <item x="177"/>
        <item x="251"/>
        <item x="130"/>
        <item x="87"/>
        <item x="31"/>
        <item x="254"/>
        <item x="175"/>
        <item x="159"/>
        <item x="226"/>
        <item x="160"/>
        <item x="69"/>
        <item x="17"/>
        <item x="47"/>
        <item x="101"/>
        <item x="225"/>
        <item x="158"/>
        <item x="483"/>
        <item x="57"/>
        <item x="234"/>
        <item x="2"/>
        <item x="478"/>
        <item x="128"/>
        <item x="121"/>
        <item x="77"/>
        <item x="252"/>
        <item x="146"/>
        <item x="479"/>
        <item x="94"/>
        <item x="150"/>
        <item x="62"/>
        <item x="10"/>
        <item x="38"/>
        <item x="149"/>
        <item x="66"/>
        <item x="205"/>
        <item x="76"/>
        <item x="295"/>
        <item x="72"/>
        <item x="14"/>
        <item x="110"/>
        <item x="75"/>
        <item x="145"/>
        <item x="136"/>
        <item x="140"/>
        <item x="55"/>
        <item x="253"/>
        <item x="45"/>
        <item x="114"/>
        <item x="60"/>
        <item x="12"/>
        <item x="61"/>
        <item x="35"/>
        <item x="213"/>
        <item x="240"/>
        <item x="109"/>
        <item x="74"/>
        <item x="16"/>
        <item x="231"/>
        <item x="218"/>
        <item x="248"/>
        <item x="95"/>
        <item x="99"/>
        <item x="119"/>
        <item x="368"/>
        <item x="106"/>
        <item x="139"/>
        <item x="43"/>
        <item x="39"/>
        <item x="82"/>
        <item x="0"/>
        <item x="93"/>
        <item x="105"/>
        <item x="215"/>
        <item x="236"/>
        <item x="107"/>
        <item x="59"/>
        <item x="157"/>
        <item x="42"/>
        <item x="71"/>
        <item x="28"/>
        <item x="206"/>
        <item x="247"/>
        <item x="65"/>
        <item x="129"/>
        <item x="214"/>
        <item x="98"/>
        <item x="100"/>
        <item x="244"/>
        <item x="41"/>
        <item x="245"/>
        <item x="117"/>
        <item x="190"/>
        <item x="131"/>
        <item x="249"/>
        <item x="67"/>
        <item x="80"/>
        <item x="294"/>
        <item x="287"/>
        <item x="40"/>
        <item x="156"/>
        <item x="1"/>
        <item x="307"/>
        <item x="96"/>
        <item x="223"/>
        <item x="144"/>
        <item x="184"/>
        <item x="125"/>
        <item x="84"/>
        <item x="37"/>
        <item x="30"/>
        <item x="168"/>
        <item x="148"/>
        <item x="266"/>
        <item x="86"/>
        <item x="124"/>
        <item x="79"/>
        <item x="374"/>
        <item x="433"/>
        <item x="91"/>
        <item x="116"/>
        <item x="49"/>
        <item x="23"/>
        <item x="132"/>
        <item x="73"/>
        <item x="375"/>
        <item x="161"/>
        <item x="162"/>
        <item x="81"/>
        <item x="273"/>
        <item x="56"/>
        <item x="183"/>
        <item x="36"/>
        <item x="267"/>
        <item x="20"/>
        <item x="127"/>
        <item x="318"/>
        <item x="147"/>
        <item x="271"/>
        <item x="155"/>
        <item x="63"/>
        <item x="50"/>
        <item x="264"/>
        <item x="426"/>
        <item x="123"/>
        <item x="133"/>
        <item x="18"/>
        <item x="274"/>
        <item x="68"/>
        <item x="70"/>
        <item x="151"/>
        <item x="138"/>
        <item x="34"/>
        <item x="477"/>
        <item x="398"/>
        <item x="85"/>
        <item x="5"/>
        <item x="46"/>
        <item x="113"/>
        <item x="387"/>
        <item x="235"/>
        <item x="54"/>
        <item x="403"/>
        <item x="48"/>
        <item x="446"/>
        <item x="423"/>
        <item x="450"/>
        <item x="270"/>
        <item x="317"/>
        <item x="181"/>
        <item x="246"/>
        <item x="11"/>
        <item x="364"/>
        <item x="268"/>
        <item x="92"/>
        <item x="263"/>
        <item x="417"/>
        <item x="463"/>
        <item x="126"/>
        <item x="389"/>
        <item x="171"/>
        <item x="377"/>
        <item x="191"/>
        <item x="122"/>
        <item x="314"/>
        <item x="21"/>
        <item x="108"/>
        <item x="402"/>
        <item x="343"/>
        <item x="102"/>
        <item x="216"/>
        <item x="115"/>
        <item x="24"/>
        <item x="413"/>
        <item x="352"/>
        <item x="481"/>
        <item x="3"/>
        <item x="250"/>
        <item x="289"/>
        <item x="458"/>
        <item x="58"/>
        <item x="285"/>
        <item x="451"/>
        <item x="134"/>
        <item x="411"/>
        <item x="276"/>
        <item x="167"/>
        <item x="418"/>
        <item x="449"/>
        <item x="422"/>
        <item x="408"/>
        <item x="135"/>
        <item x="444"/>
        <item x="334"/>
        <item x="346"/>
        <item x="328"/>
        <item x="445"/>
        <item x="224"/>
        <item x="13"/>
        <item x="388"/>
        <item x="64"/>
        <item x="461"/>
        <item x="272"/>
        <item x="288"/>
        <item x="78"/>
        <item x="152"/>
        <item x="424"/>
        <item x="103"/>
        <item x="366"/>
        <item x="491"/>
        <item x="90"/>
        <item x="262"/>
        <item x="452"/>
        <item x="243"/>
        <item x="373"/>
        <item x="53"/>
        <item x="351"/>
        <item x="112"/>
        <item x="209"/>
        <item x="163"/>
        <item x="313"/>
        <item x="118"/>
        <item x="44"/>
        <item x="259"/>
        <item x="137"/>
        <item x="143"/>
        <item x="453"/>
        <item x="166"/>
        <item x="460"/>
        <item x="435"/>
        <item x="120"/>
        <item x="202"/>
        <item x="399"/>
        <item x="219"/>
        <item x="378"/>
        <item x="386"/>
        <item x="312"/>
        <item x="342"/>
        <item x="401"/>
        <item x="19"/>
        <item x="315"/>
        <item x="462"/>
        <item x="400"/>
        <item x="431"/>
        <item x="154"/>
        <item x="142"/>
        <item x="434"/>
        <item x="329"/>
        <item x="25"/>
        <item x="358"/>
        <item x="104"/>
        <item x="52"/>
        <item x="308"/>
        <item x="185"/>
        <item x="345"/>
        <item x="475"/>
        <item x="89"/>
        <item x="330"/>
        <item x="261"/>
        <item x="275"/>
        <item x="228"/>
        <item x="432"/>
        <item x="459"/>
        <item x="299"/>
        <item x="178"/>
        <item x="290"/>
        <item x="258"/>
        <item x="203"/>
        <item x="306"/>
        <item x="111"/>
        <item x="172"/>
        <item x="425"/>
        <item x="269"/>
        <item x="474"/>
        <item x="27"/>
        <item x="97"/>
        <item x="454"/>
        <item x="291"/>
        <item x="51"/>
        <item x="404"/>
        <item x="238"/>
        <item x="303"/>
        <item x="283"/>
        <item x="201"/>
        <item x="353"/>
        <item x="310"/>
        <item x="410"/>
        <item x="383"/>
        <item x="26"/>
        <item x="347"/>
        <item x="311"/>
        <item x="470"/>
        <item x="153"/>
        <item x="457"/>
        <item x="380"/>
        <item x="265"/>
        <item x="165"/>
        <item x="421"/>
        <item x="282"/>
        <item x="286"/>
        <item x="15"/>
        <item x="407"/>
        <item x="336"/>
        <item x="4"/>
        <item x="341"/>
        <item x="232"/>
        <item x="409"/>
        <item x="257"/>
        <item x="316"/>
        <item x="170"/>
        <item x="301"/>
        <item x="428"/>
        <item x="338"/>
        <item x="412"/>
        <item x="339"/>
        <item x="469"/>
        <item x="176"/>
        <item x="337"/>
        <item x="233"/>
        <item x="189"/>
        <item x="429"/>
        <item x="443"/>
        <item x="414"/>
        <item x="349"/>
        <item x="229"/>
        <item x="281"/>
        <item x="230"/>
        <item x="208"/>
        <item x="33"/>
        <item x="354"/>
        <item x="395"/>
        <item x="456"/>
        <item x="300"/>
        <item x="440"/>
        <item x="210"/>
        <item x="304"/>
        <item x="297"/>
        <item x="221"/>
        <item x="405"/>
        <item x="164"/>
        <item x="280"/>
        <item x="174"/>
        <item x="22"/>
        <item x="302"/>
        <item x="260"/>
        <item x="430"/>
        <item x="365"/>
        <item x="169"/>
        <item x="279"/>
        <item x="473"/>
        <item x="292"/>
        <item x="179"/>
        <item x="32"/>
        <item x="83"/>
        <item x="468"/>
        <item x="396"/>
        <item x="355"/>
        <item x="447"/>
        <item x="416"/>
        <item x="367"/>
        <item x="204"/>
        <item x="320"/>
        <item x="141"/>
        <item x="331"/>
        <item x="472"/>
        <item x="199"/>
        <item x="370"/>
        <item x="467"/>
        <item x="278"/>
        <item x="356"/>
        <item x="385"/>
        <item x="420"/>
        <item x="194"/>
        <item x="222"/>
        <item x="360"/>
        <item x="379"/>
        <item x="298"/>
        <item x="391"/>
        <item x="397"/>
        <item x="180"/>
        <item x="363"/>
        <item x="371"/>
        <item x="325"/>
        <item x="212"/>
        <item x="305"/>
        <item x="384"/>
        <item x="182"/>
        <item x="415"/>
        <item x="348"/>
        <item x="427"/>
        <item x="359"/>
        <item x="220"/>
        <item x="369"/>
        <item x="471"/>
        <item x="437"/>
        <item x="333"/>
        <item x="293"/>
        <item x="237"/>
        <item x="186"/>
        <item x="207"/>
        <item x="277"/>
        <item x="480"/>
        <item x="381"/>
        <item x="406"/>
        <item x="466"/>
        <item x="6"/>
        <item x="436"/>
        <item x="455"/>
        <item x="464"/>
        <item x="319"/>
        <item x="340"/>
        <item x="362"/>
        <item x="211"/>
        <item x="465"/>
        <item x="323"/>
        <item x="309"/>
        <item x="197"/>
        <item x="394"/>
        <item x="350"/>
        <item x="419"/>
        <item x="227"/>
        <item x="332"/>
        <item x="344"/>
        <item x="284"/>
        <item x="296"/>
        <item x="361"/>
        <item x="173"/>
        <item x="372"/>
        <item x="382"/>
        <item x="7"/>
        <item x="438"/>
        <item x="322"/>
        <item x="442"/>
        <item x="448"/>
        <item x="390"/>
        <item x="482"/>
        <item x="327"/>
        <item x="242"/>
        <item x="393"/>
        <item x="357"/>
        <item x="326"/>
        <item x="200"/>
        <item x="192"/>
        <item x="376"/>
        <item x="8"/>
        <item x="439"/>
        <item x="321"/>
        <item x="476"/>
        <item x="392"/>
        <item x="9"/>
        <item x="335"/>
        <item x="198"/>
        <item x="324"/>
        <item x="255"/>
        <item x="441"/>
        <item x="193"/>
        <item x="196"/>
        <item x="195"/>
        <item x="488"/>
        <item x="241"/>
        <item x="239"/>
        <item x="485"/>
        <item x="487"/>
        <item x="489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ce_clean" fld="9" subtotal="average" baseField="1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93">
        <item x="490"/>
        <item x="88"/>
        <item x="217"/>
        <item x="486"/>
        <item x="256"/>
        <item x="29"/>
        <item x="484"/>
        <item x="188"/>
        <item x="187"/>
        <item x="177"/>
        <item x="251"/>
        <item x="130"/>
        <item x="87"/>
        <item x="31"/>
        <item x="254"/>
        <item x="175"/>
        <item x="159"/>
        <item x="226"/>
        <item x="160"/>
        <item x="69"/>
        <item x="17"/>
        <item x="47"/>
        <item x="101"/>
        <item x="225"/>
        <item x="158"/>
        <item x="483"/>
        <item x="57"/>
        <item x="234"/>
        <item x="2"/>
        <item x="478"/>
        <item x="128"/>
        <item x="121"/>
        <item x="77"/>
        <item x="252"/>
        <item x="146"/>
        <item x="479"/>
        <item x="94"/>
        <item x="150"/>
        <item x="62"/>
        <item x="10"/>
        <item x="38"/>
        <item x="149"/>
        <item x="66"/>
        <item x="205"/>
        <item x="76"/>
        <item x="295"/>
        <item x="72"/>
        <item x="14"/>
        <item x="110"/>
        <item x="75"/>
        <item x="145"/>
        <item x="136"/>
        <item x="140"/>
        <item x="55"/>
        <item x="253"/>
        <item x="45"/>
        <item x="114"/>
        <item x="60"/>
        <item x="12"/>
        <item x="61"/>
        <item x="35"/>
        <item x="213"/>
        <item x="240"/>
        <item x="109"/>
        <item x="74"/>
        <item x="16"/>
        <item x="231"/>
        <item x="218"/>
        <item x="248"/>
        <item x="95"/>
        <item x="99"/>
        <item x="119"/>
        <item x="368"/>
        <item x="106"/>
        <item x="139"/>
        <item x="43"/>
        <item x="39"/>
        <item x="82"/>
        <item x="0"/>
        <item x="93"/>
        <item x="105"/>
        <item x="215"/>
        <item x="236"/>
        <item x="107"/>
        <item x="59"/>
        <item x="157"/>
        <item x="42"/>
        <item x="71"/>
        <item x="28"/>
        <item x="206"/>
        <item x="247"/>
        <item x="65"/>
        <item x="129"/>
        <item x="214"/>
        <item x="98"/>
        <item x="100"/>
        <item x="244"/>
        <item x="41"/>
        <item x="245"/>
        <item x="117"/>
        <item x="190"/>
        <item x="131"/>
        <item x="249"/>
        <item x="67"/>
        <item x="80"/>
        <item x="294"/>
        <item x="287"/>
        <item x="40"/>
        <item x="156"/>
        <item x="1"/>
        <item x="307"/>
        <item x="96"/>
        <item x="223"/>
        <item x="144"/>
        <item x="184"/>
        <item x="125"/>
        <item x="84"/>
        <item x="37"/>
        <item x="30"/>
        <item x="168"/>
        <item x="148"/>
        <item x="266"/>
        <item x="86"/>
        <item x="124"/>
        <item x="79"/>
        <item x="374"/>
        <item x="433"/>
        <item x="91"/>
        <item x="116"/>
        <item x="49"/>
        <item x="23"/>
        <item x="132"/>
        <item x="73"/>
        <item x="375"/>
        <item x="161"/>
        <item x="162"/>
        <item x="81"/>
        <item x="273"/>
        <item x="56"/>
        <item x="183"/>
        <item x="36"/>
        <item x="267"/>
        <item x="20"/>
        <item x="127"/>
        <item x="318"/>
        <item x="147"/>
        <item x="271"/>
        <item x="155"/>
        <item x="63"/>
        <item x="50"/>
        <item x="264"/>
        <item x="426"/>
        <item x="123"/>
        <item x="133"/>
        <item x="18"/>
        <item x="274"/>
        <item x="68"/>
        <item x="70"/>
        <item x="151"/>
        <item x="138"/>
        <item x="34"/>
        <item x="477"/>
        <item x="398"/>
        <item x="85"/>
        <item x="5"/>
        <item x="46"/>
        <item x="113"/>
        <item x="387"/>
        <item x="235"/>
        <item x="54"/>
        <item x="403"/>
        <item x="48"/>
        <item x="446"/>
        <item x="423"/>
        <item x="450"/>
        <item x="270"/>
        <item x="317"/>
        <item x="181"/>
        <item x="246"/>
        <item x="11"/>
        <item x="364"/>
        <item x="268"/>
        <item x="92"/>
        <item x="263"/>
        <item x="417"/>
        <item x="463"/>
        <item x="126"/>
        <item x="389"/>
        <item x="171"/>
        <item x="377"/>
        <item x="191"/>
        <item x="122"/>
        <item x="314"/>
        <item x="21"/>
        <item x="108"/>
        <item x="402"/>
        <item x="343"/>
        <item x="102"/>
        <item x="216"/>
        <item x="115"/>
        <item x="24"/>
        <item x="413"/>
        <item x="352"/>
        <item x="481"/>
        <item x="3"/>
        <item x="250"/>
        <item x="289"/>
        <item x="458"/>
        <item x="58"/>
        <item x="285"/>
        <item x="451"/>
        <item x="134"/>
        <item x="411"/>
        <item x="276"/>
        <item x="167"/>
        <item x="418"/>
        <item x="449"/>
        <item x="422"/>
        <item x="408"/>
        <item x="135"/>
        <item x="444"/>
        <item x="334"/>
        <item x="346"/>
        <item x="328"/>
        <item x="445"/>
        <item x="224"/>
        <item x="13"/>
        <item x="388"/>
        <item x="64"/>
        <item x="461"/>
        <item x="272"/>
        <item x="288"/>
        <item x="78"/>
        <item x="152"/>
        <item x="424"/>
        <item x="103"/>
        <item x="366"/>
        <item x="491"/>
        <item x="90"/>
        <item x="262"/>
        <item x="452"/>
        <item x="243"/>
        <item x="373"/>
        <item x="53"/>
        <item x="351"/>
        <item x="112"/>
        <item x="209"/>
        <item x="163"/>
        <item x="313"/>
        <item x="118"/>
        <item x="44"/>
        <item x="259"/>
        <item x="137"/>
        <item x="143"/>
        <item x="453"/>
        <item x="166"/>
        <item x="460"/>
        <item x="435"/>
        <item x="120"/>
        <item x="202"/>
        <item x="399"/>
        <item x="219"/>
        <item x="378"/>
        <item x="386"/>
        <item x="312"/>
        <item x="342"/>
        <item x="401"/>
        <item x="19"/>
        <item x="315"/>
        <item x="462"/>
        <item x="400"/>
        <item x="431"/>
        <item x="154"/>
        <item x="142"/>
        <item x="434"/>
        <item x="329"/>
        <item x="25"/>
        <item x="358"/>
        <item x="104"/>
        <item x="52"/>
        <item x="308"/>
        <item x="185"/>
        <item x="345"/>
        <item x="475"/>
        <item x="89"/>
        <item x="330"/>
        <item x="261"/>
        <item x="275"/>
        <item x="228"/>
        <item x="432"/>
        <item x="459"/>
        <item x="299"/>
        <item x="178"/>
        <item x="290"/>
        <item x="258"/>
        <item x="203"/>
        <item x="306"/>
        <item x="111"/>
        <item x="172"/>
        <item x="425"/>
        <item x="269"/>
        <item x="474"/>
        <item x="27"/>
        <item x="97"/>
        <item x="454"/>
        <item x="291"/>
        <item x="51"/>
        <item x="404"/>
        <item x="238"/>
        <item x="303"/>
        <item x="283"/>
        <item x="201"/>
        <item x="353"/>
        <item x="310"/>
        <item x="410"/>
        <item x="383"/>
        <item x="26"/>
        <item x="347"/>
        <item x="311"/>
        <item x="470"/>
        <item x="153"/>
        <item x="457"/>
        <item x="380"/>
        <item x="265"/>
        <item x="165"/>
        <item x="421"/>
        <item x="282"/>
        <item x="286"/>
        <item x="15"/>
        <item x="407"/>
        <item x="336"/>
        <item x="4"/>
        <item x="341"/>
        <item x="232"/>
        <item x="409"/>
        <item x="257"/>
        <item x="316"/>
        <item x="170"/>
        <item x="301"/>
        <item x="428"/>
        <item x="338"/>
        <item x="412"/>
        <item x="339"/>
        <item x="469"/>
        <item x="176"/>
        <item x="337"/>
        <item x="233"/>
        <item x="189"/>
        <item x="429"/>
        <item x="443"/>
        <item x="414"/>
        <item x="349"/>
        <item x="229"/>
        <item x="281"/>
        <item x="230"/>
        <item x="208"/>
        <item x="33"/>
        <item x="354"/>
        <item x="395"/>
        <item x="456"/>
        <item x="300"/>
        <item x="440"/>
        <item x="210"/>
        <item x="304"/>
        <item x="297"/>
        <item x="221"/>
        <item x="405"/>
        <item x="164"/>
        <item x="280"/>
        <item x="174"/>
        <item x="22"/>
        <item x="302"/>
        <item x="260"/>
        <item x="430"/>
        <item x="365"/>
        <item x="169"/>
        <item x="279"/>
        <item x="473"/>
        <item x="292"/>
        <item x="179"/>
        <item x="32"/>
        <item x="83"/>
        <item x="468"/>
        <item x="396"/>
        <item x="355"/>
        <item x="447"/>
        <item x="416"/>
        <item x="367"/>
        <item x="204"/>
        <item x="320"/>
        <item x="141"/>
        <item x="331"/>
        <item x="472"/>
        <item x="199"/>
        <item x="370"/>
        <item x="467"/>
        <item x="278"/>
        <item x="356"/>
        <item x="385"/>
        <item x="420"/>
        <item x="194"/>
        <item x="222"/>
        <item x="360"/>
        <item x="379"/>
        <item x="298"/>
        <item x="391"/>
        <item x="397"/>
        <item x="180"/>
        <item x="363"/>
        <item x="371"/>
        <item x="325"/>
        <item x="212"/>
        <item x="305"/>
        <item x="384"/>
        <item x="182"/>
        <item x="415"/>
        <item x="348"/>
        <item x="427"/>
        <item x="359"/>
        <item x="220"/>
        <item x="369"/>
        <item x="471"/>
        <item x="437"/>
        <item x="333"/>
        <item x="293"/>
        <item x="237"/>
        <item x="186"/>
        <item x="207"/>
        <item x="277"/>
        <item x="480"/>
        <item x="381"/>
        <item x="406"/>
        <item x="466"/>
        <item x="6"/>
        <item x="436"/>
        <item x="455"/>
        <item x="464"/>
        <item x="319"/>
        <item x="340"/>
        <item x="362"/>
        <item x="211"/>
        <item x="465"/>
        <item x="323"/>
        <item x="309"/>
        <item x="197"/>
        <item x="394"/>
        <item x="350"/>
        <item x="419"/>
        <item x="227"/>
        <item x="332"/>
        <item x="344"/>
        <item x="284"/>
        <item x="296"/>
        <item x="361"/>
        <item x="173"/>
        <item x="372"/>
        <item x="382"/>
        <item x="7"/>
        <item x="438"/>
        <item x="322"/>
        <item x="442"/>
        <item x="448"/>
        <item x="390"/>
        <item x="482"/>
        <item x="327"/>
        <item x="242"/>
        <item x="393"/>
        <item x="357"/>
        <item x="326"/>
        <item x="200"/>
        <item x="192"/>
        <item x="376"/>
        <item x="8"/>
        <item x="439"/>
        <item x="321"/>
        <item x="476"/>
        <item x="392"/>
        <item x="9"/>
        <item x="335"/>
        <item x="198"/>
        <item x="324"/>
        <item x="255"/>
        <item x="441"/>
        <item x="193"/>
        <item x="196"/>
        <item x="195"/>
        <item x="488"/>
        <item x="241"/>
        <item x="239"/>
        <item x="485"/>
        <item x="487"/>
        <item x="489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ice_clean" fld="9" subtotal="count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93">
        <item x="490"/>
        <item x="88"/>
        <item x="217"/>
        <item x="486"/>
        <item x="256"/>
        <item x="29"/>
        <item x="484"/>
        <item x="188"/>
        <item x="187"/>
        <item x="177"/>
        <item x="251"/>
        <item x="130"/>
        <item x="87"/>
        <item x="31"/>
        <item x="254"/>
        <item x="175"/>
        <item x="159"/>
        <item x="226"/>
        <item x="160"/>
        <item x="69"/>
        <item x="17"/>
        <item x="47"/>
        <item x="101"/>
        <item x="225"/>
        <item x="158"/>
        <item x="483"/>
        <item x="57"/>
        <item x="234"/>
        <item x="2"/>
        <item x="478"/>
        <item x="128"/>
        <item x="121"/>
        <item x="77"/>
        <item x="252"/>
        <item x="146"/>
        <item x="479"/>
        <item x="94"/>
        <item x="150"/>
        <item x="62"/>
        <item x="10"/>
        <item x="38"/>
        <item x="149"/>
        <item x="66"/>
        <item x="205"/>
        <item x="76"/>
        <item x="295"/>
        <item x="72"/>
        <item x="14"/>
        <item x="110"/>
        <item x="75"/>
        <item x="145"/>
        <item x="136"/>
        <item x="140"/>
        <item x="55"/>
        <item x="253"/>
        <item x="45"/>
        <item x="114"/>
        <item x="60"/>
        <item x="12"/>
        <item x="61"/>
        <item x="35"/>
        <item x="213"/>
        <item x="240"/>
        <item x="109"/>
        <item x="74"/>
        <item x="16"/>
        <item x="231"/>
        <item x="218"/>
        <item x="248"/>
        <item x="95"/>
        <item x="99"/>
        <item x="119"/>
        <item x="368"/>
        <item x="106"/>
        <item x="139"/>
        <item x="43"/>
        <item x="39"/>
        <item x="82"/>
        <item x="0"/>
        <item x="93"/>
        <item x="105"/>
        <item x="215"/>
        <item x="236"/>
        <item x="107"/>
        <item x="59"/>
        <item x="157"/>
        <item x="42"/>
        <item x="71"/>
        <item x="28"/>
        <item x="206"/>
        <item x="247"/>
        <item x="65"/>
        <item x="129"/>
        <item x="214"/>
        <item x="98"/>
        <item x="100"/>
        <item x="244"/>
        <item x="41"/>
        <item x="245"/>
        <item x="117"/>
        <item x="190"/>
        <item x="131"/>
        <item x="249"/>
        <item x="67"/>
        <item x="80"/>
        <item x="294"/>
        <item x="287"/>
        <item x="40"/>
        <item x="156"/>
        <item x="1"/>
        <item x="307"/>
        <item x="96"/>
        <item x="223"/>
        <item x="144"/>
        <item x="184"/>
        <item x="125"/>
        <item x="84"/>
        <item x="37"/>
        <item x="30"/>
        <item x="168"/>
        <item x="148"/>
        <item x="266"/>
        <item x="86"/>
        <item x="124"/>
        <item x="79"/>
        <item x="374"/>
        <item x="433"/>
        <item x="91"/>
        <item x="116"/>
        <item x="49"/>
        <item x="23"/>
        <item x="132"/>
        <item x="73"/>
        <item x="375"/>
        <item x="161"/>
        <item x="162"/>
        <item x="81"/>
        <item x="273"/>
        <item x="56"/>
        <item x="183"/>
        <item x="36"/>
        <item x="267"/>
        <item x="20"/>
        <item x="127"/>
        <item x="318"/>
        <item x="147"/>
        <item x="271"/>
        <item x="155"/>
        <item x="63"/>
        <item x="50"/>
        <item x="264"/>
        <item x="426"/>
        <item x="123"/>
        <item x="133"/>
        <item x="18"/>
        <item x="274"/>
        <item x="68"/>
        <item x="70"/>
        <item x="151"/>
        <item x="138"/>
        <item x="34"/>
        <item x="477"/>
        <item x="398"/>
        <item x="85"/>
        <item x="5"/>
        <item x="46"/>
        <item x="113"/>
        <item x="387"/>
        <item x="235"/>
        <item x="54"/>
        <item x="403"/>
        <item x="48"/>
        <item x="446"/>
        <item x="423"/>
        <item x="450"/>
        <item x="270"/>
        <item x="317"/>
        <item x="181"/>
        <item x="246"/>
        <item x="11"/>
        <item x="364"/>
        <item x="268"/>
        <item x="92"/>
        <item x="263"/>
        <item x="417"/>
        <item x="463"/>
        <item x="126"/>
        <item x="389"/>
        <item x="171"/>
        <item x="377"/>
        <item x="191"/>
        <item x="122"/>
        <item x="314"/>
        <item x="21"/>
        <item x="108"/>
        <item x="402"/>
        <item x="343"/>
        <item x="102"/>
        <item x="216"/>
        <item x="115"/>
        <item x="24"/>
        <item x="413"/>
        <item x="352"/>
        <item x="481"/>
        <item x="3"/>
        <item x="250"/>
        <item x="289"/>
        <item x="458"/>
        <item x="58"/>
        <item x="285"/>
        <item x="451"/>
        <item x="134"/>
        <item x="411"/>
        <item x="276"/>
        <item x="167"/>
        <item x="418"/>
        <item x="449"/>
        <item x="422"/>
        <item x="408"/>
        <item x="135"/>
        <item x="444"/>
        <item x="334"/>
        <item x="346"/>
        <item x="328"/>
        <item x="445"/>
        <item x="224"/>
        <item x="13"/>
        <item x="388"/>
        <item x="64"/>
        <item x="461"/>
        <item x="272"/>
        <item x="288"/>
        <item x="78"/>
        <item x="152"/>
        <item x="424"/>
        <item x="103"/>
        <item x="366"/>
        <item x="491"/>
        <item x="90"/>
        <item x="262"/>
        <item x="452"/>
        <item x="243"/>
        <item x="373"/>
        <item x="53"/>
        <item x="351"/>
        <item x="112"/>
        <item x="209"/>
        <item x="163"/>
        <item x="313"/>
        <item x="118"/>
        <item x="44"/>
        <item x="259"/>
        <item x="137"/>
        <item x="143"/>
        <item x="453"/>
        <item x="166"/>
        <item x="460"/>
        <item x="435"/>
        <item x="120"/>
        <item x="202"/>
        <item x="399"/>
        <item x="219"/>
        <item x="378"/>
        <item x="386"/>
        <item x="312"/>
        <item x="342"/>
        <item x="401"/>
        <item x="19"/>
        <item x="315"/>
        <item x="462"/>
        <item x="400"/>
        <item x="431"/>
        <item x="154"/>
        <item x="142"/>
        <item x="434"/>
        <item x="329"/>
        <item x="25"/>
        <item x="358"/>
        <item x="104"/>
        <item x="52"/>
        <item x="308"/>
        <item x="185"/>
        <item x="345"/>
        <item x="475"/>
        <item x="89"/>
        <item x="330"/>
        <item x="261"/>
        <item x="275"/>
        <item x="228"/>
        <item x="432"/>
        <item x="459"/>
        <item x="299"/>
        <item x="178"/>
        <item x="290"/>
        <item x="258"/>
        <item x="203"/>
        <item x="306"/>
        <item x="111"/>
        <item x="172"/>
        <item x="425"/>
        <item x="269"/>
        <item x="474"/>
        <item x="27"/>
        <item x="97"/>
        <item x="454"/>
        <item x="291"/>
        <item x="51"/>
        <item x="404"/>
        <item x="238"/>
        <item x="303"/>
        <item x="283"/>
        <item x="201"/>
        <item x="353"/>
        <item x="310"/>
        <item x="410"/>
        <item x="383"/>
        <item x="26"/>
        <item x="347"/>
        <item x="311"/>
        <item x="470"/>
        <item x="153"/>
        <item x="457"/>
        <item x="380"/>
        <item x="265"/>
        <item x="165"/>
        <item x="421"/>
        <item x="282"/>
        <item x="286"/>
        <item x="15"/>
        <item x="407"/>
        <item x="336"/>
        <item x="4"/>
        <item x="341"/>
        <item x="232"/>
        <item x="409"/>
        <item x="257"/>
        <item x="316"/>
        <item x="170"/>
        <item x="301"/>
        <item x="428"/>
        <item x="338"/>
        <item x="412"/>
        <item x="339"/>
        <item x="469"/>
        <item x="176"/>
        <item x="337"/>
        <item x="233"/>
        <item x="189"/>
        <item x="429"/>
        <item x="443"/>
        <item x="414"/>
        <item x="349"/>
        <item x="229"/>
        <item x="281"/>
        <item x="230"/>
        <item x="208"/>
        <item x="33"/>
        <item x="354"/>
        <item x="395"/>
        <item x="456"/>
        <item x="300"/>
        <item x="440"/>
        <item x="210"/>
        <item x="304"/>
        <item x="297"/>
        <item x="221"/>
        <item x="405"/>
        <item x="164"/>
        <item x="280"/>
        <item x="174"/>
        <item x="22"/>
        <item x="302"/>
        <item x="260"/>
        <item x="430"/>
        <item x="365"/>
        <item x="169"/>
        <item x="279"/>
        <item x="473"/>
        <item x="292"/>
        <item x="179"/>
        <item x="32"/>
        <item x="83"/>
        <item x="468"/>
        <item x="396"/>
        <item x="355"/>
        <item x="447"/>
        <item x="416"/>
        <item x="367"/>
        <item x="204"/>
        <item x="320"/>
        <item x="141"/>
        <item x="331"/>
        <item x="472"/>
        <item x="199"/>
        <item x="370"/>
        <item x="467"/>
        <item x="278"/>
        <item x="356"/>
        <item x="385"/>
        <item x="420"/>
        <item x="194"/>
        <item x="222"/>
        <item x="360"/>
        <item x="379"/>
        <item x="298"/>
        <item x="391"/>
        <item x="397"/>
        <item x="180"/>
        <item x="363"/>
        <item x="371"/>
        <item x="325"/>
        <item x="212"/>
        <item x="305"/>
        <item x="384"/>
        <item x="182"/>
        <item x="415"/>
        <item x="348"/>
        <item x="427"/>
        <item x="359"/>
        <item x="220"/>
        <item x="369"/>
        <item x="471"/>
        <item x="437"/>
        <item x="333"/>
        <item x="293"/>
        <item x="237"/>
        <item x="186"/>
        <item x="207"/>
        <item x="277"/>
        <item x="480"/>
        <item x="381"/>
        <item x="406"/>
        <item x="466"/>
        <item x="6"/>
        <item x="436"/>
        <item x="455"/>
        <item x="464"/>
        <item x="319"/>
        <item x="340"/>
        <item x="362"/>
        <item x="211"/>
        <item x="465"/>
        <item x="323"/>
        <item x="309"/>
        <item x="197"/>
        <item x="394"/>
        <item x="350"/>
        <item x="419"/>
        <item x="227"/>
        <item x="332"/>
        <item x="344"/>
        <item x="284"/>
        <item x="296"/>
        <item x="361"/>
        <item x="173"/>
        <item x="372"/>
        <item x="382"/>
        <item x="7"/>
        <item x="438"/>
        <item x="322"/>
        <item x="442"/>
        <item x="448"/>
        <item x="390"/>
        <item x="482"/>
        <item x="327"/>
        <item x="242"/>
        <item x="393"/>
        <item x="357"/>
        <item x="326"/>
        <item x="200"/>
        <item x="192"/>
        <item x="376"/>
        <item x="8"/>
        <item x="439"/>
        <item x="321"/>
        <item x="476"/>
        <item x="392"/>
        <item x="9"/>
        <item x="335"/>
        <item x="198"/>
        <item x="324"/>
        <item x="255"/>
        <item x="441"/>
        <item x="193"/>
        <item x="196"/>
        <item x="195"/>
        <item x="488"/>
        <item x="241"/>
        <item x="239"/>
        <item x="485"/>
        <item x="487"/>
        <item x="489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ice_clean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4"/>
  <sheetViews>
    <sheetView zoomScale="130" zoomScaleNormal="130" workbookViewId="0">
      <selection activeCell="L12" sqref="L12"/>
    </sheetView>
  </sheetViews>
  <sheetFormatPr defaultRowHeight="15" x14ac:dyDescent="0.25"/>
  <cols>
    <col min="1" max="1" width="17.42578125" bestFit="1" customWidth="1"/>
    <col min="2" max="2" width="14.85546875" bestFit="1" customWidth="1"/>
  </cols>
  <sheetData>
    <row r="3" spans="1:4" x14ac:dyDescent="0.25">
      <c r="A3" s="6" t="s">
        <v>5856</v>
      </c>
      <c r="B3" t="s">
        <v>5858</v>
      </c>
    </row>
    <row r="4" spans="1:4" x14ac:dyDescent="0.25">
      <c r="A4" s="7" t="s">
        <v>4806</v>
      </c>
      <c r="B4" s="1">
        <v>253</v>
      </c>
      <c r="D4">
        <f>MIN(B4:B13)</f>
        <v>228</v>
      </c>
    </row>
    <row r="5" spans="1:4" x14ac:dyDescent="0.25">
      <c r="A5" s="7" t="s">
        <v>20</v>
      </c>
      <c r="B5" s="1">
        <v>234</v>
      </c>
    </row>
    <row r="6" spans="1:4" x14ac:dyDescent="0.25">
      <c r="A6" s="7" t="s">
        <v>640</v>
      </c>
      <c r="B6" s="1">
        <v>238</v>
      </c>
    </row>
    <row r="7" spans="1:4" x14ac:dyDescent="0.25">
      <c r="A7" s="7" t="s">
        <v>1303</v>
      </c>
      <c r="B7" s="1">
        <v>231</v>
      </c>
    </row>
    <row r="8" spans="1:4" x14ac:dyDescent="0.25">
      <c r="A8" s="7" t="s">
        <v>2596</v>
      </c>
      <c r="B8" s="1">
        <v>229</v>
      </c>
    </row>
    <row r="9" spans="1:4" x14ac:dyDescent="0.25">
      <c r="A9" s="7" t="s">
        <v>3206</v>
      </c>
      <c r="B9" s="1">
        <v>241</v>
      </c>
    </row>
    <row r="10" spans="1:4" x14ac:dyDescent="0.25">
      <c r="A10" s="7" t="s">
        <v>5848</v>
      </c>
      <c r="B10" s="1">
        <v>228</v>
      </c>
    </row>
    <row r="11" spans="1:4" x14ac:dyDescent="0.25">
      <c r="A11" s="7" t="s">
        <v>3233</v>
      </c>
      <c r="B11" s="1">
        <v>234</v>
      </c>
    </row>
    <row r="12" spans="1:4" x14ac:dyDescent="0.25">
      <c r="A12" s="7" t="s">
        <v>3746</v>
      </c>
      <c r="B12" s="1">
        <v>234</v>
      </c>
    </row>
    <row r="13" spans="1:4" x14ac:dyDescent="0.25">
      <c r="A13" s="7" t="s">
        <v>4272</v>
      </c>
      <c r="B13" s="1">
        <v>231</v>
      </c>
    </row>
    <row r="14" spans="1:4" x14ac:dyDescent="0.25">
      <c r="A14" s="7" t="s">
        <v>5857</v>
      </c>
      <c r="B14" s="1">
        <v>2353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4"/>
  <sheetViews>
    <sheetView topLeftCell="A6" zoomScale="145" zoomScaleNormal="145" workbookViewId="0">
      <selection activeCell="I5" sqref="I5"/>
    </sheetView>
  </sheetViews>
  <sheetFormatPr defaultRowHeight="15" x14ac:dyDescent="0.25"/>
  <cols>
    <col min="1" max="1" width="17.42578125" customWidth="1"/>
    <col min="2" max="2" width="21.5703125" customWidth="1"/>
    <col min="3" max="3" width="14.85546875" bestFit="1" customWidth="1"/>
  </cols>
  <sheetData>
    <row r="3" spans="1:3" x14ac:dyDescent="0.25">
      <c r="A3" s="6" t="s">
        <v>5856</v>
      </c>
      <c r="B3" t="s">
        <v>5863</v>
      </c>
    </row>
    <row r="4" spans="1:3" x14ac:dyDescent="0.25">
      <c r="A4" s="7" t="s">
        <v>4806</v>
      </c>
      <c r="B4" s="1">
        <v>1359387.3478260869</v>
      </c>
      <c r="C4">
        <f>MAX(B4:B13)</f>
        <v>2337112.0331950206</v>
      </c>
    </row>
    <row r="5" spans="1:3" x14ac:dyDescent="0.25">
      <c r="A5" s="7" t="s">
        <v>20</v>
      </c>
      <c r="B5" s="1">
        <v>1175012.8205128205</v>
      </c>
      <c r="C5">
        <f>MIN(B4:B13)</f>
        <v>1175012.8205128205</v>
      </c>
    </row>
    <row r="6" spans="1:3" x14ac:dyDescent="0.25">
      <c r="A6" s="7" t="s">
        <v>640</v>
      </c>
      <c r="B6" s="1">
        <v>1341289.705882353</v>
      </c>
    </row>
    <row r="7" spans="1:3" x14ac:dyDescent="0.25">
      <c r="A7" s="7" t="s">
        <v>1303</v>
      </c>
      <c r="B7" s="1">
        <v>2041154.9740259741</v>
      </c>
    </row>
    <row r="8" spans="1:3" x14ac:dyDescent="0.25">
      <c r="A8" s="7" t="s">
        <v>2596</v>
      </c>
      <c r="B8" s="1">
        <v>2054337.7729257641</v>
      </c>
    </row>
    <row r="9" spans="1:3" x14ac:dyDescent="0.25">
      <c r="A9" s="7" t="s">
        <v>3206</v>
      </c>
      <c r="B9" s="1">
        <v>2337112.0331950206</v>
      </c>
    </row>
    <row r="10" spans="1:3" x14ac:dyDescent="0.25">
      <c r="A10" s="7" t="s">
        <v>5848</v>
      </c>
      <c r="B10" s="1">
        <v>1543872.5438596492</v>
      </c>
    </row>
    <row r="11" spans="1:3" x14ac:dyDescent="0.25">
      <c r="A11" s="7" t="s">
        <v>3233</v>
      </c>
      <c r="B11" s="1">
        <v>1705611.1025641025</v>
      </c>
    </row>
    <row r="12" spans="1:3" x14ac:dyDescent="0.25">
      <c r="A12" s="7" t="s">
        <v>3746</v>
      </c>
      <c r="B12" s="1">
        <v>1456322.6495726495</v>
      </c>
    </row>
    <row r="13" spans="1:3" x14ac:dyDescent="0.25">
      <c r="A13" s="7" t="s">
        <v>4272</v>
      </c>
      <c r="B13" s="1">
        <v>1477885.5324675324</v>
      </c>
    </row>
    <row r="14" spans="1:3" x14ac:dyDescent="0.25">
      <c r="A14" s="7" t="s">
        <v>5857</v>
      </c>
      <c r="B14" s="1">
        <v>1647507.9022524436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O12" sqref="O12"/>
    </sheetView>
  </sheetViews>
  <sheetFormatPr defaultRowHeight="15" x14ac:dyDescent="0.25"/>
  <cols>
    <col min="1" max="1" width="13.140625" customWidth="1"/>
    <col min="2" max="2" width="21.5703125" bestFit="1" customWidth="1"/>
    <col min="3" max="3" width="11" bestFit="1" customWidth="1"/>
  </cols>
  <sheetData>
    <row r="3" spans="1:3" x14ac:dyDescent="0.25">
      <c r="A3" s="6" t="s">
        <v>5856</v>
      </c>
      <c r="B3" t="s">
        <v>5863</v>
      </c>
    </row>
    <row r="4" spans="1:3" x14ac:dyDescent="0.25">
      <c r="A4" s="7" t="s">
        <v>43</v>
      </c>
      <c r="B4" s="1">
        <v>1787935.1121914734</v>
      </c>
      <c r="C4">
        <f>MAX(B4:B6)</f>
        <v>1787935.1121914734</v>
      </c>
    </row>
    <row r="5" spans="1:3" x14ac:dyDescent="0.25">
      <c r="A5" s="7" t="s">
        <v>37</v>
      </c>
      <c r="B5" s="1">
        <v>1237755.50390625</v>
      </c>
      <c r="C5">
        <f>MIN(B4:B6)</f>
        <v>1237755.50390625</v>
      </c>
    </row>
    <row r="6" spans="1:3" x14ac:dyDescent="0.25">
      <c r="A6" s="7" t="s">
        <v>18</v>
      </c>
      <c r="B6" s="1">
        <v>1538488.7368421052</v>
      </c>
    </row>
    <row r="7" spans="1:3" x14ac:dyDescent="0.25">
      <c r="A7" s="7" t="s">
        <v>5857</v>
      </c>
      <c r="B7" s="1">
        <v>1647507.9022524436</v>
      </c>
    </row>
  </sheetData>
  <pageMargins left="0.7" right="0.7" top="0.75" bottom="0.75" header="0.3" footer="0.3"/>
  <pageSetup paperSize="9"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tabSelected="1" workbookViewId="0">
      <selection activeCell="N7" sqref="N7"/>
    </sheetView>
  </sheetViews>
  <sheetFormatPr defaultRowHeight="15" x14ac:dyDescent="0.25"/>
  <cols>
    <col min="1" max="1" width="13.140625" customWidth="1"/>
    <col min="2" max="2" width="19.42578125" bestFit="1" customWidth="1"/>
  </cols>
  <sheetData>
    <row r="3" spans="1:3" x14ac:dyDescent="0.25">
      <c r="A3" s="6" t="s">
        <v>5856</v>
      </c>
      <c r="B3" t="s">
        <v>5862</v>
      </c>
    </row>
    <row r="4" spans="1:3" x14ac:dyDescent="0.25">
      <c r="A4" s="7" t="s">
        <v>43</v>
      </c>
      <c r="B4" s="1">
        <v>1337</v>
      </c>
    </row>
    <row r="5" spans="1:3" x14ac:dyDescent="0.25">
      <c r="A5" s="7" t="s">
        <v>37</v>
      </c>
      <c r="B5" s="1">
        <v>256</v>
      </c>
      <c r="C5">
        <f>MIN(B4:B6)</f>
        <v>256</v>
      </c>
    </row>
    <row r="6" spans="1:3" x14ac:dyDescent="0.25">
      <c r="A6" s="7" t="s">
        <v>18</v>
      </c>
      <c r="B6" s="1">
        <v>760</v>
      </c>
      <c r="C6">
        <f>MAX(B4:B6)</f>
        <v>1337</v>
      </c>
    </row>
    <row r="7" spans="1:3" x14ac:dyDescent="0.25">
      <c r="A7" s="7" t="s">
        <v>5857</v>
      </c>
      <c r="B7" s="1">
        <v>2353</v>
      </c>
    </row>
  </sheetData>
  <pageMargins left="0.7" right="0.7" top="0.75" bottom="0.75" header="0.3" footer="0.3"/>
  <pageSetup paperSize="9" orientation="portrait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3" sqref="B3"/>
    </sheetView>
  </sheetViews>
  <sheetFormatPr defaultRowHeight="15" x14ac:dyDescent="0.25"/>
  <cols>
    <col min="1" max="1" width="13.140625" customWidth="1"/>
    <col min="2" max="2" width="19.42578125" bestFit="1" customWidth="1"/>
  </cols>
  <sheetData>
    <row r="3" spans="1:2" x14ac:dyDescent="0.25">
      <c r="A3" s="6" t="s">
        <v>5856</v>
      </c>
      <c r="B3" t="s">
        <v>5862</v>
      </c>
    </row>
    <row r="4" spans="1:2" x14ac:dyDescent="0.25">
      <c r="A4" s="7" t="s">
        <v>43</v>
      </c>
      <c r="B4" s="1">
        <v>1337</v>
      </c>
    </row>
    <row r="5" spans="1:2" x14ac:dyDescent="0.25">
      <c r="A5" s="7" t="s">
        <v>37</v>
      </c>
      <c r="B5" s="1">
        <v>256</v>
      </c>
    </row>
    <row r="6" spans="1:2" x14ac:dyDescent="0.25">
      <c r="A6" s="7" t="s">
        <v>18</v>
      </c>
      <c r="B6" s="1">
        <v>760</v>
      </c>
    </row>
    <row r="7" spans="1:2" x14ac:dyDescent="0.25">
      <c r="A7" s="7" t="s">
        <v>5857</v>
      </c>
      <c r="B7" s="1">
        <v>2353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59"/>
  <sheetViews>
    <sheetView zoomScale="70" zoomScaleNormal="70" workbookViewId="0">
      <selection activeCell="D2287" sqref="A1:P2359"/>
    </sheetView>
  </sheetViews>
  <sheetFormatPr defaultRowHeight="15" x14ac:dyDescent="0.25"/>
  <cols>
    <col min="1" max="1" width="48.42578125" customWidth="1"/>
    <col min="2" max="4" width="19.28515625" customWidth="1"/>
    <col min="5" max="5" width="22.5703125" customWidth="1"/>
    <col min="6" max="6" width="28.140625" customWidth="1"/>
    <col min="7" max="7" width="31.85546875" customWidth="1"/>
    <col min="8" max="8" width="18.85546875" customWidth="1"/>
    <col min="9" max="9" width="21.140625" customWidth="1"/>
    <col min="10" max="10" width="16.28515625" style="1" customWidth="1"/>
    <col min="11" max="12" width="15" customWidth="1"/>
    <col min="13" max="13" width="16.140625" customWidth="1"/>
    <col min="14" max="14" width="28.28515625" customWidth="1"/>
    <col min="15" max="15" width="28.28515625" style="3" customWidth="1"/>
    <col min="18" max="18" width="9.140625" style="3"/>
  </cols>
  <sheetData>
    <row r="1" spans="1:18" x14ac:dyDescent="0.25">
      <c r="A1" t="s">
        <v>4</v>
      </c>
      <c r="B1" t="s">
        <v>10</v>
      </c>
      <c r="C1" t="s">
        <v>8</v>
      </c>
      <c r="D1" t="s">
        <v>5852</v>
      </c>
      <c r="E1" t="s">
        <v>0</v>
      </c>
      <c r="F1" t="s">
        <v>1</v>
      </c>
      <c r="G1" s="4" t="s">
        <v>5851</v>
      </c>
      <c r="H1" t="s">
        <v>2</v>
      </c>
      <c r="I1" t="s">
        <v>3</v>
      </c>
      <c r="J1" s="1" t="s">
        <v>5849</v>
      </c>
      <c r="K1" t="s">
        <v>5</v>
      </c>
      <c r="L1" s="3" t="s">
        <v>5853</v>
      </c>
      <c r="M1" t="s">
        <v>6</v>
      </c>
      <c r="N1" t="s">
        <v>7</v>
      </c>
      <c r="O1" s="3" t="s">
        <v>5855</v>
      </c>
      <c r="P1" t="s">
        <v>9</v>
      </c>
      <c r="R1" s="3" t="s">
        <v>5854</v>
      </c>
    </row>
    <row r="2" spans="1:18" x14ac:dyDescent="0.25">
      <c r="J2" s="1">
        <f>COUNT(#REF!)</f>
        <v>0</v>
      </c>
      <c r="K2" t="b">
        <f>ISNUMBER(#REF!)</f>
        <v>0</v>
      </c>
      <c r="R2" s="3">
        <f t="shared" ref="R2:R65" si="0">24*L2</f>
        <v>0</v>
      </c>
    </row>
    <row r="3" spans="1:18" hidden="1" x14ac:dyDescent="0.25">
      <c r="A3" t="s">
        <v>1286</v>
      </c>
      <c r="B3" t="s">
        <v>640</v>
      </c>
      <c r="C3" t="s">
        <v>749</v>
      </c>
      <c r="D3" s="3">
        <f t="shared" ref="D3:D9" si="1">VALUE(LEFT(E3,SEARCH(" x ",E3)-1))*VALUE(MID(E3,SEARCH(" x ",E3)+3,SEARCH(" meter",E3)-SEARCH(" x ",E3)-3))</f>
        <v>12</v>
      </c>
      <c r="E3" t="s">
        <v>347</v>
      </c>
      <c r="F3" t="s">
        <v>13</v>
      </c>
      <c r="G3" t="str">
        <f t="shared" ref="G3:G9" si="2">IF(H3="N/A","",VALUE(SUBSTITUTE(SUBSTITUTE(H3,"Rp",""),".","")))</f>
        <v/>
      </c>
      <c r="H3" t="s">
        <v>14</v>
      </c>
      <c r="I3" t="s">
        <v>1287</v>
      </c>
      <c r="J3" s="2">
        <f t="shared" ref="J3:J9" si="3">VALUE(SUBSTITUTE(SUBSTITUTE(K3,"Rp",""),".",""))</f>
        <v>1100000</v>
      </c>
      <c r="K3" t="s">
        <v>42</v>
      </c>
      <c r="L3">
        <f t="shared" ref="L3:L9" si="4">M3:M2343</f>
        <v>0</v>
      </c>
      <c r="N3" t="s">
        <v>37</v>
      </c>
      <c r="R3" s="3">
        <f t="shared" si="0"/>
        <v>0</v>
      </c>
    </row>
    <row r="4" spans="1:18" hidden="1" x14ac:dyDescent="0.25">
      <c r="A4" t="s">
        <v>4481</v>
      </c>
      <c r="B4" t="s">
        <v>4272</v>
      </c>
      <c r="C4" t="s">
        <v>4271</v>
      </c>
      <c r="D4" s="3">
        <f t="shared" si="1"/>
        <v>9</v>
      </c>
      <c r="E4" t="s">
        <v>12</v>
      </c>
      <c r="F4" t="s">
        <v>13</v>
      </c>
      <c r="G4" t="str">
        <f t="shared" si="2"/>
        <v/>
      </c>
      <c r="H4" t="s">
        <v>14</v>
      </c>
      <c r="I4" t="s">
        <v>4482</v>
      </c>
      <c r="J4" s="2">
        <f t="shared" si="3"/>
        <v>1100000</v>
      </c>
      <c r="K4" t="s">
        <v>42</v>
      </c>
      <c r="L4">
        <f t="shared" si="4"/>
        <v>0</v>
      </c>
      <c r="N4" t="s">
        <v>37</v>
      </c>
      <c r="R4" s="3">
        <f t="shared" si="0"/>
        <v>0</v>
      </c>
    </row>
    <row r="5" spans="1:18" hidden="1" x14ac:dyDescent="0.25">
      <c r="A5" t="s">
        <v>586</v>
      </c>
      <c r="B5" t="s">
        <v>20</v>
      </c>
      <c r="C5" t="s">
        <v>30</v>
      </c>
      <c r="D5" s="3">
        <f t="shared" si="1"/>
        <v>12</v>
      </c>
      <c r="E5" t="s">
        <v>33</v>
      </c>
      <c r="F5" t="s">
        <v>34</v>
      </c>
      <c r="G5" t="str">
        <f t="shared" si="2"/>
        <v/>
      </c>
      <c r="H5" t="s">
        <v>14</v>
      </c>
      <c r="I5" t="s">
        <v>587</v>
      </c>
      <c r="J5" s="2">
        <f t="shared" si="3"/>
        <v>700000</v>
      </c>
      <c r="K5" t="s">
        <v>157</v>
      </c>
      <c r="L5">
        <f t="shared" si="4"/>
        <v>0</v>
      </c>
      <c r="N5" t="s">
        <v>43</v>
      </c>
      <c r="R5" s="3">
        <f t="shared" si="0"/>
        <v>0</v>
      </c>
    </row>
    <row r="6" spans="1:18" hidden="1" x14ac:dyDescent="0.25">
      <c r="A6" t="s">
        <v>4592</v>
      </c>
      <c r="B6" t="s">
        <v>4272</v>
      </c>
      <c r="C6" t="s">
        <v>4533</v>
      </c>
      <c r="D6" s="3">
        <f t="shared" si="1"/>
        <v>6</v>
      </c>
      <c r="E6" t="s">
        <v>64</v>
      </c>
      <c r="F6" t="s">
        <v>34</v>
      </c>
      <c r="G6" t="str">
        <f t="shared" si="2"/>
        <v/>
      </c>
      <c r="H6" t="s">
        <v>14</v>
      </c>
      <c r="I6" t="s">
        <v>4593</v>
      </c>
      <c r="J6" s="2">
        <f t="shared" si="3"/>
        <v>1500000</v>
      </c>
      <c r="K6" t="s">
        <v>66</v>
      </c>
      <c r="L6">
        <f t="shared" si="4"/>
        <v>4.1666666666666664E-2</v>
      </c>
      <c r="M6" s="5">
        <v>4.1666666666666664E-2</v>
      </c>
      <c r="N6" t="s">
        <v>37</v>
      </c>
      <c r="R6" s="3">
        <f t="shared" si="0"/>
        <v>1</v>
      </c>
    </row>
    <row r="7" spans="1:18" hidden="1" x14ac:dyDescent="0.25">
      <c r="A7" t="s">
        <v>4790</v>
      </c>
      <c r="B7" t="s">
        <v>4272</v>
      </c>
      <c r="C7" t="s">
        <v>4533</v>
      </c>
      <c r="D7" s="3">
        <f t="shared" si="1"/>
        <v>9</v>
      </c>
      <c r="E7" t="s">
        <v>12</v>
      </c>
      <c r="F7" t="s">
        <v>34</v>
      </c>
      <c r="G7" t="str">
        <f t="shared" si="2"/>
        <v/>
      </c>
      <c r="H7" t="s">
        <v>14</v>
      </c>
      <c r="I7" t="s">
        <v>4791</v>
      </c>
      <c r="J7" s="2">
        <f t="shared" si="3"/>
        <v>2200000</v>
      </c>
      <c r="K7" t="s">
        <v>849</v>
      </c>
      <c r="L7">
        <f t="shared" si="4"/>
        <v>0.17222222222222225</v>
      </c>
      <c r="M7" s="5">
        <v>0.17222222222222225</v>
      </c>
      <c r="N7" t="s">
        <v>37</v>
      </c>
      <c r="R7" s="3">
        <f t="shared" si="0"/>
        <v>4.1333333333333337</v>
      </c>
    </row>
    <row r="8" spans="1:18" hidden="1" x14ac:dyDescent="0.25">
      <c r="A8" t="s">
        <v>1242</v>
      </c>
      <c r="B8" t="s">
        <v>640</v>
      </c>
      <c r="C8" t="s">
        <v>749</v>
      </c>
      <c r="D8" s="3">
        <f t="shared" si="1"/>
        <v>16</v>
      </c>
      <c r="E8" t="s">
        <v>79</v>
      </c>
      <c r="F8" t="s">
        <v>13</v>
      </c>
      <c r="G8" t="str">
        <f t="shared" si="2"/>
        <v/>
      </c>
      <c r="H8" t="s">
        <v>14</v>
      </c>
      <c r="I8" t="s">
        <v>1243</v>
      </c>
      <c r="J8" s="2">
        <f t="shared" si="3"/>
        <v>1350000</v>
      </c>
      <c r="K8" t="s">
        <v>257</v>
      </c>
      <c r="L8">
        <f t="shared" si="4"/>
        <v>0</v>
      </c>
      <c r="N8" t="s">
        <v>18</v>
      </c>
      <c r="R8" s="3">
        <f t="shared" si="0"/>
        <v>0</v>
      </c>
    </row>
    <row r="9" spans="1:18" hidden="1" x14ac:dyDescent="0.25">
      <c r="A9" t="s">
        <v>1822</v>
      </c>
      <c r="B9" t="s">
        <v>1303</v>
      </c>
      <c r="C9" t="s">
        <v>1392</v>
      </c>
      <c r="D9" s="3">
        <f t="shared" si="1"/>
        <v>12</v>
      </c>
      <c r="E9" t="s">
        <v>347</v>
      </c>
      <c r="F9" t="s">
        <v>13</v>
      </c>
      <c r="G9" t="str">
        <f t="shared" si="2"/>
        <v/>
      </c>
      <c r="H9" t="s">
        <v>14</v>
      </c>
      <c r="I9" t="s">
        <v>1823</v>
      </c>
      <c r="J9" s="2">
        <f t="shared" si="3"/>
        <v>3100000</v>
      </c>
      <c r="K9" t="s">
        <v>1550</v>
      </c>
      <c r="L9">
        <f t="shared" si="4"/>
        <v>0.20833333333333334</v>
      </c>
      <c r="M9" s="5">
        <v>0.20833333333333334</v>
      </c>
      <c r="N9" t="s">
        <v>43</v>
      </c>
      <c r="P9" t="s">
        <v>1824</v>
      </c>
      <c r="R9" s="3">
        <f t="shared" si="0"/>
        <v>5</v>
      </c>
    </row>
    <row r="10" spans="1:18" x14ac:dyDescent="0.25">
      <c r="I10" t="s">
        <v>5860</v>
      </c>
      <c r="J10" s="1" t="e">
        <f>MIN(#REF!)</f>
        <v>#REF!</v>
      </c>
      <c r="R10" s="3">
        <f t="shared" si="0"/>
        <v>0</v>
      </c>
    </row>
    <row r="11" spans="1:18" x14ac:dyDescent="0.25">
      <c r="A11" t="s">
        <v>429</v>
      </c>
      <c r="B11" t="s">
        <v>20</v>
      </c>
      <c r="C11" t="s">
        <v>165</v>
      </c>
      <c r="D11" s="3">
        <f t="shared" ref="D11:D74" si="5">VALUE(LEFT(E11,SEARCH(" x ",E11)-1))*VALUE(MID(E11,SEARCH(" x ",E11)+3,SEARCH(" meter",E11)-SEARCH(" x ",E11)-3))</f>
        <v>4</v>
      </c>
      <c r="E11" t="s">
        <v>313</v>
      </c>
      <c r="F11" t="s">
        <v>13</v>
      </c>
      <c r="G11" t="str">
        <f t="shared" ref="G11:G74" si="6">IF(H11="N/A","",VALUE(SUBSTITUTE(SUBSTITUTE(H11,"Rp",""),".","")))</f>
        <v/>
      </c>
      <c r="H11" t="s">
        <v>14</v>
      </c>
      <c r="I11" t="s">
        <v>430</v>
      </c>
      <c r="J11" s="2">
        <f t="shared" ref="J11:J74" si="7">VALUE(SUBSTITUTE(SUBSTITUTE(K11,"Rp",""),".",""))</f>
        <v>450000</v>
      </c>
      <c r="K11" t="s">
        <v>176</v>
      </c>
      <c r="L11">
        <f t="shared" ref="L11:L74" si="8">M11:M2351</f>
        <v>0.17013888888888887</v>
      </c>
      <c r="M11" s="5">
        <v>0.17013888888888887</v>
      </c>
      <c r="N11" t="s">
        <v>18</v>
      </c>
      <c r="R11" s="3">
        <f t="shared" si="0"/>
        <v>4.083333333333333</v>
      </c>
    </row>
    <row r="12" spans="1:18" x14ac:dyDescent="0.25">
      <c r="A12" t="s">
        <v>5161</v>
      </c>
      <c r="B12" t="s">
        <v>4806</v>
      </c>
      <c r="C12" t="s">
        <v>4825</v>
      </c>
      <c r="D12" s="3">
        <f t="shared" si="5"/>
        <v>9</v>
      </c>
      <c r="E12" t="s">
        <v>12</v>
      </c>
      <c r="F12" t="s">
        <v>13</v>
      </c>
      <c r="G12" t="str">
        <f t="shared" si="6"/>
        <v/>
      </c>
      <c r="H12" t="s">
        <v>14</v>
      </c>
      <c r="I12" t="s">
        <v>5162</v>
      </c>
      <c r="J12" s="2">
        <f t="shared" si="7"/>
        <v>500000</v>
      </c>
      <c r="K12" t="s">
        <v>16</v>
      </c>
      <c r="L12">
        <f t="shared" si="8"/>
        <v>0.1673611111111111</v>
      </c>
      <c r="M12" s="5">
        <v>0.1673611111111111</v>
      </c>
      <c r="N12" t="s">
        <v>43</v>
      </c>
      <c r="R12" s="3">
        <f t="shared" si="0"/>
        <v>4.0166666666666666</v>
      </c>
    </row>
    <row r="13" spans="1:18" x14ac:dyDescent="0.25">
      <c r="A13" t="s">
        <v>4902</v>
      </c>
      <c r="B13" t="s">
        <v>4806</v>
      </c>
      <c r="C13" t="s">
        <v>4904</v>
      </c>
      <c r="D13" s="3">
        <f t="shared" si="5"/>
        <v>12</v>
      </c>
      <c r="E13" t="s">
        <v>33</v>
      </c>
      <c r="F13" t="s">
        <v>13</v>
      </c>
      <c r="G13" t="str">
        <f t="shared" si="6"/>
        <v/>
      </c>
      <c r="H13" t="s">
        <v>14</v>
      </c>
      <c r="I13" t="s">
        <v>4903</v>
      </c>
      <c r="J13" s="2">
        <f t="shared" si="7"/>
        <v>500000</v>
      </c>
      <c r="K13" t="s">
        <v>16</v>
      </c>
      <c r="L13">
        <f t="shared" si="8"/>
        <v>0.20833333333333334</v>
      </c>
      <c r="M13" s="5">
        <v>0.20833333333333334</v>
      </c>
      <c r="N13" t="s">
        <v>43</v>
      </c>
      <c r="R13" s="3">
        <f t="shared" si="0"/>
        <v>5</v>
      </c>
    </row>
    <row r="14" spans="1:18" hidden="1" x14ac:dyDescent="0.25">
      <c r="A14" t="s">
        <v>4479</v>
      </c>
      <c r="B14" t="s">
        <v>4272</v>
      </c>
      <c r="C14" t="s">
        <v>4337</v>
      </c>
      <c r="D14" s="3">
        <f t="shared" si="5"/>
        <v>9</v>
      </c>
      <c r="E14" t="s">
        <v>12</v>
      </c>
      <c r="F14" t="s">
        <v>34</v>
      </c>
      <c r="G14" t="str">
        <f t="shared" si="6"/>
        <v/>
      </c>
      <c r="H14" t="s">
        <v>14</v>
      </c>
      <c r="I14" t="s">
        <v>4480</v>
      </c>
      <c r="J14" s="2">
        <f t="shared" si="7"/>
        <v>750000</v>
      </c>
      <c r="K14" t="s">
        <v>76</v>
      </c>
      <c r="L14">
        <f t="shared" si="8"/>
        <v>0.20833333333333334</v>
      </c>
      <c r="M14" s="5">
        <v>0.20833333333333334</v>
      </c>
      <c r="N14" t="s">
        <v>37</v>
      </c>
      <c r="R14" s="3">
        <f t="shared" si="0"/>
        <v>5</v>
      </c>
    </row>
    <row r="15" spans="1:18" hidden="1" x14ac:dyDescent="0.25">
      <c r="A15" t="s">
        <v>997</v>
      </c>
      <c r="B15" t="s">
        <v>640</v>
      </c>
      <c r="C15" t="s">
        <v>803</v>
      </c>
      <c r="D15" s="3">
        <f t="shared" si="5"/>
        <v>12</v>
      </c>
      <c r="E15" t="s">
        <v>33</v>
      </c>
      <c r="F15" t="s">
        <v>13</v>
      </c>
      <c r="G15" t="str">
        <f t="shared" si="6"/>
        <v/>
      </c>
      <c r="H15" t="s">
        <v>14</v>
      </c>
      <c r="I15" t="s">
        <v>998</v>
      </c>
      <c r="J15" s="2">
        <f t="shared" si="7"/>
        <v>1400000</v>
      </c>
      <c r="K15" t="s">
        <v>81</v>
      </c>
      <c r="L15">
        <f t="shared" si="8"/>
        <v>0</v>
      </c>
      <c r="N15" t="s">
        <v>18</v>
      </c>
      <c r="R15" s="3">
        <f t="shared" si="0"/>
        <v>0</v>
      </c>
    </row>
    <row r="16" spans="1:18" hidden="1" x14ac:dyDescent="0.25">
      <c r="A16" t="s">
        <v>3455</v>
      </c>
      <c r="B16" t="s">
        <v>3233</v>
      </c>
      <c r="C16" t="s">
        <v>3237</v>
      </c>
      <c r="D16" s="3">
        <f t="shared" si="5"/>
        <v>20</v>
      </c>
      <c r="E16" t="s">
        <v>159</v>
      </c>
      <c r="F16" t="s">
        <v>13</v>
      </c>
      <c r="G16" t="str">
        <f t="shared" si="6"/>
        <v/>
      </c>
      <c r="H16" t="s">
        <v>14</v>
      </c>
      <c r="I16" t="s">
        <v>3456</v>
      </c>
      <c r="J16" s="2">
        <f t="shared" si="7"/>
        <v>3500000</v>
      </c>
      <c r="K16" t="s">
        <v>143</v>
      </c>
      <c r="L16">
        <f t="shared" si="8"/>
        <v>0</v>
      </c>
      <c r="N16" t="s">
        <v>43</v>
      </c>
      <c r="R16" s="3">
        <f t="shared" si="0"/>
        <v>0</v>
      </c>
    </row>
    <row r="17" spans="1:18" hidden="1" x14ac:dyDescent="0.25">
      <c r="A17" t="s">
        <v>3278</v>
      </c>
      <c r="B17" t="s">
        <v>3233</v>
      </c>
      <c r="C17" t="s">
        <v>3237</v>
      </c>
      <c r="D17" s="3">
        <f t="shared" si="5"/>
        <v>12</v>
      </c>
      <c r="E17" t="s">
        <v>33</v>
      </c>
      <c r="F17" t="s">
        <v>13</v>
      </c>
      <c r="G17" t="str">
        <f t="shared" si="6"/>
        <v/>
      </c>
      <c r="H17" t="s">
        <v>14</v>
      </c>
      <c r="I17" t="s">
        <v>3279</v>
      </c>
      <c r="J17" s="2">
        <f t="shared" si="7"/>
        <v>2200000</v>
      </c>
      <c r="K17" t="s">
        <v>849</v>
      </c>
      <c r="L17">
        <f t="shared" si="8"/>
        <v>0.20833333333333334</v>
      </c>
      <c r="M17" s="5">
        <v>0.20833333333333334</v>
      </c>
      <c r="N17" t="s">
        <v>43</v>
      </c>
      <c r="R17" s="3">
        <f t="shared" si="0"/>
        <v>5</v>
      </c>
    </row>
    <row r="18" spans="1:18" hidden="1" x14ac:dyDescent="0.25">
      <c r="A18" t="s">
        <v>4502</v>
      </c>
      <c r="B18" t="s">
        <v>4272</v>
      </c>
      <c r="C18" t="s">
        <v>4271</v>
      </c>
      <c r="D18" s="3">
        <f t="shared" si="5"/>
        <v>10</v>
      </c>
      <c r="E18" t="s">
        <v>414</v>
      </c>
      <c r="F18" t="s">
        <v>13</v>
      </c>
      <c r="G18" t="str">
        <f t="shared" si="6"/>
        <v/>
      </c>
      <c r="H18" t="s">
        <v>14</v>
      </c>
      <c r="I18" t="s">
        <v>4503</v>
      </c>
      <c r="J18" s="2">
        <f t="shared" si="7"/>
        <v>850000</v>
      </c>
      <c r="K18" t="s">
        <v>185</v>
      </c>
      <c r="L18">
        <f t="shared" si="8"/>
        <v>0.17291666666666669</v>
      </c>
      <c r="M18" s="5">
        <v>0.17291666666666669</v>
      </c>
      <c r="N18" t="s">
        <v>37</v>
      </c>
      <c r="R18" s="3">
        <f t="shared" si="0"/>
        <v>4.1500000000000004</v>
      </c>
    </row>
    <row r="19" spans="1:18" hidden="1" x14ac:dyDescent="0.25">
      <c r="A19" t="s">
        <v>1233</v>
      </c>
      <c r="B19" t="s">
        <v>640</v>
      </c>
      <c r="C19" t="s">
        <v>749</v>
      </c>
      <c r="D19" s="3">
        <f t="shared" si="5"/>
        <v>16</v>
      </c>
      <c r="E19" t="s">
        <v>79</v>
      </c>
      <c r="F19" t="s">
        <v>13</v>
      </c>
      <c r="G19" t="str">
        <f t="shared" si="6"/>
        <v/>
      </c>
      <c r="H19" t="s">
        <v>14</v>
      </c>
      <c r="I19" t="s">
        <v>1234</v>
      </c>
      <c r="J19" s="2">
        <f t="shared" si="7"/>
        <v>1600000</v>
      </c>
      <c r="K19" t="s">
        <v>95</v>
      </c>
      <c r="L19">
        <f t="shared" si="8"/>
        <v>0</v>
      </c>
      <c r="N19" t="s">
        <v>18</v>
      </c>
      <c r="R19" s="3">
        <f t="shared" si="0"/>
        <v>0</v>
      </c>
    </row>
    <row r="20" spans="1:18" hidden="1" x14ac:dyDescent="0.25">
      <c r="A20" t="s">
        <v>1208</v>
      </c>
      <c r="B20" t="s">
        <v>640</v>
      </c>
      <c r="C20" t="s">
        <v>1210</v>
      </c>
      <c r="D20" s="3">
        <f t="shared" si="5"/>
        <v>12</v>
      </c>
      <c r="E20" t="s">
        <v>33</v>
      </c>
      <c r="F20" t="s">
        <v>34</v>
      </c>
      <c r="G20" t="str">
        <f t="shared" si="6"/>
        <v/>
      </c>
      <c r="H20" t="s">
        <v>14</v>
      </c>
      <c r="I20" t="s">
        <v>1209</v>
      </c>
      <c r="J20" s="2">
        <f t="shared" si="7"/>
        <v>700000</v>
      </c>
      <c r="K20" t="s">
        <v>157</v>
      </c>
      <c r="L20">
        <f t="shared" si="8"/>
        <v>0</v>
      </c>
      <c r="N20" t="s">
        <v>43</v>
      </c>
      <c r="R20" s="3">
        <f t="shared" si="0"/>
        <v>0</v>
      </c>
    </row>
    <row r="21" spans="1:18" hidden="1" x14ac:dyDescent="0.25">
      <c r="A21" t="s">
        <v>3392</v>
      </c>
      <c r="B21" t="s">
        <v>3233</v>
      </c>
      <c r="C21" t="s">
        <v>3376</v>
      </c>
      <c r="D21" s="3">
        <f t="shared" si="5"/>
        <v>6</v>
      </c>
      <c r="E21" t="s">
        <v>285</v>
      </c>
      <c r="F21" t="s">
        <v>34</v>
      </c>
      <c r="G21" t="str">
        <f t="shared" si="6"/>
        <v/>
      </c>
      <c r="H21" t="s">
        <v>14</v>
      </c>
      <c r="I21" t="s">
        <v>3393</v>
      </c>
      <c r="J21" s="2">
        <f t="shared" si="7"/>
        <v>800000</v>
      </c>
      <c r="K21" t="s">
        <v>109</v>
      </c>
      <c r="L21">
        <f t="shared" si="8"/>
        <v>0.1277777777777778</v>
      </c>
      <c r="M21" s="5">
        <v>0.1277777777777778</v>
      </c>
      <c r="N21" t="s">
        <v>43</v>
      </c>
      <c r="R21" s="3">
        <f t="shared" si="0"/>
        <v>3.0666666666666673</v>
      </c>
    </row>
    <row r="22" spans="1:18" hidden="1" x14ac:dyDescent="0.25">
      <c r="A22" t="s">
        <v>155</v>
      </c>
      <c r="B22" t="s">
        <v>20</v>
      </c>
      <c r="C22" t="s">
        <v>30</v>
      </c>
      <c r="D22" s="3">
        <f t="shared" si="5"/>
        <v>12</v>
      </c>
      <c r="E22" t="s">
        <v>33</v>
      </c>
      <c r="F22" t="s">
        <v>13</v>
      </c>
      <c r="G22" t="str">
        <f t="shared" si="6"/>
        <v/>
      </c>
      <c r="H22" t="s">
        <v>14</v>
      </c>
      <c r="I22" t="s">
        <v>156</v>
      </c>
      <c r="J22" s="2">
        <f t="shared" si="7"/>
        <v>700000</v>
      </c>
      <c r="K22" t="s">
        <v>157</v>
      </c>
      <c r="L22">
        <f t="shared" si="8"/>
        <v>0</v>
      </c>
      <c r="N22" t="s">
        <v>37</v>
      </c>
      <c r="R22" s="3">
        <f t="shared" si="0"/>
        <v>0</v>
      </c>
    </row>
    <row r="23" spans="1:18" hidden="1" x14ac:dyDescent="0.25">
      <c r="A23" t="s">
        <v>1739</v>
      </c>
      <c r="B23" t="s">
        <v>1303</v>
      </c>
      <c r="C23" t="s">
        <v>1312</v>
      </c>
      <c r="D23" s="3">
        <f t="shared" si="5"/>
        <v>8</v>
      </c>
      <c r="E23" t="s">
        <v>1740</v>
      </c>
      <c r="F23" t="s">
        <v>13</v>
      </c>
      <c r="G23" t="str">
        <f t="shared" si="6"/>
        <v/>
      </c>
      <c r="H23" t="s">
        <v>14</v>
      </c>
      <c r="I23" t="s">
        <v>1741</v>
      </c>
      <c r="J23" s="2">
        <f t="shared" si="7"/>
        <v>2180000</v>
      </c>
      <c r="K23" t="s">
        <v>1742</v>
      </c>
      <c r="L23">
        <f t="shared" si="8"/>
        <v>0.17083333333333331</v>
      </c>
      <c r="M23" s="5">
        <v>0.17083333333333331</v>
      </c>
      <c r="N23" t="s">
        <v>43</v>
      </c>
      <c r="P23" t="s">
        <v>1030</v>
      </c>
      <c r="R23" s="3">
        <f t="shared" si="0"/>
        <v>4.0999999999999996</v>
      </c>
    </row>
    <row r="24" spans="1:18" hidden="1" x14ac:dyDescent="0.25">
      <c r="A24" t="s">
        <v>1764</v>
      </c>
      <c r="B24" t="s">
        <v>1303</v>
      </c>
      <c r="C24" t="s">
        <v>1342</v>
      </c>
      <c r="D24" s="3">
        <f t="shared" si="5"/>
        <v>12</v>
      </c>
      <c r="E24" t="s">
        <v>33</v>
      </c>
      <c r="F24" t="s">
        <v>13</v>
      </c>
      <c r="G24" t="str">
        <f t="shared" si="6"/>
        <v/>
      </c>
      <c r="H24" t="s">
        <v>14</v>
      </c>
      <c r="I24" t="s">
        <v>1765</v>
      </c>
      <c r="J24" s="2">
        <f t="shared" si="7"/>
        <v>880000</v>
      </c>
      <c r="K24" t="s">
        <v>1170</v>
      </c>
      <c r="L24">
        <f t="shared" si="8"/>
        <v>0.17013888888888887</v>
      </c>
      <c r="M24" s="5">
        <v>0.17013888888888887</v>
      </c>
      <c r="N24" t="s">
        <v>18</v>
      </c>
      <c r="R24" s="3">
        <f t="shared" si="0"/>
        <v>4.083333333333333</v>
      </c>
    </row>
    <row r="25" spans="1:18" hidden="1" x14ac:dyDescent="0.25">
      <c r="A25" t="s">
        <v>969</v>
      </c>
      <c r="B25" t="s">
        <v>640</v>
      </c>
      <c r="C25" t="s">
        <v>643</v>
      </c>
      <c r="D25" s="3">
        <f t="shared" si="5"/>
        <v>9</v>
      </c>
      <c r="E25" t="s">
        <v>12</v>
      </c>
      <c r="F25" t="s">
        <v>34</v>
      </c>
      <c r="G25" t="str">
        <f t="shared" si="6"/>
        <v/>
      </c>
      <c r="H25" t="s">
        <v>14</v>
      </c>
      <c r="I25" t="s">
        <v>970</v>
      </c>
      <c r="J25" s="2">
        <f t="shared" si="7"/>
        <v>800000</v>
      </c>
      <c r="K25" t="s">
        <v>109</v>
      </c>
      <c r="L25">
        <f t="shared" si="8"/>
        <v>0.13055555555555556</v>
      </c>
      <c r="M25" s="5">
        <v>0.13055555555555556</v>
      </c>
      <c r="N25" t="s">
        <v>18</v>
      </c>
      <c r="P25" t="s">
        <v>199</v>
      </c>
      <c r="R25" s="3">
        <f t="shared" si="0"/>
        <v>3.1333333333333337</v>
      </c>
    </row>
    <row r="26" spans="1:18" hidden="1" x14ac:dyDescent="0.25">
      <c r="A26" t="s">
        <v>1265</v>
      </c>
      <c r="B26" t="s">
        <v>640</v>
      </c>
      <c r="C26" t="s">
        <v>657</v>
      </c>
      <c r="D26" s="3">
        <f t="shared" si="5"/>
        <v>12</v>
      </c>
      <c r="E26" t="s">
        <v>33</v>
      </c>
      <c r="F26" t="s">
        <v>34</v>
      </c>
      <c r="G26" t="str">
        <f t="shared" si="6"/>
        <v/>
      </c>
      <c r="H26" t="s">
        <v>14</v>
      </c>
      <c r="I26" t="s">
        <v>1266</v>
      </c>
      <c r="J26" s="2">
        <f t="shared" si="7"/>
        <v>650000</v>
      </c>
      <c r="K26" t="s">
        <v>105</v>
      </c>
      <c r="L26">
        <f t="shared" si="8"/>
        <v>0.17222222222222225</v>
      </c>
      <c r="M26" s="5">
        <v>0.17222222222222225</v>
      </c>
      <c r="N26" t="s">
        <v>18</v>
      </c>
      <c r="R26" s="3">
        <f t="shared" si="0"/>
        <v>4.1333333333333337</v>
      </c>
    </row>
    <row r="27" spans="1:18" hidden="1" x14ac:dyDescent="0.25">
      <c r="A27" t="s">
        <v>1265</v>
      </c>
      <c r="B27" t="s">
        <v>640</v>
      </c>
      <c r="C27" t="s">
        <v>657</v>
      </c>
      <c r="D27" s="3">
        <f t="shared" si="5"/>
        <v>12</v>
      </c>
      <c r="E27" t="s">
        <v>33</v>
      </c>
      <c r="F27" t="s">
        <v>34</v>
      </c>
      <c r="G27" t="str">
        <f t="shared" si="6"/>
        <v/>
      </c>
      <c r="H27" t="s">
        <v>14</v>
      </c>
      <c r="I27" t="s">
        <v>1298</v>
      </c>
      <c r="J27" s="2">
        <f t="shared" si="7"/>
        <v>650000</v>
      </c>
      <c r="K27" t="s">
        <v>105</v>
      </c>
      <c r="L27">
        <f t="shared" si="8"/>
        <v>0.17222222222222225</v>
      </c>
      <c r="M27" s="5">
        <v>0.17222222222222225</v>
      </c>
      <c r="N27" t="s">
        <v>18</v>
      </c>
      <c r="R27" s="3">
        <f t="shared" si="0"/>
        <v>4.1333333333333337</v>
      </c>
    </row>
    <row r="28" spans="1:18" hidden="1" x14ac:dyDescent="0.25">
      <c r="A28" t="s">
        <v>3982</v>
      </c>
      <c r="B28" t="s">
        <v>3746</v>
      </c>
      <c r="C28" t="s">
        <v>3889</v>
      </c>
      <c r="D28" s="3">
        <f t="shared" si="5"/>
        <v>12</v>
      </c>
      <c r="E28" t="s">
        <v>33</v>
      </c>
      <c r="F28" t="s">
        <v>13</v>
      </c>
      <c r="G28" t="str">
        <f t="shared" si="6"/>
        <v/>
      </c>
      <c r="H28" t="s">
        <v>14</v>
      </c>
      <c r="I28" t="s">
        <v>3983</v>
      </c>
      <c r="J28" s="2">
        <f t="shared" si="7"/>
        <v>1300000</v>
      </c>
      <c r="K28" t="s">
        <v>17</v>
      </c>
      <c r="L28">
        <f t="shared" si="8"/>
        <v>0.20833333333333334</v>
      </c>
      <c r="M28" s="5">
        <v>0.20833333333333334</v>
      </c>
      <c r="N28" t="s">
        <v>18</v>
      </c>
      <c r="R28" s="3">
        <f t="shared" si="0"/>
        <v>5</v>
      </c>
    </row>
    <row r="29" spans="1:18" hidden="1" x14ac:dyDescent="0.25">
      <c r="A29" t="s">
        <v>4615</v>
      </c>
      <c r="B29" t="s">
        <v>4272</v>
      </c>
      <c r="C29" t="s">
        <v>4285</v>
      </c>
      <c r="D29" s="3">
        <f t="shared" si="5"/>
        <v>12</v>
      </c>
      <c r="E29" t="s">
        <v>33</v>
      </c>
      <c r="F29" t="s">
        <v>13</v>
      </c>
      <c r="G29" t="str">
        <f t="shared" si="6"/>
        <v/>
      </c>
      <c r="H29" t="s">
        <v>14</v>
      </c>
      <c r="I29" t="s">
        <v>4616</v>
      </c>
      <c r="J29" s="2">
        <f t="shared" si="7"/>
        <v>1100000</v>
      </c>
      <c r="K29" t="s">
        <v>42</v>
      </c>
      <c r="L29">
        <f t="shared" si="8"/>
        <v>0</v>
      </c>
      <c r="N29" t="s">
        <v>43</v>
      </c>
      <c r="R29" s="3">
        <f t="shared" si="0"/>
        <v>0</v>
      </c>
    </row>
    <row r="30" spans="1:18" hidden="1" x14ac:dyDescent="0.25">
      <c r="A30" t="s">
        <v>4957</v>
      </c>
      <c r="B30" t="s">
        <v>4806</v>
      </c>
      <c r="C30" t="s">
        <v>4865</v>
      </c>
      <c r="D30" s="3">
        <f t="shared" si="5"/>
        <v>9</v>
      </c>
      <c r="E30" t="s">
        <v>12</v>
      </c>
      <c r="F30" t="s">
        <v>13</v>
      </c>
      <c r="G30" t="str">
        <f t="shared" si="6"/>
        <v/>
      </c>
      <c r="H30" t="s">
        <v>14</v>
      </c>
      <c r="I30" t="s">
        <v>4958</v>
      </c>
      <c r="J30" s="2">
        <f t="shared" si="7"/>
        <v>1400000</v>
      </c>
      <c r="K30" t="s">
        <v>81</v>
      </c>
      <c r="L30">
        <f t="shared" si="8"/>
        <v>0</v>
      </c>
      <c r="N30" t="s">
        <v>37</v>
      </c>
      <c r="R30" s="3">
        <f t="shared" si="0"/>
        <v>0</v>
      </c>
    </row>
    <row r="31" spans="1:18" hidden="1" x14ac:dyDescent="0.25">
      <c r="A31" t="s">
        <v>223</v>
      </c>
      <c r="B31" t="s">
        <v>20</v>
      </c>
      <c r="C31" t="s">
        <v>225</v>
      </c>
      <c r="D31" s="3">
        <f t="shared" si="5"/>
        <v>16</v>
      </c>
      <c r="E31" t="s">
        <v>79</v>
      </c>
      <c r="F31" t="s">
        <v>13</v>
      </c>
      <c r="G31" t="str">
        <f t="shared" si="6"/>
        <v/>
      </c>
      <c r="H31" t="s">
        <v>14</v>
      </c>
      <c r="I31" t="s">
        <v>224</v>
      </c>
      <c r="J31" s="2">
        <f t="shared" si="7"/>
        <v>1300000</v>
      </c>
      <c r="K31" t="s">
        <v>17</v>
      </c>
      <c r="L31">
        <f t="shared" si="8"/>
        <v>0</v>
      </c>
      <c r="N31" t="s">
        <v>43</v>
      </c>
      <c r="R31" s="3">
        <f t="shared" si="0"/>
        <v>0</v>
      </c>
    </row>
    <row r="32" spans="1:18" hidden="1" x14ac:dyDescent="0.25">
      <c r="A32" t="s">
        <v>588</v>
      </c>
      <c r="B32" t="s">
        <v>20</v>
      </c>
      <c r="C32" t="s">
        <v>225</v>
      </c>
      <c r="D32" s="3">
        <f t="shared" si="5"/>
        <v>30</v>
      </c>
      <c r="E32" t="s">
        <v>141</v>
      </c>
      <c r="F32" t="s">
        <v>13</v>
      </c>
      <c r="G32" t="str">
        <f t="shared" si="6"/>
        <v/>
      </c>
      <c r="H32" t="s">
        <v>14</v>
      </c>
      <c r="I32" t="s">
        <v>589</v>
      </c>
      <c r="J32" s="2">
        <f t="shared" si="7"/>
        <v>1500000</v>
      </c>
      <c r="K32" t="s">
        <v>66</v>
      </c>
      <c r="L32">
        <f t="shared" si="8"/>
        <v>0</v>
      </c>
      <c r="N32" t="s">
        <v>43</v>
      </c>
      <c r="R32" s="3">
        <f t="shared" si="0"/>
        <v>0</v>
      </c>
    </row>
    <row r="33" spans="1:18" hidden="1" x14ac:dyDescent="0.25">
      <c r="A33" t="s">
        <v>4792</v>
      </c>
      <c r="B33" t="s">
        <v>4272</v>
      </c>
      <c r="C33" t="s">
        <v>4285</v>
      </c>
      <c r="D33" s="3">
        <f t="shared" si="5"/>
        <v>14</v>
      </c>
      <c r="E33" t="s">
        <v>875</v>
      </c>
      <c r="F33" t="s">
        <v>13</v>
      </c>
      <c r="G33" t="str">
        <f t="shared" si="6"/>
        <v/>
      </c>
      <c r="H33" t="s">
        <v>14</v>
      </c>
      <c r="I33" t="s">
        <v>4793</v>
      </c>
      <c r="J33" s="2">
        <f t="shared" si="7"/>
        <v>1800000</v>
      </c>
      <c r="K33" t="s">
        <v>228</v>
      </c>
      <c r="L33">
        <f t="shared" si="8"/>
        <v>0.20833333333333334</v>
      </c>
      <c r="M33" s="5">
        <v>0.20833333333333334</v>
      </c>
      <c r="N33" t="s">
        <v>18</v>
      </c>
      <c r="R33" s="3">
        <f t="shared" si="0"/>
        <v>5</v>
      </c>
    </row>
    <row r="34" spans="1:18" hidden="1" x14ac:dyDescent="0.25">
      <c r="A34" t="s">
        <v>3658</v>
      </c>
      <c r="B34" t="s">
        <v>3233</v>
      </c>
      <c r="C34" t="s">
        <v>3261</v>
      </c>
      <c r="D34" s="3">
        <f t="shared" si="5"/>
        <v>12</v>
      </c>
      <c r="E34" t="s">
        <v>33</v>
      </c>
      <c r="F34" t="s">
        <v>13</v>
      </c>
      <c r="G34" t="str">
        <f t="shared" si="6"/>
        <v/>
      </c>
      <c r="H34" t="s">
        <v>14</v>
      </c>
      <c r="I34" t="s">
        <v>3659</v>
      </c>
      <c r="J34" s="2">
        <f t="shared" si="7"/>
        <v>1600000</v>
      </c>
      <c r="K34" t="s">
        <v>95</v>
      </c>
      <c r="L34">
        <f t="shared" si="8"/>
        <v>0.1673611111111111</v>
      </c>
      <c r="M34" s="5">
        <v>0.1673611111111111</v>
      </c>
      <c r="N34" t="s">
        <v>18</v>
      </c>
      <c r="R34" s="3">
        <f t="shared" si="0"/>
        <v>4.0166666666666666</v>
      </c>
    </row>
    <row r="35" spans="1:18" hidden="1" x14ac:dyDescent="0.25">
      <c r="A35" t="s">
        <v>1294</v>
      </c>
      <c r="B35" t="s">
        <v>640</v>
      </c>
      <c r="C35" t="s">
        <v>803</v>
      </c>
      <c r="D35" s="3">
        <f t="shared" si="5"/>
        <v>12</v>
      </c>
      <c r="E35" t="s">
        <v>33</v>
      </c>
      <c r="F35" t="s">
        <v>13</v>
      </c>
      <c r="G35" t="str">
        <f t="shared" si="6"/>
        <v/>
      </c>
      <c r="H35" t="s">
        <v>14</v>
      </c>
      <c r="I35" t="s">
        <v>1295</v>
      </c>
      <c r="J35" s="2">
        <f t="shared" si="7"/>
        <v>1250000</v>
      </c>
      <c r="K35" t="s">
        <v>202</v>
      </c>
      <c r="L35">
        <f t="shared" si="8"/>
        <v>0</v>
      </c>
      <c r="N35" t="s">
        <v>18</v>
      </c>
      <c r="R35" s="3">
        <f t="shared" si="0"/>
        <v>0</v>
      </c>
    </row>
    <row r="36" spans="1:18" hidden="1" x14ac:dyDescent="0.25">
      <c r="A36" t="s">
        <v>4708</v>
      </c>
      <c r="B36" t="s">
        <v>4272</v>
      </c>
      <c r="C36" t="s">
        <v>4285</v>
      </c>
      <c r="D36" s="3">
        <f t="shared" si="5"/>
        <v>12</v>
      </c>
      <c r="E36" t="s">
        <v>33</v>
      </c>
      <c r="F36" t="s">
        <v>13</v>
      </c>
      <c r="G36" t="str">
        <f t="shared" si="6"/>
        <v/>
      </c>
      <c r="H36" t="s">
        <v>14</v>
      </c>
      <c r="I36" t="s">
        <v>4709</v>
      </c>
      <c r="J36" s="2">
        <f t="shared" si="7"/>
        <v>1300000</v>
      </c>
      <c r="K36" t="s">
        <v>17</v>
      </c>
      <c r="L36">
        <f t="shared" si="8"/>
        <v>0.17222222222222225</v>
      </c>
      <c r="M36" s="5">
        <v>0.17222222222222225</v>
      </c>
      <c r="N36" t="s">
        <v>18</v>
      </c>
      <c r="R36" s="3">
        <f t="shared" si="0"/>
        <v>4.1333333333333337</v>
      </c>
    </row>
    <row r="37" spans="1:18" x14ac:dyDescent="0.25">
      <c r="A37" t="s">
        <v>96</v>
      </c>
      <c r="B37" t="s">
        <v>20</v>
      </c>
      <c r="C37" t="s">
        <v>24</v>
      </c>
      <c r="D37" s="3">
        <f t="shared" si="5"/>
        <v>6.75</v>
      </c>
      <c r="E37" t="s">
        <v>97</v>
      </c>
      <c r="F37" t="s">
        <v>13</v>
      </c>
      <c r="G37" t="str">
        <f t="shared" si="6"/>
        <v/>
      </c>
      <c r="H37" t="s">
        <v>14</v>
      </c>
      <c r="I37" t="s">
        <v>98</v>
      </c>
      <c r="J37" s="2">
        <f t="shared" si="7"/>
        <v>500000</v>
      </c>
      <c r="K37" t="s">
        <v>16</v>
      </c>
      <c r="L37">
        <f t="shared" si="8"/>
        <v>0.17013888888888887</v>
      </c>
      <c r="M37" s="5">
        <v>0.17013888888888887</v>
      </c>
      <c r="N37" t="s">
        <v>18</v>
      </c>
      <c r="R37" s="3">
        <f t="shared" si="0"/>
        <v>4.083333333333333</v>
      </c>
    </row>
    <row r="38" spans="1:18" hidden="1" x14ac:dyDescent="0.25">
      <c r="A38" t="s">
        <v>3473</v>
      </c>
      <c r="B38" t="s">
        <v>3233</v>
      </c>
      <c r="C38" t="s">
        <v>3261</v>
      </c>
      <c r="D38" s="3">
        <f t="shared" si="5"/>
        <v>12</v>
      </c>
      <c r="E38" t="s">
        <v>347</v>
      </c>
      <c r="F38" t="s">
        <v>34</v>
      </c>
      <c r="G38" t="str">
        <f t="shared" si="6"/>
        <v/>
      </c>
      <c r="H38" t="s">
        <v>14</v>
      </c>
      <c r="I38" t="s">
        <v>3474</v>
      </c>
      <c r="J38" s="2">
        <f t="shared" si="7"/>
        <v>1450000</v>
      </c>
      <c r="K38" t="s">
        <v>29</v>
      </c>
      <c r="L38">
        <f t="shared" si="8"/>
        <v>0.17222222222222225</v>
      </c>
      <c r="M38" s="5">
        <v>0.17222222222222225</v>
      </c>
      <c r="N38" t="s">
        <v>43</v>
      </c>
      <c r="P38" t="s">
        <v>3352</v>
      </c>
      <c r="R38" s="3">
        <f t="shared" si="0"/>
        <v>4.1333333333333337</v>
      </c>
    </row>
    <row r="39" spans="1:18" hidden="1" x14ac:dyDescent="0.25">
      <c r="A39" t="s">
        <v>4101</v>
      </c>
      <c r="B39" t="s">
        <v>3746</v>
      </c>
      <c r="C39" t="s">
        <v>3746</v>
      </c>
      <c r="D39" s="3">
        <f t="shared" si="5"/>
        <v>16</v>
      </c>
      <c r="E39" t="s">
        <v>79</v>
      </c>
      <c r="F39" t="s">
        <v>13</v>
      </c>
      <c r="G39" t="str">
        <f t="shared" si="6"/>
        <v/>
      </c>
      <c r="H39" t="s">
        <v>14</v>
      </c>
      <c r="I39" t="s">
        <v>4102</v>
      </c>
      <c r="J39" s="2">
        <f t="shared" si="7"/>
        <v>1300000</v>
      </c>
      <c r="K39" t="s">
        <v>17</v>
      </c>
      <c r="L39">
        <f t="shared" si="8"/>
        <v>0</v>
      </c>
      <c r="N39" t="s">
        <v>18</v>
      </c>
      <c r="R39" s="3">
        <f t="shared" si="0"/>
        <v>0</v>
      </c>
    </row>
    <row r="40" spans="1:18" hidden="1" x14ac:dyDescent="0.25">
      <c r="A40" t="s">
        <v>497</v>
      </c>
      <c r="B40" t="s">
        <v>20</v>
      </c>
      <c r="C40" t="s">
        <v>24</v>
      </c>
      <c r="D40" s="3">
        <f t="shared" si="5"/>
        <v>18</v>
      </c>
      <c r="E40" t="s">
        <v>126</v>
      </c>
      <c r="F40" t="s">
        <v>13</v>
      </c>
      <c r="G40" t="str">
        <f t="shared" si="6"/>
        <v/>
      </c>
      <c r="H40" t="s">
        <v>14</v>
      </c>
      <c r="I40" t="s">
        <v>498</v>
      </c>
      <c r="J40" s="2">
        <f t="shared" si="7"/>
        <v>2500000</v>
      </c>
      <c r="K40" t="s">
        <v>272</v>
      </c>
      <c r="L40">
        <f t="shared" si="8"/>
        <v>0</v>
      </c>
      <c r="N40" t="s">
        <v>18</v>
      </c>
      <c r="R40" s="3">
        <f t="shared" si="0"/>
        <v>0</v>
      </c>
    </row>
    <row r="41" spans="1:18" hidden="1" x14ac:dyDescent="0.25">
      <c r="A41" t="s">
        <v>553</v>
      </c>
      <c r="B41" t="s">
        <v>20</v>
      </c>
      <c r="C41" t="s">
        <v>30</v>
      </c>
      <c r="D41" s="3">
        <f t="shared" si="5"/>
        <v>9</v>
      </c>
      <c r="E41" t="s">
        <v>12</v>
      </c>
      <c r="F41" t="s">
        <v>13</v>
      </c>
      <c r="G41" t="str">
        <f t="shared" si="6"/>
        <v/>
      </c>
      <c r="H41" t="s">
        <v>14</v>
      </c>
      <c r="I41" t="s">
        <v>554</v>
      </c>
      <c r="J41" s="2">
        <f t="shared" si="7"/>
        <v>1200000</v>
      </c>
      <c r="K41" t="s">
        <v>36</v>
      </c>
      <c r="L41">
        <f t="shared" si="8"/>
        <v>0</v>
      </c>
      <c r="N41" t="s">
        <v>43</v>
      </c>
      <c r="R41" s="3">
        <f t="shared" si="0"/>
        <v>0</v>
      </c>
    </row>
    <row r="42" spans="1:18" hidden="1" x14ac:dyDescent="0.25">
      <c r="A42" t="s">
        <v>4255</v>
      </c>
      <c r="B42" t="s">
        <v>3746</v>
      </c>
      <c r="C42" t="s">
        <v>3775</v>
      </c>
      <c r="D42" s="3">
        <f t="shared" si="5"/>
        <v>9</v>
      </c>
      <c r="E42" t="s">
        <v>12</v>
      </c>
      <c r="F42" t="s">
        <v>34</v>
      </c>
      <c r="G42" t="str">
        <f t="shared" si="6"/>
        <v/>
      </c>
      <c r="H42" t="s">
        <v>14</v>
      </c>
      <c r="I42" t="s">
        <v>4256</v>
      </c>
      <c r="J42" s="2">
        <f t="shared" si="7"/>
        <v>1500000</v>
      </c>
      <c r="K42" t="s">
        <v>66</v>
      </c>
      <c r="L42">
        <f t="shared" si="8"/>
        <v>0.20833333333333334</v>
      </c>
      <c r="M42" s="5">
        <v>0.20833333333333334</v>
      </c>
      <c r="N42" t="s">
        <v>43</v>
      </c>
      <c r="R42" s="3">
        <f t="shared" si="0"/>
        <v>5</v>
      </c>
    </row>
    <row r="43" spans="1:18" hidden="1" x14ac:dyDescent="0.25">
      <c r="A43" t="s">
        <v>5831</v>
      </c>
      <c r="B43" t="s">
        <v>5848</v>
      </c>
      <c r="C43" t="s">
        <v>1163</v>
      </c>
      <c r="D43" s="3">
        <f t="shared" si="5"/>
        <v>12</v>
      </c>
      <c r="E43" t="s">
        <v>33</v>
      </c>
      <c r="F43" t="s">
        <v>13</v>
      </c>
      <c r="G43" t="str">
        <f t="shared" si="6"/>
        <v/>
      </c>
      <c r="H43" t="s">
        <v>14</v>
      </c>
      <c r="I43" t="s">
        <v>5832</v>
      </c>
      <c r="J43" s="2">
        <f t="shared" si="7"/>
        <v>1400000</v>
      </c>
      <c r="K43" t="s">
        <v>81</v>
      </c>
      <c r="L43">
        <f t="shared" si="8"/>
        <v>0</v>
      </c>
      <c r="N43" t="s">
        <v>18</v>
      </c>
      <c r="R43" s="3">
        <f t="shared" si="0"/>
        <v>0</v>
      </c>
    </row>
    <row r="44" spans="1:18" hidden="1" x14ac:dyDescent="0.25">
      <c r="A44" t="s">
        <v>4207</v>
      </c>
      <c r="B44" t="s">
        <v>3746</v>
      </c>
      <c r="C44" t="s">
        <v>3884</v>
      </c>
      <c r="D44" s="3">
        <f t="shared" si="5"/>
        <v>9</v>
      </c>
      <c r="E44" t="s">
        <v>12</v>
      </c>
      <c r="F44" t="s">
        <v>13</v>
      </c>
      <c r="G44" t="str">
        <f t="shared" si="6"/>
        <v/>
      </c>
      <c r="H44" t="s">
        <v>14</v>
      </c>
      <c r="I44" t="s">
        <v>4208</v>
      </c>
      <c r="J44" s="2">
        <f t="shared" si="7"/>
        <v>750000</v>
      </c>
      <c r="K44" t="s">
        <v>76</v>
      </c>
      <c r="L44">
        <f t="shared" si="8"/>
        <v>0</v>
      </c>
      <c r="N44" t="s">
        <v>43</v>
      </c>
      <c r="R44" s="3">
        <f t="shared" si="0"/>
        <v>0</v>
      </c>
    </row>
    <row r="45" spans="1:18" hidden="1" x14ac:dyDescent="0.25">
      <c r="A45" t="s">
        <v>5108</v>
      </c>
      <c r="B45" t="s">
        <v>4806</v>
      </c>
      <c r="C45" t="s">
        <v>4805</v>
      </c>
      <c r="D45" s="3">
        <f t="shared" si="5"/>
        <v>9</v>
      </c>
      <c r="E45" t="s">
        <v>12</v>
      </c>
      <c r="F45" t="s">
        <v>13</v>
      </c>
      <c r="G45" t="str">
        <f t="shared" si="6"/>
        <v/>
      </c>
      <c r="H45" t="s">
        <v>14</v>
      </c>
      <c r="I45" t="s">
        <v>5109</v>
      </c>
      <c r="J45" s="2">
        <f t="shared" si="7"/>
        <v>1495000</v>
      </c>
      <c r="K45" t="s">
        <v>2202</v>
      </c>
      <c r="L45">
        <f t="shared" si="8"/>
        <v>0.20833333333333334</v>
      </c>
      <c r="M45" s="5">
        <v>0.20833333333333334</v>
      </c>
      <c r="N45" t="s">
        <v>43</v>
      </c>
      <c r="R45" s="3">
        <f t="shared" si="0"/>
        <v>5</v>
      </c>
    </row>
    <row r="46" spans="1:18" hidden="1" x14ac:dyDescent="0.25">
      <c r="A46" t="s">
        <v>5562</v>
      </c>
      <c r="B46" t="s">
        <v>5848</v>
      </c>
      <c r="C46" t="s">
        <v>5454</v>
      </c>
      <c r="D46" s="3">
        <f t="shared" si="5"/>
        <v>12</v>
      </c>
      <c r="E46" t="s">
        <v>33</v>
      </c>
      <c r="F46" t="s">
        <v>13</v>
      </c>
      <c r="G46" t="str">
        <f t="shared" si="6"/>
        <v/>
      </c>
      <c r="H46" t="s">
        <v>14</v>
      </c>
      <c r="I46" t="s">
        <v>5563</v>
      </c>
      <c r="J46" s="2">
        <f t="shared" si="7"/>
        <v>1850000</v>
      </c>
      <c r="K46" t="s">
        <v>87</v>
      </c>
      <c r="L46">
        <f t="shared" si="8"/>
        <v>0.17013888888888887</v>
      </c>
      <c r="M46" s="5">
        <v>0.17013888888888887</v>
      </c>
      <c r="N46" t="s">
        <v>18</v>
      </c>
      <c r="P46" t="s">
        <v>762</v>
      </c>
      <c r="R46" s="3">
        <f t="shared" si="0"/>
        <v>4.083333333333333</v>
      </c>
    </row>
    <row r="47" spans="1:18" hidden="1" x14ac:dyDescent="0.25">
      <c r="A47" t="s">
        <v>5596</v>
      </c>
      <c r="B47" t="s">
        <v>5848</v>
      </c>
      <c r="C47" t="s">
        <v>5454</v>
      </c>
      <c r="D47" s="3">
        <f t="shared" si="5"/>
        <v>12</v>
      </c>
      <c r="E47" t="s">
        <v>33</v>
      </c>
      <c r="F47" t="s">
        <v>13</v>
      </c>
      <c r="G47" t="str">
        <f t="shared" si="6"/>
        <v/>
      </c>
      <c r="H47" t="s">
        <v>14</v>
      </c>
      <c r="I47" t="s">
        <v>5563</v>
      </c>
      <c r="J47" s="2">
        <f t="shared" si="7"/>
        <v>1850000</v>
      </c>
      <c r="K47" t="s">
        <v>87</v>
      </c>
      <c r="L47">
        <f t="shared" si="8"/>
        <v>0.17013888888888887</v>
      </c>
      <c r="M47" s="5">
        <v>0.17013888888888887</v>
      </c>
      <c r="N47" t="s">
        <v>18</v>
      </c>
      <c r="P47" t="s">
        <v>762</v>
      </c>
      <c r="R47" s="3">
        <f t="shared" si="0"/>
        <v>4.083333333333333</v>
      </c>
    </row>
    <row r="48" spans="1:18" hidden="1" x14ac:dyDescent="0.25">
      <c r="A48" t="s">
        <v>4639</v>
      </c>
      <c r="B48" t="s">
        <v>4272</v>
      </c>
      <c r="C48" t="s">
        <v>4281</v>
      </c>
      <c r="D48" s="3">
        <f t="shared" si="5"/>
        <v>12</v>
      </c>
      <c r="E48" t="s">
        <v>33</v>
      </c>
      <c r="F48" t="s">
        <v>13</v>
      </c>
      <c r="G48" t="str">
        <f t="shared" si="6"/>
        <v/>
      </c>
      <c r="H48" t="s">
        <v>14</v>
      </c>
      <c r="I48" t="s">
        <v>4640</v>
      </c>
      <c r="J48" s="2">
        <f t="shared" si="7"/>
        <v>1100000</v>
      </c>
      <c r="K48" t="s">
        <v>42</v>
      </c>
      <c r="L48">
        <f t="shared" si="8"/>
        <v>0.17222222222222225</v>
      </c>
      <c r="M48" s="5">
        <v>0.17222222222222225</v>
      </c>
      <c r="N48" t="s">
        <v>43</v>
      </c>
      <c r="R48" s="3">
        <f t="shared" si="0"/>
        <v>4.1333333333333337</v>
      </c>
    </row>
    <row r="49" spans="1:18" hidden="1" x14ac:dyDescent="0.25">
      <c r="A49" t="s">
        <v>3487</v>
      </c>
      <c r="B49" t="s">
        <v>3233</v>
      </c>
      <c r="C49" t="s">
        <v>3261</v>
      </c>
      <c r="D49" s="3">
        <f t="shared" si="5"/>
        <v>12</v>
      </c>
      <c r="E49" t="s">
        <v>33</v>
      </c>
      <c r="F49" t="s">
        <v>13</v>
      </c>
      <c r="G49" t="str">
        <f t="shared" si="6"/>
        <v/>
      </c>
      <c r="H49" t="s">
        <v>14</v>
      </c>
      <c r="I49" t="s">
        <v>3488</v>
      </c>
      <c r="J49" s="2">
        <f t="shared" si="7"/>
        <v>2100000</v>
      </c>
      <c r="K49" t="s">
        <v>451</v>
      </c>
      <c r="L49">
        <f t="shared" si="8"/>
        <v>0</v>
      </c>
      <c r="N49" t="s">
        <v>43</v>
      </c>
      <c r="R49" s="3">
        <f t="shared" si="0"/>
        <v>0</v>
      </c>
    </row>
    <row r="50" spans="1:18" hidden="1" x14ac:dyDescent="0.25">
      <c r="A50" t="s">
        <v>103</v>
      </c>
      <c r="B50" t="s">
        <v>20</v>
      </c>
      <c r="C50" t="s">
        <v>106</v>
      </c>
      <c r="D50" s="3">
        <f t="shared" si="5"/>
        <v>9</v>
      </c>
      <c r="E50" t="s">
        <v>12</v>
      </c>
      <c r="F50" t="s">
        <v>13</v>
      </c>
      <c r="G50" t="str">
        <f t="shared" si="6"/>
        <v/>
      </c>
      <c r="H50" t="s">
        <v>14</v>
      </c>
      <c r="I50" t="s">
        <v>104</v>
      </c>
      <c r="J50" s="2">
        <f t="shared" si="7"/>
        <v>650000</v>
      </c>
      <c r="K50" t="s">
        <v>105</v>
      </c>
      <c r="L50">
        <f t="shared" si="8"/>
        <v>0</v>
      </c>
      <c r="N50" t="s">
        <v>43</v>
      </c>
      <c r="R50" s="3">
        <f t="shared" si="0"/>
        <v>0</v>
      </c>
    </row>
    <row r="51" spans="1:18" hidden="1" x14ac:dyDescent="0.25">
      <c r="A51" t="s">
        <v>177</v>
      </c>
      <c r="B51" t="s">
        <v>20</v>
      </c>
      <c r="C51" t="s">
        <v>106</v>
      </c>
      <c r="D51" s="3">
        <f t="shared" si="5"/>
        <v>7.5</v>
      </c>
      <c r="E51" t="s">
        <v>178</v>
      </c>
      <c r="F51" t="s">
        <v>13</v>
      </c>
      <c r="G51" t="str">
        <f t="shared" si="6"/>
        <v/>
      </c>
      <c r="H51" t="s">
        <v>14</v>
      </c>
      <c r="I51" t="s">
        <v>179</v>
      </c>
      <c r="J51" s="2">
        <f t="shared" si="7"/>
        <v>800000</v>
      </c>
      <c r="K51" t="s">
        <v>109</v>
      </c>
      <c r="L51">
        <f t="shared" si="8"/>
        <v>0</v>
      </c>
      <c r="N51" t="s">
        <v>43</v>
      </c>
      <c r="R51" s="3">
        <f t="shared" si="0"/>
        <v>0</v>
      </c>
    </row>
    <row r="52" spans="1:18" hidden="1" x14ac:dyDescent="0.25">
      <c r="A52" t="s">
        <v>107</v>
      </c>
      <c r="B52" t="s">
        <v>20</v>
      </c>
      <c r="C52" t="s">
        <v>106</v>
      </c>
      <c r="D52" s="3">
        <f t="shared" si="5"/>
        <v>12</v>
      </c>
      <c r="E52" t="s">
        <v>33</v>
      </c>
      <c r="F52" t="s">
        <v>13</v>
      </c>
      <c r="G52" t="str">
        <f t="shared" si="6"/>
        <v/>
      </c>
      <c r="H52" t="s">
        <v>14</v>
      </c>
      <c r="I52" t="s">
        <v>108</v>
      </c>
      <c r="J52" s="2">
        <f t="shared" si="7"/>
        <v>800000</v>
      </c>
      <c r="K52" t="s">
        <v>109</v>
      </c>
      <c r="L52">
        <f t="shared" si="8"/>
        <v>0</v>
      </c>
      <c r="N52" t="s">
        <v>43</v>
      </c>
      <c r="R52" s="3">
        <f t="shared" si="0"/>
        <v>0</v>
      </c>
    </row>
    <row r="53" spans="1:18" hidden="1" x14ac:dyDescent="0.25">
      <c r="A53" t="s">
        <v>114</v>
      </c>
      <c r="B53" t="s">
        <v>20</v>
      </c>
      <c r="C53" t="s">
        <v>106</v>
      </c>
      <c r="D53" s="3">
        <f t="shared" si="5"/>
        <v>12</v>
      </c>
      <c r="E53" t="s">
        <v>33</v>
      </c>
      <c r="F53" t="s">
        <v>13</v>
      </c>
      <c r="G53" t="str">
        <f t="shared" si="6"/>
        <v/>
      </c>
      <c r="H53" t="s">
        <v>14</v>
      </c>
      <c r="I53" t="s">
        <v>108</v>
      </c>
      <c r="J53" s="2">
        <f t="shared" si="7"/>
        <v>800000</v>
      </c>
      <c r="K53" t="s">
        <v>109</v>
      </c>
      <c r="L53">
        <f t="shared" si="8"/>
        <v>0</v>
      </c>
      <c r="N53" t="s">
        <v>43</v>
      </c>
      <c r="R53" s="3">
        <f t="shared" si="0"/>
        <v>0</v>
      </c>
    </row>
    <row r="54" spans="1:18" hidden="1" x14ac:dyDescent="0.25">
      <c r="A54" t="s">
        <v>153</v>
      </c>
      <c r="B54" t="s">
        <v>20</v>
      </c>
      <c r="C54" t="s">
        <v>106</v>
      </c>
      <c r="D54" s="3">
        <f t="shared" si="5"/>
        <v>12</v>
      </c>
      <c r="E54" t="s">
        <v>33</v>
      </c>
      <c r="F54" t="s">
        <v>13</v>
      </c>
      <c r="G54" t="str">
        <f t="shared" si="6"/>
        <v/>
      </c>
      <c r="H54" t="s">
        <v>14</v>
      </c>
      <c r="I54" t="s">
        <v>154</v>
      </c>
      <c r="J54" s="2">
        <f t="shared" si="7"/>
        <v>2000000</v>
      </c>
      <c r="K54" t="s">
        <v>128</v>
      </c>
      <c r="L54">
        <f t="shared" si="8"/>
        <v>0</v>
      </c>
      <c r="N54" t="s">
        <v>43</v>
      </c>
      <c r="R54" s="3">
        <f t="shared" si="0"/>
        <v>0</v>
      </c>
    </row>
    <row r="55" spans="1:18" hidden="1" x14ac:dyDescent="0.25">
      <c r="A55" t="s">
        <v>395</v>
      </c>
      <c r="B55" t="s">
        <v>20</v>
      </c>
      <c r="C55" t="s">
        <v>106</v>
      </c>
      <c r="D55" s="3">
        <f t="shared" si="5"/>
        <v>20</v>
      </c>
      <c r="E55" t="s">
        <v>159</v>
      </c>
      <c r="F55" t="s">
        <v>13</v>
      </c>
      <c r="G55" t="str">
        <f t="shared" si="6"/>
        <v/>
      </c>
      <c r="H55" t="s">
        <v>14</v>
      </c>
      <c r="I55" t="s">
        <v>396</v>
      </c>
      <c r="J55" s="2">
        <f t="shared" si="7"/>
        <v>1500000</v>
      </c>
      <c r="K55" t="s">
        <v>66</v>
      </c>
      <c r="L55">
        <f t="shared" si="8"/>
        <v>0</v>
      </c>
      <c r="N55" t="s">
        <v>43</v>
      </c>
      <c r="R55" s="3">
        <f t="shared" si="0"/>
        <v>0</v>
      </c>
    </row>
    <row r="56" spans="1:18" hidden="1" x14ac:dyDescent="0.25">
      <c r="A56" t="s">
        <v>115</v>
      </c>
      <c r="B56" t="s">
        <v>20</v>
      </c>
      <c r="C56" t="s">
        <v>106</v>
      </c>
      <c r="D56" s="3">
        <f t="shared" si="5"/>
        <v>9</v>
      </c>
      <c r="E56" t="s">
        <v>12</v>
      </c>
      <c r="F56" t="s">
        <v>13</v>
      </c>
      <c r="G56" t="str">
        <f t="shared" si="6"/>
        <v/>
      </c>
      <c r="H56" t="s">
        <v>14</v>
      </c>
      <c r="I56" t="s">
        <v>116</v>
      </c>
      <c r="J56" s="2">
        <f t="shared" si="7"/>
        <v>1000000</v>
      </c>
      <c r="K56" t="s">
        <v>52</v>
      </c>
      <c r="L56">
        <f t="shared" si="8"/>
        <v>0</v>
      </c>
      <c r="N56" t="s">
        <v>43</v>
      </c>
      <c r="R56" s="3">
        <f t="shared" si="0"/>
        <v>0</v>
      </c>
    </row>
    <row r="57" spans="1:18" hidden="1" x14ac:dyDescent="0.25">
      <c r="A57" t="s">
        <v>3304</v>
      </c>
      <c r="B57" t="s">
        <v>3233</v>
      </c>
      <c r="C57" t="s">
        <v>3261</v>
      </c>
      <c r="D57" s="3">
        <f t="shared" si="5"/>
        <v>16</v>
      </c>
      <c r="E57" t="s">
        <v>79</v>
      </c>
      <c r="F57" t="s">
        <v>13</v>
      </c>
      <c r="G57" t="str">
        <f t="shared" si="6"/>
        <v/>
      </c>
      <c r="H57" t="s">
        <v>14</v>
      </c>
      <c r="I57" t="s">
        <v>3305</v>
      </c>
      <c r="J57" s="2">
        <f t="shared" si="7"/>
        <v>2200000</v>
      </c>
      <c r="K57" t="s">
        <v>849</v>
      </c>
      <c r="L57">
        <f t="shared" si="8"/>
        <v>0.1277777777777778</v>
      </c>
      <c r="M57" s="5">
        <v>0.1277777777777778</v>
      </c>
      <c r="N57" t="s">
        <v>43</v>
      </c>
      <c r="R57" s="3">
        <f t="shared" si="0"/>
        <v>3.0666666666666673</v>
      </c>
    </row>
    <row r="58" spans="1:18" hidden="1" x14ac:dyDescent="0.25">
      <c r="A58" t="s">
        <v>3662</v>
      </c>
      <c r="B58" t="s">
        <v>3233</v>
      </c>
      <c r="C58" t="s">
        <v>3261</v>
      </c>
      <c r="D58" s="3">
        <f t="shared" si="5"/>
        <v>9</v>
      </c>
      <c r="E58" t="s">
        <v>12</v>
      </c>
      <c r="F58" t="s">
        <v>13</v>
      </c>
      <c r="G58" t="str">
        <f t="shared" si="6"/>
        <v/>
      </c>
      <c r="H58" t="s">
        <v>14</v>
      </c>
      <c r="I58" t="s">
        <v>3663</v>
      </c>
      <c r="J58" s="2">
        <f t="shared" si="7"/>
        <v>1500000</v>
      </c>
      <c r="K58" t="s">
        <v>66</v>
      </c>
      <c r="L58">
        <f t="shared" si="8"/>
        <v>0.17222222222222225</v>
      </c>
      <c r="M58" s="5">
        <v>0.17222222222222225</v>
      </c>
      <c r="N58" t="s">
        <v>43</v>
      </c>
      <c r="P58" t="s">
        <v>3352</v>
      </c>
      <c r="R58" s="3">
        <f t="shared" si="0"/>
        <v>4.1333333333333337</v>
      </c>
    </row>
    <row r="59" spans="1:18" hidden="1" x14ac:dyDescent="0.25">
      <c r="A59" t="s">
        <v>339</v>
      </c>
      <c r="B59" t="s">
        <v>20</v>
      </c>
      <c r="C59" t="s">
        <v>84</v>
      </c>
      <c r="D59" s="3">
        <f t="shared" si="5"/>
        <v>9</v>
      </c>
      <c r="E59" t="s">
        <v>12</v>
      </c>
      <c r="F59" t="s">
        <v>34</v>
      </c>
      <c r="G59" t="str">
        <f t="shared" si="6"/>
        <v/>
      </c>
      <c r="H59" t="s">
        <v>14</v>
      </c>
      <c r="I59" t="s">
        <v>340</v>
      </c>
      <c r="J59" s="2">
        <f t="shared" si="7"/>
        <v>500000</v>
      </c>
      <c r="K59" t="s">
        <v>16</v>
      </c>
      <c r="L59">
        <f t="shared" si="8"/>
        <v>0.20833333333333334</v>
      </c>
      <c r="M59" s="5">
        <v>0.20833333333333334</v>
      </c>
      <c r="N59" t="s">
        <v>18</v>
      </c>
      <c r="R59" s="3">
        <f t="shared" si="0"/>
        <v>5</v>
      </c>
    </row>
    <row r="60" spans="1:18" hidden="1" x14ac:dyDescent="0.25">
      <c r="A60" t="s">
        <v>5737</v>
      </c>
      <c r="B60" t="s">
        <v>5848</v>
      </c>
      <c r="C60" t="s">
        <v>5339</v>
      </c>
      <c r="D60" s="3">
        <f t="shared" si="5"/>
        <v>13.5</v>
      </c>
      <c r="E60" t="s">
        <v>667</v>
      </c>
      <c r="F60" t="s">
        <v>13</v>
      </c>
      <c r="G60" t="str">
        <f t="shared" si="6"/>
        <v/>
      </c>
      <c r="H60" t="s">
        <v>14</v>
      </c>
      <c r="I60" t="s">
        <v>5738</v>
      </c>
      <c r="J60" s="2">
        <f t="shared" si="7"/>
        <v>2200000</v>
      </c>
      <c r="K60" t="s">
        <v>849</v>
      </c>
      <c r="L60">
        <f t="shared" si="8"/>
        <v>0</v>
      </c>
      <c r="N60" t="s">
        <v>18</v>
      </c>
      <c r="R60" s="3">
        <f t="shared" si="0"/>
        <v>0</v>
      </c>
    </row>
    <row r="61" spans="1:18" hidden="1" x14ac:dyDescent="0.25">
      <c r="A61" t="s">
        <v>5801</v>
      </c>
      <c r="B61" t="s">
        <v>5848</v>
      </c>
      <c r="C61" t="s">
        <v>5339</v>
      </c>
      <c r="D61" s="3">
        <f t="shared" si="5"/>
        <v>9</v>
      </c>
      <c r="E61" t="s">
        <v>12</v>
      </c>
      <c r="F61" t="s">
        <v>13</v>
      </c>
      <c r="G61" t="str">
        <f t="shared" si="6"/>
        <v/>
      </c>
      <c r="H61" t="s">
        <v>14</v>
      </c>
      <c r="I61" t="s">
        <v>5802</v>
      </c>
      <c r="J61" s="2">
        <f t="shared" si="7"/>
        <v>1500000</v>
      </c>
      <c r="K61" t="s">
        <v>66</v>
      </c>
      <c r="L61">
        <f t="shared" si="8"/>
        <v>0.20833333333333334</v>
      </c>
      <c r="M61" s="5">
        <v>0.20833333333333334</v>
      </c>
      <c r="N61" t="s">
        <v>18</v>
      </c>
      <c r="R61" s="3">
        <f t="shared" si="0"/>
        <v>5</v>
      </c>
    </row>
    <row r="62" spans="1:18" hidden="1" x14ac:dyDescent="0.25">
      <c r="A62" t="s">
        <v>5131</v>
      </c>
      <c r="B62" t="s">
        <v>4806</v>
      </c>
      <c r="C62" t="s">
        <v>4825</v>
      </c>
      <c r="D62" s="3">
        <f t="shared" si="5"/>
        <v>11.2</v>
      </c>
      <c r="E62" t="s">
        <v>2669</v>
      </c>
      <c r="F62" t="s">
        <v>13</v>
      </c>
      <c r="G62" t="str">
        <f t="shared" si="6"/>
        <v/>
      </c>
      <c r="H62" t="s">
        <v>14</v>
      </c>
      <c r="I62" t="s">
        <v>5132</v>
      </c>
      <c r="J62" s="2">
        <f t="shared" si="7"/>
        <v>1150000</v>
      </c>
      <c r="K62" t="s">
        <v>700</v>
      </c>
      <c r="L62">
        <f t="shared" si="8"/>
        <v>0.20833333333333334</v>
      </c>
      <c r="M62" s="5">
        <v>0.20833333333333334</v>
      </c>
      <c r="N62" t="s">
        <v>43</v>
      </c>
      <c r="R62" s="3">
        <f t="shared" si="0"/>
        <v>5</v>
      </c>
    </row>
    <row r="63" spans="1:18" hidden="1" x14ac:dyDescent="0.25">
      <c r="A63" t="s">
        <v>4155</v>
      </c>
      <c r="B63" t="s">
        <v>3746</v>
      </c>
      <c r="C63" t="s">
        <v>3780</v>
      </c>
      <c r="D63" s="3">
        <f t="shared" si="5"/>
        <v>12</v>
      </c>
      <c r="E63" t="s">
        <v>33</v>
      </c>
      <c r="F63" t="s">
        <v>13</v>
      </c>
      <c r="G63" t="str">
        <f t="shared" si="6"/>
        <v/>
      </c>
      <c r="H63" t="s">
        <v>14</v>
      </c>
      <c r="I63" t="s">
        <v>4156</v>
      </c>
      <c r="J63" s="2">
        <f t="shared" si="7"/>
        <v>600000</v>
      </c>
      <c r="K63" t="s">
        <v>173</v>
      </c>
      <c r="L63">
        <f t="shared" si="8"/>
        <v>0</v>
      </c>
      <c r="N63" t="s">
        <v>43</v>
      </c>
      <c r="R63" s="3">
        <f t="shared" si="0"/>
        <v>0</v>
      </c>
    </row>
    <row r="64" spans="1:18" hidden="1" x14ac:dyDescent="0.25">
      <c r="A64" t="s">
        <v>5146</v>
      </c>
      <c r="B64" t="s">
        <v>4806</v>
      </c>
      <c r="C64" t="s">
        <v>4825</v>
      </c>
      <c r="D64" s="3">
        <f t="shared" si="5"/>
        <v>12</v>
      </c>
      <c r="E64" t="s">
        <v>33</v>
      </c>
      <c r="F64" t="s">
        <v>13</v>
      </c>
      <c r="G64" t="str">
        <f t="shared" si="6"/>
        <v/>
      </c>
      <c r="H64" t="s">
        <v>14</v>
      </c>
      <c r="I64" t="s">
        <v>5147</v>
      </c>
      <c r="J64" s="2">
        <f t="shared" si="7"/>
        <v>1100000</v>
      </c>
      <c r="K64" t="s">
        <v>42</v>
      </c>
      <c r="L64">
        <f t="shared" si="8"/>
        <v>0.17083333333333331</v>
      </c>
      <c r="M64" s="5">
        <v>0.17083333333333331</v>
      </c>
      <c r="N64" t="s">
        <v>43</v>
      </c>
      <c r="R64" s="3">
        <f t="shared" si="0"/>
        <v>4.0999999999999996</v>
      </c>
    </row>
    <row r="65" spans="1:18" hidden="1" x14ac:dyDescent="0.25">
      <c r="A65" t="s">
        <v>4563</v>
      </c>
      <c r="B65" t="s">
        <v>4272</v>
      </c>
      <c r="C65" t="s">
        <v>4533</v>
      </c>
      <c r="D65" s="3">
        <f t="shared" si="5"/>
        <v>10.5</v>
      </c>
      <c r="E65" t="s">
        <v>653</v>
      </c>
      <c r="F65" t="s">
        <v>13</v>
      </c>
      <c r="G65" t="str">
        <f t="shared" si="6"/>
        <v/>
      </c>
      <c r="H65" t="s">
        <v>14</v>
      </c>
      <c r="I65" t="s">
        <v>4564</v>
      </c>
      <c r="J65" s="2">
        <f t="shared" si="7"/>
        <v>1800000</v>
      </c>
      <c r="K65" t="s">
        <v>228</v>
      </c>
      <c r="L65">
        <f t="shared" si="8"/>
        <v>0.17291666666666669</v>
      </c>
      <c r="M65" s="5">
        <v>0.17291666666666669</v>
      </c>
      <c r="N65" t="s">
        <v>43</v>
      </c>
      <c r="P65" t="s">
        <v>199</v>
      </c>
      <c r="R65" s="3">
        <f t="shared" si="0"/>
        <v>4.1500000000000004</v>
      </c>
    </row>
    <row r="66" spans="1:18" hidden="1" x14ac:dyDescent="0.25">
      <c r="A66" t="s">
        <v>262</v>
      </c>
      <c r="B66" t="s">
        <v>20</v>
      </c>
      <c r="C66" t="s">
        <v>218</v>
      </c>
      <c r="D66" s="3">
        <f t="shared" si="5"/>
        <v>12</v>
      </c>
      <c r="E66" t="s">
        <v>33</v>
      </c>
      <c r="F66" t="s">
        <v>13</v>
      </c>
      <c r="G66" t="str">
        <f t="shared" si="6"/>
        <v/>
      </c>
      <c r="H66" t="s">
        <v>14</v>
      </c>
      <c r="I66" t="s">
        <v>263</v>
      </c>
      <c r="J66" s="2">
        <f t="shared" si="7"/>
        <v>1500000</v>
      </c>
      <c r="K66" t="s">
        <v>66</v>
      </c>
      <c r="L66">
        <f t="shared" si="8"/>
        <v>0.17013888888888887</v>
      </c>
      <c r="M66" s="5">
        <v>0.17013888888888887</v>
      </c>
      <c r="N66" t="s">
        <v>43</v>
      </c>
      <c r="R66" s="3">
        <f t="shared" ref="R66:R129" si="9">24*L66</f>
        <v>4.083333333333333</v>
      </c>
    </row>
    <row r="67" spans="1:18" hidden="1" x14ac:dyDescent="0.25">
      <c r="A67" t="s">
        <v>270</v>
      </c>
      <c r="B67" t="s">
        <v>20</v>
      </c>
      <c r="C67" t="s">
        <v>218</v>
      </c>
      <c r="D67" s="3">
        <f t="shared" si="5"/>
        <v>12</v>
      </c>
      <c r="E67" t="s">
        <v>33</v>
      </c>
      <c r="F67" t="s">
        <v>13</v>
      </c>
      <c r="G67" t="str">
        <f t="shared" si="6"/>
        <v/>
      </c>
      <c r="H67" t="s">
        <v>14</v>
      </c>
      <c r="I67" t="s">
        <v>271</v>
      </c>
      <c r="J67" s="2">
        <f t="shared" si="7"/>
        <v>2500000</v>
      </c>
      <c r="K67" t="s">
        <v>272</v>
      </c>
      <c r="L67">
        <f t="shared" si="8"/>
        <v>0</v>
      </c>
      <c r="N67" t="s">
        <v>43</v>
      </c>
      <c r="R67" s="3">
        <f t="shared" si="9"/>
        <v>0</v>
      </c>
    </row>
    <row r="68" spans="1:18" hidden="1" x14ac:dyDescent="0.25">
      <c r="A68" t="s">
        <v>3631</v>
      </c>
      <c r="B68" t="s">
        <v>3233</v>
      </c>
      <c r="C68" t="s">
        <v>3432</v>
      </c>
      <c r="D68" s="3">
        <f t="shared" si="5"/>
        <v>9</v>
      </c>
      <c r="E68" t="s">
        <v>12</v>
      </c>
      <c r="F68" t="s">
        <v>13</v>
      </c>
      <c r="G68" t="str">
        <f t="shared" si="6"/>
        <v/>
      </c>
      <c r="H68" t="s">
        <v>14</v>
      </c>
      <c r="I68" t="s">
        <v>3632</v>
      </c>
      <c r="J68" s="2">
        <f t="shared" si="7"/>
        <v>1400000</v>
      </c>
      <c r="K68" t="s">
        <v>81</v>
      </c>
      <c r="L68">
        <f t="shared" si="8"/>
        <v>0</v>
      </c>
      <c r="N68" t="s">
        <v>18</v>
      </c>
      <c r="R68" s="3">
        <f t="shared" si="9"/>
        <v>0</v>
      </c>
    </row>
    <row r="69" spans="1:18" hidden="1" x14ac:dyDescent="0.25">
      <c r="A69" t="s">
        <v>5821</v>
      </c>
      <c r="B69" t="s">
        <v>5848</v>
      </c>
      <c r="C69" t="s">
        <v>5331</v>
      </c>
      <c r="D69" s="3">
        <f t="shared" si="5"/>
        <v>12</v>
      </c>
      <c r="E69" t="s">
        <v>33</v>
      </c>
      <c r="F69" t="s">
        <v>13</v>
      </c>
      <c r="G69" t="str">
        <f t="shared" si="6"/>
        <v/>
      </c>
      <c r="H69" t="s">
        <v>14</v>
      </c>
      <c r="I69" t="s">
        <v>5822</v>
      </c>
      <c r="J69" s="2">
        <f t="shared" si="7"/>
        <v>1500000</v>
      </c>
      <c r="K69" t="s">
        <v>66</v>
      </c>
      <c r="L69">
        <f t="shared" si="8"/>
        <v>0</v>
      </c>
      <c r="N69" t="s">
        <v>18</v>
      </c>
      <c r="R69" s="3">
        <f t="shared" si="9"/>
        <v>0</v>
      </c>
    </row>
    <row r="70" spans="1:18" hidden="1" x14ac:dyDescent="0.25">
      <c r="A70" t="s">
        <v>1217</v>
      </c>
      <c r="B70" t="s">
        <v>640</v>
      </c>
      <c r="C70" t="s">
        <v>643</v>
      </c>
      <c r="D70" s="3">
        <f t="shared" si="5"/>
        <v>12</v>
      </c>
      <c r="E70" t="s">
        <v>33</v>
      </c>
      <c r="F70" t="s">
        <v>34</v>
      </c>
      <c r="G70" t="str">
        <f t="shared" si="6"/>
        <v/>
      </c>
      <c r="H70" t="s">
        <v>14</v>
      </c>
      <c r="I70" t="s">
        <v>1218</v>
      </c>
      <c r="J70" s="2">
        <f t="shared" si="7"/>
        <v>1400000</v>
      </c>
      <c r="K70" t="s">
        <v>81</v>
      </c>
      <c r="L70">
        <f t="shared" si="8"/>
        <v>0.17083333333333331</v>
      </c>
      <c r="M70" s="5">
        <v>0.17083333333333331</v>
      </c>
      <c r="N70" t="s">
        <v>18</v>
      </c>
      <c r="R70" s="3">
        <f t="shared" si="9"/>
        <v>4.0999999999999996</v>
      </c>
    </row>
    <row r="71" spans="1:18" hidden="1" x14ac:dyDescent="0.25">
      <c r="A71" t="s">
        <v>1240</v>
      </c>
      <c r="B71" t="s">
        <v>640</v>
      </c>
      <c r="C71" t="s">
        <v>643</v>
      </c>
      <c r="D71" s="3">
        <f t="shared" si="5"/>
        <v>16</v>
      </c>
      <c r="E71" t="s">
        <v>79</v>
      </c>
      <c r="F71" t="s">
        <v>13</v>
      </c>
      <c r="G71" t="str">
        <f t="shared" si="6"/>
        <v/>
      </c>
      <c r="H71" t="s">
        <v>14</v>
      </c>
      <c r="I71" t="s">
        <v>1241</v>
      </c>
      <c r="J71" s="2">
        <f t="shared" si="7"/>
        <v>1300000</v>
      </c>
      <c r="K71" t="s">
        <v>17</v>
      </c>
      <c r="L71">
        <f t="shared" si="8"/>
        <v>0</v>
      </c>
      <c r="N71" t="s">
        <v>37</v>
      </c>
      <c r="R71" s="3">
        <f t="shared" si="9"/>
        <v>0</v>
      </c>
    </row>
    <row r="72" spans="1:18" hidden="1" x14ac:dyDescent="0.25">
      <c r="A72" t="s">
        <v>5242</v>
      </c>
      <c r="B72" t="s">
        <v>4806</v>
      </c>
      <c r="C72" t="s">
        <v>4805</v>
      </c>
      <c r="D72" s="3">
        <f t="shared" si="5"/>
        <v>17.5</v>
      </c>
      <c r="E72" t="s">
        <v>1839</v>
      </c>
      <c r="F72" t="s">
        <v>13</v>
      </c>
      <c r="G72" t="str">
        <f t="shared" si="6"/>
        <v/>
      </c>
      <c r="H72" t="s">
        <v>14</v>
      </c>
      <c r="I72" t="s">
        <v>5243</v>
      </c>
      <c r="J72" s="2">
        <f t="shared" si="7"/>
        <v>1250000</v>
      </c>
      <c r="K72" t="s">
        <v>202</v>
      </c>
      <c r="L72">
        <f t="shared" si="8"/>
        <v>0</v>
      </c>
      <c r="N72" t="s">
        <v>37</v>
      </c>
      <c r="R72" s="3">
        <f t="shared" si="9"/>
        <v>0</v>
      </c>
    </row>
    <row r="73" spans="1:18" hidden="1" x14ac:dyDescent="0.25">
      <c r="A73" t="s">
        <v>1782</v>
      </c>
      <c r="B73" t="s">
        <v>1303</v>
      </c>
      <c r="C73" t="s">
        <v>1312</v>
      </c>
      <c r="D73" s="3">
        <f t="shared" si="5"/>
        <v>16</v>
      </c>
      <c r="E73" t="s">
        <v>79</v>
      </c>
      <c r="F73" t="s">
        <v>13</v>
      </c>
      <c r="G73" t="str">
        <f t="shared" si="6"/>
        <v/>
      </c>
      <c r="H73" t="s">
        <v>14</v>
      </c>
      <c r="I73" t="s">
        <v>1783</v>
      </c>
      <c r="J73" s="2">
        <f t="shared" si="7"/>
        <v>2600000</v>
      </c>
      <c r="K73" t="s">
        <v>1336</v>
      </c>
      <c r="L73">
        <f t="shared" si="8"/>
        <v>0.17083333333333331</v>
      </c>
      <c r="M73" s="5">
        <v>0.17083333333333331</v>
      </c>
      <c r="N73" t="s">
        <v>43</v>
      </c>
      <c r="R73" s="3">
        <f t="shared" si="9"/>
        <v>4.0999999999999996</v>
      </c>
    </row>
    <row r="74" spans="1:18" hidden="1" x14ac:dyDescent="0.25">
      <c r="A74" t="s">
        <v>1849</v>
      </c>
      <c r="B74" t="s">
        <v>1303</v>
      </c>
      <c r="C74" t="s">
        <v>1312</v>
      </c>
      <c r="D74" s="3">
        <f t="shared" si="5"/>
        <v>12</v>
      </c>
      <c r="E74" t="s">
        <v>33</v>
      </c>
      <c r="F74" t="s">
        <v>13</v>
      </c>
      <c r="G74" t="str">
        <f t="shared" si="6"/>
        <v/>
      </c>
      <c r="H74" t="s">
        <v>14</v>
      </c>
      <c r="I74" t="s">
        <v>1850</v>
      </c>
      <c r="J74" s="2">
        <f t="shared" si="7"/>
        <v>2400000</v>
      </c>
      <c r="K74" t="s">
        <v>133</v>
      </c>
      <c r="L74">
        <f t="shared" si="8"/>
        <v>0.16944444444444443</v>
      </c>
      <c r="M74" s="5">
        <v>0.16944444444444443</v>
      </c>
      <c r="N74" t="s">
        <v>43</v>
      </c>
      <c r="R74" s="3">
        <f t="shared" si="9"/>
        <v>4.0666666666666664</v>
      </c>
    </row>
    <row r="75" spans="1:18" hidden="1" x14ac:dyDescent="0.25">
      <c r="A75" t="s">
        <v>2228</v>
      </c>
      <c r="B75" t="s">
        <v>2596</v>
      </c>
      <c r="C75" t="s">
        <v>2071</v>
      </c>
      <c r="D75" s="3">
        <f t="shared" ref="D75:D138" si="10">VALUE(LEFT(E75,SEARCH(" x ",E75)-1))*VALUE(MID(E75,SEARCH(" x ",E75)+3,SEARCH(" meter",E75)-SEARCH(" x ",E75)-3))</f>
        <v>7.919999999999999</v>
      </c>
      <c r="E75" t="s">
        <v>2229</v>
      </c>
      <c r="F75" t="s">
        <v>13</v>
      </c>
      <c r="G75" t="str">
        <f t="shared" ref="G75:G138" si="11">IF(H75="N/A","",VALUE(SUBSTITUTE(SUBSTITUTE(H75,"Rp",""),".","")))</f>
        <v/>
      </c>
      <c r="H75" t="s">
        <v>14</v>
      </c>
      <c r="I75" t="s">
        <v>2230</v>
      </c>
      <c r="J75" s="2">
        <f t="shared" ref="J75:J138" si="12">VALUE(SUBSTITUTE(SUBSTITUTE(K75,"Rp",""),".",""))</f>
        <v>1325000</v>
      </c>
      <c r="K75" t="s">
        <v>683</v>
      </c>
      <c r="L75">
        <f t="shared" ref="L75:L138" si="13">M75:M2415</f>
        <v>0.16874999999999998</v>
      </c>
      <c r="M75" s="5">
        <v>0.16874999999999998</v>
      </c>
      <c r="N75" t="s">
        <v>18</v>
      </c>
      <c r="P75" t="s">
        <v>2050</v>
      </c>
      <c r="R75" s="3">
        <f t="shared" si="9"/>
        <v>4.05</v>
      </c>
    </row>
    <row r="76" spans="1:18" x14ac:dyDescent="0.25">
      <c r="A76" t="s">
        <v>4205</v>
      </c>
      <c r="B76" t="s">
        <v>3746</v>
      </c>
      <c r="C76" t="s">
        <v>3876</v>
      </c>
      <c r="D76" s="3">
        <f t="shared" si="10"/>
        <v>18</v>
      </c>
      <c r="E76" t="s">
        <v>126</v>
      </c>
      <c r="F76" t="s">
        <v>13</v>
      </c>
      <c r="G76" t="str">
        <f t="shared" si="11"/>
        <v/>
      </c>
      <c r="H76" t="s">
        <v>14</v>
      </c>
      <c r="I76" t="s">
        <v>4206</v>
      </c>
      <c r="J76" s="2">
        <f t="shared" si="12"/>
        <v>500000</v>
      </c>
      <c r="K76" t="s">
        <v>16</v>
      </c>
      <c r="L76">
        <f t="shared" si="13"/>
        <v>0</v>
      </c>
      <c r="N76" t="s">
        <v>43</v>
      </c>
      <c r="R76" s="3">
        <f t="shared" si="9"/>
        <v>0</v>
      </c>
    </row>
    <row r="77" spans="1:18" hidden="1" x14ac:dyDescent="0.25">
      <c r="A77" t="s">
        <v>2539</v>
      </c>
      <c r="B77" t="s">
        <v>2596</v>
      </c>
      <c r="C77" t="s">
        <v>2071</v>
      </c>
      <c r="D77" s="3">
        <f t="shared" si="10"/>
        <v>17.600000000000001</v>
      </c>
      <c r="E77" t="s">
        <v>2540</v>
      </c>
      <c r="F77" t="s">
        <v>13</v>
      </c>
      <c r="G77">
        <f t="shared" si="11"/>
        <v>1300000</v>
      </c>
      <c r="H77" t="s">
        <v>17</v>
      </c>
      <c r="I77" t="s">
        <v>2541</v>
      </c>
      <c r="J77" s="2">
        <f t="shared" si="12"/>
        <v>1235000</v>
      </c>
      <c r="K77" t="s">
        <v>2542</v>
      </c>
      <c r="L77">
        <f t="shared" si="13"/>
        <v>0.17222222222222225</v>
      </c>
      <c r="M77" s="5">
        <v>0.17222222222222225</v>
      </c>
      <c r="N77" t="s">
        <v>37</v>
      </c>
      <c r="P77" t="s">
        <v>2166</v>
      </c>
      <c r="R77" s="3">
        <f t="shared" si="9"/>
        <v>4.1333333333333337</v>
      </c>
    </row>
    <row r="78" spans="1:18" hidden="1" x14ac:dyDescent="0.25">
      <c r="A78" t="s">
        <v>2226</v>
      </c>
      <c r="B78" t="s">
        <v>2596</v>
      </c>
      <c r="C78" t="s">
        <v>2071</v>
      </c>
      <c r="D78" s="3">
        <f t="shared" si="10"/>
        <v>12</v>
      </c>
      <c r="E78" t="s">
        <v>33</v>
      </c>
      <c r="F78" t="s">
        <v>13</v>
      </c>
      <c r="G78">
        <f t="shared" si="11"/>
        <v>1200000</v>
      </c>
      <c r="H78" t="s">
        <v>36</v>
      </c>
      <c r="I78" t="s">
        <v>2227</v>
      </c>
      <c r="J78" s="2">
        <f t="shared" si="12"/>
        <v>1140000</v>
      </c>
      <c r="K78" t="s">
        <v>2031</v>
      </c>
      <c r="L78">
        <f t="shared" si="13"/>
        <v>0.17222222222222225</v>
      </c>
      <c r="M78" s="5">
        <v>0.17222222222222225</v>
      </c>
      <c r="N78" t="s">
        <v>37</v>
      </c>
      <c r="P78" t="s">
        <v>866</v>
      </c>
      <c r="R78" s="3">
        <f t="shared" si="9"/>
        <v>4.1333333333333337</v>
      </c>
    </row>
    <row r="79" spans="1:18" hidden="1" x14ac:dyDescent="0.25">
      <c r="A79" t="s">
        <v>2414</v>
      </c>
      <c r="B79" t="s">
        <v>2596</v>
      </c>
      <c r="C79" t="s">
        <v>2071</v>
      </c>
      <c r="D79" s="3">
        <f t="shared" si="10"/>
        <v>9</v>
      </c>
      <c r="E79" t="s">
        <v>12</v>
      </c>
      <c r="F79" t="s">
        <v>13</v>
      </c>
      <c r="G79">
        <f t="shared" si="11"/>
        <v>800000</v>
      </c>
      <c r="H79" t="s">
        <v>109</v>
      </c>
      <c r="I79" t="s">
        <v>2415</v>
      </c>
      <c r="J79" s="2">
        <f t="shared" si="12"/>
        <v>760000</v>
      </c>
      <c r="K79" t="s">
        <v>2416</v>
      </c>
      <c r="L79">
        <f t="shared" si="13"/>
        <v>0.17222222222222225</v>
      </c>
      <c r="M79" s="5">
        <v>0.17222222222222225</v>
      </c>
      <c r="N79" t="s">
        <v>37</v>
      </c>
      <c r="P79" t="s">
        <v>2417</v>
      </c>
      <c r="R79" s="3">
        <f t="shared" si="9"/>
        <v>4.1333333333333337</v>
      </c>
    </row>
    <row r="80" spans="1:18" hidden="1" x14ac:dyDescent="0.25">
      <c r="A80" t="s">
        <v>3021</v>
      </c>
      <c r="B80" t="s">
        <v>3206</v>
      </c>
      <c r="C80" t="s">
        <v>2671</v>
      </c>
      <c r="D80" s="3">
        <f t="shared" si="10"/>
        <v>6.4399999999999995</v>
      </c>
      <c r="E80" t="s">
        <v>3022</v>
      </c>
      <c r="F80" t="s">
        <v>13</v>
      </c>
      <c r="G80">
        <f t="shared" si="11"/>
        <v>975000</v>
      </c>
      <c r="H80" t="s">
        <v>544</v>
      </c>
      <c r="I80" t="s">
        <v>3023</v>
      </c>
      <c r="J80" s="2">
        <f t="shared" si="12"/>
        <v>927500</v>
      </c>
      <c r="K80" t="s">
        <v>1506</v>
      </c>
      <c r="L80">
        <f t="shared" si="13"/>
        <v>0.17222222222222225</v>
      </c>
      <c r="M80" s="5">
        <v>0.17222222222222225</v>
      </c>
      <c r="N80" t="s">
        <v>43</v>
      </c>
      <c r="P80" t="s">
        <v>1507</v>
      </c>
      <c r="R80" s="3">
        <f t="shared" si="9"/>
        <v>4.1333333333333337</v>
      </c>
    </row>
    <row r="81" spans="1:18" hidden="1" x14ac:dyDescent="0.25">
      <c r="A81" t="s">
        <v>2367</v>
      </c>
      <c r="B81" t="s">
        <v>2596</v>
      </c>
      <c r="C81" t="s">
        <v>2024</v>
      </c>
      <c r="D81" s="3">
        <f t="shared" si="10"/>
        <v>5.6700000000000008</v>
      </c>
      <c r="E81" t="s">
        <v>2107</v>
      </c>
      <c r="F81" t="s">
        <v>34</v>
      </c>
      <c r="G81">
        <f t="shared" si="11"/>
        <v>1175000</v>
      </c>
      <c r="H81" t="s">
        <v>779</v>
      </c>
      <c r="I81" t="s">
        <v>2368</v>
      </c>
      <c r="J81" s="2">
        <f t="shared" si="12"/>
        <v>1083000</v>
      </c>
      <c r="K81" t="s">
        <v>2369</v>
      </c>
      <c r="L81">
        <f t="shared" si="13"/>
        <v>0.20833333333333334</v>
      </c>
      <c r="M81" s="5">
        <v>0.20833333333333334</v>
      </c>
      <c r="N81" t="s">
        <v>18</v>
      </c>
      <c r="P81" t="s">
        <v>2370</v>
      </c>
      <c r="R81" s="3">
        <f t="shared" si="9"/>
        <v>5</v>
      </c>
    </row>
    <row r="82" spans="1:18" hidden="1" x14ac:dyDescent="0.25">
      <c r="A82" t="s">
        <v>2375</v>
      </c>
      <c r="B82" t="s">
        <v>2596</v>
      </c>
      <c r="C82" t="s">
        <v>2024</v>
      </c>
      <c r="D82" s="3">
        <f t="shared" si="10"/>
        <v>4.41</v>
      </c>
      <c r="E82" t="s">
        <v>2376</v>
      </c>
      <c r="F82" t="s">
        <v>34</v>
      </c>
      <c r="G82">
        <f t="shared" si="11"/>
        <v>1125000</v>
      </c>
      <c r="H82" t="s">
        <v>724</v>
      </c>
      <c r="I82" t="s">
        <v>2377</v>
      </c>
      <c r="J82" s="2">
        <f t="shared" si="12"/>
        <v>1037000</v>
      </c>
      <c r="K82" t="s">
        <v>2378</v>
      </c>
      <c r="L82">
        <f t="shared" si="13"/>
        <v>0.17222222222222225</v>
      </c>
      <c r="M82" s="5">
        <v>0.17222222222222225</v>
      </c>
      <c r="N82" t="s">
        <v>18</v>
      </c>
      <c r="P82" t="s">
        <v>2379</v>
      </c>
      <c r="R82" s="3">
        <f t="shared" si="9"/>
        <v>4.1333333333333337</v>
      </c>
    </row>
    <row r="83" spans="1:18" hidden="1" x14ac:dyDescent="0.25">
      <c r="A83" t="s">
        <v>2021</v>
      </c>
      <c r="B83" t="s">
        <v>2596</v>
      </c>
      <c r="C83" t="s">
        <v>2024</v>
      </c>
      <c r="D83" s="3">
        <f t="shared" si="10"/>
        <v>5.04</v>
      </c>
      <c r="E83" t="s">
        <v>2022</v>
      </c>
      <c r="F83" t="s">
        <v>34</v>
      </c>
      <c r="G83">
        <f t="shared" si="11"/>
        <v>1025000</v>
      </c>
      <c r="H83" t="s">
        <v>914</v>
      </c>
      <c r="I83" t="s">
        <v>2023</v>
      </c>
      <c r="J83" s="2">
        <f t="shared" si="12"/>
        <v>975000</v>
      </c>
      <c r="K83" t="s">
        <v>544</v>
      </c>
      <c r="L83">
        <f t="shared" si="13"/>
        <v>0.17222222222222225</v>
      </c>
      <c r="M83" s="5">
        <v>0.17222222222222225</v>
      </c>
      <c r="N83" t="s">
        <v>18</v>
      </c>
      <c r="P83" t="s">
        <v>2025</v>
      </c>
      <c r="R83" s="3">
        <f t="shared" si="9"/>
        <v>4.1333333333333337</v>
      </c>
    </row>
    <row r="84" spans="1:18" hidden="1" x14ac:dyDescent="0.25">
      <c r="A84" t="s">
        <v>2169</v>
      </c>
      <c r="B84" t="s">
        <v>2596</v>
      </c>
      <c r="C84" t="s">
        <v>2024</v>
      </c>
      <c r="D84" s="3">
        <f t="shared" si="10"/>
        <v>4.5</v>
      </c>
      <c r="E84" t="s">
        <v>2170</v>
      </c>
      <c r="F84" t="s">
        <v>34</v>
      </c>
      <c r="G84" t="str">
        <f t="shared" si="11"/>
        <v/>
      </c>
      <c r="H84" t="s">
        <v>14</v>
      </c>
      <c r="I84" t="s">
        <v>2171</v>
      </c>
      <c r="J84" s="2">
        <f t="shared" si="12"/>
        <v>925000</v>
      </c>
      <c r="K84" t="s">
        <v>649</v>
      </c>
      <c r="L84">
        <f t="shared" si="13"/>
        <v>0.17013888888888887</v>
      </c>
      <c r="M84" s="5">
        <v>0.17013888888888887</v>
      </c>
      <c r="N84" t="s">
        <v>18</v>
      </c>
      <c r="P84" t="s">
        <v>2025</v>
      </c>
      <c r="R84" s="3">
        <f t="shared" si="9"/>
        <v>4.083333333333333</v>
      </c>
    </row>
    <row r="85" spans="1:18" hidden="1" x14ac:dyDescent="0.25">
      <c r="A85" t="s">
        <v>1887</v>
      </c>
      <c r="B85" t="s">
        <v>1303</v>
      </c>
      <c r="C85" t="s">
        <v>1392</v>
      </c>
      <c r="D85" s="3">
        <f t="shared" si="10"/>
        <v>14.4</v>
      </c>
      <c r="E85" t="s">
        <v>1888</v>
      </c>
      <c r="F85" t="s">
        <v>13</v>
      </c>
      <c r="G85" t="str">
        <f t="shared" si="11"/>
        <v/>
      </c>
      <c r="H85" t="s">
        <v>14</v>
      </c>
      <c r="I85" t="s">
        <v>1889</v>
      </c>
      <c r="J85" s="2">
        <f t="shared" si="12"/>
        <v>1725000</v>
      </c>
      <c r="K85" t="s">
        <v>897</v>
      </c>
      <c r="L85">
        <f t="shared" si="13"/>
        <v>0.17083333333333331</v>
      </c>
      <c r="M85" s="5">
        <v>0.17083333333333331</v>
      </c>
      <c r="N85" t="s">
        <v>43</v>
      </c>
      <c r="P85" t="s">
        <v>665</v>
      </c>
      <c r="R85" s="3">
        <f t="shared" si="9"/>
        <v>4.0999999999999996</v>
      </c>
    </row>
    <row r="86" spans="1:18" hidden="1" x14ac:dyDescent="0.25">
      <c r="A86" t="s">
        <v>1775</v>
      </c>
      <c r="B86" t="s">
        <v>1303</v>
      </c>
      <c r="C86" t="s">
        <v>1392</v>
      </c>
      <c r="D86" s="3">
        <f t="shared" si="10"/>
        <v>9.25</v>
      </c>
      <c r="E86" t="s">
        <v>1776</v>
      </c>
      <c r="F86" t="s">
        <v>34</v>
      </c>
      <c r="G86" t="str">
        <f t="shared" si="11"/>
        <v/>
      </c>
      <c r="H86" t="s">
        <v>14</v>
      </c>
      <c r="I86" t="s">
        <v>1777</v>
      </c>
      <c r="J86" s="2">
        <f t="shared" si="12"/>
        <v>825000</v>
      </c>
      <c r="K86" t="s">
        <v>715</v>
      </c>
      <c r="L86">
        <f t="shared" si="13"/>
        <v>0.17083333333333331</v>
      </c>
      <c r="M86" s="5">
        <v>0.17083333333333331</v>
      </c>
      <c r="N86" t="s">
        <v>37</v>
      </c>
      <c r="P86" t="s">
        <v>665</v>
      </c>
      <c r="R86" s="3">
        <f t="shared" si="9"/>
        <v>4.0999999999999996</v>
      </c>
    </row>
    <row r="87" spans="1:18" hidden="1" x14ac:dyDescent="0.25">
      <c r="A87" t="s">
        <v>5806</v>
      </c>
      <c r="B87" t="s">
        <v>5848</v>
      </c>
      <c r="C87" t="s">
        <v>5454</v>
      </c>
      <c r="D87" s="3">
        <f t="shared" si="10"/>
        <v>10</v>
      </c>
      <c r="E87" t="s">
        <v>1457</v>
      </c>
      <c r="F87" t="s">
        <v>13</v>
      </c>
      <c r="G87">
        <f t="shared" si="11"/>
        <v>1425000</v>
      </c>
      <c r="H87" t="s">
        <v>909</v>
      </c>
      <c r="I87" t="s">
        <v>5807</v>
      </c>
      <c r="J87" s="2">
        <f t="shared" si="12"/>
        <v>1355000</v>
      </c>
      <c r="K87" t="s">
        <v>2063</v>
      </c>
      <c r="L87">
        <f t="shared" si="13"/>
        <v>0.16944444444444443</v>
      </c>
      <c r="M87" s="5">
        <v>0.16944444444444443</v>
      </c>
      <c r="N87" t="s">
        <v>43</v>
      </c>
      <c r="P87" t="s">
        <v>2065</v>
      </c>
      <c r="R87" s="3">
        <f t="shared" si="9"/>
        <v>4.0666666666666664</v>
      </c>
    </row>
    <row r="88" spans="1:18" hidden="1" x14ac:dyDescent="0.25">
      <c r="A88" t="s">
        <v>4536</v>
      </c>
      <c r="B88" t="s">
        <v>4272</v>
      </c>
      <c r="C88" t="s">
        <v>4281</v>
      </c>
      <c r="D88" s="3">
        <f t="shared" si="10"/>
        <v>9</v>
      </c>
      <c r="E88" t="s">
        <v>12</v>
      </c>
      <c r="F88" t="s">
        <v>13</v>
      </c>
      <c r="G88">
        <f t="shared" si="11"/>
        <v>975000</v>
      </c>
      <c r="H88" t="s">
        <v>544</v>
      </c>
      <c r="I88" t="s">
        <v>4537</v>
      </c>
      <c r="J88" s="2">
        <f t="shared" si="12"/>
        <v>927500</v>
      </c>
      <c r="K88" t="s">
        <v>1506</v>
      </c>
      <c r="L88">
        <f t="shared" si="13"/>
        <v>0.20833333333333334</v>
      </c>
      <c r="M88" s="5">
        <v>0.20833333333333334</v>
      </c>
      <c r="N88" t="s">
        <v>37</v>
      </c>
      <c r="P88" t="s">
        <v>1507</v>
      </c>
      <c r="R88" s="3">
        <f t="shared" si="9"/>
        <v>5</v>
      </c>
    </row>
    <row r="89" spans="1:18" x14ac:dyDescent="0.25">
      <c r="A89" t="s">
        <v>4972</v>
      </c>
      <c r="B89" t="s">
        <v>4806</v>
      </c>
      <c r="C89" t="s">
        <v>4939</v>
      </c>
      <c r="D89" s="3">
        <f t="shared" si="10"/>
        <v>9</v>
      </c>
      <c r="E89" t="s">
        <v>12</v>
      </c>
      <c r="F89" t="s">
        <v>34</v>
      </c>
      <c r="G89" t="str">
        <f t="shared" si="11"/>
        <v/>
      </c>
      <c r="H89" t="s">
        <v>14</v>
      </c>
      <c r="I89" t="s">
        <v>4973</v>
      </c>
      <c r="J89" s="2">
        <f t="shared" si="12"/>
        <v>500000</v>
      </c>
      <c r="K89" t="s">
        <v>16</v>
      </c>
      <c r="L89">
        <f t="shared" si="13"/>
        <v>0.20833333333333334</v>
      </c>
      <c r="M89" s="5">
        <v>0.20833333333333334</v>
      </c>
      <c r="N89" t="s">
        <v>18</v>
      </c>
      <c r="R89" s="3">
        <f t="shared" si="9"/>
        <v>5</v>
      </c>
    </row>
    <row r="90" spans="1:18" hidden="1" x14ac:dyDescent="0.25">
      <c r="A90" t="s">
        <v>2493</v>
      </c>
      <c r="B90" t="s">
        <v>2596</v>
      </c>
      <c r="C90" t="s">
        <v>2036</v>
      </c>
      <c r="D90" s="3">
        <f t="shared" si="10"/>
        <v>9</v>
      </c>
      <c r="E90" t="s">
        <v>12</v>
      </c>
      <c r="F90" t="s">
        <v>34</v>
      </c>
      <c r="G90">
        <f t="shared" si="11"/>
        <v>1500000</v>
      </c>
      <c r="H90" t="s">
        <v>66</v>
      </c>
      <c r="I90" t="s">
        <v>2494</v>
      </c>
      <c r="J90" s="2">
        <f t="shared" si="12"/>
        <v>1380000</v>
      </c>
      <c r="K90" t="s">
        <v>2495</v>
      </c>
      <c r="L90">
        <f t="shared" si="13"/>
        <v>0.17013888888888887</v>
      </c>
      <c r="M90" s="5">
        <v>0.17013888888888887</v>
      </c>
      <c r="N90" t="s">
        <v>18</v>
      </c>
      <c r="P90" t="s">
        <v>665</v>
      </c>
      <c r="R90" s="3">
        <f t="shared" si="9"/>
        <v>4.083333333333333</v>
      </c>
    </row>
    <row r="91" spans="1:18" hidden="1" x14ac:dyDescent="0.25">
      <c r="A91" t="s">
        <v>2591</v>
      </c>
      <c r="B91" t="s">
        <v>2596</v>
      </c>
      <c r="C91" t="s">
        <v>2036</v>
      </c>
      <c r="D91" s="3">
        <f t="shared" si="10"/>
        <v>10.8</v>
      </c>
      <c r="E91" t="s">
        <v>880</v>
      </c>
      <c r="F91" t="s">
        <v>34</v>
      </c>
      <c r="G91">
        <f t="shared" si="11"/>
        <v>1300000</v>
      </c>
      <c r="H91" t="s">
        <v>17</v>
      </c>
      <c r="I91" t="s">
        <v>2592</v>
      </c>
      <c r="J91" s="2">
        <f t="shared" si="12"/>
        <v>1196000</v>
      </c>
      <c r="K91" t="s">
        <v>2593</v>
      </c>
      <c r="L91">
        <f t="shared" si="13"/>
        <v>0</v>
      </c>
      <c r="N91" t="s">
        <v>18</v>
      </c>
      <c r="P91" t="s">
        <v>2095</v>
      </c>
      <c r="R91" s="3">
        <f t="shared" si="9"/>
        <v>0</v>
      </c>
    </row>
    <row r="92" spans="1:18" hidden="1" x14ac:dyDescent="0.25">
      <c r="A92" t="s">
        <v>2093</v>
      </c>
      <c r="B92" t="s">
        <v>2596</v>
      </c>
      <c r="C92" t="s">
        <v>2036</v>
      </c>
      <c r="D92" s="3">
        <f t="shared" si="10"/>
        <v>9</v>
      </c>
      <c r="E92" t="s">
        <v>12</v>
      </c>
      <c r="F92" t="s">
        <v>34</v>
      </c>
      <c r="G92" t="str">
        <f t="shared" si="11"/>
        <v/>
      </c>
      <c r="H92" t="s">
        <v>14</v>
      </c>
      <c r="I92" t="s">
        <v>2094</v>
      </c>
      <c r="J92" s="2">
        <f t="shared" si="12"/>
        <v>1300000</v>
      </c>
      <c r="K92" t="s">
        <v>17</v>
      </c>
      <c r="L92">
        <f t="shared" si="13"/>
        <v>0.20833333333333334</v>
      </c>
      <c r="M92" s="5">
        <v>0.20833333333333334</v>
      </c>
      <c r="N92" t="s">
        <v>18</v>
      </c>
      <c r="P92" t="s">
        <v>2095</v>
      </c>
      <c r="R92" s="3">
        <f t="shared" si="9"/>
        <v>5</v>
      </c>
    </row>
    <row r="93" spans="1:18" x14ac:dyDescent="0.25">
      <c r="A93" t="s">
        <v>5041</v>
      </c>
      <c r="B93" t="s">
        <v>4806</v>
      </c>
      <c r="C93" t="s">
        <v>4939</v>
      </c>
      <c r="D93" s="3">
        <f t="shared" si="10"/>
        <v>9</v>
      </c>
      <c r="E93" t="s">
        <v>12</v>
      </c>
      <c r="F93" t="s">
        <v>13</v>
      </c>
      <c r="G93" t="str">
        <f t="shared" si="11"/>
        <v/>
      </c>
      <c r="H93" t="s">
        <v>14</v>
      </c>
      <c r="I93" t="s">
        <v>5042</v>
      </c>
      <c r="J93" s="2">
        <f t="shared" si="12"/>
        <v>515000</v>
      </c>
      <c r="K93" t="s">
        <v>5043</v>
      </c>
      <c r="L93">
        <f t="shared" si="13"/>
        <v>0.1673611111111111</v>
      </c>
      <c r="M93" s="5">
        <v>0.1673611111111111</v>
      </c>
      <c r="N93" t="s">
        <v>43</v>
      </c>
      <c r="R93" s="3">
        <f t="shared" si="9"/>
        <v>4.0166666666666666</v>
      </c>
    </row>
    <row r="94" spans="1:18" x14ac:dyDescent="0.25">
      <c r="A94" t="s">
        <v>377</v>
      </c>
      <c r="B94" t="s">
        <v>20</v>
      </c>
      <c r="C94" t="s">
        <v>19</v>
      </c>
      <c r="D94" s="3">
        <f t="shared" si="10"/>
        <v>9</v>
      </c>
      <c r="E94" t="s">
        <v>12</v>
      </c>
      <c r="F94" t="s">
        <v>34</v>
      </c>
      <c r="G94" t="str">
        <f t="shared" si="11"/>
        <v/>
      </c>
      <c r="H94" t="s">
        <v>14</v>
      </c>
      <c r="I94" t="s">
        <v>378</v>
      </c>
      <c r="J94" s="2">
        <f t="shared" si="12"/>
        <v>560000</v>
      </c>
      <c r="K94" t="s">
        <v>379</v>
      </c>
      <c r="L94">
        <f t="shared" si="13"/>
        <v>0</v>
      </c>
      <c r="N94" t="s">
        <v>18</v>
      </c>
      <c r="R94" s="3">
        <f t="shared" si="9"/>
        <v>0</v>
      </c>
    </row>
    <row r="95" spans="1:18" hidden="1" x14ac:dyDescent="0.25">
      <c r="A95" t="s">
        <v>2729</v>
      </c>
      <c r="B95" t="s">
        <v>3206</v>
      </c>
      <c r="C95" t="s">
        <v>2640</v>
      </c>
      <c r="D95" s="3">
        <f t="shared" si="10"/>
        <v>14</v>
      </c>
      <c r="E95" t="s">
        <v>238</v>
      </c>
      <c r="F95" t="s">
        <v>13</v>
      </c>
      <c r="G95" t="str">
        <f t="shared" si="11"/>
        <v/>
      </c>
      <c r="H95" t="s">
        <v>14</v>
      </c>
      <c r="I95" t="s">
        <v>2730</v>
      </c>
      <c r="J95" s="2">
        <f t="shared" si="12"/>
        <v>2025000</v>
      </c>
      <c r="K95" t="s">
        <v>1065</v>
      </c>
      <c r="L95">
        <f t="shared" si="13"/>
        <v>0.20833333333333334</v>
      </c>
      <c r="M95" s="5">
        <v>0.20833333333333334</v>
      </c>
      <c r="N95" t="s">
        <v>18</v>
      </c>
      <c r="P95" t="s">
        <v>1402</v>
      </c>
      <c r="R95" s="3">
        <f t="shared" si="9"/>
        <v>5</v>
      </c>
    </row>
    <row r="96" spans="1:18" hidden="1" x14ac:dyDescent="0.25">
      <c r="A96" t="s">
        <v>3211</v>
      </c>
      <c r="B96" t="s">
        <v>3206</v>
      </c>
      <c r="C96" t="s">
        <v>2640</v>
      </c>
      <c r="D96" s="3">
        <f t="shared" si="10"/>
        <v>12</v>
      </c>
      <c r="E96" t="s">
        <v>347</v>
      </c>
      <c r="F96" t="s">
        <v>13</v>
      </c>
      <c r="G96" t="str">
        <f t="shared" si="11"/>
        <v/>
      </c>
      <c r="H96" t="s">
        <v>14</v>
      </c>
      <c r="I96" t="s">
        <v>3212</v>
      </c>
      <c r="J96" s="2">
        <f t="shared" si="12"/>
        <v>1875000</v>
      </c>
      <c r="K96" t="s">
        <v>884</v>
      </c>
      <c r="L96">
        <f t="shared" si="13"/>
        <v>0.20833333333333334</v>
      </c>
      <c r="M96" s="5">
        <v>0.20833333333333334</v>
      </c>
      <c r="N96" t="s">
        <v>18</v>
      </c>
      <c r="P96" t="s">
        <v>1402</v>
      </c>
      <c r="R96" s="3">
        <f t="shared" si="9"/>
        <v>5</v>
      </c>
    </row>
    <row r="97" spans="1:18" hidden="1" x14ac:dyDescent="0.25">
      <c r="A97" t="s">
        <v>2708</v>
      </c>
      <c r="B97" t="s">
        <v>3206</v>
      </c>
      <c r="C97" t="s">
        <v>2640</v>
      </c>
      <c r="D97" s="3">
        <f t="shared" si="10"/>
        <v>8</v>
      </c>
      <c r="E97" t="s">
        <v>1740</v>
      </c>
      <c r="F97" t="s">
        <v>13</v>
      </c>
      <c r="G97">
        <f t="shared" si="11"/>
        <v>1825000</v>
      </c>
      <c r="H97" t="s">
        <v>196</v>
      </c>
      <c r="I97" t="s">
        <v>2709</v>
      </c>
      <c r="J97" s="2">
        <f t="shared" si="12"/>
        <v>1681000</v>
      </c>
      <c r="K97" t="s">
        <v>1401</v>
      </c>
      <c r="L97">
        <f t="shared" si="13"/>
        <v>0.20833333333333334</v>
      </c>
      <c r="M97" s="5">
        <v>0.20833333333333334</v>
      </c>
      <c r="N97" t="s">
        <v>18</v>
      </c>
      <c r="P97" t="s">
        <v>1402</v>
      </c>
      <c r="R97" s="3">
        <f t="shared" si="9"/>
        <v>5</v>
      </c>
    </row>
    <row r="98" spans="1:18" hidden="1" x14ac:dyDescent="0.25">
      <c r="A98" t="s">
        <v>2700</v>
      </c>
      <c r="B98" t="s">
        <v>3206</v>
      </c>
      <c r="C98" t="s">
        <v>2640</v>
      </c>
      <c r="D98" s="3">
        <f t="shared" si="10"/>
        <v>6.8999999999999995</v>
      </c>
      <c r="E98" t="s">
        <v>2701</v>
      </c>
      <c r="F98" t="s">
        <v>13</v>
      </c>
      <c r="G98" t="str">
        <f t="shared" si="11"/>
        <v/>
      </c>
      <c r="H98" t="s">
        <v>14</v>
      </c>
      <c r="I98" t="s">
        <v>2702</v>
      </c>
      <c r="J98" s="2">
        <f t="shared" si="12"/>
        <v>1725000</v>
      </c>
      <c r="K98" t="s">
        <v>897</v>
      </c>
      <c r="L98">
        <f t="shared" si="13"/>
        <v>0.20833333333333334</v>
      </c>
      <c r="M98" s="5">
        <v>0.20833333333333334</v>
      </c>
      <c r="N98" t="s">
        <v>18</v>
      </c>
      <c r="P98" t="s">
        <v>1402</v>
      </c>
      <c r="R98" s="3">
        <f t="shared" si="9"/>
        <v>5</v>
      </c>
    </row>
    <row r="99" spans="1:18" hidden="1" x14ac:dyDescent="0.25">
      <c r="A99" t="s">
        <v>2901</v>
      </c>
      <c r="B99" t="s">
        <v>3206</v>
      </c>
      <c r="C99" t="s">
        <v>2816</v>
      </c>
      <c r="D99" s="3">
        <f t="shared" si="10"/>
        <v>6</v>
      </c>
      <c r="E99" t="s">
        <v>285</v>
      </c>
      <c r="F99" t="s">
        <v>34</v>
      </c>
      <c r="G99" t="str">
        <f t="shared" si="11"/>
        <v/>
      </c>
      <c r="H99" t="s">
        <v>14</v>
      </c>
      <c r="I99" t="s">
        <v>2902</v>
      </c>
      <c r="J99" s="2">
        <f t="shared" si="12"/>
        <v>1725000</v>
      </c>
      <c r="K99" t="s">
        <v>897</v>
      </c>
      <c r="L99">
        <f t="shared" si="13"/>
        <v>0.17083333333333331</v>
      </c>
      <c r="M99" s="5">
        <v>0.17083333333333331</v>
      </c>
      <c r="N99" t="s">
        <v>43</v>
      </c>
      <c r="R99" s="3">
        <f t="shared" si="9"/>
        <v>4.0999999999999996</v>
      </c>
    </row>
    <row r="100" spans="1:18" hidden="1" x14ac:dyDescent="0.25">
      <c r="A100" t="s">
        <v>2777</v>
      </c>
      <c r="B100" t="s">
        <v>3206</v>
      </c>
      <c r="C100" t="s">
        <v>2779</v>
      </c>
      <c r="D100" s="3">
        <f t="shared" si="10"/>
        <v>12</v>
      </c>
      <c r="E100" t="s">
        <v>347</v>
      </c>
      <c r="F100" t="s">
        <v>13</v>
      </c>
      <c r="G100" t="str">
        <f t="shared" si="11"/>
        <v/>
      </c>
      <c r="H100" t="s">
        <v>14</v>
      </c>
      <c r="I100" t="s">
        <v>2778</v>
      </c>
      <c r="J100" s="2">
        <f t="shared" si="12"/>
        <v>1725000</v>
      </c>
      <c r="K100" t="s">
        <v>897</v>
      </c>
      <c r="L100">
        <f t="shared" si="13"/>
        <v>0.17222222222222225</v>
      </c>
      <c r="M100" s="5">
        <v>0.17222222222222225</v>
      </c>
      <c r="N100" t="s">
        <v>18</v>
      </c>
      <c r="R100" s="3">
        <f t="shared" si="9"/>
        <v>4.1333333333333337</v>
      </c>
    </row>
    <row r="101" spans="1:18" hidden="1" x14ac:dyDescent="0.25">
      <c r="A101" t="s">
        <v>3114</v>
      </c>
      <c r="B101" t="s">
        <v>3206</v>
      </c>
      <c r="C101" t="s">
        <v>2816</v>
      </c>
      <c r="D101" s="3">
        <f t="shared" si="10"/>
        <v>12</v>
      </c>
      <c r="E101" t="s">
        <v>347</v>
      </c>
      <c r="F101" t="s">
        <v>34</v>
      </c>
      <c r="G101" t="str">
        <f t="shared" si="11"/>
        <v/>
      </c>
      <c r="H101" t="s">
        <v>14</v>
      </c>
      <c r="I101" t="s">
        <v>3115</v>
      </c>
      <c r="J101" s="2">
        <f t="shared" si="12"/>
        <v>1375000</v>
      </c>
      <c r="K101" t="s">
        <v>812</v>
      </c>
      <c r="L101">
        <f t="shared" si="13"/>
        <v>0.17222222222222225</v>
      </c>
      <c r="M101" s="5">
        <v>0.17222222222222225</v>
      </c>
      <c r="N101" t="s">
        <v>18</v>
      </c>
      <c r="R101" s="3">
        <f t="shared" si="9"/>
        <v>4.1333333333333337</v>
      </c>
    </row>
    <row r="102" spans="1:18" hidden="1" x14ac:dyDescent="0.25">
      <c r="A102" t="s">
        <v>5655</v>
      </c>
      <c r="B102" t="s">
        <v>5848</v>
      </c>
      <c r="C102" t="s">
        <v>5335</v>
      </c>
      <c r="D102" s="3">
        <f t="shared" si="10"/>
        <v>9</v>
      </c>
      <c r="E102" t="s">
        <v>12</v>
      </c>
      <c r="F102" t="s">
        <v>34</v>
      </c>
      <c r="G102">
        <f t="shared" si="11"/>
        <v>882000</v>
      </c>
      <c r="H102" t="s">
        <v>5656</v>
      </c>
      <c r="I102" t="s">
        <v>5657</v>
      </c>
      <c r="J102" s="2">
        <f t="shared" si="12"/>
        <v>811440</v>
      </c>
      <c r="K102" t="s">
        <v>5658</v>
      </c>
      <c r="L102">
        <f t="shared" si="13"/>
        <v>0.20833333333333334</v>
      </c>
      <c r="M102" s="5">
        <v>0.20833333333333334</v>
      </c>
      <c r="N102" t="s">
        <v>43</v>
      </c>
      <c r="P102" t="s">
        <v>5659</v>
      </c>
      <c r="R102" s="3">
        <f t="shared" si="9"/>
        <v>5</v>
      </c>
    </row>
    <row r="103" spans="1:18" hidden="1" x14ac:dyDescent="0.25">
      <c r="A103" t="s">
        <v>3150</v>
      </c>
      <c r="B103" t="s">
        <v>3206</v>
      </c>
      <c r="C103" t="s">
        <v>2671</v>
      </c>
      <c r="D103" s="3">
        <f t="shared" si="10"/>
        <v>12</v>
      </c>
      <c r="E103" t="s">
        <v>33</v>
      </c>
      <c r="F103" t="s">
        <v>34</v>
      </c>
      <c r="G103" t="str">
        <f t="shared" si="11"/>
        <v/>
      </c>
      <c r="H103" t="s">
        <v>14</v>
      </c>
      <c r="I103" t="s">
        <v>3151</v>
      </c>
      <c r="J103" s="2">
        <f t="shared" si="12"/>
        <v>1225000</v>
      </c>
      <c r="K103" t="s">
        <v>661</v>
      </c>
      <c r="L103">
        <f t="shared" si="13"/>
        <v>0.17222222222222225</v>
      </c>
      <c r="M103" s="5">
        <v>0.17222222222222225</v>
      </c>
      <c r="N103" t="s">
        <v>18</v>
      </c>
      <c r="R103" s="3">
        <f t="shared" si="9"/>
        <v>4.1333333333333337</v>
      </c>
    </row>
    <row r="104" spans="1:18" hidden="1" x14ac:dyDescent="0.25">
      <c r="A104" t="s">
        <v>734</v>
      </c>
      <c r="B104" t="s">
        <v>640</v>
      </c>
      <c r="C104" t="s">
        <v>664</v>
      </c>
      <c r="D104" s="3">
        <f t="shared" si="10"/>
        <v>10.5</v>
      </c>
      <c r="E104" t="s">
        <v>653</v>
      </c>
      <c r="F104" t="s">
        <v>34</v>
      </c>
      <c r="G104">
        <f t="shared" si="11"/>
        <v>770000</v>
      </c>
      <c r="H104" t="s">
        <v>735</v>
      </c>
      <c r="I104" t="s">
        <v>736</v>
      </c>
      <c r="J104" s="2">
        <f t="shared" si="12"/>
        <v>693000</v>
      </c>
      <c r="K104" t="s">
        <v>737</v>
      </c>
      <c r="L104">
        <f t="shared" si="13"/>
        <v>0.16874999999999998</v>
      </c>
      <c r="M104" s="5">
        <v>0.16874999999999998</v>
      </c>
      <c r="N104" t="s">
        <v>18</v>
      </c>
      <c r="P104" t="s">
        <v>738</v>
      </c>
      <c r="R104" s="3">
        <f t="shared" si="9"/>
        <v>4.05</v>
      </c>
    </row>
    <row r="105" spans="1:18" hidden="1" x14ac:dyDescent="0.25">
      <c r="A105" t="s">
        <v>2276</v>
      </c>
      <c r="B105" t="s">
        <v>2596</v>
      </c>
      <c r="C105" t="s">
        <v>2024</v>
      </c>
      <c r="D105" s="3">
        <f t="shared" si="10"/>
        <v>5</v>
      </c>
      <c r="E105" t="s">
        <v>60</v>
      </c>
      <c r="F105" t="s">
        <v>34</v>
      </c>
      <c r="G105" t="str">
        <f t="shared" si="11"/>
        <v/>
      </c>
      <c r="H105" t="s">
        <v>14</v>
      </c>
      <c r="I105" t="s">
        <v>2277</v>
      </c>
      <c r="J105" s="2">
        <f t="shared" si="12"/>
        <v>1525000</v>
      </c>
      <c r="K105" t="s">
        <v>27</v>
      </c>
      <c r="L105">
        <f t="shared" si="13"/>
        <v>0.17083333333333331</v>
      </c>
      <c r="M105" s="5">
        <v>0.17083333333333331</v>
      </c>
      <c r="N105" t="s">
        <v>37</v>
      </c>
      <c r="R105" s="3">
        <f t="shared" si="9"/>
        <v>4.0999999999999996</v>
      </c>
    </row>
    <row r="106" spans="1:18" x14ac:dyDescent="0.25">
      <c r="A106" t="s">
        <v>1093</v>
      </c>
      <c r="B106" t="s">
        <v>640</v>
      </c>
      <c r="C106" t="s">
        <v>643</v>
      </c>
      <c r="D106" s="3">
        <f t="shared" si="10"/>
        <v>10.240000000000002</v>
      </c>
      <c r="E106" t="s">
        <v>941</v>
      </c>
      <c r="F106" t="s">
        <v>13</v>
      </c>
      <c r="G106">
        <f t="shared" si="11"/>
        <v>625000</v>
      </c>
      <c r="H106" t="s">
        <v>863</v>
      </c>
      <c r="I106" t="s">
        <v>1094</v>
      </c>
      <c r="J106" s="2">
        <f t="shared" si="12"/>
        <v>565000</v>
      </c>
      <c r="K106" t="s">
        <v>865</v>
      </c>
      <c r="L106">
        <f t="shared" si="13"/>
        <v>0.20833333333333334</v>
      </c>
      <c r="M106" s="5">
        <v>0.20833333333333334</v>
      </c>
      <c r="N106" t="s">
        <v>18</v>
      </c>
      <c r="P106" t="s">
        <v>866</v>
      </c>
      <c r="R106" s="3">
        <f t="shared" si="9"/>
        <v>5</v>
      </c>
    </row>
    <row r="107" spans="1:18" x14ac:dyDescent="0.25">
      <c r="A107" t="s">
        <v>4476</v>
      </c>
      <c r="B107" t="s">
        <v>4272</v>
      </c>
      <c r="C107" t="s">
        <v>4354</v>
      </c>
      <c r="D107" s="3">
        <f t="shared" si="10"/>
        <v>9</v>
      </c>
      <c r="E107" t="s">
        <v>12</v>
      </c>
      <c r="F107" t="s">
        <v>13</v>
      </c>
      <c r="G107">
        <f t="shared" si="11"/>
        <v>625000</v>
      </c>
      <c r="H107" t="s">
        <v>863</v>
      </c>
      <c r="I107" t="s">
        <v>4477</v>
      </c>
      <c r="J107" s="2">
        <f t="shared" si="12"/>
        <v>577000</v>
      </c>
      <c r="K107" t="s">
        <v>4478</v>
      </c>
      <c r="L107">
        <f t="shared" si="13"/>
        <v>0.17222222222222225</v>
      </c>
      <c r="M107" s="5">
        <v>0.17222222222222225</v>
      </c>
      <c r="N107" t="s">
        <v>37</v>
      </c>
      <c r="P107" t="s">
        <v>1507</v>
      </c>
      <c r="R107" s="3">
        <f t="shared" si="9"/>
        <v>4.1333333333333337</v>
      </c>
    </row>
    <row r="108" spans="1:18" hidden="1" x14ac:dyDescent="0.25">
      <c r="A108" t="s">
        <v>1167</v>
      </c>
      <c r="B108" t="s">
        <v>640</v>
      </c>
      <c r="C108" t="s">
        <v>643</v>
      </c>
      <c r="D108" s="3">
        <f t="shared" si="10"/>
        <v>8.1000000000000014</v>
      </c>
      <c r="E108" t="s">
        <v>1168</v>
      </c>
      <c r="F108" t="s">
        <v>34</v>
      </c>
      <c r="G108">
        <f t="shared" si="11"/>
        <v>975000</v>
      </c>
      <c r="H108" t="s">
        <v>544</v>
      </c>
      <c r="I108" t="s">
        <v>1169</v>
      </c>
      <c r="J108" s="2">
        <f t="shared" si="12"/>
        <v>880000</v>
      </c>
      <c r="K108" t="s">
        <v>1170</v>
      </c>
      <c r="L108">
        <f t="shared" si="13"/>
        <v>0.16666666666666666</v>
      </c>
      <c r="M108" s="5">
        <v>0.16666666666666666</v>
      </c>
      <c r="N108" t="s">
        <v>18</v>
      </c>
      <c r="P108" t="s">
        <v>1171</v>
      </c>
      <c r="R108" s="3">
        <f t="shared" si="9"/>
        <v>4</v>
      </c>
    </row>
    <row r="109" spans="1:18" hidden="1" x14ac:dyDescent="0.25">
      <c r="A109" t="s">
        <v>1087</v>
      </c>
      <c r="B109" t="s">
        <v>640</v>
      </c>
      <c r="C109" t="s">
        <v>643</v>
      </c>
      <c r="D109" s="3">
        <f t="shared" si="10"/>
        <v>8.64</v>
      </c>
      <c r="E109" t="s">
        <v>983</v>
      </c>
      <c r="F109" t="s">
        <v>34</v>
      </c>
      <c r="G109">
        <f t="shared" si="11"/>
        <v>925000</v>
      </c>
      <c r="H109" t="s">
        <v>649</v>
      </c>
      <c r="I109" t="s">
        <v>1088</v>
      </c>
      <c r="J109" s="2">
        <f t="shared" si="12"/>
        <v>835000</v>
      </c>
      <c r="K109" t="s">
        <v>651</v>
      </c>
      <c r="L109">
        <f t="shared" si="13"/>
        <v>0.17291666666666669</v>
      </c>
      <c r="M109" s="5">
        <v>0.17291666666666669</v>
      </c>
      <c r="N109" t="s">
        <v>18</v>
      </c>
      <c r="P109" t="s">
        <v>199</v>
      </c>
      <c r="R109" s="3">
        <f t="shared" si="9"/>
        <v>4.1500000000000004</v>
      </c>
    </row>
    <row r="110" spans="1:18" x14ac:dyDescent="0.25">
      <c r="A110" t="s">
        <v>171</v>
      </c>
      <c r="B110" t="s">
        <v>20</v>
      </c>
      <c r="C110" t="s">
        <v>24</v>
      </c>
      <c r="D110" s="3">
        <f t="shared" si="10"/>
        <v>6</v>
      </c>
      <c r="E110" t="s">
        <v>64</v>
      </c>
      <c r="F110" t="s">
        <v>34</v>
      </c>
      <c r="G110" t="str">
        <f t="shared" si="11"/>
        <v/>
      </c>
      <c r="H110" t="s">
        <v>14</v>
      </c>
      <c r="I110" t="s">
        <v>172</v>
      </c>
      <c r="J110" s="2">
        <f t="shared" si="12"/>
        <v>600000</v>
      </c>
      <c r="K110" t="s">
        <v>173</v>
      </c>
      <c r="L110">
        <f t="shared" si="13"/>
        <v>0.17291666666666669</v>
      </c>
      <c r="M110" s="5">
        <v>0.17291666666666669</v>
      </c>
      <c r="N110" t="s">
        <v>18</v>
      </c>
      <c r="P110" t="s">
        <v>49</v>
      </c>
      <c r="R110" s="3">
        <f t="shared" si="9"/>
        <v>4.1500000000000004</v>
      </c>
    </row>
    <row r="111" spans="1:18" hidden="1" x14ac:dyDescent="0.25">
      <c r="A111" t="s">
        <v>5444</v>
      </c>
      <c r="B111" t="s">
        <v>5848</v>
      </c>
      <c r="C111" t="s">
        <v>5409</v>
      </c>
      <c r="D111" s="3">
        <f t="shared" si="10"/>
        <v>9</v>
      </c>
      <c r="E111" t="s">
        <v>12</v>
      </c>
      <c r="F111" t="s">
        <v>13</v>
      </c>
      <c r="G111">
        <f t="shared" si="11"/>
        <v>1025000</v>
      </c>
      <c r="H111" t="s">
        <v>914</v>
      </c>
      <c r="I111" t="s">
        <v>5445</v>
      </c>
      <c r="J111" s="2">
        <f t="shared" si="12"/>
        <v>975000</v>
      </c>
      <c r="K111" t="s">
        <v>544</v>
      </c>
      <c r="L111">
        <f t="shared" si="13"/>
        <v>0.16874999999999998</v>
      </c>
      <c r="M111" s="5">
        <v>0.16874999999999998</v>
      </c>
      <c r="N111" t="s">
        <v>43</v>
      </c>
      <c r="P111" t="s">
        <v>2025</v>
      </c>
      <c r="R111" s="3">
        <f t="shared" si="9"/>
        <v>4.05</v>
      </c>
    </row>
    <row r="112" spans="1:18" hidden="1" x14ac:dyDescent="0.25">
      <c r="A112" t="s">
        <v>784</v>
      </c>
      <c r="B112" t="s">
        <v>640</v>
      </c>
      <c r="C112" t="s">
        <v>643</v>
      </c>
      <c r="D112" s="3">
        <f t="shared" si="10"/>
        <v>8.9599999999999991</v>
      </c>
      <c r="E112" t="s">
        <v>785</v>
      </c>
      <c r="F112" t="s">
        <v>34</v>
      </c>
      <c r="G112">
        <f t="shared" si="11"/>
        <v>825000</v>
      </c>
      <c r="H112" t="s">
        <v>715</v>
      </c>
      <c r="I112" t="s">
        <v>786</v>
      </c>
      <c r="J112" s="2">
        <f t="shared" si="12"/>
        <v>745000</v>
      </c>
      <c r="K112" t="s">
        <v>717</v>
      </c>
      <c r="L112">
        <f t="shared" si="13"/>
        <v>0.17222222222222225</v>
      </c>
      <c r="M112" s="5">
        <v>0.17222222222222225</v>
      </c>
      <c r="N112" t="s">
        <v>18</v>
      </c>
      <c r="P112" t="s">
        <v>719</v>
      </c>
      <c r="R112" s="3">
        <f t="shared" si="9"/>
        <v>4.1333333333333337</v>
      </c>
    </row>
    <row r="113" spans="1:18" hidden="1" x14ac:dyDescent="0.25">
      <c r="A113" t="s">
        <v>879</v>
      </c>
      <c r="B113" t="s">
        <v>640</v>
      </c>
      <c r="C113" t="s">
        <v>643</v>
      </c>
      <c r="D113" s="3">
        <f t="shared" si="10"/>
        <v>10.8</v>
      </c>
      <c r="E113" t="s">
        <v>880</v>
      </c>
      <c r="F113" t="s">
        <v>34</v>
      </c>
      <c r="G113">
        <f t="shared" si="11"/>
        <v>925000</v>
      </c>
      <c r="H113" t="s">
        <v>649</v>
      </c>
      <c r="I113" t="s">
        <v>881</v>
      </c>
      <c r="J113" s="2">
        <f t="shared" si="12"/>
        <v>835000</v>
      </c>
      <c r="K113" t="s">
        <v>651</v>
      </c>
      <c r="L113">
        <f t="shared" si="13"/>
        <v>0.17291666666666669</v>
      </c>
      <c r="M113" s="5">
        <v>0.17291666666666669</v>
      </c>
      <c r="N113" t="s">
        <v>18</v>
      </c>
      <c r="P113" t="s">
        <v>199</v>
      </c>
      <c r="R113" s="3">
        <f t="shared" si="9"/>
        <v>4.1500000000000004</v>
      </c>
    </row>
    <row r="114" spans="1:18" hidden="1" x14ac:dyDescent="0.25">
      <c r="A114" t="s">
        <v>2155</v>
      </c>
      <c r="B114" t="s">
        <v>2596</v>
      </c>
      <c r="C114" t="s">
        <v>2071</v>
      </c>
      <c r="D114" s="3">
        <f t="shared" si="10"/>
        <v>10</v>
      </c>
      <c r="E114" t="s">
        <v>2156</v>
      </c>
      <c r="F114" t="s">
        <v>13</v>
      </c>
      <c r="G114" t="str">
        <f t="shared" si="11"/>
        <v/>
      </c>
      <c r="H114" t="s">
        <v>14</v>
      </c>
      <c r="I114" t="s">
        <v>2157</v>
      </c>
      <c r="J114" s="2">
        <f t="shared" si="12"/>
        <v>1525000</v>
      </c>
      <c r="K114" t="s">
        <v>27</v>
      </c>
      <c r="L114">
        <f t="shared" si="13"/>
        <v>0.17083333333333331</v>
      </c>
      <c r="M114" s="5">
        <v>0.17083333333333331</v>
      </c>
      <c r="N114" t="s">
        <v>43</v>
      </c>
      <c r="R114" s="3">
        <f t="shared" si="9"/>
        <v>4.0999999999999996</v>
      </c>
    </row>
    <row r="115" spans="1:18" hidden="1" x14ac:dyDescent="0.25">
      <c r="A115" t="s">
        <v>2412</v>
      </c>
      <c r="B115" t="s">
        <v>2596</v>
      </c>
      <c r="C115" t="s">
        <v>2071</v>
      </c>
      <c r="D115" s="3">
        <f t="shared" si="10"/>
        <v>10</v>
      </c>
      <c r="E115" t="s">
        <v>2156</v>
      </c>
      <c r="F115" t="s">
        <v>13</v>
      </c>
      <c r="G115" t="str">
        <f t="shared" si="11"/>
        <v/>
      </c>
      <c r="H115" t="s">
        <v>14</v>
      </c>
      <c r="I115" t="s">
        <v>2413</v>
      </c>
      <c r="J115" s="2">
        <f t="shared" si="12"/>
        <v>1275000</v>
      </c>
      <c r="K115" t="s">
        <v>698</v>
      </c>
      <c r="L115">
        <f t="shared" si="13"/>
        <v>0.17013888888888887</v>
      </c>
      <c r="M115" s="5">
        <v>0.17013888888888887</v>
      </c>
      <c r="N115" t="s">
        <v>43</v>
      </c>
      <c r="R115" s="3">
        <f t="shared" si="9"/>
        <v>4.083333333333333</v>
      </c>
    </row>
    <row r="116" spans="1:18" hidden="1" x14ac:dyDescent="0.25">
      <c r="A116" t="s">
        <v>3544</v>
      </c>
      <c r="B116" t="s">
        <v>3233</v>
      </c>
      <c r="C116" t="s">
        <v>3264</v>
      </c>
      <c r="D116" s="3">
        <f t="shared" si="10"/>
        <v>16.650000000000002</v>
      </c>
      <c r="E116" t="s">
        <v>3545</v>
      </c>
      <c r="F116" t="s">
        <v>13</v>
      </c>
      <c r="G116">
        <f t="shared" si="11"/>
        <v>1700000</v>
      </c>
      <c r="H116" t="s">
        <v>23</v>
      </c>
      <c r="I116" t="s">
        <v>3546</v>
      </c>
      <c r="J116" s="2">
        <f t="shared" si="12"/>
        <v>1615000</v>
      </c>
      <c r="K116" t="s">
        <v>765</v>
      </c>
      <c r="L116">
        <f t="shared" si="13"/>
        <v>0.20833333333333334</v>
      </c>
      <c r="M116" s="5">
        <v>0.20833333333333334</v>
      </c>
      <c r="N116" t="s">
        <v>43</v>
      </c>
      <c r="P116" t="s">
        <v>713</v>
      </c>
      <c r="R116" s="3">
        <f t="shared" si="9"/>
        <v>5</v>
      </c>
    </row>
    <row r="117" spans="1:18" hidden="1" x14ac:dyDescent="0.25">
      <c r="A117" t="s">
        <v>3516</v>
      </c>
      <c r="B117" t="s">
        <v>3233</v>
      </c>
      <c r="C117" t="s">
        <v>3264</v>
      </c>
      <c r="D117" s="3">
        <f t="shared" si="10"/>
        <v>12</v>
      </c>
      <c r="E117" t="s">
        <v>347</v>
      </c>
      <c r="F117" t="s">
        <v>13</v>
      </c>
      <c r="G117">
        <f t="shared" si="11"/>
        <v>1200000</v>
      </c>
      <c r="H117" t="s">
        <v>36</v>
      </c>
      <c r="I117" t="s">
        <v>3517</v>
      </c>
      <c r="J117" s="2">
        <f t="shared" si="12"/>
        <v>1140000</v>
      </c>
      <c r="K117" t="s">
        <v>2031</v>
      </c>
      <c r="L117">
        <f t="shared" si="13"/>
        <v>0.17083333333333331</v>
      </c>
      <c r="M117" s="5">
        <v>0.17083333333333331</v>
      </c>
      <c r="N117" t="s">
        <v>43</v>
      </c>
      <c r="P117" t="s">
        <v>866</v>
      </c>
      <c r="R117" s="3">
        <f t="shared" si="9"/>
        <v>4.0999999999999996</v>
      </c>
    </row>
    <row r="118" spans="1:18" hidden="1" x14ac:dyDescent="0.25">
      <c r="A118" t="s">
        <v>3301</v>
      </c>
      <c r="B118" t="s">
        <v>3233</v>
      </c>
      <c r="C118" t="s">
        <v>3264</v>
      </c>
      <c r="D118" s="3">
        <f t="shared" si="10"/>
        <v>8.75</v>
      </c>
      <c r="E118" t="s">
        <v>775</v>
      </c>
      <c r="F118" t="s">
        <v>13</v>
      </c>
      <c r="G118">
        <f t="shared" si="11"/>
        <v>1100000</v>
      </c>
      <c r="H118" t="s">
        <v>42</v>
      </c>
      <c r="I118" t="s">
        <v>3302</v>
      </c>
      <c r="J118" s="2">
        <f t="shared" si="12"/>
        <v>1012000</v>
      </c>
      <c r="K118" t="s">
        <v>3303</v>
      </c>
      <c r="L118">
        <f t="shared" si="13"/>
        <v>0.17083333333333331</v>
      </c>
      <c r="M118" s="5">
        <v>0.17083333333333331</v>
      </c>
      <c r="N118" t="s">
        <v>43</v>
      </c>
      <c r="P118" t="s">
        <v>2379</v>
      </c>
      <c r="R118" s="3">
        <f t="shared" si="9"/>
        <v>4.0999999999999996</v>
      </c>
    </row>
    <row r="119" spans="1:18" hidden="1" x14ac:dyDescent="0.25">
      <c r="A119" t="s">
        <v>3527</v>
      </c>
      <c r="B119" t="s">
        <v>3233</v>
      </c>
      <c r="C119" t="s">
        <v>3264</v>
      </c>
      <c r="D119" s="3">
        <f t="shared" si="10"/>
        <v>8.75</v>
      </c>
      <c r="E119" t="s">
        <v>775</v>
      </c>
      <c r="F119" t="s">
        <v>13</v>
      </c>
      <c r="G119" t="str">
        <f t="shared" si="11"/>
        <v/>
      </c>
      <c r="H119" t="s">
        <v>14</v>
      </c>
      <c r="I119" t="s">
        <v>3528</v>
      </c>
      <c r="J119" s="2">
        <f t="shared" si="12"/>
        <v>1450000</v>
      </c>
      <c r="K119" t="s">
        <v>29</v>
      </c>
      <c r="L119">
        <f t="shared" si="13"/>
        <v>0.20833333333333334</v>
      </c>
      <c r="M119" s="5">
        <v>0.20833333333333334</v>
      </c>
      <c r="N119" t="s">
        <v>43</v>
      </c>
      <c r="P119" t="s">
        <v>2379</v>
      </c>
      <c r="R119" s="3">
        <f t="shared" si="9"/>
        <v>5</v>
      </c>
    </row>
    <row r="120" spans="1:18" hidden="1" x14ac:dyDescent="0.25">
      <c r="A120" t="s">
        <v>5535</v>
      </c>
      <c r="B120" t="s">
        <v>5848</v>
      </c>
      <c r="C120" t="s">
        <v>1163</v>
      </c>
      <c r="D120" s="3">
        <f t="shared" si="10"/>
        <v>80</v>
      </c>
      <c r="E120" t="s">
        <v>5536</v>
      </c>
      <c r="F120" t="s">
        <v>34</v>
      </c>
      <c r="G120" t="str">
        <f t="shared" si="11"/>
        <v/>
      </c>
      <c r="H120" t="s">
        <v>14</v>
      </c>
      <c r="I120" t="s">
        <v>5537</v>
      </c>
      <c r="J120" s="2">
        <f t="shared" si="12"/>
        <v>775000</v>
      </c>
      <c r="K120" t="s">
        <v>440</v>
      </c>
      <c r="L120">
        <f t="shared" si="13"/>
        <v>0.17291666666666669</v>
      </c>
      <c r="M120" s="5">
        <v>0.17291666666666669</v>
      </c>
      <c r="N120" t="s">
        <v>37</v>
      </c>
      <c r="P120" t="s">
        <v>49</v>
      </c>
      <c r="R120" s="3">
        <f t="shared" si="9"/>
        <v>4.1500000000000004</v>
      </c>
    </row>
    <row r="121" spans="1:18" hidden="1" x14ac:dyDescent="0.25">
      <c r="A121" t="s">
        <v>1504</v>
      </c>
      <c r="B121" t="s">
        <v>1303</v>
      </c>
      <c r="C121" t="s">
        <v>1342</v>
      </c>
      <c r="D121" s="3">
        <f t="shared" si="10"/>
        <v>9</v>
      </c>
      <c r="E121" t="s">
        <v>12</v>
      </c>
      <c r="F121" t="s">
        <v>13</v>
      </c>
      <c r="G121">
        <f t="shared" si="11"/>
        <v>975000</v>
      </c>
      <c r="H121" t="s">
        <v>544</v>
      </c>
      <c r="I121" t="s">
        <v>1505</v>
      </c>
      <c r="J121" s="2">
        <f t="shared" si="12"/>
        <v>927500</v>
      </c>
      <c r="K121" t="s">
        <v>1506</v>
      </c>
      <c r="L121">
        <f t="shared" si="13"/>
        <v>0.17291666666666669</v>
      </c>
      <c r="M121" s="5">
        <v>0.17291666666666669</v>
      </c>
      <c r="N121" t="s">
        <v>37</v>
      </c>
      <c r="P121" t="s">
        <v>1507</v>
      </c>
      <c r="R121" s="3">
        <f t="shared" si="9"/>
        <v>4.1500000000000004</v>
      </c>
    </row>
    <row r="122" spans="1:18" x14ac:dyDescent="0.25">
      <c r="A122" t="s">
        <v>4837</v>
      </c>
      <c r="B122" t="s">
        <v>4806</v>
      </c>
      <c r="C122" t="s">
        <v>4839</v>
      </c>
      <c r="D122" s="3">
        <f t="shared" si="10"/>
        <v>12</v>
      </c>
      <c r="E122" t="s">
        <v>33</v>
      </c>
      <c r="F122" t="s">
        <v>13</v>
      </c>
      <c r="G122" t="str">
        <f t="shared" si="11"/>
        <v/>
      </c>
      <c r="H122" t="s">
        <v>14</v>
      </c>
      <c r="I122" t="s">
        <v>4838</v>
      </c>
      <c r="J122" s="2">
        <f t="shared" si="12"/>
        <v>600000</v>
      </c>
      <c r="K122" t="s">
        <v>173</v>
      </c>
      <c r="L122">
        <f t="shared" si="13"/>
        <v>0</v>
      </c>
      <c r="N122" t="s">
        <v>43</v>
      </c>
      <c r="R122" s="3">
        <f t="shared" si="9"/>
        <v>0</v>
      </c>
    </row>
    <row r="123" spans="1:18" hidden="1" x14ac:dyDescent="0.25">
      <c r="A123" t="s">
        <v>1815</v>
      </c>
      <c r="B123" t="s">
        <v>1303</v>
      </c>
      <c r="C123" t="s">
        <v>1392</v>
      </c>
      <c r="D123" s="3">
        <f t="shared" si="10"/>
        <v>6</v>
      </c>
      <c r="E123" t="s">
        <v>285</v>
      </c>
      <c r="F123" t="s">
        <v>34</v>
      </c>
      <c r="G123">
        <f t="shared" si="11"/>
        <v>1375000</v>
      </c>
      <c r="H123" t="s">
        <v>812</v>
      </c>
      <c r="I123" t="s">
        <v>1816</v>
      </c>
      <c r="J123" s="2">
        <f t="shared" si="12"/>
        <v>1307500</v>
      </c>
      <c r="K123" t="s">
        <v>1817</v>
      </c>
      <c r="L123">
        <f t="shared" si="13"/>
        <v>0.17222222222222225</v>
      </c>
      <c r="M123" s="5">
        <v>0.17222222222222225</v>
      </c>
      <c r="N123" t="s">
        <v>43</v>
      </c>
      <c r="P123" t="s">
        <v>745</v>
      </c>
      <c r="R123" s="3">
        <f t="shared" si="9"/>
        <v>4.1333333333333337</v>
      </c>
    </row>
    <row r="124" spans="1:18" x14ac:dyDescent="0.25">
      <c r="A124" t="s">
        <v>489</v>
      </c>
      <c r="B124" t="s">
        <v>20</v>
      </c>
      <c r="C124" t="s">
        <v>165</v>
      </c>
      <c r="D124" s="3">
        <f t="shared" si="10"/>
        <v>12</v>
      </c>
      <c r="E124" t="s">
        <v>33</v>
      </c>
      <c r="F124" t="s">
        <v>13</v>
      </c>
      <c r="G124" t="str">
        <f t="shared" si="11"/>
        <v/>
      </c>
      <c r="H124" t="s">
        <v>14</v>
      </c>
      <c r="I124" t="s">
        <v>490</v>
      </c>
      <c r="J124" s="2">
        <f t="shared" si="12"/>
        <v>600000</v>
      </c>
      <c r="K124" t="s">
        <v>173</v>
      </c>
      <c r="L124">
        <f t="shared" si="13"/>
        <v>0.17013888888888887</v>
      </c>
      <c r="M124" s="5">
        <v>0.17013888888888887</v>
      </c>
      <c r="N124" t="s">
        <v>18</v>
      </c>
      <c r="R124" s="3">
        <f t="shared" si="9"/>
        <v>4.083333333333333</v>
      </c>
    </row>
    <row r="125" spans="1:18" hidden="1" x14ac:dyDescent="0.25">
      <c r="A125" t="s">
        <v>2482</v>
      </c>
      <c r="B125" t="s">
        <v>2596</v>
      </c>
      <c r="C125" t="s">
        <v>2064</v>
      </c>
      <c r="D125" s="3">
        <f t="shared" si="10"/>
        <v>9</v>
      </c>
      <c r="E125" t="s">
        <v>12</v>
      </c>
      <c r="F125" t="s">
        <v>13</v>
      </c>
      <c r="G125">
        <f t="shared" si="11"/>
        <v>1425000</v>
      </c>
      <c r="H125" t="s">
        <v>909</v>
      </c>
      <c r="I125" t="s">
        <v>2483</v>
      </c>
      <c r="J125" s="2">
        <f t="shared" si="12"/>
        <v>1313000</v>
      </c>
      <c r="K125" t="s">
        <v>1898</v>
      </c>
      <c r="L125">
        <f t="shared" si="13"/>
        <v>0.17083333333333331</v>
      </c>
      <c r="M125" s="5">
        <v>0.17083333333333331</v>
      </c>
      <c r="N125" t="s">
        <v>18</v>
      </c>
      <c r="P125" t="s">
        <v>979</v>
      </c>
      <c r="R125" s="3">
        <f t="shared" si="9"/>
        <v>4.0999999999999996</v>
      </c>
    </row>
    <row r="126" spans="1:18" hidden="1" x14ac:dyDescent="0.25">
      <c r="A126" t="s">
        <v>2333</v>
      </c>
      <c r="B126" t="s">
        <v>2596</v>
      </c>
      <c r="C126" t="s">
        <v>2064</v>
      </c>
      <c r="D126" s="3">
        <f t="shared" si="10"/>
        <v>9</v>
      </c>
      <c r="E126" t="s">
        <v>12</v>
      </c>
      <c r="F126" t="s">
        <v>34</v>
      </c>
      <c r="G126">
        <f t="shared" si="11"/>
        <v>1075000</v>
      </c>
      <c r="H126" t="s">
        <v>838</v>
      </c>
      <c r="I126" t="s">
        <v>2334</v>
      </c>
      <c r="J126" s="2">
        <f t="shared" si="12"/>
        <v>991000</v>
      </c>
      <c r="K126" t="s">
        <v>1532</v>
      </c>
      <c r="L126">
        <f t="shared" si="13"/>
        <v>0.17083333333333331</v>
      </c>
      <c r="M126" s="5">
        <v>0.17083333333333331</v>
      </c>
      <c r="N126" t="s">
        <v>18</v>
      </c>
      <c r="P126" t="s">
        <v>1063</v>
      </c>
      <c r="R126" s="3">
        <f t="shared" si="9"/>
        <v>4.0999999999999996</v>
      </c>
    </row>
    <row r="127" spans="1:18" x14ac:dyDescent="0.25">
      <c r="A127" t="s">
        <v>483</v>
      </c>
      <c r="B127" t="s">
        <v>20</v>
      </c>
      <c r="C127" t="s">
        <v>119</v>
      </c>
      <c r="D127" s="3">
        <f t="shared" si="10"/>
        <v>12.25</v>
      </c>
      <c r="E127" t="s">
        <v>187</v>
      </c>
      <c r="F127" t="s">
        <v>34</v>
      </c>
      <c r="G127" t="str">
        <f t="shared" si="11"/>
        <v/>
      </c>
      <c r="H127" t="s">
        <v>14</v>
      </c>
      <c r="I127" t="s">
        <v>484</v>
      </c>
      <c r="J127" s="2">
        <f t="shared" si="12"/>
        <v>600000</v>
      </c>
      <c r="K127" t="s">
        <v>173</v>
      </c>
      <c r="L127">
        <f t="shared" si="13"/>
        <v>0</v>
      </c>
      <c r="N127" t="s">
        <v>18</v>
      </c>
      <c r="R127" s="3">
        <f t="shared" si="9"/>
        <v>0</v>
      </c>
    </row>
    <row r="128" spans="1:18" hidden="1" x14ac:dyDescent="0.25">
      <c r="A128" t="s">
        <v>2246</v>
      </c>
      <c r="B128" t="s">
        <v>2596</v>
      </c>
      <c r="C128" t="s">
        <v>2071</v>
      </c>
      <c r="D128" s="3">
        <f t="shared" si="10"/>
        <v>12</v>
      </c>
      <c r="E128" t="s">
        <v>33</v>
      </c>
      <c r="F128" t="s">
        <v>13</v>
      </c>
      <c r="G128">
        <f t="shared" si="11"/>
        <v>1525000</v>
      </c>
      <c r="H128" t="s">
        <v>27</v>
      </c>
      <c r="I128" t="s">
        <v>2247</v>
      </c>
      <c r="J128" s="2">
        <f t="shared" si="12"/>
        <v>1450000</v>
      </c>
      <c r="K128" t="s">
        <v>29</v>
      </c>
      <c r="L128">
        <f t="shared" si="13"/>
        <v>0.16944444444444443</v>
      </c>
      <c r="M128" s="5">
        <v>0.16944444444444443</v>
      </c>
      <c r="N128" t="s">
        <v>43</v>
      </c>
      <c r="P128" t="s">
        <v>31</v>
      </c>
      <c r="R128" s="3">
        <f t="shared" si="9"/>
        <v>4.0666666666666664</v>
      </c>
    </row>
    <row r="129" spans="1:18" hidden="1" x14ac:dyDescent="0.25">
      <c r="A129" t="s">
        <v>2577</v>
      </c>
      <c r="B129" t="s">
        <v>2596</v>
      </c>
      <c r="C129" t="s">
        <v>2071</v>
      </c>
      <c r="D129" s="3">
        <f t="shared" si="10"/>
        <v>9</v>
      </c>
      <c r="E129" t="s">
        <v>12</v>
      </c>
      <c r="F129" t="s">
        <v>13</v>
      </c>
      <c r="G129">
        <f t="shared" si="11"/>
        <v>1425000</v>
      </c>
      <c r="H129" t="s">
        <v>909</v>
      </c>
      <c r="I129" t="s">
        <v>2578</v>
      </c>
      <c r="J129" s="2">
        <f t="shared" si="12"/>
        <v>1355000</v>
      </c>
      <c r="K129" t="s">
        <v>2063</v>
      </c>
      <c r="L129">
        <f t="shared" si="13"/>
        <v>0.20833333333333334</v>
      </c>
      <c r="M129" s="5">
        <v>0.20833333333333334</v>
      </c>
      <c r="N129" t="s">
        <v>43</v>
      </c>
      <c r="P129" t="s">
        <v>2065</v>
      </c>
      <c r="R129" s="3">
        <f t="shared" si="9"/>
        <v>5</v>
      </c>
    </row>
    <row r="130" spans="1:18" hidden="1" x14ac:dyDescent="0.25">
      <c r="A130" t="s">
        <v>2214</v>
      </c>
      <c r="B130" t="s">
        <v>2596</v>
      </c>
      <c r="C130" t="s">
        <v>2071</v>
      </c>
      <c r="D130" s="3">
        <f t="shared" si="10"/>
        <v>10.199999999999999</v>
      </c>
      <c r="E130" t="s">
        <v>2215</v>
      </c>
      <c r="F130" t="s">
        <v>13</v>
      </c>
      <c r="G130" t="str">
        <f t="shared" si="11"/>
        <v/>
      </c>
      <c r="H130" t="s">
        <v>14</v>
      </c>
      <c r="I130" t="s">
        <v>2216</v>
      </c>
      <c r="J130" s="2">
        <f t="shared" si="12"/>
        <v>1325000</v>
      </c>
      <c r="K130" t="s">
        <v>683</v>
      </c>
      <c r="L130">
        <f t="shared" si="13"/>
        <v>0.17222222222222225</v>
      </c>
      <c r="M130" s="5">
        <v>0.17222222222222225</v>
      </c>
      <c r="N130" t="s">
        <v>43</v>
      </c>
      <c r="P130" t="s">
        <v>1774</v>
      </c>
      <c r="R130" s="3">
        <f t="shared" ref="R130:R193" si="14">24*L130</f>
        <v>4.1333333333333337</v>
      </c>
    </row>
    <row r="131" spans="1:18" hidden="1" x14ac:dyDescent="0.25">
      <c r="A131" t="s">
        <v>2086</v>
      </c>
      <c r="B131" t="s">
        <v>2596</v>
      </c>
      <c r="C131" t="s">
        <v>2071</v>
      </c>
      <c r="D131" s="3">
        <f t="shared" si="10"/>
        <v>10.5</v>
      </c>
      <c r="E131" t="s">
        <v>653</v>
      </c>
      <c r="F131" t="s">
        <v>13</v>
      </c>
      <c r="G131">
        <f t="shared" si="11"/>
        <v>1275000</v>
      </c>
      <c r="H131" t="s">
        <v>698</v>
      </c>
      <c r="I131" t="s">
        <v>2087</v>
      </c>
      <c r="J131" s="2">
        <f t="shared" si="12"/>
        <v>1212500</v>
      </c>
      <c r="K131" t="s">
        <v>1935</v>
      </c>
      <c r="L131">
        <f t="shared" si="13"/>
        <v>0.17291666666666669</v>
      </c>
      <c r="M131" s="5">
        <v>0.17291666666666669</v>
      </c>
      <c r="N131" t="s">
        <v>43</v>
      </c>
      <c r="P131" t="s">
        <v>1774</v>
      </c>
      <c r="R131" s="3">
        <f t="shared" si="14"/>
        <v>4.1500000000000004</v>
      </c>
    </row>
    <row r="132" spans="1:18" hidden="1" x14ac:dyDescent="0.25">
      <c r="A132" t="s">
        <v>2442</v>
      </c>
      <c r="B132" t="s">
        <v>2596</v>
      </c>
      <c r="C132" t="s">
        <v>2071</v>
      </c>
      <c r="D132" s="3">
        <f t="shared" si="10"/>
        <v>7.5</v>
      </c>
      <c r="E132" t="s">
        <v>614</v>
      </c>
      <c r="F132" t="s">
        <v>13</v>
      </c>
      <c r="G132" t="str">
        <f t="shared" si="11"/>
        <v/>
      </c>
      <c r="H132" t="s">
        <v>14</v>
      </c>
      <c r="I132" t="s">
        <v>2443</v>
      </c>
      <c r="J132" s="2">
        <f t="shared" si="12"/>
        <v>825000</v>
      </c>
      <c r="K132" t="s">
        <v>715</v>
      </c>
      <c r="L132">
        <f t="shared" si="13"/>
        <v>0.20833333333333334</v>
      </c>
      <c r="M132" s="5">
        <v>0.20833333333333334</v>
      </c>
      <c r="N132" t="s">
        <v>43</v>
      </c>
      <c r="P132" t="s">
        <v>1774</v>
      </c>
      <c r="R132" s="3">
        <f t="shared" si="14"/>
        <v>5</v>
      </c>
    </row>
    <row r="133" spans="1:18" hidden="1" x14ac:dyDescent="0.25">
      <c r="A133" t="s">
        <v>2503</v>
      </c>
      <c r="B133" t="s">
        <v>2596</v>
      </c>
      <c r="C133" t="s">
        <v>1981</v>
      </c>
      <c r="D133" s="3">
        <f t="shared" si="10"/>
        <v>8.4</v>
      </c>
      <c r="E133" t="s">
        <v>2504</v>
      </c>
      <c r="F133" t="s">
        <v>34</v>
      </c>
      <c r="G133" t="str">
        <f t="shared" si="11"/>
        <v/>
      </c>
      <c r="H133" t="s">
        <v>14</v>
      </c>
      <c r="I133" t="s">
        <v>2505</v>
      </c>
      <c r="J133" s="2">
        <f t="shared" si="12"/>
        <v>875000</v>
      </c>
      <c r="K133" t="s">
        <v>710</v>
      </c>
      <c r="L133">
        <f t="shared" si="13"/>
        <v>0.20833333333333334</v>
      </c>
      <c r="M133" s="5">
        <v>0.20833333333333334</v>
      </c>
      <c r="N133" t="s">
        <v>37</v>
      </c>
      <c r="P133" t="s">
        <v>2417</v>
      </c>
      <c r="R133" s="3">
        <f t="shared" si="14"/>
        <v>5</v>
      </c>
    </row>
    <row r="134" spans="1:18" x14ac:dyDescent="0.25">
      <c r="A134" t="s">
        <v>328</v>
      </c>
      <c r="B134" t="s">
        <v>20</v>
      </c>
      <c r="C134" t="s">
        <v>54</v>
      </c>
      <c r="D134" s="3">
        <f t="shared" si="10"/>
        <v>9</v>
      </c>
      <c r="E134" t="s">
        <v>12</v>
      </c>
      <c r="F134" t="s">
        <v>13</v>
      </c>
      <c r="G134" t="str">
        <f t="shared" si="11"/>
        <v/>
      </c>
      <c r="H134" t="s">
        <v>14</v>
      </c>
      <c r="I134" t="s">
        <v>329</v>
      </c>
      <c r="J134" s="2">
        <f t="shared" si="12"/>
        <v>600000</v>
      </c>
      <c r="K134" t="s">
        <v>173</v>
      </c>
      <c r="L134">
        <f t="shared" si="13"/>
        <v>0</v>
      </c>
      <c r="N134" t="s">
        <v>43</v>
      </c>
      <c r="R134" s="3">
        <f t="shared" si="14"/>
        <v>0</v>
      </c>
    </row>
    <row r="135" spans="1:18" x14ac:dyDescent="0.25">
      <c r="A135" t="s">
        <v>289</v>
      </c>
      <c r="B135" t="s">
        <v>20</v>
      </c>
      <c r="C135" t="s">
        <v>218</v>
      </c>
      <c r="D135" s="3">
        <f t="shared" si="10"/>
        <v>12</v>
      </c>
      <c r="E135" t="s">
        <v>33</v>
      </c>
      <c r="F135" t="s">
        <v>13</v>
      </c>
      <c r="G135" t="str">
        <f t="shared" si="11"/>
        <v/>
      </c>
      <c r="H135" t="s">
        <v>14</v>
      </c>
      <c r="I135" t="s">
        <v>290</v>
      </c>
      <c r="J135" s="2">
        <f t="shared" si="12"/>
        <v>600000</v>
      </c>
      <c r="K135" t="s">
        <v>173</v>
      </c>
      <c r="L135">
        <f t="shared" si="13"/>
        <v>0</v>
      </c>
      <c r="N135" t="s">
        <v>43</v>
      </c>
      <c r="R135" s="3">
        <f t="shared" si="14"/>
        <v>0</v>
      </c>
    </row>
    <row r="136" spans="1:18" hidden="1" x14ac:dyDescent="0.25">
      <c r="A136" t="s">
        <v>4450</v>
      </c>
      <c r="B136" t="s">
        <v>4272</v>
      </c>
      <c r="C136" t="s">
        <v>4285</v>
      </c>
      <c r="D136" s="3">
        <f t="shared" si="10"/>
        <v>9.6000000000000014</v>
      </c>
      <c r="E136" t="s">
        <v>26</v>
      </c>
      <c r="F136" t="s">
        <v>13</v>
      </c>
      <c r="G136">
        <f t="shared" si="11"/>
        <v>825000</v>
      </c>
      <c r="H136" t="s">
        <v>715</v>
      </c>
      <c r="I136" t="s">
        <v>4451</v>
      </c>
      <c r="J136" s="2">
        <f t="shared" si="12"/>
        <v>785000</v>
      </c>
      <c r="K136" t="s">
        <v>4452</v>
      </c>
      <c r="L136">
        <f t="shared" si="13"/>
        <v>0.17291666666666669</v>
      </c>
      <c r="M136" s="5">
        <v>0.17291666666666669</v>
      </c>
      <c r="N136" t="s">
        <v>18</v>
      </c>
      <c r="P136" t="s">
        <v>2417</v>
      </c>
      <c r="R136" s="3">
        <f t="shared" si="14"/>
        <v>4.1500000000000004</v>
      </c>
    </row>
    <row r="137" spans="1:18" hidden="1" x14ac:dyDescent="0.25">
      <c r="A137" t="s">
        <v>4422</v>
      </c>
      <c r="B137" t="s">
        <v>4272</v>
      </c>
      <c r="C137" t="s">
        <v>4311</v>
      </c>
      <c r="D137" s="3">
        <f t="shared" si="10"/>
        <v>7.25</v>
      </c>
      <c r="E137" t="s">
        <v>4366</v>
      </c>
      <c r="F137" t="s">
        <v>34</v>
      </c>
      <c r="G137" t="str">
        <f t="shared" si="11"/>
        <v/>
      </c>
      <c r="H137" t="s">
        <v>14</v>
      </c>
      <c r="I137" t="s">
        <v>4423</v>
      </c>
      <c r="J137" s="2">
        <f t="shared" si="12"/>
        <v>825000</v>
      </c>
      <c r="K137" t="s">
        <v>715</v>
      </c>
      <c r="L137">
        <f t="shared" si="13"/>
        <v>0.16944444444444443</v>
      </c>
      <c r="M137" s="5">
        <v>0.16944444444444443</v>
      </c>
      <c r="N137" t="s">
        <v>18</v>
      </c>
      <c r="P137" t="s">
        <v>4369</v>
      </c>
      <c r="R137" s="3">
        <f t="shared" si="14"/>
        <v>4.0666666666666664</v>
      </c>
    </row>
    <row r="138" spans="1:18" x14ac:dyDescent="0.25">
      <c r="A138" t="s">
        <v>45</v>
      </c>
      <c r="B138" t="s">
        <v>20</v>
      </c>
      <c r="C138" t="s">
        <v>19</v>
      </c>
      <c r="D138" s="3">
        <f t="shared" si="10"/>
        <v>9</v>
      </c>
      <c r="E138" t="s">
        <v>12</v>
      </c>
      <c r="F138" t="s">
        <v>34</v>
      </c>
      <c r="G138">
        <f t="shared" si="11"/>
        <v>675000</v>
      </c>
      <c r="H138" t="s">
        <v>46</v>
      </c>
      <c r="I138" t="s">
        <v>47</v>
      </c>
      <c r="J138" s="2">
        <f t="shared" si="12"/>
        <v>623000</v>
      </c>
      <c r="K138" t="s">
        <v>48</v>
      </c>
      <c r="L138">
        <f t="shared" si="13"/>
        <v>0.17291666666666669</v>
      </c>
      <c r="M138" s="5">
        <v>0.17291666666666669</v>
      </c>
      <c r="N138" t="s">
        <v>18</v>
      </c>
      <c r="P138" t="s">
        <v>49</v>
      </c>
      <c r="R138" s="3">
        <f t="shared" si="14"/>
        <v>4.1500000000000004</v>
      </c>
    </row>
    <row r="139" spans="1:18" hidden="1" x14ac:dyDescent="0.25">
      <c r="A139" t="s">
        <v>4375</v>
      </c>
      <c r="B139" t="s">
        <v>4272</v>
      </c>
      <c r="C139" t="s">
        <v>4285</v>
      </c>
      <c r="D139" s="3">
        <f t="shared" ref="D139:D202" si="15">VALUE(LEFT(E139,SEARCH(" x ",E139)-1))*VALUE(MID(E139,SEARCH(" x ",E139)+3,SEARCH(" meter",E139)-SEARCH(" x ",E139)-3))</f>
        <v>10.92</v>
      </c>
      <c r="E139" t="s">
        <v>4376</v>
      </c>
      <c r="F139" t="s">
        <v>13</v>
      </c>
      <c r="G139" t="str">
        <f t="shared" ref="G139:G202" si="16">IF(H139="N/A","",VALUE(SUBSTITUTE(SUBSTITUTE(H139,"Rp",""),".","")))</f>
        <v/>
      </c>
      <c r="H139" t="s">
        <v>14</v>
      </c>
      <c r="I139" t="s">
        <v>4377</v>
      </c>
      <c r="J139" s="2">
        <f t="shared" ref="J139:J202" si="17">VALUE(SUBSTITUTE(SUBSTITUTE(K139,"Rp",""),".",""))</f>
        <v>1625000</v>
      </c>
      <c r="K139" t="s">
        <v>702</v>
      </c>
      <c r="L139">
        <f t="shared" ref="L139:L202" si="18">M139:M2479</f>
        <v>0.17291666666666669</v>
      </c>
      <c r="M139" s="5">
        <v>0.17291666666666669</v>
      </c>
      <c r="N139" t="s">
        <v>43</v>
      </c>
      <c r="R139" s="3">
        <f t="shared" si="14"/>
        <v>4.1500000000000004</v>
      </c>
    </row>
    <row r="140" spans="1:18" hidden="1" x14ac:dyDescent="0.25">
      <c r="A140" t="s">
        <v>4318</v>
      </c>
      <c r="B140" t="s">
        <v>4272</v>
      </c>
      <c r="C140" t="s">
        <v>4285</v>
      </c>
      <c r="D140" s="3">
        <f t="shared" si="15"/>
        <v>8.91</v>
      </c>
      <c r="E140" t="s">
        <v>2869</v>
      </c>
      <c r="F140" t="s">
        <v>13</v>
      </c>
      <c r="G140" t="str">
        <f t="shared" si="16"/>
        <v/>
      </c>
      <c r="H140" t="s">
        <v>14</v>
      </c>
      <c r="I140" t="s">
        <v>4319</v>
      </c>
      <c r="J140" s="2">
        <f t="shared" si="17"/>
        <v>1175000</v>
      </c>
      <c r="K140" t="s">
        <v>779</v>
      </c>
      <c r="L140">
        <f t="shared" si="18"/>
        <v>0.17291666666666669</v>
      </c>
      <c r="M140" s="5">
        <v>0.17291666666666669</v>
      </c>
      <c r="N140" t="s">
        <v>43</v>
      </c>
      <c r="R140" s="3">
        <f t="shared" si="14"/>
        <v>4.1500000000000004</v>
      </c>
    </row>
    <row r="141" spans="1:18" hidden="1" x14ac:dyDescent="0.25">
      <c r="A141" t="s">
        <v>4671</v>
      </c>
      <c r="B141" t="s">
        <v>4272</v>
      </c>
      <c r="C141" t="s">
        <v>4285</v>
      </c>
      <c r="D141" s="3">
        <f t="shared" si="15"/>
        <v>8.9599999999999991</v>
      </c>
      <c r="E141" t="s">
        <v>785</v>
      </c>
      <c r="F141" t="s">
        <v>13</v>
      </c>
      <c r="G141" t="str">
        <f t="shared" si="16"/>
        <v/>
      </c>
      <c r="H141" t="s">
        <v>14</v>
      </c>
      <c r="I141" t="s">
        <v>4672</v>
      </c>
      <c r="J141" s="2">
        <f t="shared" si="17"/>
        <v>1075000</v>
      </c>
      <c r="K141" t="s">
        <v>838</v>
      </c>
      <c r="L141">
        <f t="shared" si="18"/>
        <v>0.17222222222222225</v>
      </c>
      <c r="M141" s="5">
        <v>0.17222222222222225</v>
      </c>
      <c r="N141" t="s">
        <v>43</v>
      </c>
      <c r="R141" s="3">
        <f t="shared" si="14"/>
        <v>4.1333333333333337</v>
      </c>
    </row>
    <row r="142" spans="1:18" hidden="1" x14ac:dyDescent="0.25">
      <c r="A142" t="s">
        <v>3244</v>
      </c>
      <c r="B142" t="s">
        <v>3233</v>
      </c>
      <c r="C142" t="s">
        <v>3237</v>
      </c>
      <c r="D142" s="3">
        <f t="shared" si="15"/>
        <v>10.08</v>
      </c>
      <c r="E142" t="s">
        <v>2149</v>
      </c>
      <c r="F142" t="s">
        <v>13</v>
      </c>
      <c r="G142">
        <f t="shared" si="16"/>
        <v>1425000</v>
      </c>
      <c r="H142" t="s">
        <v>909</v>
      </c>
      <c r="I142" t="s">
        <v>3245</v>
      </c>
      <c r="J142" s="2">
        <f t="shared" si="17"/>
        <v>1313000</v>
      </c>
      <c r="K142" t="s">
        <v>1898</v>
      </c>
      <c r="L142">
        <f t="shared" si="18"/>
        <v>0.17291666666666669</v>
      </c>
      <c r="M142" s="5">
        <v>0.17291666666666669</v>
      </c>
      <c r="N142" t="s">
        <v>43</v>
      </c>
      <c r="P142" t="s">
        <v>979</v>
      </c>
      <c r="R142" s="3">
        <f t="shared" si="14"/>
        <v>4.1500000000000004</v>
      </c>
    </row>
    <row r="143" spans="1:18" hidden="1" x14ac:dyDescent="0.25">
      <c r="A143" t="s">
        <v>3234</v>
      </c>
      <c r="B143" t="s">
        <v>3233</v>
      </c>
      <c r="C143" t="s">
        <v>3237</v>
      </c>
      <c r="D143" s="3">
        <f t="shared" si="15"/>
        <v>12.96</v>
      </c>
      <c r="E143" t="s">
        <v>1432</v>
      </c>
      <c r="F143" t="s">
        <v>13</v>
      </c>
      <c r="G143">
        <f t="shared" si="16"/>
        <v>1325000</v>
      </c>
      <c r="H143" t="s">
        <v>683</v>
      </c>
      <c r="I143" t="s">
        <v>3235</v>
      </c>
      <c r="J143" s="2">
        <f t="shared" si="17"/>
        <v>1221000</v>
      </c>
      <c r="K143" t="s">
        <v>3236</v>
      </c>
      <c r="L143">
        <f t="shared" si="18"/>
        <v>0.16874999999999998</v>
      </c>
      <c r="M143" s="5">
        <v>0.16874999999999998</v>
      </c>
      <c r="N143" t="s">
        <v>43</v>
      </c>
      <c r="P143" t="s">
        <v>2095</v>
      </c>
      <c r="R143" s="3">
        <f t="shared" si="14"/>
        <v>4.05</v>
      </c>
    </row>
    <row r="144" spans="1:18" hidden="1" x14ac:dyDescent="0.25">
      <c r="A144" t="s">
        <v>3242</v>
      </c>
      <c r="B144" t="s">
        <v>3233</v>
      </c>
      <c r="C144" t="s">
        <v>3237</v>
      </c>
      <c r="D144" s="3">
        <f t="shared" si="15"/>
        <v>10.08</v>
      </c>
      <c r="E144" t="s">
        <v>2149</v>
      </c>
      <c r="F144" t="s">
        <v>13</v>
      </c>
      <c r="G144">
        <f t="shared" si="16"/>
        <v>1025000</v>
      </c>
      <c r="H144" t="s">
        <v>914</v>
      </c>
      <c r="I144" t="s">
        <v>3243</v>
      </c>
      <c r="J144" s="2">
        <f t="shared" si="17"/>
        <v>945000</v>
      </c>
      <c r="K144" t="s">
        <v>1485</v>
      </c>
      <c r="L144">
        <f t="shared" si="18"/>
        <v>0.20833333333333334</v>
      </c>
      <c r="M144" s="5">
        <v>0.20833333333333334</v>
      </c>
      <c r="N144" t="s">
        <v>43</v>
      </c>
      <c r="P144" t="s">
        <v>719</v>
      </c>
      <c r="R144" s="3">
        <f t="shared" si="14"/>
        <v>5</v>
      </c>
    </row>
    <row r="145" spans="1:18" hidden="1" x14ac:dyDescent="0.25">
      <c r="A145" t="s">
        <v>3373</v>
      </c>
      <c r="B145" t="s">
        <v>3233</v>
      </c>
      <c r="C145" t="s">
        <v>3376</v>
      </c>
      <c r="D145" s="3">
        <f t="shared" si="15"/>
        <v>4.8</v>
      </c>
      <c r="E145" t="s">
        <v>3374</v>
      </c>
      <c r="F145" t="s">
        <v>13</v>
      </c>
      <c r="G145" t="str">
        <f t="shared" si="16"/>
        <v/>
      </c>
      <c r="H145" t="s">
        <v>14</v>
      </c>
      <c r="I145" t="s">
        <v>3375</v>
      </c>
      <c r="J145" s="2">
        <f t="shared" si="17"/>
        <v>2605000</v>
      </c>
      <c r="K145" t="s">
        <v>2916</v>
      </c>
      <c r="L145">
        <f t="shared" si="18"/>
        <v>0.17291666666666669</v>
      </c>
      <c r="M145" s="5">
        <v>0.17291666666666669</v>
      </c>
      <c r="N145" t="s">
        <v>43</v>
      </c>
      <c r="R145" s="3">
        <f t="shared" si="14"/>
        <v>4.1500000000000004</v>
      </c>
    </row>
    <row r="146" spans="1:18" x14ac:dyDescent="0.25">
      <c r="A146" t="s">
        <v>4742</v>
      </c>
      <c r="B146" t="s">
        <v>4272</v>
      </c>
      <c r="C146" t="s">
        <v>4281</v>
      </c>
      <c r="D146" s="3">
        <f t="shared" si="15"/>
        <v>6</v>
      </c>
      <c r="E146" t="s">
        <v>285</v>
      </c>
      <c r="F146" t="s">
        <v>13</v>
      </c>
      <c r="G146">
        <f t="shared" si="16"/>
        <v>655000</v>
      </c>
      <c r="H146" t="s">
        <v>4743</v>
      </c>
      <c r="I146" t="s">
        <v>4744</v>
      </c>
      <c r="J146" s="2">
        <f t="shared" si="17"/>
        <v>623500</v>
      </c>
      <c r="K146" t="s">
        <v>4745</v>
      </c>
      <c r="L146">
        <f t="shared" si="18"/>
        <v>0.17013888888888887</v>
      </c>
      <c r="M146" s="5">
        <v>0.17013888888888887</v>
      </c>
      <c r="N146" t="s">
        <v>18</v>
      </c>
      <c r="P146" t="s">
        <v>4746</v>
      </c>
      <c r="R146" s="3">
        <f t="shared" si="14"/>
        <v>4.083333333333333</v>
      </c>
    </row>
    <row r="147" spans="1:18" hidden="1" x14ac:dyDescent="0.25">
      <c r="A147" t="s">
        <v>1579</v>
      </c>
      <c r="B147" t="s">
        <v>1303</v>
      </c>
      <c r="C147" t="s">
        <v>1319</v>
      </c>
      <c r="D147" s="3">
        <f t="shared" si="15"/>
        <v>10.8</v>
      </c>
      <c r="E147" t="s">
        <v>880</v>
      </c>
      <c r="F147" t="s">
        <v>13</v>
      </c>
      <c r="G147" t="str">
        <f t="shared" si="16"/>
        <v/>
      </c>
      <c r="H147" t="s">
        <v>14</v>
      </c>
      <c r="I147" t="s">
        <v>1580</v>
      </c>
      <c r="J147" s="2">
        <f t="shared" si="17"/>
        <v>1345000</v>
      </c>
      <c r="K147" t="s">
        <v>1430</v>
      </c>
      <c r="L147">
        <f t="shared" si="18"/>
        <v>0.17222222222222225</v>
      </c>
      <c r="M147" s="5">
        <v>0.17222222222222225</v>
      </c>
      <c r="N147" t="s">
        <v>37</v>
      </c>
      <c r="P147" t="s">
        <v>1581</v>
      </c>
      <c r="R147" s="3">
        <f t="shared" si="14"/>
        <v>4.1333333333333337</v>
      </c>
    </row>
    <row r="148" spans="1:18" hidden="1" x14ac:dyDescent="0.25">
      <c r="A148" t="s">
        <v>2512</v>
      </c>
      <c r="B148" t="s">
        <v>2596</v>
      </c>
      <c r="C148" t="s">
        <v>1981</v>
      </c>
      <c r="D148" s="3">
        <f t="shared" si="15"/>
        <v>12</v>
      </c>
      <c r="E148" t="s">
        <v>347</v>
      </c>
      <c r="F148" t="s">
        <v>34</v>
      </c>
      <c r="G148" t="str">
        <f t="shared" si="16"/>
        <v/>
      </c>
      <c r="H148" t="s">
        <v>14</v>
      </c>
      <c r="I148" t="s">
        <v>2513</v>
      </c>
      <c r="J148" s="2">
        <f t="shared" si="17"/>
        <v>1325000</v>
      </c>
      <c r="K148" t="s">
        <v>683</v>
      </c>
      <c r="L148">
        <f t="shared" si="18"/>
        <v>0.17083333333333331</v>
      </c>
      <c r="M148" s="5">
        <v>0.17083333333333331</v>
      </c>
      <c r="N148" t="s">
        <v>37</v>
      </c>
      <c r="P148" t="s">
        <v>1835</v>
      </c>
      <c r="R148" s="3">
        <f t="shared" si="14"/>
        <v>4.0999999999999996</v>
      </c>
    </row>
    <row r="149" spans="1:18" hidden="1" x14ac:dyDescent="0.25">
      <c r="A149" t="s">
        <v>2043</v>
      </c>
      <c r="B149" t="s">
        <v>2596</v>
      </c>
      <c r="C149" t="s">
        <v>1981</v>
      </c>
      <c r="D149" s="3">
        <f t="shared" si="15"/>
        <v>9</v>
      </c>
      <c r="E149" t="s">
        <v>12</v>
      </c>
      <c r="F149" t="s">
        <v>34</v>
      </c>
      <c r="G149" t="str">
        <f t="shared" si="16"/>
        <v/>
      </c>
      <c r="H149" t="s">
        <v>14</v>
      </c>
      <c r="I149" t="s">
        <v>2044</v>
      </c>
      <c r="J149" s="2">
        <f t="shared" si="17"/>
        <v>875000</v>
      </c>
      <c r="K149" t="s">
        <v>710</v>
      </c>
      <c r="L149">
        <f t="shared" si="18"/>
        <v>0.20833333333333334</v>
      </c>
      <c r="M149" s="5">
        <v>0.20833333333333334</v>
      </c>
      <c r="N149" t="s">
        <v>37</v>
      </c>
      <c r="P149" t="s">
        <v>1835</v>
      </c>
      <c r="R149" s="3">
        <f t="shared" si="14"/>
        <v>5</v>
      </c>
    </row>
    <row r="150" spans="1:18" hidden="1" x14ac:dyDescent="0.25">
      <c r="A150" t="s">
        <v>4658</v>
      </c>
      <c r="B150" t="s">
        <v>4272</v>
      </c>
      <c r="C150" t="s">
        <v>4354</v>
      </c>
      <c r="D150" s="3">
        <f t="shared" si="15"/>
        <v>16</v>
      </c>
      <c r="E150" t="s">
        <v>4659</v>
      </c>
      <c r="F150" t="s">
        <v>34</v>
      </c>
      <c r="G150" t="str">
        <f t="shared" si="16"/>
        <v/>
      </c>
      <c r="H150" t="s">
        <v>14</v>
      </c>
      <c r="I150" t="s">
        <v>4660</v>
      </c>
      <c r="J150" s="2">
        <f t="shared" si="17"/>
        <v>2200000</v>
      </c>
      <c r="K150" t="s">
        <v>849</v>
      </c>
      <c r="L150">
        <f t="shared" si="18"/>
        <v>0</v>
      </c>
      <c r="N150" t="s">
        <v>18</v>
      </c>
      <c r="R150" s="3">
        <f t="shared" si="14"/>
        <v>0</v>
      </c>
    </row>
    <row r="151" spans="1:18" hidden="1" x14ac:dyDescent="0.25">
      <c r="A151" t="s">
        <v>4788</v>
      </c>
      <c r="B151" t="s">
        <v>4272</v>
      </c>
      <c r="C151" t="s">
        <v>4354</v>
      </c>
      <c r="D151" s="3">
        <f t="shared" si="15"/>
        <v>10.240000000000002</v>
      </c>
      <c r="E151" t="s">
        <v>941</v>
      </c>
      <c r="F151" t="s">
        <v>34</v>
      </c>
      <c r="G151" t="str">
        <f t="shared" si="16"/>
        <v/>
      </c>
      <c r="H151" t="s">
        <v>14</v>
      </c>
      <c r="I151" t="s">
        <v>4789</v>
      </c>
      <c r="J151" s="2">
        <f t="shared" si="17"/>
        <v>2000000</v>
      </c>
      <c r="K151" t="s">
        <v>128</v>
      </c>
      <c r="L151">
        <f t="shared" si="18"/>
        <v>0.17291666666666669</v>
      </c>
      <c r="M151" s="5">
        <v>0.17291666666666669</v>
      </c>
      <c r="N151" t="s">
        <v>18</v>
      </c>
      <c r="R151" s="3">
        <f t="shared" si="14"/>
        <v>4.1500000000000004</v>
      </c>
    </row>
    <row r="152" spans="1:18" hidden="1" x14ac:dyDescent="0.25">
      <c r="A152" t="s">
        <v>4527</v>
      </c>
      <c r="B152" t="s">
        <v>4272</v>
      </c>
      <c r="C152" t="s">
        <v>4354</v>
      </c>
      <c r="D152" s="3">
        <f t="shared" si="15"/>
        <v>9</v>
      </c>
      <c r="E152" t="s">
        <v>12</v>
      </c>
      <c r="F152" t="s">
        <v>34</v>
      </c>
      <c r="G152" t="str">
        <f t="shared" si="16"/>
        <v/>
      </c>
      <c r="H152" t="s">
        <v>14</v>
      </c>
      <c r="I152" t="s">
        <v>4528</v>
      </c>
      <c r="J152" s="2">
        <f t="shared" si="17"/>
        <v>1500000</v>
      </c>
      <c r="K152" t="s">
        <v>66</v>
      </c>
      <c r="L152">
        <f t="shared" si="18"/>
        <v>0.17222222222222225</v>
      </c>
      <c r="M152" s="5">
        <v>0.17222222222222225</v>
      </c>
      <c r="N152" t="s">
        <v>18</v>
      </c>
      <c r="P152" t="s">
        <v>2065</v>
      </c>
      <c r="R152" s="3">
        <f t="shared" si="14"/>
        <v>4.1333333333333337</v>
      </c>
    </row>
    <row r="153" spans="1:18" hidden="1" x14ac:dyDescent="0.25">
      <c r="A153" t="s">
        <v>4549</v>
      </c>
      <c r="B153" t="s">
        <v>4272</v>
      </c>
      <c r="C153" t="s">
        <v>4354</v>
      </c>
      <c r="D153" s="3">
        <f t="shared" si="15"/>
        <v>9</v>
      </c>
      <c r="E153" t="s">
        <v>12</v>
      </c>
      <c r="F153" t="s">
        <v>34</v>
      </c>
      <c r="G153" t="str">
        <f t="shared" si="16"/>
        <v/>
      </c>
      <c r="H153" t="s">
        <v>14</v>
      </c>
      <c r="I153" t="s">
        <v>4550</v>
      </c>
      <c r="J153" s="2">
        <f t="shared" si="17"/>
        <v>1200000</v>
      </c>
      <c r="K153" t="s">
        <v>36</v>
      </c>
      <c r="L153">
        <f t="shared" si="18"/>
        <v>0.20833333333333334</v>
      </c>
      <c r="M153" s="5">
        <v>0.20833333333333334</v>
      </c>
      <c r="N153" t="s">
        <v>18</v>
      </c>
      <c r="P153" t="s">
        <v>2166</v>
      </c>
      <c r="R153" s="3">
        <f t="shared" si="14"/>
        <v>5</v>
      </c>
    </row>
    <row r="154" spans="1:18" hidden="1" x14ac:dyDescent="0.25">
      <c r="A154" t="s">
        <v>2868</v>
      </c>
      <c r="B154" t="s">
        <v>3206</v>
      </c>
      <c r="C154" t="s">
        <v>2769</v>
      </c>
      <c r="D154" s="3">
        <f t="shared" si="15"/>
        <v>8.91</v>
      </c>
      <c r="E154" t="s">
        <v>2869</v>
      </c>
      <c r="F154" t="s">
        <v>34</v>
      </c>
      <c r="G154" t="str">
        <f t="shared" si="16"/>
        <v/>
      </c>
      <c r="H154" t="s">
        <v>14</v>
      </c>
      <c r="I154" t="s">
        <v>2870</v>
      </c>
      <c r="J154" s="2">
        <f t="shared" si="17"/>
        <v>1350000</v>
      </c>
      <c r="K154" t="s">
        <v>257</v>
      </c>
      <c r="L154">
        <f t="shared" si="18"/>
        <v>0.20833333333333334</v>
      </c>
      <c r="M154" s="5">
        <v>0.20833333333333334</v>
      </c>
      <c r="N154" t="s">
        <v>18</v>
      </c>
      <c r="R154" s="3">
        <f t="shared" si="14"/>
        <v>5</v>
      </c>
    </row>
    <row r="155" spans="1:18" hidden="1" x14ac:dyDescent="0.25">
      <c r="A155" t="s">
        <v>2060</v>
      </c>
      <c r="B155" t="s">
        <v>2596</v>
      </c>
      <c r="C155" t="s">
        <v>2064</v>
      </c>
      <c r="D155" s="3">
        <f t="shared" si="15"/>
        <v>7</v>
      </c>
      <c r="E155" t="s">
        <v>2061</v>
      </c>
      <c r="F155" t="s">
        <v>13</v>
      </c>
      <c r="G155">
        <f t="shared" si="16"/>
        <v>1425000</v>
      </c>
      <c r="H155" t="s">
        <v>909</v>
      </c>
      <c r="I155" t="s">
        <v>2062</v>
      </c>
      <c r="J155" s="2">
        <f t="shared" si="17"/>
        <v>1355000</v>
      </c>
      <c r="K155" t="s">
        <v>2063</v>
      </c>
      <c r="L155">
        <f t="shared" si="18"/>
        <v>0.17013888888888887</v>
      </c>
      <c r="M155" s="5">
        <v>0.17013888888888887</v>
      </c>
      <c r="N155" t="s">
        <v>37</v>
      </c>
      <c r="P155" t="s">
        <v>2065</v>
      </c>
      <c r="R155" s="3">
        <f t="shared" si="14"/>
        <v>4.083333333333333</v>
      </c>
    </row>
    <row r="156" spans="1:18" x14ac:dyDescent="0.25">
      <c r="A156" t="s">
        <v>4137</v>
      </c>
      <c r="B156" t="s">
        <v>3746</v>
      </c>
      <c r="C156" t="s">
        <v>3876</v>
      </c>
      <c r="D156" s="3">
        <f t="shared" si="15"/>
        <v>6.25</v>
      </c>
      <c r="E156" t="s">
        <v>74</v>
      </c>
      <c r="F156" t="s">
        <v>13</v>
      </c>
      <c r="G156" t="str">
        <f t="shared" si="16"/>
        <v/>
      </c>
      <c r="H156" t="s">
        <v>14</v>
      </c>
      <c r="I156" t="s">
        <v>4138</v>
      </c>
      <c r="J156" s="2">
        <f t="shared" si="17"/>
        <v>650000</v>
      </c>
      <c r="K156" t="s">
        <v>105</v>
      </c>
      <c r="L156">
        <f t="shared" si="18"/>
        <v>0</v>
      </c>
      <c r="N156" t="s">
        <v>43</v>
      </c>
      <c r="R156" s="3">
        <f t="shared" si="14"/>
        <v>0</v>
      </c>
    </row>
    <row r="157" spans="1:18" hidden="1" x14ac:dyDescent="0.25">
      <c r="A157" t="s">
        <v>5765</v>
      </c>
      <c r="B157" t="s">
        <v>5848</v>
      </c>
      <c r="C157" t="s">
        <v>5369</v>
      </c>
      <c r="D157" s="3">
        <f t="shared" si="15"/>
        <v>9</v>
      </c>
      <c r="E157" t="s">
        <v>12</v>
      </c>
      <c r="F157" t="s">
        <v>34</v>
      </c>
      <c r="G157">
        <f t="shared" si="16"/>
        <v>1225000</v>
      </c>
      <c r="H157" t="s">
        <v>661</v>
      </c>
      <c r="I157" t="s">
        <v>5766</v>
      </c>
      <c r="J157" s="2">
        <f t="shared" si="17"/>
        <v>1165000</v>
      </c>
      <c r="K157" t="s">
        <v>2949</v>
      </c>
      <c r="L157">
        <f t="shared" si="18"/>
        <v>0.20833333333333334</v>
      </c>
      <c r="M157" s="5">
        <v>0.20833333333333334</v>
      </c>
      <c r="N157" t="s">
        <v>37</v>
      </c>
      <c r="P157" t="s">
        <v>866</v>
      </c>
      <c r="R157" s="3">
        <f t="shared" si="14"/>
        <v>5</v>
      </c>
    </row>
    <row r="158" spans="1:18" x14ac:dyDescent="0.25">
      <c r="A158" t="s">
        <v>4637</v>
      </c>
      <c r="B158" t="s">
        <v>4272</v>
      </c>
      <c r="C158" t="s">
        <v>4281</v>
      </c>
      <c r="D158" s="3">
        <f t="shared" si="15"/>
        <v>9</v>
      </c>
      <c r="E158" t="s">
        <v>12</v>
      </c>
      <c r="F158" t="s">
        <v>13</v>
      </c>
      <c r="G158">
        <f t="shared" si="16"/>
        <v>705000</v>
      </c>
      <c r="H158" t="s">
        <v>4297</v>
      </c>
      <c r="I158" t="s">
        <v>4638</v>
      </c>
      <c r="J158" s="2">
        <f t="shared" si="17"/>
        <v>650600</v>
      </c>
      <c r="K158" t="s">
        <v>4299</v>
      </c>
      <c r="L158">
        <f t="shared" si="18"/>
        <v>0.16944444444444443</v>
      </c>
      <c r="M158" s="5">
        <v>0.16944444444444443</v>
      </c>
      <c r="N158" t="s">
        <v>37</v>
      </c>
      <c r="P158" t="s">
        <v>4300</v>
      </c>
      <c r="R158" s="3">
        <f t="shared" si="14"/>
        <v>4.0666666666666664</v>
      </c>
    </row>
    <row r="159" spans="1:18" hidden="1" x14ac:dyDescent="0.25">
      <c r="A159" t="s">
        <v>4763</v>
      </c>
      <c r="B159" t="s">
        <v>4272</v>
      </c>
      <c r="C159" t="s">
        <v>4354</v>
      </c>
      <c r="D159" s="3">
        <f t="shared" si="15"/>
        <v>6</v>
      </c>
      <c r="E159" t="s">
        <v>64</v>
      </c>
      <c r="F159" t="s">
        <v>13</v>
      </c>
      <c r="G159">
        <f t="shared" si="16"/>
        <v>475000</v>
      </c>
      <c r="H159" t="s">
        <v>4764</v>
      </c>
      <c r="I159" t="s">
        <v>4765</v>
      </c>
      <c r="J159" s="2">
        <f t="shared" si="17"/>
        <v>439000</v>
      </c>
      <c r="K159" t="s">
        <v>4766</v>
      </c>
      <c r="L159">
        <f t="shared" si="18"/>
        <v>0.20833333333333334</v>
      </c>
      <c r="M159" s="5">
        <v>0.20833333333333334</v>
      </c>
      <c r="N159" t="s">
        <v>37</v>
      </c>
      <c r="P159" t="s">
        <v>4369</v>
      </c>
      <c r="R159" s="3">
        <f t="shared" si="14"/>
        <v>5</v>
      </c>
    </row>
    <row r="160" spans="1:18" hidden="1" x14ac:dyDescent="0.25">
      <c r="A160" t="s">
        <v>2175</v>
      </c>
      <c r="B160" t="s">
        <v>2596</v>
      </c>
      <c r="C160" t="s">
        <v>2016</v>
      </c>
      <c r="D160" s="3">
        <f t="shared" si="15"/>
        <v>12.25</v>
      </c>
      <c r="E160" t="s">
        <v>187</v>
      </c>
      <c r="F160" t="s">
        <v>13</v>
      </c>
      <c r="G160">
        <f t="shared" si="16"/>
        <v>2000000</v>
      </c>
      <c r="H160" t="s">
        <v>128</v>
      </c>
      <c r="I160" t="s">
        <v>2176</v>
      </c>
      <c r="J160" s="2">
        <f t="shared" si="17"/>
        <v>1900000</v>
      </c>
      <c r="K160" t="s">
        <v>352</v>
      </c>
      <c r="L160">
        <f t="shared" si="18"/>
        <v>0.17222222222222225</v>
      </c>
      <c r="M160" s="5">
        <v>0.17222222222222225</v>
      </c>
      <c r="N160" t="s">
        <v>43</v>
      </c>
      <c r="P160" t="s">
        <v>669</v>
      </c>
      <c r="R160" s="3">
        <f t="shared" si="14"/>
        <v>4.1333333333333337</v>
      </c>
    </row>
    <row r="161" spans="1:18" hidden="1" x14ac:dyDescent="0.25">
      <c r="A161" t="s">
        <v>2014</v>
      </c>
      <c r="B161" t="s">
        <v>2596</v>
      </c>
      <c r="C161" t="s">
        <v>2016</v>
      </c>
      <c r="D161" s="3">
        <f t="shared" si="15"/>
        <v>9</v>
      </c>
      <c r="E161" t="s">
        <v>12</v>
      </c>
      <c r="F161" t="s">
        <v>13</v>
      </c>
      <c r="G161" t="str">
        <f t="shared" si="16"/>
        <v/>
      </c>
      <c r="H161" t="s">
        <v>14</v>
      </c>
      <c r="I161" t="s">
        <v>2015</v>
      </c>
      <c r="J161" s="2">
        <f t="shared" si="17"/>
        <v>1650000</v>
      </c>
      <c r="K161" t="s">
        <v>90</v>
      </c>
      <c r="L161">
        <f t="shared" si="18"/>
        <v>0.17222222222222225</v>
      </c>
      <c r="M161" s="5">
        <v>0.17222222222222225</v>
      </c>
      <c r="N161" t="s">
        <v>43</v>
      </c>
      <c r="P161" t="s">
        <v>1774</v>
      </c>
      <c r="R161" s="3">
        <f t="shared" si="14"/>
        <v>4.1333333333333337</v>
      </c>
    </row>
    <row r="162" spans="1:18" hidden="1" x14ac:dyDescent="0.25">
      <c r="A162" t="s">
        <v>2270</v>
      </c>
      <c r="B162" t="s">
        <v>2596</v>
      </c>
      <c r="C162" t="s">
        <v>2016</v>
      </c>
      <c r="D162" s="3">
        <f t="shared" si="15"/>
        <v>12.25</v>
      </c>
      <c r="E162" t="s">
        <v>187</v>
      </c>
      <c r="F162" t="s">
        <v>13</v>
      </c>
      <c r="G162">
        <f t="shared" si="16"/>
        <v>1250000</v>
      </c>
      <c r="H162" t="s">
        <v>202</v>
      </c>
      <c r="I162" t="s">
        <v>2271</v>
      </c>
      <c r="J162" s="2">
        <f t="shared" si="17"/>
        <v>1187500</v>
      </c>
      <c r="K162" t="s">
        <v>2272</v>
      </c>
      <c r="L162">
        <f t="shared" si="18"/>
        <v>0.17083333333333331</v>
      </c>
      <c r="M162" s="5">
        <v>0.17083333333333331</v>
      </c>
      <c r="N162" t="s">
        <v>43</v>
      </c>
      <c r="P162" t="s">
        <v>1774</v>
      </c>
      <c r="R162" s="3">
        <f t="shared" si="14"/>
        <v>4.0999999999999996</v>
      </c>
    </row>
    <row r="163" spans="1:18" hidden="1" x14ac:dyDescent="0.25">
      <c r="A163" t="s">
        <v>3116</v>
      </c>
      <c r="B163" t="s">
        <v>3206</v>
      </c>
      <c r="C163" t="s">
        <v>2682</v>
      </c>
      <c r="D163" s="3">
        <f t="shared" si="15"/>
        <v>8.5</v>
      </c>
      <c r="E163" t="s">
        <v>3117</v>
      </c>
      <c r="F163" t="s">
        <v>13</v>
      </c>
      <c r="G163">
        <f t="shared" si="16"/>
        <v>1525000</v>
      </c>
      <c r="H163" t="s">
        <v>27</v>
      </c>
      <c r="I163" t="s">
        <v>3118</v>
      </c>
      <c r="J163" s="2">
        <f t="shared" si="17"/>
        <v>1405000</v>
      </c>
      <c r="K163" t="s">
        <v>2039</v>
      </c>
      <c r="L163">
        <f t="shared" si="18"/>
        <v>0.17291666666666669</v>
      </c>
      <c r="M163" s="5">
        <v>0.17291666666666669</v>
      </c>
      <c r="N163" t="s">
        <v>43</v>
      </c>
      <c r="P163" t="s">
        <v>665</v>
      </c>
      <c r="R163" s="3">
        <f t="shared" si="14"/>
        <v>4.1500000000000004</v>
      </c>
    </row>
    <row r="164" spans="1:18" hidden="1" x14ac:dyDescent="0.25">
      <c r="A164" t="s">
        <v>2946</v>
      </c>
      <c r="B164" t="s">
        <v>3206</v>
      </c>
      <c r="C164" t="s">
        <v>2769</v>
      </c>
      <c r="D164" s="3">
        <f t="shared" si="15"/>
        <v>9.5699999999999985</v>
      </c>
      <c r="E164" t="s">
        <v>2947</v>
      </c>
      <c r="F164" t="s">
        <v>13</v>
      </c>
      <c r="G164">
        <f t="shared" si="16"/>
        <v>1225000</v>
      </c>
      <c r="H164" t="s">
        <v>661</v>
      </c>
      <c r="I164" t="s">
        <v>2948</v>
      </c>
      <c r="J164" s="2">
        <f t="shared" si="17"/>
        <v>1165000</v>
      </c>
      <c r="K164" t="s">
        <v>2949</v>
      </c>
      <c r="L164">
        <f t="shared" si="18"/>
        <v>0.17222222222222225</v>
      </c>
      <c r="M164" s="5">
        <v>0.17222222222222225</v>
      </c>
      <c r="N164" t="s">
        <v>43</v>
      </c>
      <c r="P164" t="s">
        <v>866</v>
      </c>
      <c r="R164" s="3">
        <f t="shared" si="14"/>
        <v>4.1333333333333337</v>
      </c>
    </row>
    <row r="165" spans="1:18" x14ac:dyDescent="0.25">
      <c r="A165" t="s">
        <v>4296</v>
      </c>
      <c r="B165" t="s">
        <v>4272</v>
      </c>
      <c r="C165" t="s">
        <v>4281</v>
      </c>
      <c r="D165" s="3">
        <f t="shared" si="15"/>
        <v>9</v>
      </c>
      <c r="E165" t="s">
        <v>12</v>
      </c>
      <c r="F165" t="s">
        <v>34</v>
      </c>
      <c r="G165">
        <f t="shared" si="16"/>
        <v>705000</v>
      </c>
      <c r="H165" t="s">
        <v>4297</v>
      </c>
      <c r="I165" t="s">
        <v>4298</v>
      </c>
      <c r="J165" s="2">
        <f t="shared" si="17"/>
        <v>650600</v>
      </c>
      <c r="K165" t="s">
        <v>4299</v>
      </c>
      <c r="L165">
        <f t="shared" si="18"/>
        <v>0.16944444444444443</v>
      </c>
      <c r="M165" s="5">
        <v>0.16944444444444443</v>
      </c>
      <c r="N165" t="s">
        <v>37</v>
      </c>
      <c r="P165" t="s">
        <v>4300</v>
      </c>
      <c r="R165" s="3">
        <f t="shared" si="14"/>
        <v>4.0666666666666664</v>
      </c>
    </row>
    <row r="166" spans="1:18" hidden="1" x14ac:dyDescent="0.25">
      <c r="A166" t="s">
        <v>4667</v>
      </c>
      <c r="B166" t="s">
        <v>4272</v>
      </c>
      <c r="C166" t="s">
        <v>4354</v>
      </c>
      <c r="D166" s="3">
        <f t="shared" si="15"/>
        <v>9.25</v>
      </c>
      <c r="E166" t="s">
        <v>1776</v>
      </c>
      <c r="F166" t="s">
        <v>13</v>
      </c>
      <c r="G166">
        <f t="shared" si="16"/>
        <v>925000</v>
      </c>
      <c r="H166" t="s">
        <v>649</v>
      </c>
      <c r="I166" t="s">
        <v>4668</v>
      </c>
      <c r="J166" s="2">
        <f t="shared" si="17"/>
        <v>853000</v>
      </c>
      <c r="K166" t="s">
        <v>4664</v>
      </c>
      <c r="L166">
        <f t="shared" si="18"/>
        <v>0</v>
      </c>
      <c r="N166" t="s">
        <v>18</v>
      </c>
      <c r="P166" t="s">
        <v>2126</v>
      </c>
      <c r="R166" s="3">
        <f t="shared" si="14"/>
        <v>0</v>
      </c>
    </row>
    <row r="167" spans="1:18" hidden="1" x14ac:dyDescent="0.25">
      <c r="A167" t="s">
        <v>4436</v>
      </c>
      <c r="B167" t="s">
        <v>4272</v>
      </c>
      <c r="C167" t="s">
        <v>4281</v>
      </c>
      <c r="D167" s="3">
        <f t="shared" si="15"/>
        <v>6.6000000000000005</v>
      </c>
      <c r="E167" t="s">
        <v>1096</v>
      </c>
      <c r="F167" t="s">
        <v>34</v>
      </c>
      <c r="G167" t="str">
        <f t="shared" si="16"/>
        <v/>
      </c>
      <c r="H167" t="s">
        <v>14</v>
      </c>
      <c r="I167" t="s">
        <v>4437</v>
      </c>
      <c r="J167" s="2">
        <f t="shared" si="17"/>
        <v>725000</v>
      </c>
      <c r="K167" t="s">
        <v>1254</v>
      </c>
      <c r="L167">
        <f t="shared" si="18"/>
        <v>0.17291666666666669</v>
      </c>
      <c r="M167" s="5">
        <v>0.17291666666666669</v>
      </c>
      <c r="N167" t="s">
        <v>43</v>
      </c>
      <c r="P167" t="s">
        <v>4438</v>
      </c>
      <c r="R167" s="3">
        <f t="shared" si="14"/>
        <v>4.1500000000000004</v>
      </c>
    </row>
    <row r="168" spans="1:18" hidden="1" x14ac:dyDescent="0.25">
      <c r="A168" t="s">
        <v>4449</v>
      </c>
      <c r="B168" t="s">
        <v>4272</v>
      </c>
      <c r="C168" t="s">
        <v>4281</v>
      </c>
      <c r="D168" s="3">
        <f t="shared" si="15"/>
        <v>6.6000000000000005</v>
      </c>
      <c r="E168" t="s">
        <v>1096</v>
      </c>
      <c r="F168" t="s">
        <v>34</v>
      </c>
      <c r="G168" t="str">
        <f t="shared" si="16"/>
        <v/>
      </c>
      <c r="H168" t="s">
        <v>14</v>
      </c>
      <c r="I168" t="s">
        <v>4437</v>
      </c>
      <c r="J168" s="2">
        <f t="shared" si="17"/>
        <v>875000</v>
      </c>
      <c r="K168" t="s">
        <v>710</v>
      </c>
      <c r="L168">
        <f t="shared" si="18"/>
        <v>0.20833333333333334</v>
      </c>
      <c r="M168" s="5">
        <v>0.20833333333333334</v>
      </c>
      <c r="N168" t="s">
        <v>43</v>
      </c>
      <c r="P168" t="s">
        <v>4438</v>
      </c>
      <c r="R168" s="3">
        <f t="shared" si="14"/>
        <v>5</v>
      </c>
    </row>
    <row r="169" spans="1:18" hidden="1" x14ac:dyDescent="0.25">
      <c r="A169" t="s">
        <v>4723</v>
      </c>
      <c r="B169" t="s">
        <v>4272</v>
      </c>
      <c r="C169" t="s">
        <v>4281</v>
      </c>
      <c r="D169" s="3">
        <f t="shared" si="15"/>
        <v>10.319999999999999</v>
      </c>
      <c r="E169" t="s">
        <v>4724</v>
      </c>
      <c r="F169" t="s">
        <v>34</v>
      </c>
      <c r="G169">
        <f t="shared" si="16"/>
        <v>975000</v>
      </c>
      <c r="H169" t="s">
        <v>544</v>
      </c>
      <c r="I169" t="s">
        <v>4725</v>
      </c>
      <c r="J169" s="2">
        <f t="shared" si="17"/>
        <v>899000</v>
      </c>
      <c r="K169" t="s">
        <v>3719</v>
      </c>
      <c r="L169">
        <f t="shared" si="18"/>
        <v>0.17291666666666669</v>
      </c>
      <c r="M169" s="5">
        <v>0.17291666666666669</v>
      </c>
      <c r="N169" t="s">
        <v>43</v>
      </c>
      <c r="P169" t="s">
        <v>4438</v>
      </c>
      <c r="R169" s="3">
        <f t="shared" si="14"/>
        <v>4.1500000000000004</v>
      </c>
    </row>
    <row r="170" spans="1:18" x14ac:dyDescent="0.25">
      <c r="A170" t="s">
        <v>4578</v>
      </c>
      <c r="B170" t="s">
        <v>4272</v>
      </c>
      <c r="C170" t="s">
        <v>4281</v>
      </c>
      <c r="D170" s="3">
        <f t="shared" si="15"/>
        <v>6</v>
      </c>
      <c r="E170" t="s">
        <v>285</v>
      </c>
      <c r="F170" t="s">
        <v>13</v>
      </c>
      <c r="G170">
        <f t="shared" si="16"/>
        <v>725000</v>
      </c>
      <c r="H170" t="s">
        <v>1254</v>
      </c>
      <c r="I170" t="s">
        <v>4579</v>
      </c>
      <c r="J170" s="2">
        <f t="shared" si="17"/>
        <v>669000</v>
      </c>
      <c r="K170" t="s">
        <v>4580</v>
      </c>
      <c r="L170">
        <f t="shared" si="18"/>
        <v>0.20833333333333334</v>
      </c>
      <c r="M170" s="5">
        <v>0.20833333333333334</v>
      </c>
      <c r="N170" t="s">
        <v>37</v>
      </c>
      <c r="P170" t="s">
        <v>4519</v>
      </c>
      <c r="R170" s="3">
        <f t="shared" si="14"/>
        <v>5</v>
      </c>
    </row>
    <row r="171" spans="1:18" hidden="1" x14ac:dyDescent="0.25">
      <c r="A171" t="s">
        <v>2084</v>
      </c>
      <c r="B171" t="s">
        <v>2596</v>
      </c>
      <c r="C171" t="s">
        <v>2013</v>
      </c>
      <c r="D171" s="3">
        <f t="shared" si="15"/>
        <v>14</v>
      </c>
      <c r="E171" t="s">
        <v>238</v>
      </c>
      <c r="F171" t="s">
        <v>34</v>
      </c>
      <c r="G171">
        <f t="shared" si="16"/>
        <v>1275000</v>
      </c>
      <c r="H171" t="s">
        <v>698</v>
      </c>
      <c r="I171" t="s">
        <v>2085</v>
      </c>
      <c r="J171" s="2">
        <f t="shared" si="17"/>
        <v>1212500</v>
      </c>
      <c r="K171" t="s">
        <v>1935</v>
      </c>
      <c r="L171">
        <f t="shared" si="18"/>
        <v>0.17013888888888887</v>
      </c>
      <c r="M171" s="5">
        <v>0.17013888888888887</v>
      </c>
      <c r="N171" t="s">
        <v>43</v>
      </c>
      <c r="P171" t="s">
        <v>1774</v>
      </c>
      <c r="R171" s="3">
        <f t="shared" si="14"/>
        <v>4.083333333333333</v>
      </c>
    </row>
    <row r="172" spans="1:18" x14ac:dyDescent="0.25">
      <c r="A172" t="s">
        <v>3489</v>
      </c>
      <c r="B172" t="s">
        <v>3233</v>
      </c>
      <c r="C172" t="s">
        <v>3261</v>
      </c>
      <c r="D172" s="3">
        <f t="shared" si="15"/>
        <v>9</v>
      </c>
      <c r="E172" t="s">
        <v>12</v>
      </c>
      <c r="F172" t="s">
        <v>34</v>
      </c>
      <c r="G172" t="str">
        <f t="shared" si="16"/>
        <v/>
      </c>
      <c r="H172" t="s">
        <v>14</v>
      </c>
      <c r="I172" t="s">
        <v>3490</v>
      </c>
      <c r="J172" s="2">
        <f t="shared" si="17"/>
        <v>700000</v>
      </c>
      <c r="K172" t="s">
        <v>157</v>
      </c>
      <c r="L172">
        <f t="shared" si="18"/>
        <v>0.1673611111111111</v>
      </c>
      <c r="M172" s="5">
        <v>0.1673611111111111</v>
      </c>
      <c r="N172" t="s">
        <v>37</v>
      </c>
      <c r="R172" s="3">
        <f t="shared" si="14"/>
        <v>4.0166666666666666</v>
      </c>
    </row>
    <row r="173" spans="1:18" hidden="1" x14ac:dyDescent="0.25">
      <c r="A173" t="s">
        <v>5725</v>
      </c>
      <c r="B173" t="s">
        <v>5848</v>
      </c>
      <c r="C173" t="s">
        <v>5409</v>
      </c>
      <c r="D173" s="3">
        <f t="shared" si="15"/>
        <v>7.2900000000000009</v>
      </c>
      <c r="E173" t="s">
        <v>1002</v>
      </c>
      <c r="F173" t="s">
        <v>13</v>
      </c>
      <c r="G173">
        <f t="shared" si="16"/>
        <v>1225000</v>
      </c>
      <c r="H173" t="s">
        <v>661</v>
      </c>
      <c r="I173" t="s">
        <v>5726</v>
      </c>
      <c r="J173" s="2">
        <f t="shared" si="17"/>
        <v>1105000</v>
      </c>
      <c r="K173" t="s">
        <v>663</v>
      </c>
      <c r="L173">
        <f t="shared" si="18"/>
        <v>0</v>
      </c>
      <c r="N173" t="s">
        <v>43</v>
      </c>
      <c r="P173" t="s">
        <v>665</v>
      </c>
      <c r="R173" s="3">
        <f t="shared" si="14"/>
        <v>0</v>
      </c>
    </row>
    <row r="174" spans="1:18" hidden="1" x14ac:dyDescent="0.25">
      <c r="A174" t="s">
        <v>5695</v>
      </c>
      <c r="B174" t="s">
        <v>5848</v>
      </c>
      <c r="C174" t="s">
        <v>5409</v>
      </c>
      <c r="D174" s="3">
        <f t="shared" si="15"/>
        <v>7.2900000000000009</v>
      </c>
      <c r="E174" t="s">
        <v>1002</v>
      </c>
      <c r="F174" t="s">
        <v>13</v>
      </c>
      <c r="G174">
        <f t="shared" si="16"/>
        <v>925000</v>
      </c>
      <c r="H174" t="s">
        <v>649</v>
      </c>
      <c r="I174" t="s">
        <v>5696</v>
      </c>
      <c r="J174" s="2">
        <f t="shared" si="17"/>
        <v>835000</v>
      </c>
      <c r="K174" t="s">
        <v>651</v>
      </c>
      <c r="L174">
        <f t="shared" si="18"/>
        <v>0.20833333333333334</v>
      </c>
      <c r="M174" s="5">
        <v>0.20833333333333334</v>
      </c>
      <c r="N174" t="s">
        <v>43</v>
      </c>
      <c r="P174" t="s">
        <v>199</v>
      </c>
      <c r="R174" s="3">
        <f t="shared" si="14"/>
        <v>5</v>
      </c>
    </row>
    <row r="175" spans="1:18" hidden="1" x14ac:dyDescent="0.25">
      <c r="A175" t="s">
        <v>2863</v>
      </c>
      <c r="B175" t="s">
        <v>3206</v>
      </c>
      <c r="C175" t="s">
        <v>2671</v>
      </c>
      <c r="D175" s="3">
        <f t="shared" si="15"/>
        <v>4.4000000000000004</v>
      </c>
      <c r="E175" t="s">
        <v>2864</v>
      </c>
      <c r="F175" t="s">
        <v>34</v>
      </c>
      <c r="G175" t="str">
        <f t="shared" si="16"/>
        <v/>
      </c>
      <c r="H175" t="s">
        <v>14</v>
      </c>
      <c r="I175" t="s">
        <v>2865</v>
      </c>
      <c r="J175" s="2">
        <f t="shared" si="17"/>
        <v>725000</v>
      </c>
      <c r="K175" t="s">
        <v>1254</v>
      </c>
      <c r="L175">
        <f t="shared" si="18"/>
        <v>0.17291666666666669</v>
      </c>
      <c r="M175" s="5">
        <v>0.17291666666666669</v>
      </c>
      <c r="N175" t="s">
        <v>37</v>
      </c>
      <c r="P175" t="s">
        <v>719</v>
      </c>
      <c r="R175" s="3">
        <f t="shared" si="14"/>
        <v>4.1500000000000004</v>
      </c>
    </row>
    <row r="176" spans="1:18" hidden="1" x14ac:dyDescent="0.25">
      <c r="A176" t="s">
        <v>4611</v>
      </c>
      <c r="B176" t="s">
        <v>4272</v>
      </c>
      <c r="C176" t="s">
        <v>4311</v>
      </c>
      <c r="D176" s="3">
        <f t="shared" si="15"/>
        <v>25</v>
      </c>
      <c r="E176" t="s">
        <v>481</v>
      </c>
      <c r="F176" t="s">
        <v>13</v>
      </c>
      <c r="G176">
        <f t="shared" si="16"/>
        <v>2175000</v>
      </c>
      <c r="H176" t="s">
        <v>1386</v>
      </c>
      <c r="I176" t="s">
        <v>4612</v>
      </c>
      <c r="J176" s="2">
        <f t="shared" si="17"/>
        <v>2003000</v>
      </c>
      <c r="K176" t="s">
        <v>4613</v>
      </c>
      <c r="L176">
        <f t="shared" si="18"/>
        <v>0.17222222222222225</v>
      </c>
      <c r="M176" s="5">
        <v>0.17222222222222225</v>
      </c>
      <c r="N176" t="s">
        <v>43</v>
      </c>
      <c r="P176" t="s">
        <v>4614</v>
      </c>
      <c r="R176" s="3">
        <f t="shared" si="14"/>
        <v>4.1333333333333337</v>
      </c>
    </row>
    <row r="177" spans="1:18" hidden="1" x14ac:dyDescent="0.25">
      <c r="A177" t="s">
        <v>4683</v>
      </c>
      <c r="B177" t="s">
        <v>4272</v>
      </c>
      <c r="C177" t="s">
        <v>4311</v>
      </c>
      <c r="D177" s="3">
        <f t="shared" si="15"/>
        <v>12</v>
      </c>
      <c r="E177" t="s">
        <v>347</v>
      </c>
      <c r="F177" t="s">
        <v>13</v>
      </c>
      <c r="G177">
        <f t="shared" si="16"/>
        <v>1325000</v>
      </c>
      <c r="H177" t="s">
        <v>683</v>
      </c>
      <c r="I177" t="s">
        <v>4684</v>
      </c>
      <c r="J177" s="2">
        <f t="shared" si="17"/>
        <v>1221000</v>
      </c>
      <c r="K177" t="s">
        <v>3236</v>
      </c>
      <c r="L177">
        <f t="shared" si="18"/>
        <v>0.20833333333333334</v>
      </c>
      <c r="M177" s="5">
        <v>0.20833333333333334</v>
      </c>
      <c r="N177" t="s">
        <v>43</v>
      </c>
      <c r="P177" t="s">
        <v>2095</v>
      </c>
      <c r="R177" s="3">
        <f t="shared" si="14"/>
        <v>5</v>
      </c>
    </row>
    <row r="178" spans="1:18" hidden="1" x14ac:dyDescent="0.25">
      <c r="A178" t="s">
        <v>4309</v>
      </c>
      <c r="B178" t="s">
        <v>4272</v>
      </c>
      <c r="C178" t="s">
        <v>4311</v>
      </c>
      <c r="D178" s="3">
        <f t="shared" si="15"/>
        <v>8.64</v>
      </c>
      <c r="E178" t="s">
        <v>983</v>
      </c>
      <c r="F178" t="s">
        <v>13</v>
      </c>
      <c r="G178">
        <f t="shared" si="16"/>
        <v>1225000</v>
      </c>
      <c r="H178" t="s">
        <v>661</v>
      </c>
      <c r="I178" t="s">
        <v>4310</v>
      </c>
      <c r="J178" s="2">
        <f t="shared" si="17"/>
        <v>1129000</v>
      </c>
      <c r="K178" t="s">
        <v>1680</v>
      </c>
      <c r="L178">
        <f t="shared" si="18"/>
        <v>0.20833333333333334</v>
      </c>
      <c r="M178" s="5">
        <v>0.20833333333333334</v>
      </c>
      <c r="N178" t="s">
        <v>43</v>
      </c>
      <c r="P178" t="s">
        <v>1581</v>
      </c>
      <c r="R178" s="3">
        <f t="shared" si="14"/>
        <v>5</v>
      </c>
    </row>
    <row r="179" spans="1:18" hidden="1" x14ac:dyDescent="0.25">
      <c r="A179" t="s">
        <v>4687</v>
      </c>
      <c r="B179" t="s">
        <v>4272</v>
      </c>
      <c r="C179" t="s">
        <v>4311</v>
      </c>
      <c r="D179" s="3">
        <f t="shared" si="15"/>
        <v>7.2900000000000009</v>
      </c>
      <c r="E179" t="s">
        <v>1002</v>
      </c>
      <c r="F179" t="s">
        <v>13</v>
      </c>
      <c r="G179">
        <f t="shared" si="16"/>
        <v>1025000</v>
      </c>
      <c r="H179" t="s">
        <v>914</v>
      </c>
      <c r="I179" t="s">
        <v>4688</v>
      </c>
      <c r="J179" s="2">
        <f t="shared" si="17"/>
        <v>945000</v>
      </c>
      <c r="K179" t="s">
        <v>1485</v>
      </c>
      <c r="L179">
        <f t="shared" si="18"/>
        <v>0</v>
      </c>
      <c r="N179" t="s">
        <v>43</v>
      </c>
      <c r="P179" t="s">
        <v>719</v>
      </c>
      <c r="R179" s="3">
        <f t="shared" si="14"/>
        <v>0</v>
      </c>
    </row>
    <row r="180" spans="1:18" hidden="1" x14ac:dyDescent="0.25">
      <c r="A180" t="s">
        <v>2703</v>
      </c>
      <c r="B180" t="s">
        <v>3206</v>
      </c>
      <c r="C180" t="s">
        <v>2604</v>
      </c>
      <c r="D180" s="3">
        <f t="shared" si="15"/>
        <v>7.5</v>
      </c>
      <c r="E180" t="s">
        <v>614</v>
      </c>
      <c r="F180" t="s">
        <v>13</v>
      </c>
      <c r="G180">
        <f t="shared" si="16"/>
        <v>1075000</v>
      </c>
      <c r="H180" t="s">
        <v>838</v>
      </c>
      <c r="I180" t="s">
        <v>2704</v>
      </c>
      <c r="J180" s="2">
        <f t="shared" si="17"/>
        <v>1022500</v>
      </c>
      <c r="K180" t="s">
        <v>2705</v>
      </c>
      <c r="L180">
        <f t="shared" si="18"/>
        <v>0.16944444444444443</v>
      </c>
      <c r="M180" s="5">
        <v>0.16944444444444443</v>
      </c>
      <c r="N180" t="s">
        <v>43</v>
      </c>
      <c r="P180" t="s">
        <v>2706</v>
      </c>
      <c r="R180" s="3">
        <f t="shared" si="14"/>
        <v>4.0666666666666664</v>
      </c>
    </row>
    <row r="181" spans="1:18" hidden="1" x14ac:dyDescent="0.25">
      <c r="A181" t="s">
        <v>2767</v>
      </c>
      <c r="B181" t="s">
        <v>3206</v>
      </c>
      <c r="C181" t="s">
        <v>2769</v>
      </c>
      <c r="D181" s="3">
        <f t="shared" si="15"/>
        <v>8.75</v>
      </c>
      <c r="E181" t="s">
        <v>1404</v>
      </c>
      <c r="F181" t="s">
        <v>34</v>
      </c>
      <c r="G181" t="str">
        <f t="shared" si="16"/>
        <v/>
      </c>
      <c r="H181" t="s">
        <v>14</v>
      </c>
      <c r="I181" t="s">
        <v>2768</v>
      </c>
      <c r="J181" s="2">
        <f t="shared" si="17"/>
        <v>900000</v>
      </c>
      <c r="K181" t="s">
        <v>101</v>
      </c>
      <c r="L181">
        <f t="shared" si="18"/>
        <v>0.17083333333333331</v>
      </c>
      <c r="M181" s="5">
        <v>0.17083333333333331</v>
      </c>
      <c r="N181" t="s">
        <v>18</v>
      </c>
      <c r="P181" t="s">
        <v>2126</v>
      </c>
      <c r="R181" s="3">
        <f t="shared" si="14"/>
        <v>4.0999999999999996</v>
      </c>
    </row>
    <row r="182" spans="1:18" hidden="1" x14ac:dyDescent="0.25">
      <c r="A182" t="s">
        <v>4517</v>
      </c>
      <c r="B182" t="s">
        <v>4272</v>
      </c>
      <c r="C182" t="s">
        <v>4281</v>
      </c>
      <c r="D182" s="3">
        <f t="shared" si="15"/>
        <v>9</v>
      </c>
      <c r="E182" t="s">
        <v>12</v>
      </c>
      <c r="F182" t="s">
        <v>13</v>
      </c>
      <c r="G182" t="str">
        <f t="shared" si="16"/>
        <v/>
      </c>
      <c r="H182" t="s">
        <v>14</v>
      </c>
      <c r="I182" t="s">
        <v>4518</v>
      </c>
      <c r="J182" s="2">
        <f t="shared" si="17"/>
        <v>1025000</v>
      </c>
      <c r="K182" t="s">
        <v>914</v>
      </c>
      <c r="L182">
        <f t="shared" si="18"/>
        <v>0.20833333333333334</v>
      </c>
      <c r="M182" s="5">
        <v>0.20833333333333334</v>
      </c>
      <c r="N182" t="s">
        <v>37</v>
      </c>
      <c r="P182" t="s">
        <v>4519</v>
      </c>
      <c r="R182" s="3">
        <f t="shared" si="14"/>
        <v>5</v>
      </c>
    </row>
    <row r="183" spans="1:18" x14ac:dyDescent="0.25">
      <c r="A183" t="s">
        <v>4718</v>
      </c>
      <c r="B183" t="s">
        <v>4272</v>
      </c>
      <c r="C183" t="s">
        <v>4281</v>
      </c>
      <c r="D183" s="3">
        <f t="shared" si="15"/>
        <v>7.0200000000000005</v>
      </c>
      <c r="E183" t="s">
        <v>4719</v>
      </c>
      <c r="F183" t="s">
        <v>13</v>
      </c>
      <c r="G183">
        <f t="shared" si="16"/>
        <v>775000</v>
      </c>
      <c r="H183" t="s">
        <v>440</v>
      </c>
      <c r="I183" t="s">
        <v>4720</v>
      </c>
      <c r="J183" s="2">
        <f t="shared" si="17"/>
        <v>700000</v>
      </c>
      <c r="K183" t="s">
        <v>157</v>
      </c>
      <c r="L183">
        <f t="shared" si="18"/>
        <v>0.17222222222222225</v>
      </c>
      <c r="M183" s="5">
        <v>0.17222222222222225</v>
      </c>
      <c r="N183" t="s">
        <v>18</v>
      </c>
      <c r="P183" t="s">
        <v>31</v>
      </c>
      <c r="R183" s="3">
        <f t="shared" si="14"/>
        <v>4.1333333333333337</v>
      </c>
    </row>
    <row r="184" spans="1:18" hidden="1" x14ac:dyDescent="0.25">
      <c r="A184" t="s">
        <v>2082</v>
      </c>
      <c r="B184" t="s">
        <v>2596</v>
      </c>
      <c r="C184" t="s">
        <v>2036</v>
      </c>
      <c r="D184" s="3">
        <f t="shared" si="15"/>
        <v>8.9599999999999991</v>
      </c>
      <c r="E184" t="s">
        <v>785</v>
      </c>
      <c r="F184" t="s">
        <v>34</v>
      </c>
      <c r="G184" t="str">
        <f t="shared" si="16"/>
        <v/>
      </c>
      <c r="H184" t="s">
        <v>14</v>
      </c>
      <c r="I184" t="s">
        <v>2083</v>
      </c>
      <c r="J184" s="2">
        <f t="shared" si="17"/>
        <v>1475000</v>
      </c>
      <c r="K184" t="s">
        <v>182</v>
      </c>
      <c r="L184">
        <f t="shared" si="18"/>
        <v>0.17083333333333331</v>
      </c>
      <c r="M184" s="5">
        <v>0.17083333333333331</v>
      </c>
      <c r="N184" t="s">
        <v>18</v>
      </c>
      <c r="P184" t="s">
        <v>713</v>
      </c>
      <c r="R184" s="3">
        <f t="shared" si="14"/>
        <v>4.0999999999999996</v>
      </c>
    </row>
    <row r="185" spans="1:18" hidden="1" x14ac:dyDescent="0.25">
      <c r="A185" t="s">
        <v>2147</v>
      </c>
      <c r="B185" t="s">
        <v>2596</v>
      </c>
      <c r="C185" t="s">
        <v>2036</v>
      </c>
      <c r="D185" s="3" t="e">
        <f t="shared" si="15"/>
        <v>#VALUE!</v>
      </c>
      <c r="E185" t="s">
        <v>14</v>
      </c>
      <c r="F185" t="s">
        <v>14</v>
      </c>
      <c r="G185">
        <f t="shared" si="16"/>
        <v>1725000</v>
      </c>
      <c r="H185" t="s">
        <v>897</v>
      </c>
      <c r="I185" t="s">
        <v>110</v>
      </c>
      <c r="J185" s="2">
        <f t="shared" si="17"/>
        <v>1640000</v>
      </c>
      <c r="K185" t="s">
        <v>1735</v>
      </c>
      <c r="L185">
        <f t="shared" si="18"/>
        <v>0.17222222222222225</v>
      </c>
      <c r="M185" s="5">
        <v>0.17222222222222225</v>
      </c>
      <c r="N185" t="s">
        <v>18</v>
      </c>
      <c r="P185" t="s">
        <v>713</v>
      </c>
      <c r="R185" s="3">
        <f t="shared" si="14"/>
        <v>4.1333333333333337</v>
      </c>
    </row>
    <row r="186" spans="1:18" hidden="1" x14ac:dyDescent="0.25">
      <c r="A186" t="s">
        <v>2425</v>
      </c>
      <c r="B186" t="s">
        <v>2596</v>
      </c>
      <c r="C186" t="s">
        <v>2036</v>
      </c>
      <c r="D186" s="3">
        <f t="shared" si="15"/>
        <v>13.5</v>
      </c>
      <c r="E186" t="s">
        <v>446</v>
      </c>
      <c r="F186" t="s">
        <v>13</v>
      </c>
      <c r="G186">
        <f t="shared" si="16"/>
        <v>2025000</v>
      </c>
      <c r="H186" t="s">
        <v>1065</v>
      </c>
      <c r="I186" t="s">
        <v>2426</v>
      </c>
      <c r="J186" s="2">
        <f t="shared" si="17"/>
        <v>1865000</v>
      </c>
      <c r="K186" t="s">
        <v>1349</v>
      </c>
      <c r="L186">
        <f t="shared" si="18"/>
        <v>0.17222222222222225</v>
      </c>
      <c r="M186" s="5">
        <v>0.17222222222222225</v>
      </c>
      <c r="N186" t="s">
        <v>18</v>
      </c>
      <c r="P186" t="s">
        <v>673</v>
      </c>
      <c r="R186" s="3">
        <f t="shared" si="14"/>
        <v>4.1333333333333337</v>
      </c>
    </row>
    <row r="187" spans="1:18" x14ac:dyDescent="0.25">
      <c r="A187" t="s">
        <v>1194</v>
      </c>
      <c r="B187" t="s">
        <v>640</v>
      </c>
      <c r="C187" t="s">
        <v>643</v>
      </c>
      <c r="D187" s="3">
        <f t="shared" si="15"/>
        <v>12</v>
      </c>
      <c r="E187" t="s">
        <v>33</v>
      </c>
      <c r="F187" t="s">
        <v>13</v>
      </c>
      <c r="G187" t="str">
        <f t="shared" si="16"/>
        <v/>
      </c>
      <c r="H187" t="s">
        <v>14</v>
      </c>
      <c r="I187" t="s">
        <v>1195</v>
      </c>
      <c r="J187" s="2">
        <f t="shared" si="17"/>
        <v>700000</v>
      </c>
      <c r="K187" t="s">
        <v>157</v>
      </c>
      <c r="L187">
        <f t="shared" si="18"/>
        <v>0.17291666666666669</v>
      </c>
      <c r="M187" s="5">
        <v>0.17291666666666669</v>
      </c>
      <c r="N187" t="s">
        <v>18</v>
      </c>
      <c r="P187" t="s">
        <v>719</v>
      </c>
      <c r="R187" s="3">
        <f t="shared" si="14"/>
        <v>4.1500000000000004</v>
      </c>
    </row>
    <row r="188" spans="1:18" hidden="1" x14ac:dyDescent="0.25">
      <c r="A188" t="s">
        <v>1089</v>
      </c>
      <c r="B188" t="s">
        <v>640</v>
      </c>
      <c r="C188" t="s">
        <v>643</v>
      </c>
      <c r="D188" s="3">
        <f t="shared" si="15"/>
        <v>7.7000000000000011</v>
      </c>
      <c r="E188" t="s">
        <v>1090</v>
      </c>
      <c r="F188" t="s">
        <v>13</v>
      </c>
      <c r="G188">
        <f t="shared" si="16"/>
        <v>1000000</v>
      </c>
      <c r="H188" t="s">
        <v>52</v>
      </c>
      <c r="I188" t="s">
        <v>1091</v>
      </c>
      <c r="J188" s="2">
        <f t="shared" si="17"/>
        <v>920000</v>
      </c>
      <c r="K188" t="s">
        <v>1092</v>
      </c>
      <c r="L188">
        <f t="shared" si="18"/>
        <v>0.17291666666666669</v>
      </c>
      <c r="M188" s="5">
        <v>0.17291666666666669</v>
      </c>
      <c r="N188" t="s">
        <v>18</v>
      </c>
      <c r="P188" t="s">
        <v>719</v>
      </c>
      <c r="R188" s="3">
        <f t="shared" si="14"/>
        <v>4.1500000000000004</v>
      </c>
    </row>
    <row r="189" spans="1:18" x14ac:dyDescent="0.25">
      <c r="A189" t="s">
        <v>4057</v>
      </c>
      <c r="B189" t="s">
        <v>3746</v>
      </c>
      <c r="C189" t="s">
        <v>3847</v>
      </c>
      <c r="D189" s="3">
        <f t="shared" si="15"/>
        <v>9</v>
      </c>
      <c r="E189" t="s">
        <v>12</v>
      </c>
      <c r="F189" t="s">
        <v>34</v>
      </c>
      <c r="G189" t="str">
        <f t="shared" si="16"/>
        <v/>
      </c>
      <c r="H189" t="s">
        <v>14</v>
      </c>
      <c r="I189" t="s">
        <v>4058</v>
      </c>
      <c r="J189" s="2">
        <f t="shared" si="17"/>
        <v>700000</v>
      </c>
      <c r="K189" t="s">
        <v>157</v>
      </c>
      <c r="L189">
        <f t="shared" si="18"/>
        <v>0</v>
      </c>
      <c r="N189" t="s">
        <v>43</v>
      </c>
      <c r="R189" s="3">
        <f t="shared" si="14"/>
        <v>0</v>
      </c>
    </row>
    <row r="190" spans="1:18" hidden="1" x14ac:dyDescent="0.25">
      <c r="A190" t="s">
        <v>3834</v>
      </c>
      <c r="B190" t="s">
        <v>3746</v>
      </c>
      <c r="C190" t="s">
        <v>3791</v>
      </c>
      <c r="D190" s="3">
        <f t="shared" si="15"/>
        <v>6</v>
      </c>
      <c r="E190" t="s">
        <v>64</v>
      </c>
      <c r="F190" t="s">
        <v>13</v>
      </c>
      <c r="G190">
        <f t="shared" si="16"/>
        <v>875000</v>
      </c>
      <c r="H190" t="s">
        <v>710</v>
      </c>
      <c r="I190" t="s">
        <v>3835</v>
      </c>
      <c r="J190" s="2">
        <f t="shared" si="17"/>
        <v>807000</v>
      </c>
      <c r="K190" t="s">
        <v>3836</v>
      </c>
      <c r="L190">
        <f t="shared" si="18"/>
        <v>0.17083333333333331</v>
      </c>
      <c r="M190" s="5">
        <v>0.17083333333333331</v>
      </c>
      <c r="N190" t="s">
        <v>43</v>
      </c>
      <c r="P190" t="s">
        <v>745</v>
      </c>
      <c r="R190" s="3">
        <f t="shared" si="14"/>
        <v>4.0999999999999996</v>
      </c>
    </row>
    <row r="191" spans="1:18" hidden="1" x14ac:dyDescent="0.25">
      <c r="A191" t="s">
        <v>3788</v>
      </c>
      <c r="B191" t="s">
        <v>3746</v>
      </c>
      <c r="C191" t="s">
        <v>3791</v>
      </c>
      <c r="D191" s="3">
        <f t="shared" si="15"/>
        <v>5.75</v>
      </c>
      <c r="E191" t="s">
        <v>3789</v>
      </c>
      <c r="F191" t="s">
        <v>13</v>
      </c>
      <c r="G191">
        <f t="shared" si="16"/>
        <v>1325000</v>
      </c>
      <c r="H191" t="s">
        <v>683</v>
      </c>
      <c r="I191" t="s">
        <v>3790</v>
      </c>
      <c r="J191" s="2">
        <f t="shared" si="17"/>
        <v>1221000</v>
      </c>
      <c r="K191" t="s">
        <v>3236</v>
      </c>
      <c r="L191">
        <f t="shared" si="18"/>
        <v>0.17222222222222225</v>
      </c>
      <c r="M191" s="5">
        <v>0.17222222222222225</v>
      </c>
      <c r="N191" t="s">
        <v>43</v>
      </c>
      <c r="P191" t="s">
        <v>2095</v>
      </c>
      <c r="R191" s="3">
        <f t="shared" si="14"/>
        <v>4.1333333333333337</v>
      </c>
    </row>
    <row r="192" spans="1:18" hidden="1" x14ac:dyDescent="0.25">
      <c r="A192" t="s">
        <v>3890</v>
      </c>
      <c r="B192" t="s">
        <v>3746</v>
      </c>
      <c r="C192" t="s">
        <v>3791</v>
      </c>
      <c r="D192" s="3">
        <f t="shared" si="15"/>
        <v>7.1999999999999993</v>
      </c>
      <c r="E192" t="s">
        <v>1845</v>
      </c>
      <c r="F192" t="s">
        <v>13</v>
      </c>
      <c r="G192">
        <f t="shared" si="16"/>
        <v>1525000</v>
      </c>
      <c r="H192" t="s">
        <v>27</v>
      </c>
      <c r="I192" t="s">
        <v>3891</v>
      </c>
      <c r="J192" s="2">
        <f t="shared" si="17"/>
        <v>1405000</v>
      </c>
      <c r="K192" t="s">
        <v>2039</v>
      </c>
      <c r="L192">
        <f t="shared" si="18"/>
        <v>0.17083333333333331</v>
      </c>
      <c r="M192" s="5">
        <v>0.17083333333333331</v>
      </c>
      <c r="N192" t="s">
        <v>43</v>
      </c>
      <c r="P192" t="s">
        <v>665</v>
      </c>
      <c r="R192" s="3">
        <f t="shared" si="14"/>
        <v>4.0999999999999996</v>
      </c>
    </row>
    <row r="193" spans="1:18" hidden="1" x14ac:dyDescent="0.25">
      <c r="A193" t="s">
        <v>3829</v>
      </c>
      <c r="B193" t="s">
        <v>3746</v>
      </c>
      <c r="C193" t="s">
        <v>3791</v>
      </c>
      <c r="D193" s="3">
        <f t="shared" si="15"/>
        <v>20</v>
      </c>
      <c r="E193" t="s">
        <v>159</v>
      </c>
      <c r="F193" t="s">
        <v>13</v>
      </c>
      <c r="G193">
        <f t="shared" si="16"/>
        <v>1575000</v>
      </c>
      <c r="H193" t="s">
        <v>1021</v>
      </c>
      <c r="I193" t="s">
        <v>3830</v>
      </c>
      <c r="J193" s="2">
        <f t="shared" si="17"/>
        <v>1451000</v>
      </c>
      <c r="K193" t="s">
        <v>1809</v>
      </c>
      <c r="L193">
        <f t="shared" si="18"/>
        <v>0.17013888888888887</v>
      </c>
      <c r="M193" s="5">
        <v>0.17013888888888887</v>
      </c>
      <c r="N193" t="s">
        <v>43</v>
      </c>
      <c r="P193" t="s">
        <v>1810</v>
      </c>
      <c r="R193" s="3">
        <f t="shared" si="14"/>
        <v>4.083333333333333</v>
      </c>
    </row>
    <row r="194" spans="1:18" hidden="1" x14ac:dyDescent="0.25">
      <c r="A194" t="s">
        <v>1393</v>
      </c>
      <c r="B194" t="s">
        <v>1303</v>
      </c>
      <c r="C194" t="s">
        <v>1396</v>
      </c>
      <c r="D194" s="3">
        <f t="shared" si="15"/>
        <v>5</v>
      </c>
      <c r="E194" t="s">
        <v>60</v>
      </c>
      <c r="F194" t="s">
        <v>34</v>
      </c>
      <c r="G194">
        <f t="shared" si="16"/>
        <v>915000</v>
      </c>
      <c r="H194" t="s">
        <v>654</v>
      </c>
      <c r="I194" t="s">
        <v>1394</v>
      </c>
      <c r="J194" s="2">
        <f t="shared" si="17"/>
        <v>870500</v>
      </c>
      <c r="K194" t="s">
        <v>1395</v>
      </c>
      <c r="L194">
        <f t="shared" si="18"/>
        <v>0.17291666666666669</v>
      </c>
      <c r="M194" s="5">
        <v>0.17291666666666669</v>
      </c>
      <c r="N194" t="s">
        <v>43</v>
      </c>
      <c r="P194" t="s">
        <v>1397</v>
      </c>
      <c r="R194" s="3">
        <f t="shared" ref="R194:R257" si="19">24*L194</f>
        <v>4.1500000000000004</v>
      </c>
    </row>
    <row r="195" spans="1:18" hidden="1" x14ac:dyDescent="0.25">
      <c r="A195" t="s">
        <v>1406</v>
      </c>
      <c r="B195" t="s">
        <v>1303</v>
      </c>
      <c r="C195" t="s">
        <v>1396</v>
      </c>
      <c r="D195" s="3">
        <f t="shared" si="15"/>
        <v>3.2</v>
      </c>
      <c r="E195" t="s">
        <v>1407</v>
      </c>
      <c r="F195" t="s">
        <v>34</v>
      </c>
      <c r="G195" t="str">
        <f t="shared" si="16"/>
        <v/>
      </c>
      <c r="H195" t="s">
        <v>14</v>
      </c>
      <c r="I195" t="s">
        <v>1408</v>
      </c>
      <c r="J195" s="2">
        <f t="shared" si="17"/>
        <v>805000</v>
      </c>
      <c r="K195" t="s">
        <v>1409</v>
      </c>
      <c r="L195">
        <f t="shared" si="18"/>
        <v>0.17222222222222225</v>
      </c>
      <c r="M195" s="5">
        <v>0.17222222222222225</v>
      </c>
      <c r="N195" t="s">
        <v>43</v>
      </c>
      <c r="P195" t="s">
        <v>1397</v>
      </c>
      <c r="R195" s="3">
        <f t="shared" si="19"/>
        <v>4.1333333333333337</v>
      </c>
    </row>
    <row r="196" spans="1:18" hidden="1" x14ac:dyDescent="0.25">
      <c r="A196" t="s">
        <v>1098</v>
      </c>
      <c r="B196" t="s">
        <v>640</v>
      </c>
      <c r="C196" t="s">
        <v>803</v>
      </c>
      <c r="D196" s="3">
        <f t="shared" si="15"/>
        <v>15.75</v>
      </c>
      <c r="E196" t="s">
        <v>1099</v>
      </c>
      <c r="F196" t="s">
        <v>34</v>
      </c>
      <c r="G196">
        <f t="shared" si="16"/>
        <v>925000</v>
      </c>
      <c r="H196" t="s">
        <v>649</v>
      </c>
      <c r="I196" t="s">
        <v>1100</v>
      </c>
      <c r="J196" s="2">
        <f t="shared" si="17"/>
        <v>835000</v>
      </c>
      <c r="K196" t="s">
        <v>651</v>
      </c>
      <c r="L196">
        <f t="shared" si="18"/>
        <v>0</v>
      </c>
      <c r="N196" t="s">
        <v>18</v>
      </c>
      <c r="P196" t="s">
        <v>199</v>
      </c>
      <c r="R196" s="3">
        <f t="shared" si="19"/>
        <v>0</v>
      </c>
    </row>
    <row r="197" spans="1:18" hidden="1" x14ac:dyDescent="0.25">
      <c r="A197" t="s">
        <v>991</v>
      </c>
      <c r="B197" t="s">
        <v>640</v>
      </c>
      <c r="C197" t="s">
        <v>803</v>
      </c>
      <c r="D197" s="3">
        <f t="shared" si="15"/>
        <v>9</v>
      </c>
      <c r="E197" t="s">
        <v>12</v>
      </c>
      <c r="F197" t="s">
        <v>34</v>
      </c>
      <c r="G197">
        <f t="shared" si="16"/>
        <v>825000</v>
      </c>
      <c r="H197" t="s">
        <v>715</v>
      </c>
      <c r="I197" t="s">
        <v>992</v>
      </c>
      <c r="J197" s="2">
        <f t="shared" si="17"/>
        <v>745000</v>
      </c>
      <c r="K197" t="s">
        <v>717</v>
      </c>
      <c r="L197">
        <f t="shared" si="18"/>
        <v>0</v>
      </c>
      <c r="N197" t="s">
        <v>18</v>
      </c>
      <c r="P197" t="s">
        <v>719</v>
      </c>
      <c r="R197" s="3">
        <f t="shared" si="19"/>
        <v>0</v>
      </c>
    </row>
    <row r="198" spans="1:18" hidden="1" x14ac:dyDescent="0.25">
      <c r="A198" t="s">
        <v>2531</v>
      </c>
      <c r="B198" t="s">
        <v>2596</v>
      </c>
      <c r="C198" t="s">
        <v>2049</v>
      </c>
      <c r="D198" s="3">
        <f t="shared" si="15"/>
        <v>8.64</v>
      </c>
      <c r="E198" t="s">
        <v>983</v>
      </c>
      <c r="F198" t="s">
        <v>34</v>
      </c>
      <c r="G198" t="str">
        <f t="shared" si="16"/>
        <v/>
      </c>
      <c r="H198" t="s">
        <v>14</v>
      </c>
      <c r="I198" t="s">
        <v>2532</v>
      </c>
      <c r="J198" s="2">
        <f t="shared" si="17"/>
        <v>1975000</v>
      </c>
      <c r="K198" t="s">
        <v>956</v>
      </c>
      <c r="L198">
        <f t="shared" si="18"/>
        <v>0.17222222222222225</v>
      </c>
      <c r="M198" s="5">
        <v>0.17222222222222225</v>
      </c>
      <c r="N198" t="s">
        <v>43</v>
      </c>
      <c r="P198" t="s">
        <v>1564</v>
      </c>
      <c r="R198" s="3">
        <f t="shared" si="19"/>
        <v>4.1333333333333337</v>
      </c>
    </row>
    <row r="199" spans="1:18" x14ac:dyDescent="0.25">
      <c r="A199" t="s">
        <v>216</v>
      </c>
      <c r="B199" t="s">
        <v>20</v>
      </c>
      <c r="C199" t="s">
        <v>218</v>
      </c>
      <c r="D199" s="3">
        <f t="shared" si="15"/>
        <v>12</v>
      </c>
      <c r="E199" t="s">
        <v>33</v>
      </c>
      <c r="F199" t="s">
        <v>13</v>
      </c>
      <c r="G199" t="str">
        <f t="shared" si="16"/>
        <v/>
      </c>
      <c r="H199" t="s">
        <v>14</v>
      </c>
      <c r="I199" t="s">
        <v>217</v>
      </c>
      <c r="J199" s="2">
        <f t="shared" si="17"/>
        <v>700000</v>
      </c>
      <c r="K199" t="s">
        <v>157</v>
      </c>
      <c r="L199">
        <f t="shared" si="18"/>
        <v>0</v>
      </c>
      <c r="N199" t="s">
        <v>43</v>
      </c>
      <c r="R199" s="3">
        <f t="shared" si="19"/>
        <v>0</v>
      </c>
    </row>
    <row r="200" spans="1:18" hidden="1" x14ac:dyDescent="0.25">
      <c r="A200" t="s">
        <v>2319</v>
      </c>
      <c r="B200" t="s">
        <v>2596</v>
      </c>
      <c r="C200" t="s">
        <v>2064</v>
      </c>
      <c r="D200" s="3">
        <f t="shared" si="15"/>
        <v>20</v>
      </c>
      <c r="E200" t="s">
        <v>159</v>
      </c>
      <c r="F200" t="s">
        <v>13</v>
      </c>
      <c r="G200">
        <f t="shared" si="16"/>
        <v>2075000</v>
      </c>
      <c r="H200" t="s">
        <v>1567</v>
      </c>
      <c r="I200" t="s">
        <v>2320</v>
      </c>
      <c r="J200" s="2">
        <f t="shared" si="17"/>
        <v>1975000</v>
      </c>
      <c r="K200" t="s">
        <v>956</v>
      </c>
      <c r="L200">
        <f t="shared" si="18"/>
        <v>0.17083333333333331</v>
      </c>
      <c r="M200" s="5">
        <v>0.17083333333333331</v>
      </c>
      <c r="N200" t="s">
        <v>43</v>
      </c>
      <c r="P200" t="s">
        <v>669</v>
      </c>
      <c r="R200" s="3">
        <f t="shared" si="19"/>
        <v>4.0999999999999996</v>
      </c>
    </row>
    <row r="201" spans="1:18" hidden="1" x14ac:dyDescent="0.25">
      <c r="A201" t="s">
        <v>2182</v>
      </c>
      <c r="B201" t="s">
        <v>2596</v>
      </c>
      <c r="C201" t="s">
        <v>2064</v>
      </c>
      <c r="D201" s="3">
        <f t="shared" si="15"/>
        <v>9</v>
      </c>
      <c r="E201" t="s">
        <v>12</v>
      </c>
      <c r="F201" t="s">
        <v>13</v>
      </c>
      <c r="G201">
        <f t="shared" si="16"/>
        <v>1775000</v>
      </c>
      <c r="H201" t="s">
        <v>1055</v>
      </c>
      <c r="I201" t="s">
        <v>2183</v>
      </c>
      <c r="J201" s="2">
        <f t="shared" si="17"/>
        <v>1690000</v>
      </c>
      <c r="K201" t="s">
        <v>886</v>
      </c>
      <c r="L201">
        <f t="shared" si="18"/>
        <v>0.17222222222222225</v>
      </c>
      <c r="M201" s="5">
        <v>0.17222222222222225</v>
      </c>
      <c r="N201" t="s">
        <v>43</v>
      </c>
      <c r="P201" t="s">
        <v>713</v>
      </c>
      <c r="R201" s="3">
        <f t="shared" si="19"/>
        <v>4.1333333333333337</v>
      </c>
    </row>
    <row r="202" spans="1:18" hidden="1" x14ac:dyDescent="0.25">
      <c r="A202" t="s">
        <v>2243</v>
      </c>
      <c r="B202" t="s">
        <v>2596</v>
      </c>
      <c r="C202" t="s">
        <v>2064</v>
      </c>
      <c r="D202" s="3">
        <f t="shared" si="15"/>
        <v>9</v>
      </c>
      <c r="E202" t="s">
        <v>12</v>
      </c>
      <c r="F202" t="s">
        <v>13</v>
      </c>
      <c r="G202">
        <f t="shared" si="16"/>
        <v>1425000</v>
      </c>
      <c r="H202" t="s">
        <v>909</v>
      </c>
      <c r="I202" t="s">
        <v>2244</v>
      </c>
      <c r="J202" s="2">
        <f t="shared" si="17"/>
        <v>1357500</v>
      </c>
      <c r="K202" t="s">
        <v>2245</v>
      </c>
      <c r="L202">
        <f t="shared" si="18"/>
        <v>0.17222222222222225</v>
      </c>
      <c r="M202" s="5">
        <v>0.17222222222222225</v>
      </c>
      <c r="N202" t="s">
        <v>43</v>
      </c>
      <c r="P202" t="s">
        <v>745</v>
      </c>
      <c r="R202" s="3">
        <f t="shared" si="19"/>
        <v>4.1333333333333337</v>
      </c>
    </row>
    <row r="203" spans="1:18" hidden="1" x14ac:dyDescent="0.25">
      <c r="A203" t="s">
        <v>2222</v>
      </c>
      <c r="B203" t="s">
        <v>2596</v>
      </c>
      <c r="C203" t="s">
        <v>2064</v>
      </c>
      <c r="D203" s="3">
        <f t="shared" ref="D203:D266" si="20">VALUE(LEFT(E203,SEARCH(" x ",E203)-1))*VALUE(MID(E203,SEARCH(" x ",E203)+3,SEARCH(" meter",E203)-SEARCH(" x ",E203)-3))</f>
        <v>9</v>
      </c>
      <c r="E203" t="s">
        <v>12</v>
      </c>
      <c r="F203" t="s">
        <v>13</v>
      </c>
      <c r="G203">
        <f t="shared" ref="G203:G266" si="21">IF(H203="N/A","",VALUE(SUBSTITUTE(SUBSTITUTE(H203,"Rp",""),".","")))</f>
        <v>1075000</v>
      </c>
      <c r="H203" t="s">
        <v>838</v>
      </c>
      <c r="I203" t="s">
        <v>2223</v>
      </c>
      <c r="J203" s="2">
        <f t="shared" ref="J203:J266" si="22">VALUE(SUBSTITUTE(SUBSTITUTE(K203,"Rp",""),".",""))</f>
        <v>1025000</v>
      </c>
      <c r="K203" t="s">
        <v>914</v>
      </c>
      <c r="L203">
        <f t="shared" ref="L203:L266" si="23">M203:M2543</f>
        <v>0.17222222222222225</v>
      </c>
      <c r="M203" s="5">
        <v>0.17222222222222225</v>
      </c>
      <c r="N203" t="s">
        <v>43</v>
      </c>
      <c r="P203" t="s">
        <v>2025</v>
      </c>
      <c r="R203" s="3">
        <f t="shared" si="19"/>
        <v>4.1333333333333337</v>
      </c>
    </row>
    <row r="204" spans="1:18" hidden="1" x14ac:dyDescent="0.25">
      <c r="A204" t="s">
        <v>652</v>
      </c>
      <c r="B204" t="s">
        <v>640</v>
      </c>
      <c r="C204" t="s">
        <v>657</v>
      </c>
      <c r="D204" s="3">
        <f t="shared" si="20"/>
        <v>10.5</v>
      </c>
      <c r="E204" t="s">
        <v>653</v>
      </c>
      <c r="F204" t="s">
        <v>34</v>
      </c>
      <c r="G204">
        <f t="shared" si="21"/>
        <v>915000</v>
      </c>
      <c r="H204" t="s">
        <v>654</v>
      </c>
      <c r="I204" t="s">
        <v>655</v>
      </c>
      <c r="J204" s="2">
        <f t="shared" si="22"/>
        <v>826000</v>
      </c>
      <c r="K204" t="s">
        <v>656</v>
      </c>
      <c r="L204">
        <f t="shared" si="23"/>
        <v>0.17291666666666669</v>
      </c>
      <c r="M204" s="5">
        <v>0.17291666666666669</v>
      </c>
      <c r="N204" t="s">
        <v>37</v>
      </c>
      <c r="P204" t="s">
        <v>658</v>
      </c>
      <c r="R204" s="3">
        <f t="shared" si="19"/>
        <v>4.1500000000000004</v>
      </c>
    </row>
    <row r="205" spans="1:18" hidden="1" x14ac:dyDescent="0.25">
      <c r="A205" t="s">
        <v>692</v>
      </c>
      <c r="B205" t="s">
        <v>640</v>
      </c>
      <c r="C205" t="s">
        <v>657</v>
      </c>
      <c r="D205" s="3">
        <f t="shared" si="20"/>
        <v>24</v>
      </c>
      <c r="E205" t="s">
        <v>601</v>
      </c>
      <c r="F205" t="s">
        <v>13</v>
      </c>
      <c r="G205">
        <f t="shared" si="21"/>
        <v>1655000</v>
      </c>
      <c r="H205" t="s">
        <v>693</v>
      </c>
      <c r="I205" t="s">
        <v>694</v>
      </c>
      <c r="J205" s="2">
        <f t="shared" si="22"/>
        <v>1492000</v>
      </c>
      <c r="K205" t="s">
        <v>695</v>
      </c>
      <c r="L205">
        <f t="shared" si="23"/>
        <v>0.20833333333333334</v>
      </c>
      <c r="M205" s="5">
        <v>0.20833333333333334</v>
      </c>
      <c r="N205" t="s">
        <v>37</v>
      </c>
      <c r="P205" t="s">
        <v>696</v>
      </c>
      <c r="R205" s="3">
        <f t="shared" si="19"/>
        <v>5</v>
      </c>
    </row>
    <row r="206" spans="1:18" hidden="1" x14ac:dyDescent="0.25">
      <c r="A206" t="s">
        <v>682</v>
      </c>
      <c r="B206" t="s">
        <v>640</v>
      </c>
      <c r="C206" t="s">
        <v>657</v>
      </c>
      <c r="D206" s="3">
        <f t="shared" si="20"/>
        <v>10.5</v>
      </c>
      <c r="E206" t="s">
        <v>653</v>
      </c>
      <c r="F206" t="s">
        <v>13</v>
      </c>
      <c r="G206">
        <f t="shared" si="21"/>
        <v>1325000</v>
      </c>
      <c r="H206" t="s">
        <v>683</v>
      </c>
      <c r="I206" t="s">
        <v>684</v>
      </c>
      <c r="J206" s="2">
        <f t="shared" si="22"/>
        <v>1195000</v>
      </c>
      <c r="K206" t="s">
        <v>685</v>
      </c>
      <c r="L206">
        <f t="shared" si="23"/>
        <v>0.20833333333333334</v>
      </c>
      <c r="M206" s="5">
        <v>0.20833333333333334</v>
      </c>
      <c r="N206" t="s">
        <v>37</v>
      </c>
      <c r="P206" t="s">
        <v>686</v>
      </c>
      <c r="R206" s="3">
        <f t="shared" si="19"/>
        <v>5</v>
      </c>
    </row>
    <row r="207" spans="1:18" hidden="1" x14ac:dyDescent="0.25">
      <c r="A207" t="s">
        <v>2209</v>
      </c>
      <c r="B207" t="s">
        <v>2596</v>
      </c>
      <c r="C207" t="s">
        <v>2032</v>
      </c>
      <c r="D207" s="3">
        <f t="shared" si="20"/>
        <v>9</v>
      </c>
      <c r="E207" t="s">
        <v>12</v>
      </c>
      <c r="F207" t="s">
        <v>34</v>
      </c>
      <c r="G207">
        <f t="shared" si="21"/>
        <v>1100000</v>
      </c>
      <c r="H207" t="s">
        <v>42</v>
      </c>
      <c r="I207" t="s">
        <v>2210</v>
      </c>
      <c r="J207" s="2">
        <f t="shared" si="22"/>
        <v>1045000</v>
      </c>
      <c r="K207" t="s">
        <v>2211</v>
      </c>
      <c r="L207">
        <f t="shared" si="23"/>
        <v>0.17222222222222225</v>
      </c>
      <c r="M207" s="5">
        <v>0.17222222222222225</v>
      </c>
      <c r="N207" t="s">
        <v>43</v>
      </c>
      <c r="P207" t="s">
        <v>1652</v>
      </c>
      <c r="R207" s="3">
        <f t="shared" si="19"/>
        <v>4.1333333333333337</v>
      </c>
    </row>
    <row r="208" spans="1:18" hidden="1" x14ac:dyDescent="0.25">
      <c r="A208" t="s">
        <v>2029</v>
      </c>
      <c r="B208" t="s">
        <v>2596</v>
      </c>
      <c r="C208" t="s">
        <v>2032</v>
      </c>
      <c r="D208" s="3">
        <f t="shared" si="20"/>
        <v>12</v>
      </c>
      <c r="E208" t="s">
        <v>33</v>
      </c>
      <c r="F208" t="s">
        <v>34</v>
      </c>
      <c r="G208">
        <f t="shared" si="21"/>
        <v>1200000</v>
      </c>
      <c r="H208" t="s">
        <v>36</v>
      </c>
      <c r="I208" t="s">
        <v>2030</v>
      </c>
      <c r="J208" s="2">
        <f t="shared" si="22"/>
        <v>1140000</v>
      </c>
      <c r="K208" t="s">
        <v>2031</v>
      </c>
      <c r="L208">
        <f t="shared" si="23"/>
        <v>0.17083333333333331</v>
      </c>
      <c r="M208" s="5">
        <v>0.17083333333333331</v>
      </c>
      <c r="N208" t="s">
        <v>43</v>
      </c>
      <c r="P208" t="s">
        <v>866</v>
      </c>
      <c r="R208" s="3">
        <f t="shared" si="19"/>
        <v>4.0999999999999996</v>
      </c>
    </row>
    <row r="209" spans="1:18" hidden="1" x14ac:dyDescent="0.25">
      <c r="A209" t="s">
        <v>2402</v>
      </c>
      <c r="B209" t="s">
        <v>2596</v>
      </c>
      <c r="C209" t="s">
        <v>2032</v>
      </c>
      <c r="D209" s="3">
        <f t="shared" si="20"/>
        <v>9</v>
      </c>
      <c r="E209" t="s">
        <v>12</v>
      </c>
      <c r="F209" t="s">
        <v>34</v>
      </c>
      <c r="G209">
        <f t="shared" si="21"/>
        <v>1800000</v>
      </c>
      <c r="H209" t="s">
        <v>228</v>
      </c>
      <c r="I209" t="s">
        <v>2403</v>
      </c>
      <c r="J209" s="2">
        <f t="shared" si="22"/>
        <v>1710000</v>
      </c>
      <c r="K209" t="s">
        <v>2404</v>
      </c>
      <c r="L209">
        <f t="shared" si="23"/>
        <v>0.17013888888888887</v>
      </c>
      <c r="M209" s="5">
        <v>0.17013888888888887</v>
      </c>
      <c r="N209" t="s">
        <v>43</v>
      </c>
      <c r="P209" t="s">
        <v>199</v>
      </c>
      <c r="R209" s="3">
        <f t="shared" si="19"/>
        <v>4.083333333333333</v>
      </c>
    </row>
    <row r="210" spans="1:18" hidden="1" x14ac:dyDescent="0.25">
      <c r="A210" t="s">
        <v>2387</v>
      </c>
      <c r="B210" t="s">
        <v>2596</v>
      </c>
      <c r="C210" t="s">
        <v>2032</v>
      </c>
      <c r="D210" s="3">
        <f t="shared" si="20"/>
        <v>9</v>
      </c>
      <c r="E210" t="s">
        <v>12</v>
      </c>
      <c r="F210" t="s">
        <v>34</v>
      </c>
      <c r="G210">
        <f t="shared" si="21"/>
        <v>950000</v>
      </c>
      <c r="H210" t="s">
        <v>355</v>
      </c>
      <c r="I210" t="s">
        <v>2388</v>
      </c>
      <c r="J210" s="2">
        <f t="shared" si="22"/>
        <v>902500</v>
      </c>
      <c r="K210" t="s">
        <v>2389</v>
      </c>
      <c r="L210">
        <f t="shared" si="23"/>
        <v>0.17083333333333331</v>
      </c>
      <c r="M210" s="5">
        <v>0.17083333333333331</v>
      </c>
      <c r="N210" t="s">
        <v>43</v>
      </c>
      <c r="P210" t="s">
        <v>1507</v>
      </c>
      <c r="R210" s="3">
        <f t="shared" si="19"/>
        <v>4.0999999999999996</v>
      </c>
    </row>
    <row r="211" spans="1:18" hidden="1" x14ac:dyDescent="0.25">
      <c r="A211" t="s">
        <v>2345</v>
      </c>
      <c r="B211" t="s">
        <v>2596</v>
      </c>
      <c r="C211" t="s">
        <v>2032</v>
      </c>
      <c r="D211" s="3">
        <f t="shared" si="20"/>
        <v>12</v>
      </c>
      <c r="E211" t="s">
        <v>33</v>
      </c>
      <c r="F211" t="s">
        <v>34</v>
      </c>
      <c r="G211">
        <f t="shared" si="21"/>
        <v>1850000</v>
      </c>
      <c r="H211" t="s">
        <v>87</v>
      </c>
      <c r="I211" t="s">
        <v>2346</v>
      </c>
      <c r="J211" s="2">
        <f t="shared" si="22"/>
        <v>1757500</v>
      </c>
      <c r="K211" t="s">
        <v>2347</v>
      </c>
      <c r="L211">
        <f t="shared" si="23"/>
        <v>0.17083333333333331</v>
      </c>
      <c r="M211" s="5">
        <v>0.17083333333333331</v>
      </c>
      <c r="N211" t="s">
        <v>43</v>
      </c>
      <c r="P211" t="s">
        <v>1461</v>
      </c>
      <c r="R211" s="3">
        <f t="shared" si="19"/>
        <v>4.0999999999999996</v>
      </c>
    </row>
    <row r="212" spans="1:18" hidden="1" x14ac:dyDescent="0.25">
      <c r="A212" t="s">
        <v>3070</v>
      </c>
      <c r="B212" t="s">
        <v>3206</v>
      </c>
      <c r="C212" t="s">
        <v>2720</v>
      </c>
      <c r="D212" s="3">
        <f t="shared" si="20"/>
        <v>6.72</v>
      </c>
      <c r="E212" t="s">
        <v>3071</v>
      </c>
      <c r="F212" t="s">
        <v>13</v>
      </c>
      <c r="G212">
        <f t="shared" si="21"/>
        <v>1375000</v>
      </c>
      <c r="H212" t="s">
        <v>812</v>
      </c>
      <c r="I212" t="s">
        <v>3072</v>
      </c>
      <c r="J212" s="2">
        <f t="shared" si="22"/>
        <v>1307500</v>
      </c>
      <c r="K212" t="s">
        <v>1817</v>
      </c>
      <c r="L212">
        <f t="shared" si="23"/>
        <v>0.17222222222222225</v>
      </c>
      <c r="M212" s="5">
        <v>0.17222222222222225</v>
      </c>
      <c r="N212" t="s">
        <v>18</v>
      </c>
      <c r="P212" t="s">
        <v>745</v>
      </c>
      <c r="R212" s="3">
        <f t="shared" si="19"/>
        <v>4.1333333333333337</v>
      </c>
    </row>
    <row r="213" spans="1:18" hidden="1" x14ac:dyDescent="0.25">
      <c r="A213" t="s">
        <v>3143</v>
      </c>
      <c r="B213" t="s">
        <v>3206</v>
      </c>
      <c r="C213" t="s">
        <v>2640</v>
      </c>
      <c r="D213" s="3">
        <f t="shared" si="20"/>
        <v>10.5</v>
      </c>
      <c r="E213" t="s">
        <v>653</v>
      </c>
      <c r="F213" t="s">
        <v>34</v>
      </c>
      <c r="G213" t="str">
        <f t="shared" si="21"/>
        <v/>
      </c>
      <c r="H213" t="s">
        <v>14</v>
      </c>
      <c r="I213" t="s">
        <v>3144</v>
      </c>
      <c r="J213" s="2">
        <f t="shared" si="22"/>
        <v>925000</v>
      </c>
      <c r="K213" t="s">
        <v>649</v>
      </c>
      <c r="L213">
        <f t="shared" si="23"/>
        <v>0.17291666666666669</v>
      </c>
      <c r="M213" s="5">
        <v>0.17291666666666669</v>
      </c>
      <c r="N213" t="s">
        <v>37</v>
      </c>
      <c r="P213" t="s">
        <v>1835</v>
      </c>
      <c r="R213" s="3">
        <f t="shared" si="19"/>
        <v>4.1500000000000004</v>
      </c>
    </row>
    <row r="214" spans="1:18" hidden="1" x14ac:dyDescent="0.25">
      <c r="A214" t="s">
        <v>5487</v>
      </c>
      <c r="B214" t="s">
        <v>5848</v>
      </c>
      <c r="C214" t="s">
        <v>5339</v>
      </c>
      <c r="D214" s="3">
        <f t="shared" si="20"/>
        <v>6.75</v>
      </c>
      <c r="E214" t="s">
        <v>2161</v>
      </c>
      <c r="F214" t="s">
        <v>13</v>
      </c>
      <c r="G214">
        <f t="shared" si="21"/>
        <v>900000</v>
      </c>
      <c r="H214" t="s">
        <v>101</v>
      </c>
      <c r="I214" t="s">
        <v>5488</v>
      </c>
      <c r="J214" s="2">
        <f t="shared" si="22"/>
        <v>855000</v>
      </c>
      <c r="K214" t="s">
        <v>5470</v>
      </c>
      <c r="L214">
        <f t="shared" si="23"/>
        <v>0.20833333333333334</v>
      </c>
      <c r="M214" s="5">
        <v>0.20833333333333334</v>
      </c>
      <c r="N214" t="s">
        <v>18</v>
      </c>
      <c r="P214" t="s">
        <v>1397</v>
      </c>
      <c r="R214" s="3">
        <f t="shared" si="19"/>
        <v>5</v>
      </c>
    </row>
    <row r="215" spans="1:18" hidden="1" x14ac:dyDescent="0.25">
      <c r="A215" t="s">
        <v>4407</v>
      </c>
      <c r="B215" t="s">
        <v>4272</v>
      </c>
      <c r="C215" t="s">
        <v>4281</v>
      </c>
      <c r="D215" s="3">
        <f t="shared" si="20"/>
        <v>6.48</v>
      </c>
      <c r="E215" t="s">
        <v>4408</v>
      </c>
      <c r="F215" t="s">
        <v>13</v>
      </c>
      <c r="G215" t="str">
        <f t="shared" si="21"/>
        <v/>
      </c>
      <c r="H215" t="s">
        <v>14</v>
      </c>
      <c r="I215" t="s">
        <v>4409</v>
      </c>
      <c r="J215" s="2">
        <f t="shared" si="22"/>
        <v>925000</v>
      </c>
      <c r="K215" t="s">
        <v>649</v>
      </c>
      <c r="L215">
        <f t="shared" si="23"/>
        <v>0.17291666666666669</v>
      </c>
      <c r="M215" s="5">
        <v>0.17291666666666669</v>
      </c>
      <c r="N215" t="s">
        <v>37</v>
      </c>
      <c r="P215" t="s">
        <v>4282</v>
      </c>
      <c r="R215" s="3">
        <f t="shared" si="19"/>
        <v>4.1500000000000004</v>
      </c>
    </row>
    <row r="216" spans="1:18" x14ac:dyDescent="0.25">
      <c r="A216" t="s">
        <v>3294</v>
      </c>
      <c r="B216" t="s">
        <v>3233</v>
      </c>
      <c r="C216" t="s">
        <v>3237</v>
      </c>
      <c r="D216" s="3">
        <f t="shared" si="20"/>
        <v>9</v>
      </c>
      <c r="E216" t="s">
        <v>12</v>
      </c>
      <c r="F216" t="s">
        <v>34</v>
      </c>
      <c r="G216" t="str">
        <f t="shared" si="21"/>
        <v/>
      </c>
      <c r="H216" t="s">
        <v>14</v>
      </c>
      <c r="I216" t="s">
        <v>3295</v>
      </c>
      <c r="J216" s="2">
        <f t="shared" si="22"/>
        <v>700000</v>
      </c>
      <c r="K216" t="s">
        <v>157</v>
      </c>
      <c r="L216">
        <f t="shared" si="23"/>
        <v>0</v>
      </c>
      <c r="N216" t="s">
        <v>43</v>
      </c>
      <c r="R216" s="3">
        <f t="shared" si="19"/>
        <v>0</v>
      </c>
    </row>
    <row r="217" spans="1:18" hidden="1" x14ac:dyDescent="0.25">
      <c r="A217" t="s">
        <v>964</v>
      </c>
      <c r="B217" t="s">
        <v>640</v>
      </c>
      <c r="C217" t="s">
        <v>643</v>
      </c>
      <c r="D217" s="3">
        <f t="shared" si="20"/>
        <v>12.25</v>
      </c>
      <c r="E217" t="s">
        <v>187</v>
      </c>
      <c r="F217" t="s">
        <v>13</v>
      </c>
      <c r="G217">
        <f t="shared" si="21"/>
        <v>1600000</v>
      </c>
      <c r="H217" t="s">
        <v>95</v>
      </c>
      <c r="I217" t="s">
        <v>965</v>
      </c>
      <c r="J217" s="2">
        <f t="shared" si="22"/>
        <v>1440000</v>
      </c>
      <c r="K217" t="s">
        <v>672</v>
      </c>
      <c r="L217">
        <f t="shared" si="23"/>
        <v>0.17083333333333331</v>
      </c>
      <c r="M217" s="5">
        <v>0.17083333333333331</v>
      </c>
      <c r="N217" t="s">
        <v>43</v>
      </c>
      <c r="P217" t="s">
        <v>673</v>
      </c>
      <c r="R217" s="3">
        <f t="shared" si="19"/>
        <v>4.0999999999999996</v>
      </c>
    </row>
    <row r="218" spans="1:18" x14ac:dyDescent="0.25">
      <c r="A218" t="s">
        <v>3625</v>
      </c>
      <c r="B218" t="s">
        <v>3233</v>
      </c>
      <c r="C218" t="s">
        <v>3261</v>
      </c>
      <c r="D218" s="3">
        <f t="shared" si="20"/>
        <v>12</v>
      </c>
      <c r="E218" t="s">
        <v>33</v>
      </c>
      <c r="F218" t="s">
        <v>13</v>
      </c>
      <c r="G218" t="str">
        <f t="shared" si="21"/>
        <v/>
      </c>
      <c r="H218" t="s">
        <v>14</v>
      </c>
      <c r="I218" t="s">
        <v>3626</v>
      </c>
      <c r="J218" s="2">
        <f t="shared" si="22"/>
        <v>700000</v>
      </c>
      <c r="K218" t="s">
        <v>157</v>
      </c>
      <c r="L218">
        <f t="shared" si="23"/>
        <v>0.16944444444444443</v>
      </c>
      <c r="M218" s="5">
        <v>0.16944444444444443</v>
      </c>
      <c r="N218" t="s">
        <v>43</v>
      </c>
      <c r="R218" s="3">
        <f t="shared" si="19"/>
        <v>4.0666666666666664</v>
      </c>
    </row>
    <row r="219" spans="1:18" x14ac:dyDescent="0.25">
      <c r="A219" t="s">
        <v>4160</v>
      </c>
      <c r="B219" t="s">
        <v>3746</v>
      </c>
      <c r="C219" t="s">
        <v>3749</v>
      </c>
      <c r="D219" s="3">
        <f t="shared" si="20"/>
        <v>4</v>
      </c>
      <c r="E219" t="s">
        <v>313</v>
      </c>
      <c r="F219" t="s">
        <v>13</v>
      </c>
      <c r="G219" t="str">
        <f t="shared" si="21"/>
        <v/>
      </c>
      <c r="H219" t="s">
        <v>14</v>
      </c>
      <c r="I219" t="s">
        <v>4161</v>
      </c>
      <c r="J219" s="2">
        <f t="shared" si="22"/>
        <v>700000</v>
      </c>
      <c r="K219" t="s">
        <v>157</v>
      </c>
      <c r="L219">
        <f t="shared" si="23"/>
        <v>0</v>
      </c>
      <c r="N219" t="s">
        <v>43</v>
      </c>
      <c r="R219" s="3">
        <f t="shared" si="19"/>
        <v>0</v>
      </c>
    </row>
    <row r="220" spans="1:18" x14ac:dyDescent="0.25">
      <c r="A220" t="s">
        <v>1149</v>
      </c>
      <c r="B220" t="s">
        <v>640</v>
      </c>
      <c r="C220" t="s">
        <v>643</v>
      </c>
      <c r="D220" s="3">
        <f t="shared" si="20"/>
        <v>7.5</v>
      </c>
      <c r="E220" t="s">
        <v>614</v>
      </c>
      <c r="F220" t="s">
        <v>34</v>
      </c>
      <c r="G220" t="str">
        <f t="shared" si="21"/>
        <v/>
      </c>
      <c r="H220" t="s">
        <v>14</v>
      </c>
      <c r="I220" t="s">
        <v>1150</v>
      </c>
      <c r="J220" s="2">
        <f t="shared" si="22"/>
        <v>703250</v>
      </c>
      <c r="K220" t="s">
        <v>1151</v>
      </c>
      <c r="L220">
        <f t="shared" si="23"/>
        <v>0.20833333333333334</v>
      </c>
      <c r="M220" s="5">
        <v>0.20833333333333334</v>
      </c>
      <c r="N220" t="s">
        <v>37</v>
      </c>
      <c r="R220" s="3">
        <f t="shared" si="19"/>
        <v>5</v>
      </c>
    </row>
    <row r="221" spans="1:18" hidden="1" x14ac:dyDescent="0.25">
      <c r="A221" t="s">
        <v>4669</v>
      </c>
      <c r="B221" t="s">
        <v>4272</v>
      </c>
      <c r="C221" t="s">
        <v>4295</v>
      </c>
      <c r="D221" s="3">
        <f t="shared" si="20"/>
        <v>21</v>
      </c>
      <c r="E221" t="s">
        <v>454</v>
      </c>
      <c r="F221" t="s">
        <v>13</v>
      </c>
      <c r="G221">
        <f t="shared" si="21"/>
        <v>1300000</v>
      </c>
      <c r="H221" t="s">
        <v>17</v>
      </c>
      <c r="I221" t="s">
        <v>4670</v>
      </c>
      <c r="J221" s="2">
        <f t="shared" si="22"/>
        <v>1170000</v>
      </c>
      <c r="K221" t="s">
        <v>1155</v>
      </c>
      <c r="L221">
        <f t="shared" si="23"/>
        <v>0</v>
      </c>
      <c r="N221" t="s">
        <v>43</v>
      </c>
      <c r="P221" t="s">
        <v>686</v>
      </c>
      <c r="R221" s="3">
        <f t="shared" si="19"/>
        <v>0</v>
      </c>
    </row>
    <row r="222" spans="1:18" x14ac:dyDescent="0.25">
      <c r="A222" t="s">
        <v>4277</v>
      </c>
      <c r="B222" t="s">
        <v>4272</v>
      </c>
      <c r="C222" t="s">
        <v>4281</v>
      </c>
      <c r="D222" s="3">
        <f t="shared" si="20"/>
        <v>6</v>
      </c>
      <c r="E222" t="s">
        <v>285</v>
      </c>
      <c r="F222" t="s">
        <v>34</v>
      </c>
      <c r="G222">
        <f t="shared" si="21"/>
        <v>767000</v>
      </c>
      <c r="H222" t="s">
        <v>4278</v>
      </c>
      <c r="I222" t="s">
        <v>4279</v>
      </c>
      <c r="J222" s="2">
        <f t="shared" si="22"/>
        <v>707640</v>
      </c>
      <c r="K222" t="s">
        <v>4280</v>
      </c>
      <c r="L222">
        <f t="shared" si="23"/>
        <v>0.20833333333333334</v>
      </c>
      <c r="M222" s="5">
        <v>0.20833333333333334</v>
      </c>
      <c r="N222" t="s">
        <v>18</v>
      </c>
      <c r="P222" t="s">
        <v>4282</v>
      </c>
      <c r="R222" s="3">
        <f t="shared" si="19"/>
        <v>5</v>
      </c>
    </row>
    <row r="223" spans="1:18" hidden="1" x14ac:dyDescent="0.25">
      <c r="A223" t="s">
        <v>5410</v>
      </c>
      <c r="B223" t="s">
        <v>5848</v>
      </c>
      <c r="C223" t="s">
        <v>5339</v>
      </c>
      <c r="D223" s="3">
        <f t="shared" si="20"/>
        <v>8.75</v>
      </c>
      <c r="E223" t="s">
        <v>775</v>
      </c>
      <c r="F223" t="s">
        <v>13</v>
      </c>
      <c r="G223">
        <f t="shared" si="21"/>
        <v>1225000</v>
      </c>
      <c r="H223" t="s">
        <v>661</v>
      </c>
      <c r="I223" t="s">
        <v>5411</v>
      </c>
      <c r="J223" s="2">
        <f t="shared" si="22"/>
        <v>1165000</v>
      </c>
      <c r="K223" t="s">
        <v>2949</v>
      </c>
      <c r="L223">
        <f t="shared" si="23"/>
        <v>0.12847222222222224</v>
      </c>
      <c r="M223" s="5">
        <v>0.12847222222222224</v>
      </c>
      <c r="N223" t="s">
        <v>43</v>
      </c>
      <c r="P223" t="s">
        <v>866</v>
      </c>
      <c r="R223" s="3">
        <f t="shared" si="19"/>
        <v>3.0833333333333339</v>
      </c>
    </row>
    <row r="224" spans="1:18" hidden="1" x14ac:dyDescent="0.25">
      <c r="A224" t="s">
        <v>5452</v>
      </c>
      <c r="B224" t="s">
        <v>5848</v>
      </c>
      <c r="C224" t="s">
        <v>5339</v>
      </c>
      <c r="D224" s="3">
        <f t="shared" si="20"/>
        <v>8.75</v>
      </c>
      <c r="E224" t="s">
        <v>775</v>
      </c>
      <c r="F224" t="s">
        <v>13</v>
      </c>
      <c r="G224" t="str">
        <f t="shared" si="21"/>
        <v/>
      </c>
      <c r="H224" t="s">
        <v>14</v>
      </c>
      <c r="I224" t="s">
        <v>5411</v>
      </c>
      <c r="J224" s="2">
        <f t="shared" si="22"/>
        <v>975000</v>
      </c>
      <c r="K224" t="s">
        <v>544</v>
      </c>
      <c r="L224">
        <f t="shared" si="23"/>
        <v>0.17291666666666669</v>
      </c>
      <c r="M224" s="5">
        <v>0.17291666666666669</v>
      </c>
      <c r="N224" t="s">
        <v>43</v>
      </c>
      <c r="P224" t="s">
        <v>866</v>
      </c>
      <c r="R224" s="3">
        <f t="shared" si="19"/>
        <v>4.1500000000000004</v>
      </c>
    </row>
    <row r="225" spans="1:18" hidden="1" x14ac:dyDescent="0.25">
      <c r="A225" t="s">
        <v>2551</v>
      </c>
      <c r="B225" t="s">
        <v>2596</v>
      </c>
      <c r="C225" t="s">
        <v>2193</v>
      </c>
      <c r="D225" s="3">
        <f t="shared" si="20"/>
        <v>10.240000000000002</v>
      </c>
      <c r="E225" t="s">
        <v>941</v>
      </c>
      <c r="F225" t="s">
        <v>13</v>
      </c>
      <c r="G225" t="str">
        <f t="shared" si="21"/>
        <v/>
      </c>
      <c r="H225" t="s">
        <v>14</v>
      </c>
      <c r="I225" t="s">
        <v>2552</v>
      </c>
      <c r="J225" s="2">
        <f t="shared" si="22"/>
        <v>1625000</v>
      </c>
      <c r="K225" t="s">
        <v>702</v>
      </c>
      <c r="L225">
        <f t="shared" si="23"/>
        <v>0.17083333333333331</v>
      </c>
      <c r="M225" s="5">
        <v>0.17083333333333331</v>
      </c>
      <c r="N225" t="s">
        <v>18</v>
      </c>
      <c r="P225" t="s">
        <v>691</v>
      </c>
      <c r="R225" s="3">
        <f t="shared" si="19"/>
        <v>4.0999999999999996</v>
      </c>
    </row>
    <row r="226" spans="1:18" hidden="1" x14ac:dyDescent="0.25">
      <c r="A226" t="s">
        <v>2191</v>
      </c>
      <c r="B226" t="s">
        <v>2596</v>
      </c>
      <c r="C226" t="s">
        <v>2193</v>
      </c>
      <c r="D226" s="3">
        <f t="shared" si="20"/>
        <v>10.240000000000002</v>
      </c>
      <c r="E226" t="s">
        <v>941</v>
      </c>
      <c r="F226" t="s">
        <v>13</v>
      </c>
      <c r="G226" t="str">
        <f t="shared" si="21"/>
        <v/>
      </c>
      <c r="H226" t="s">
        <v>14</v>
      </c>
      <c r="I226" t="s">
        <v>2192</v>
      </c>
      <c r="J226" s="2">
        <f t="shared" si="22"/>
        <v>1125000</v>
      </c>
      <c r="K226" t="s">
        <v>724</v>
      </c>
      <c r="L226">
        <f t="shared" si="23"/>
        <v>0.17291666666666669</v>
      </c>
      <c r="M226" s="5">
        <v>0.17291666666666669</v>
      </c>
      <c r="N226" t="s">
        <v>18</v>
      </c>
      <c r="R226" s="3">
        <f t="shared" si="19"/>
        <v>4.1500000000000004</v>
      </c>
    </row>
    <row r="227" spans="1:18" hidden="1" x14ac:dyDescent="0.25">
      <c r="A227" t="s">
        <v>2234</v>
      </c>
      <c r="B227" t="s">
        <v>2596</v>
      </c>
      <c r="C227" t="s">
        <v>2193</v>
      </c>
      <c r="D227" s="3">
        <f t="shared" si="20"/>
        <v>6</v>
      </c>
      <c r="E227" t="s">
        <v>285</v>
      </c>
      <c r="F227" t="s">
        <v>13</v>
      </c>
      <c r="G227" t="str">
        <f t="shared" si="21"/>
        <v/>
      </c>
      <c r="H227" t="s">
        <v>14</v>
      </c>
      <c r="I227" t="s">
        <v>2235</v>
      </c>
      <c r="J227" s="2">
        <f t="shared" si="22"/>
        <v>825000</v>
      </c>
      <c r="K227" t="s">
        <v>715</v>
      </c>
      <c r="L227">
        <f t="shared" si="23"/>
        <v>0.20833333333333334</v>
      </c>
      <c r="M227" s="5">
        <v>0.20833333333333334</v>
      </c>
      <c r="N227" t="s">
        <v>18</v>
      </c>
      <c r="R227" s="3">
        <f t="shared" si="19"/>
        <v>5</v>
      </c>
    </row>
    <row r="228" spans="1:18" hidden="1" x14ac:dyDescent="0.25">
      <c r="A228" t="s">
        <v>1529</v>
      </c>
      <c r="B228" t="s">
        <v>1303</v>
      </c>
      <c r="C228" t="s">
        <v>1312</v>
      </c>
      <c r="D228" s="3">
        <f t="shared" si="20"/>
        <v>4.8600000000000003</v>
      </c>
      <c r="E228" t="s">
        <v>1530</v>
      </c>
      <c r="F228" t="s">
        <v>13</v>
      </c>
      <c r="G228">
        <f t="shared" si="21"/>
        <v>1075000</v>
      </c>
      <c r="H228" t="s">
        <v>838</v>
      </c>
      <c r="I228" t="s">
        <v>1531</v>
      </c>
      <c r="J228" s="2">
        <f t="shared" si="22"/>
        <v>991000</v>
      </c>
      <c r="K228" t="s">
        <v>1532</v>
      </c>
      <c r="L228">
        <f t="shared" si="23"/>
        <v>0.17291666666666669</v>
      </c>
      <c r="M228" s="5">
        <v>0.17291666666666669</v>
      </c>
      <c r="N228" t="s">
        <v>43</v>
      </c>
      <c r="P228" t="s">
        <v>1063</v>
      </c>
      <c r="R228" s="3">
        <f t="shared" si="19"/>
        <v>4.1500000000000004</v>
      </c>
    </row>
    <row r="229" spans="1:18" hidden="1" x14ac:dyDescent="0.25">
      <c r="A229" t="s">
        <v>1866</v>
      </c>
      <c r="B229" t="s">
        <v>1303</v>
      </c>
      <c r="C229" t="s">
        <v>1312</v>
      </c>
      <c r="D229" s="3">
        <f t="shared" si="20"/>
        <v>11</v>
      </c>
      <c r="E229" t="s">
        <v>1867</v>
      </c>
      <c r="F229" t="s">
        <v>13</v>
      </c>
      <c r="G229" t="str">
        <f t="shared" si="21"/>
        <v/>
      </c>
      <c r="H229" t="s">
        <v>14</v>
      </c>
      <c r="I229" t="s">
        <v>1868</v>
      </c>
      <c r="J229" s="2">
        <f t="shared" si="22"/>
        <v>1425000</v>
      </c>
      <c r="K229" t="s">
        <v>909</v>
      </c>
      <c r="L229">
        <f t="shared" si="23"/>
        <v>0.17083333333333331</v>
      </c>
      <c r="M229" s="5">
        <v>0.17083333333333331</v>
      </c>
      <c r="N229" t="s">
        <v>43</v>
      </c>
      <c r="P229" t="s">
        <v>1063</v>
      </c>
      <c r="R229" s="3">
        <f t="shared" si="19"/>
        <v>4.0999999999999996</v>
      </c>
    </row>
    <row r="230" spans="1:18" hidden="1" x14ac:dyDescent="0.25">
      <c r="A230" t="s">
        <v>5473</v>
      </c>
      <c r="B230" t="s">
        <v>5848</v>
      </c>
      <c r="C230" t="s">
        <v>5331</v>
      </c>
      <c r="D230" s="3">
        <f t="shared" si="20"/>
        <v>11.47</v>
      </c>
      <c r="E230" t="s">
        <v>1509</v>
      </c>
      <c r="F230" t="s">
        <v>34</v>
      </c>
      <c r="G230">
        <f t="shared" si="21"/>
        <v>1225000</v>
      </c>
      <c r="H230" t="s">
        <v>661</v>
      </c>
      <c r="I230" t="s">
        <v>5474</v>
      </c>
      <c r="J230" s="2">
        <f t="shared" si="22"/>
        <v>1165000</v>
      </c>
      <c r="K230" t="s">
        <v>2949</v>
      </c>
      <c r="L230">
        <f t="shared" si="23"/>
        <v>0.20833333333333334</v>
      </c>
      <c r="M230" s="5">
        <v>0.20833333333333334</v>
      </c>
      <c r="N230" t="s">
        <v>18</v>
      </c>
      <c r="P230" t="s">
        <v>866</v>
      </c>
      <c r="R230" s="3">
        <f t="shared" si="19"/>
        <v>5</v>
      </c>
    </row>
    <row r="231" spans="1:18" hidden="1" x14ac:dyDescent="0.25">
      <c r="A231" t="s">
        <v>4303</v>
      </c>
      <c r="B231" t="s">
        <v>4272</v>
      </c>
      <c r="C231" t="s">
        <v>4281</v>
      </c>
      <c r="D231" s="3">
        <f t="shared" si="20"/>
        <v>9</v>
      </c>
      <c r="E231" t="s">
        <v>12</v>
      </c>
      <c r="F231" t="s">
        <v>13</v>
      </c>
      <c r="G231" t="str">
        <f t="shared" si="21"/>
        <v/>
      </c>
      <c r="H231" t="s">
        <v>14</v>
      </c>
      <c r="I231" t="s">
        <v>4304</v>
      </c>
      <c r="J231" s="2">
        <f t="shared" si="22"/>
        <v>1252000</v>
      </c>
      <c r="K231" t="s">
        <v>4305</v>
      </c>
      <c r="L231">
        <f t="shared" si="23"/>
        <v>0</v>
      </c>
      <c r="N231" t="s">
        <v>18</v>
      </c>
      <c r="P231" t="s">
        <v>4282</v>
      </c>
      <c r="R231" s="3">
        <f t="shared" si="19"/>
        <v>0</v>
      </c>
    </row>
    <row r="232" spans="1:18" x14ac:dyDescent="0.25">
      <c r="A232" t="s">
        <v>4776</v>
      </c>
      <c r="B232" t="s">
        <v>4272</v>
      </c>
      <c r="C232" t="s">
        <v>4281</v>
      </c>
      <c r="D232" s="3">
        <f t="shared" si="20"/>
        <v>5.52</v>
      </c>
      <c r="E232" t="s">
        <v>2537</v>
      </c>
      <c r="F232" t="s">
        <v>13</v>
      </c>
      <c r="G232">
        <f t="shared" si="21"/>
        <v>768000</v>
      </c>
      <c r="H232" t="s">
        <v>4777</v>
      </c>
      <c r="I232" t="s">
        <v>4778</v>
      </c>
      <c r="J232" s="2">
        <f t="shared" si="22"/>
        <v>708560</v>
      </c>
      <c r="K232" t="s">
        <v>4779</v>
      </c>
      <c r="L232">
        <f t="shared" si="23"/>
        <v>0.17291666666666669</v>
      </c>
      <c r="M232" s="5">
        <v>0.17291666666666669</v>
      </c>
      <c r="N232" t="s">
        <v>37</v>
      </c>
      <c r="P232" t="s">
        <v>4282</v>
      </c>
      <c r="R232" s="3">
        <f t="shared" si="19"/>
        <v>4.1500000000000004</v>
      </c>
    </row>
    <row r="233" spans="1:18" hidden="1" x14ac:dyDescent="0.25">
      <c r="A233" t="s">
        <v>774</v>
      </c>
      <c r="B233" t="s">
        <v>640</v>
      </c>
      <c r="C233" t="s">
        <v>657</v>
      </c>
      <c r="D233" s="3">
        <f t="shared" si="20"/>
        <v>8.75</v>
      </c>
      <c r="E233" t="s">
        <v>775</v>
      </c>
      <c r="F233" t="s">
        <v>13</v>
      </c>
      <c r="G233">
        <f t="shared" si="21"/>
        <v>1125000</v>
      </c>
      <c r="H233" t="s">
        <v>724</v>
      </c>
      <c r="I233" t="s">
        <v>776</v>
      </c>
      <c r="J233" s="2">
        <f t="shared" si="22"/>
        <v>1015000</v>
      </c>
      <c r="K233" t="s">
        <v>726</v>
      </c>
      <c r="L233">
        <f t="shared" si="23"/>
        <v>0.17083333333333331</v>
      </c>
      <c r="M233" s="5">
        <v>0.17083333333333331</v>
      </c>
      <c r="N233" t="s">
        <v>37</v>
      </c>
      <c r="P233" t="s">
        <v>727</v>
      </c>
      <c r="R233" s="3">
        <f t="shared" si="19"/>
        <v>4.0999999999999996</v>
      </c>
    </row>
    <row r="234" spans="1:18" hidden="1" x14ac:dyDescent="0.25">
      <c r="A234" t="s">
        <v>902</v>
      </c>
      <c r="B234" t="s">
        <v>640</v>
      </c>
      <c r="C234" t="s">
        <v>657</v>
      </c>
      <c r="D234" s="3">
        <f t="shared" si="20"/>
        <v>6</v>
      </c>
      <c r="E234" t="s">
        <v>285</v>
      </c>
      <c r="F234" t="s">
        <v>13</v>
      </c>
      <c r="G234">
        <f t="shared" si="21"/>
        <v>925000</v>
      </c>
      <c r="H234" t="s">
        <v>649</v>
      </c>
      <c r="I234" t="s">
        <v>903</v>
      </c>
      <c r="J234" s="2">
        <f t="shared" si="22"/>
        <v>835000</v>
      </c>
      <c r="K234" t="s">
        <v>651</v>
      </c>
      <c r="L234">
        <f t="shared" si="23"/>
        <v>0.17083333333333331</v>
      </c>
      <c r="M234" s="5">
        <v>0.17083333333333331</v>
      </c>
      <c r="N234" t="s">
        <v>37</v>
      </c>
      <c r="P234" t="s">
        <v>199</v>
      </c>
      <c r="R234" s="3">
        <f t="shared" si="19"/>
        <v>4.0999999999999996</v>
      </c>
    </row>
    <row r="235" spans="1:18" hidden="1" x14ac:dyDescent="0.25">
      <c r="A235" t="s">
        <v>769</v>
      </c>
      <c r="B235" t="s">
        <v>640</v>
      </c>
      <c r="C235" t="s">
        <v>657</v>
      </c>
      <c r="D235" s="3">
        <f t="shared" si="20"/>
        <v>6.25</v>
      </c>
      <c r="E235" t="s">
        <v>74</v>
      </c>
      <c r="F235" t="s">
        <v>13</v>
      </c>
      <c r="G235">
        <f t="shared" si="21"/>
        <v>825000</v>
      </c>
      <c r="H235" t="s">
        <v>715</v>
      </c>
      <c r="I235" t="s">
        <v>770</v>
      </c>
      <c r="J235" s="2">
        <f t="shared" si="22"/>
        <v>745000</v>
      </c>
      <c r="K235" t="s">
        <v>717</v>
      </c>
      <c r="L235">
        <f t="shared" si="23"/>
        <v>0.17222222222222225</v>
      </c>
      <c r="M235" s="5">
        <v>0.17222222222222225</v>
      </c>
      <c r="N235" t="s">
        <v>37</v>
      </c>
      <c r="P235" t="s">
        <v>719</v>
      </c>
      <c r="R235" s="3">
        <f t="shared" si="19"/>
        <v>4.1333333333333337</v>
      </c>
    </row>
    <row r="236" spans="1:18" hidden="1" x14ac:dyDescent="0.25">
      <c r="A236" t="s">
        <v>862</v>
      </c>
      <c r="B236" t="s">
        <v>640</v>
      </c>
      <c r="C236" t="s">
        <v>657</v>
      </c>
      <c r="D236" s="3">
        <f t="shared" si="20"/>
        <v>4</v>
      </c>
      <c r="E236" t="s">
        <v>313</v>
      </c>
      <c r="F236" t="s">
        <v>13</v>
      </c>
      <c r="G236">
        <f t="shared" si="21"/>
        <v>625000</v>
      </c>
      <c r="H236" t="s">
        <v>863</v>
      </c>
      <c r="I236" t="s">
        <v>864</v>
      </c>
      <c r="J236" s="2">
        <f t="shared" si="22"/>
        <v>565000</v>
      </c>
      <c r="K236" t="s">
        <v>865</v>
      </c>
      <c r="L236">
        <f t="shared" si="23"/>
        <v>0.17013888888888887</v>
      </c>
      <c r="M236" s="5">
        <v>0.17013888888888887</v>
      </c>
      <c r="N236" t="s">
        <v>37</v>
      </c>
      <c r="P236" t="s">
        <v>866</v>
      </c>
      <c r="R236" s="3">
        <f t="shared" si="19"/>
        <v>4.083333333333333</v>
      </c>
    </row>
    <row r="237" spans="1:18" hidden="1" x14ac:dyDescent="0.25">
      <c r="A237" t="s">
        <v>2848</v>
      </c>
      <c r="B237" t="s">
        <v>3206</v>
      </c>
      <c r="C237" t="s">
        <v>2772</v>
      </c>
      <c r="D237" s="3">
        <f t="shared" si="20"/>
        <v>5.0999999999999996</v>
      </c>
      <c r="E237" t="s">
        <v>2849</v>
      </c>
      <c r="F237" t="s">
        <v>34</v>
      </c>
      <c r="G237" t="str">
        <f t="shared" si="21"/>
        <v/>
      </c>
      <c r="H237" t="s">
        <v>14</v>
      </c>
      <c r="I237" t="s">
        <v>2850</v>
      </c>
      <c r="J237" s="2">
        <f t="shared" si="22"/>
        <v>1325000</v>
      </c>
      <c r="K237" t="s">
        <v>683</v>
      </c>
      <c r="L237">
        <f t="shared" si="23"/>
        <v>0.16944444444444443</v>
      </c>
      <c r="M237" s="5">
        <v>0.16944444444444443</v>
      </c>
      <c r="N237" t="s">
        <v>37</v>
      </c>
      <c r="P237" t="s">
        <v>1053</v>
      </c>
      <c r="R237" s="3">
        <f t="shared" si="19"/>
        <v>4.0666666666666664</v>
      </c>
    </row>
    <row r="238" spans="1:18" hidden="1" x14ac:dyDescent="0.25">
      <c r="A238" t="s">
        <v>2106</v>
      </c>
      <c r="B238" t="s">
        <v>2596</v>
      </c>
      <c r="C238" t="s">
        <v>2064</v>
      </c>
      <c r="D238" s="3">
        <f t="shared" si="20"/>
        <v>5.6700000000000008</v>
      </c>
      <c r="E238" t="s">
        <v>2107</v>
      </c>
      <c r="F238" t="s">
        <v>13</v>
      </c>
      <c r="G238">
        <f t="shared" si="21"/>
        <v>1275000</v>
      </c>
      <c r="H238" t="s">
        <v>698</v>
      </c>
      <c r="I238" t="s">
        <v>2108</v>
      </c>
      <c r="J238" s="2">
        <f t="shared" si="22"/>
        <v>1212500</v>
      </c>
      <c r="K238" t="s">
        <v>1935</v>
      </c>
      <c r="L238">
        <f t="shared" si="23"/>
        <v>0.17083333333333331</v>
      </c>
      <c r="M238" s="5">
        <v>0.17083333333333331</v>
      </c>
      <c r="N238" t="s">
        <v>43</v>
      </c>
      <c r="P238" t="s">
        <v>1774</v>
      </c>
      <c r="R238" s="3">
        <f t="shared" si="19"/>
        <v>4.0999999999999996</v>
      </c>
    </row>
    <row r="239" spans="1:18" hidden="1" x14ac:dyDescent="0.25">
      <c r="A239" t="s">
        <v>874</v>
      </c>
      <c r="B239" t="s">
        <v>640</v>
      </c>
      <c r="C239" t="s">
        <v>643</v>
      </c>
      <c r="D239" s="3">
        <f t="shared" si="20"/>
        <v>14</v>
      </c>
      <c r="E239" t="s">
        <v>875</v>
      </c>
      <c r="F239" t="s">
        <v>34</v>
      </c>
      <c r="G239">
        <f t="shared" si="21"/>
        <v>1225000</v>
      </c>
      <c r="H239" t="s">
        <v>661</v>
      </c>
      <c r="I239" t="s">
        <v>876</v>
      </c>
      <c r="J239" s="2">
        <f t="shared" si="22"/>
        <v>1105000</v>
      </c>
      <c r="K239" t="s">
        <v>663</v>
      </c>
      <c r="L239">
        <f t="shared" si="23"/>
        <v>0.17291666666666669</v>
      </c>
      <c r="M239" s="5">
        <v>0.17291666666666669</v>
      </c>
      <c r="N239" t="s">
        <v>37</v>
      </c>
      <c r="P239" t="s">
        <v>665</v>
      </c>
      <c r="R239" s="3">
        <f t="shared" si="19"/>
        <v>4.1500000000000004</v>
      </c>
    </row>
    <row r="240" spans="1:18" hidden="1" x14ac:dyDescent="0.25">
      <c r="A240" t="s">
        <v>777</v>
      </c>
      <c r="B240" t="s">
        <v>640</v>
      </c>
      <c r="C240" t="s">
        <v>643</v>
      </c>
      <c r="D240" s="3">
        <f t="shared" si="20"/>
        <v>11.549999999999999</v>
      </c>
      <c r="E240" t="s">
        <v>778</v>
      </c>
      <c r="F240" t="s">
        <v>34</v>
      </c>
      <c r="G240">
        <f t="shared" si="21"/>
        <v>1175000</v>
      </c>
      <c r="H240" t="s">
        <v>779</v>
      </c>
      <c r="I240" t="s">
        <v>780</v>
      </c>
      <c r="J240" s="2">
        <f t="shared" si="22"/>
        <v>1060000</v>
      </c>
      <c r="K240" t="s">
        <v>781</v>
      </c>
      <c r="L240">
        <f t="shared" si="23"/>
        <v>0.17083333333333331</v>
      </c>
      <c r="M240" s="5">
        <v>0.17083333333333331</v>
      </c>
      <c r="N240" t="s">
        <v>37</v>
      </c>
      <c r="P240" t="s">
        <v>752</v>
      </c>
      <c r="R240" s="3">
        <f t="shared" si="19"/>
        <v>4.0999999999999996</v>
      </c>
    </row>
    <row r="241" spans="1:18" x14ac:dyDescent="0.25">
      <c r="A241" t="s">
        <v>4365</v>
      </c>
      <c r="B241" t="s">
        <v>4272</v>
      </c>
      <c r="C241" t="s">
        <v>4311</v>
      </c>
      <c r="D241" s="3">
        <f t="shared" si="20"/>
        <v>7.25</v>
      </c>
      <c r="E241" t="s">
        <v>4366</v>
      </c>
      <c r="F241" t="s">
        <v>34</v>
      </c>
      <c r="G241">
        <f t="shared" si="21"/>
        <v>745000</v>
      </c>
      <c r="H241" t="s">
        <v>717</v>
      </c>
      <c r="I241" t="s">
        <v>4367</v>
      </c>
      <c r="J241" s="2">
        <f t="shared" si="22"/>
        <v>709000</v>
      </c>
      <c r="K241" t="s">
        <v>4368</v>
      </c>
      <c r="L241">
        <f t="shared" si="23"/>
        <v>0.16874999999999998</v>
      </c>
      <c r="M241" s="5">
        <v>0.16874999999999998</v>
      </c>
      <c r="N241" t="s">
        <v>18</v>
      </c>
      <c r="P241" t="s">
        <v>4369</v>
      </c>
      <c r="R241" s="3">
        <f t="shared" si="19"/>
        <v>4.05</v>
      </c>
    </row>
    <row r="242" spans="1:18" x14ac:dyDescent="0.25">
      <c r="A242" t="s">
        <v>714</v>
      </c>
      <c r="B242" t="s">
        <v>640</v>
      </c>
      <c r="C242" t="s">
        <v>718</v>
      </c>
      <c r="D242" s="3">
        <f t="shared" si="20"/>
        <v>12</v>
      </c>
      <c r="E242" t="s">
        <v>33</v>
      </c>
      <c r="F242" t="s">
        <v>13</v>
      </c>
      <c r="G242">
        <f t="shared" si="21"/>
        <v>825000</v>
      </c>
      <c r="H242" t="s">
        <v>715</v>
      </c>
      <c r="I242" t="s">
        <v>716</v>
      </c>
      <c r="J242" s="2">
        <f t="shared" si="22"/>
        <v>745000</v>
      </c>
      <c r="K242" t="s">
        <v>717</v>
      </c>
      <c r="L242">
        <f t="shared" si="23"/>
        <v>0.17291666666666669</v>
      </c>
      <c r="M242" s="5">
        <v>0.17291666666666669</v>
      </c>
      <c r="N242" t="s">
        <v>18</v>
      </c>
      <c r="P242" t="s">
        <v>719</v>
      </c>
      <c r="R242" s="3">
        <f t="shared" si="19"/>
        <v>4.1500000000000004</v>
      </c>
    </row>
    <row r="243" spans="1:18" hidden="1" x14ac:dyDescent="0.25">
      <c r="A243" t="s">
        <v>2260</v>
      </c>
      <c r="B243" t="s">
        <v>2596</v>
      </c>
      <c r="C243" t="s">
        <v>1999</v>
      </c>
      <c r="D243" s="3">
        <f t="shared" si="20"/>
        <v>8</v>
      </c>
      <c r="E243" t="s">
        <v>1996</v>
      </c>
      <c r="F243" t="s">
        <v>13</v>
      </c>
      <c r="G243">
        <f t="shared" si="21"/>
        <v>1265000</v>
      </c>
      <c r="H243" t="s">
        <v>2261</v>
      </c>
      <c r="I243" t="s">
        <v>1997</v>
      </c>
      <c r="J243" s="2">
        <f t="shared" si="22"/>
        <v>1203000</v>
      </c>
      <c r="K243" t="s">
        <v>2262</v>
      </c>
      <c r="L243">
        <f t="shared" si="23"/>
        <v>0.17222222222222225</v>
      </c>
      <c r="M243" s="5">
        <v>0.17222222222222225</v>
      </c>
      <c r="N243" t="s">
        <v>43</v>
      </c>
      <c r="P243" t="s">
        <v>1470</v>
      </c>
      <c r="R243" s="3">
        <f t="shared" si="19"/>
        <v>4.1333333333333337</v>
      </c>
    </row>
    <row r="244" spans="1:18" hidden="1" x14ac:dyDescent="0.25">
      <c r="A244" t="s">
        <v>2321</v>
      </c>
      <c r="B244" t="s">
        <v>2596</v>
      </c>
      <c r="C244" t="s">
        <v>1999</v>
      </c>
      <c r="D244" s="3">
        <f t="shared" si="20"/>
        <v>8</v>
      </c>
      <c r="E244" t="s">
        <v>1996</v>
      </c>
      <c r="F244" t="s">
        <v>13</v>
      </c>
      <c r="G244">
        <f t="shared" si="21"/>
        <v>1365000</v>
      </c>
      <c r="H244" t="s">
        <v>2322</v>
      </c>
      <c r="I244" t="s">
        <v>1997</v>
      </c>
      <c r="J244" s="2">
        <f t="shared" si="22"/>
        <v>1298000</v>
      </c>
      <c r="K244" t="s">
        <v>2323</v>
      </c>
      <c r="L244">
        <f t="shared" si="23"/>
        <v>0.17291666666666669</v>
      </c>
      <c r="M244" s="5">
        <v>0.17291666666666669</v>
      </c>
      <c r="N244" t="s">
        <v>43</v>
      </c>
      <c r="P244" t="s">
        <v>2324</v>
      </c>
      <c r="R244" s="3">
        <f t="shared" si="19"/>
        <v>4.1500000000000004</v>
      </c>
    </row>
    <row r="245" spans="1:18" hidden="1" x14ac:dyDescent="0.25">
      <c r="A245" t="s">
        <v>1995</v>
      </c>
      <c r="B245" t="s">
        <v>2596</v>
      </c>
      <c r="C245" t="s">
        <v>1999</v>
      </c>
      <c r="D245" s="3">
        <f t="shared" si="20"/>
        <v>8</v>
      </c>
      <c r="E245" t="s">
        <v>1996</v>
      </c>
      <c r="F245" t="s">
        <v>13</v>
      </c>
      <c r="G245">
        <f t="shared" si="21"/>
        <v>1615000</v>
      </c>
      <c r="H245" t="s">
        <v>765</v>
      </c>
      <c r="I245" t="s">
        <v>1997</v>
      </c>
      <c r="J245" s="2">
        <f t="shared" si="22"/>
        <v>1535500</v>
      </c>
      <c r="K245" t="s">
        <v>1998</v>
      </c>
      <c r="L245">
        <f t="shared" si="23"/>
        <v>0.17222222222222225</v>
      </c>
      <c r="M245" s="5">
        <v>0.17222222222222225</v>
      </c>
      <c r="N245" t="s">
        <v>43</v>
      </c>
      <c r="P245" t="s">
        <v>719</v>
      </c>
      <c r="R245" s="3">
        <f t="shared" si="19"/>
        <v>4.1333333333333337</v>
      </c>
    </row>
    <row r="246" spans="1:18" hidden="1" x14ac:dyDescent="0.25">
      <c r="A246" t="s">
        <v>2236</v>
      </c>
      <c r="B246" t="s">
        <v>2596</v>
      </c>
      <c r="C246" t="s">
        <v>1999</v>
      </c>
      <c r="D246" s="3">
        <f t="shared" si="20"/>
        <v>8</v>
      </c>
      <c r="E246" t="s">
        <v>1996</v>
      </c>
      <c r="F246" t="s">
        <v>13</v>
      </c>
      <c r="G246">
        <f t="shared" si="21"/>
        <v>1665000</v>
      </c>
      <c r="H246" t="s">
        <v>2237</v>
      </c>
      <c r="I246" t="s">
        <v>2238</v>
      </c>
      <c r="J246" s="2">
        <f t="shared" si="22"/>
        <v>1583000</v>
      </c>
      <c r="K246" t="s">
        <v>2239</v>
      </c>
      <c r="L246">
        <f t="shared" si="23"/>
        <v>0.17222222222222225</v>
      </c>
      <c r="M246" s="5">
        <v>0.17222222222222225</v>
      </c>
      <c r="N246" t="s">
        <v>43</v>
      </c>
      <c r="P246" t="s">
        <v>2240</v>
      </c>
      <c r="R246" s="3">
        <f t="shared" si="19"/>
        <v>4.1333333333333337</v>
      </c>
    </row>
    <row r="247" spans="1:18" hidden="1" x14ac:dyDescent="0.25">
      <c r="A247" t="s">
        <v>808</v>
      </c>
      <c r="B247" t="s">
        <v>640</v>
      </c>
      <c r="C247" t="s">
        <v>643</v>
      </c>
      <c r="D247" s="3">
        <f t="shared" si="20"/>
        <v>13.5</v>
      </c>
      <c r="E247" t="s">
        <v>667</v>
      </c>
      <c r="F247" t="s">
        <v>34</v>
      </c>
      <c r="G247">
        <f t="shared" si="21"/>
        <v>900000</v>
      </c>
      <c r="H247" t="s">
        <v>101</v>
      </c>
      <c r="I247" t="s">
        <v>809</v>
      </c>
      <c r="J247" s="2">
        <f t="shared" si="22"/>
        <v>810000</v>
      </c>
      <c r="K247" t="s">
        <v>810</v>
      </c>
      <c r="L247">
        <f t="shared" si="23"/>
        <v>0.17291666666666669</v>
      </c>
      <c r="M247" s="5">
        <v>0.17291666666666669</v>
      </c>
      <c r="N247" t="s">
        <v>18</v>
      </c>
      <c r="P247" t="s">
        <v>199</v>
      </c>
      <c r="R247" s="3">
        <f t="shared" si="19"/>
        <v>4.1500000000000004</v>
      </c>
    </row>
    <row r="248" spans="1:18" hidden="1" x14ac:dyDescent="0.25">
      <c r="A248" t="s">
        <v>2465</v>
      </c>
      <c r="B248" t="s">
        <v>2596</v>
      </c>
      <c r="C248" t="s">
        <v>2024</v>
      </c>
      <c r="D248" s="3">
        <f t="shared" si="20"/>
        <v>16.200000000000003</v>
      </c>
      <c r="E248" t="s">
        <v>2466</v>
      </c>
      <c r="F248" t="s">
        <v>13</v>
      </c>
      <c r="G248">
        <f t="shared" si="21"/>
        <v>1823000</v>
      </c>
      <c r="H248" t="s">
        <v>2467</v>
      </c>
      <c r="I248" t="s">
        <v>2468</v>
      </c>
      <c r="J248" s="2">
        <f t="shared" si="22"/>
        <v>1733100</v>
      </c>
      <c r="K248" t="s">
        <v>2469</v>
      </c>
      <c r="L248">
        <f t="shared" si="23"/>
        <v>0.17083333333333331</v>
      </c>
      <c r="M248" s="5">
        <v>0.17083333333333331</v>
      </c>
      <c r="N248" t="s">
        <v>43</v>
      </c>
      <c r="P248" t="s">
        <v>199</v>
      </c>
      <c r="R248" s="3">
        <f t="shared" si="19"/>
        <v>4.0999999999999996</v>
      </c>
    </row>
    <row r="249" spans="1:18" hidden="1" x14ac:dyDescent="0.25">
      <c r="A249" t="s">
        <v>2103</v>
      </c>
      <c r="B249" t="s">
        <v>2596</v>
      </c>
      <c r="C249" t="s">
        <v>2024</v>
      </c>
      <c r="D249" s="3">
        <f t="shared" si="20"/>
        <v>8.64</v>
      </c>
      <c r="E249" t="s">
        <v>983</v>
      </c>
      <c r="F249" t="s">
        <v>13</v>
      </c>
      <c r="G249" t="str">
        <f t="shared" si="21"/>
        <v/>
      </c>
      <c r="H249" t="s">
        <v>14</v>
      </c>
      <c r="I249" t="s">
        <v>2104</v>
      </c>
      <c r="J249" s="2">
        <f t="shared" si="22"/>
        <v>1323000</v>
      </c>
      <c r="K249" t="s">
        <v>2105</v>
      </c>
      <c r="L249">
        <f t="shared" si="23"/>
        <v>0.17222222222222225</v>
      </c>
      <c r="M249" s="5">
        <v>0.17222222222222225</v>
      </c>
      <c r="N249" t="s">
        <v>43</v>
      </c>
      <c r="P249" t="s">
        <v>199</v>
      </c>
      <c r="R249" s="3">
        <f t="shared" si="19"/>
        <v>4.1333333333333337</v>
      </c>
    </row>
    <row r="250" spans="1:18" hidden="1" x14ac:dyDescent="0.25">
      <c r="A250" t="s">
        <v>2561</v>
      </c>
      <c r="B250" t="s">
        <v>2596</v>
      </c>
      <c r="C250" t="s">
        <v>2024</v>
      </c>
      <c r="D250" s="3">
        <f t="shared" si="20"/>
        <v>8.64</v>
      </c>
      <c r="E250" t="s">
        <v>983</v>
      </c>
      <c r="F250" t="s">
        <v>13</v>
      </c>
      <c r="G250" t="str">
        <f t="shared" si="21"/>
        <v/>
      </c>
      <c r="H250" t="s">
        <v>14</v>
      </c>
      <c r="I250" t="s">
        <v>2562</v>
      </c>
      <c r="J250" s="2">
        <f t="shared" si="22"/>
        <v>923000</v>
      </c>
      <c r="K250" t="s">
        <v>2563</v>
      </c>
      <c r="L250">
        <f t="shared" si="23"/>
        <v>0.17013888888888887</v>
      </c>
      <c r="M250" s="5">
        <v>0.17013888888888887</v>
      </c>
      <c r="N250" t="s">
        <v>43</v>
      </c>
      <c r="P250" t="s">
        <v>199</v>
      </c>
      <c r="R250" s="3">
        <f t="shared" si="19"/>
        <v>4.083333333333333</v>
      </c>
    </row>
    <row r="251" spans="1:18" hidden="1" x14ac:dyDescent="0.25">
      <c r="A251" t="s">
        <v>5553</v>
      </c>
      <c r="B251" t="s">
        <v>5848</v>
      </c>
      <c r="C251" t="s">
        <v>5363</v>
      </c>
      <c r="D251" s="3">
        <f t="shared" si="20"/>
        <v>7</v>
      </c>
      <c r="E251" t="s">
        <v>2358</v>
      </c>
      <c r="F251" t="s">
        <v>34</v>
      </c>
      <c r="G251">
        <f t="shared" si="21"/>
        <v>1425000</v>
      </c>
      <c r="H251" t="s">
        <v>909</v>
      </c>
      <c r="I251" t="s">
        <v>5554</v>
      </c>
      <c r="J251" s="2">
        <f t="shared" si="22"/>
        <v>1355000</v>
      </c>
      <c r="K251" t="s">
        <v>2063</v>
      </c>
      <c r="L251">
        <f t="shared" si="23"/>
        <v>0.16944444444444443</v>
      </c>
      <c r="M251" s="5">
        <v>0.16944444444444443</v>
      </c>
      <c r="N251" t="s">
        <v>18</v>
      </c>
      <c r="P251" t="s">
        <v>2065</v>
      </c>
      <c r="R251" s="3">
        <f t="shared" si="19"/>
        <v>4.0666666666666664</v>
      </c>
    </row>
    <row r="252" spans="1:18" hidden="1" x14ac:dyDescent="0.25">
      <c r="A252" t="s">
        <v>5496</v>
      </c>
      <c r="B252" t="s">
        <v>5848</v>
      </c>
      <c r="C252" t="s">
        <v>5363</v>
      </c>
      <c r="D252" s="3">
        <f t="shared" si="20"/>
        <v>5</v>
      </c>
      <c r="E252" t="s">
        <v>60</v>
      </c>
      <c r="F252" t="s">
        <v>34</v>
      </c>
      <c r="G252">
        <f t="shared" si="21"/>
        <v>975000</v>
      </c>
      <c r="H252" t="s">
        <v>544</v>
      </c>
      <c r="I252" t="s">
        <v>5497</v>
      </c>
      <c r="J252" s="2">
        <f t="shared" si="22"/>
        <v>927500</v>
      </c>
      <c r="K252" t="s">
        <v>1506</v>
      </c>
      <c r="L252">
        <f t="shared" si="23"/>
        <v>0.17222222222222225</v>
      </c>
      <c r="M252" s="5">
        <v>0.17222222222222225</v>
      </c>
      <c r="N252" t="s">
        <v>18</v>
      </c>
      <c r="P252" t="s">
        <v>1507</v>
      </c>
      <c r="R252" s="3">
        <f t="shared" si="19"/>
        <v>4.1333333333333337</v>
      </c>
    </row>
    <row r="253" spans="1:18" hidden="1" x14ac:dyDescent="0.25">
      <c r="A253" t="s">
        <v>687</v>
      </c>
      <c r="B253" t="s">
        <v>640</v>
      </c>
      <c r="C253" t="s">
        <v>643</v>
      </c>
      <c r="D253" s="3">
        <f t="shared" si="20"/>
        <v>9</v>
      </c>
      <c r="E253" t="s">
        <v>12</v>
      </c>
      <c r="F253" t="s">
        <v>34</v>
      </c>
      <c r="G253">
        <f t="shared" si="21"/>
        <v>898000</v>
      </c>
      <c r="H253" t="s">
        <v>688</v>
      </c>
      <c r="I253" t="s">
        <v>689</v>
      </c>
      <c r="J253" s="2">
        <f t="shared" si="22"/>
        <v>810700</v>
      </c>
      <c r="K253" t="s">
        <v>690</v>
      </c>
      <c r="L253">
        <f t="shared" si="23"/>
        <v>0.17222222222222225</v>
      </c>
      <c r="M253" s="5">
        <v>0.17222222222222225</v>
      </c>
      <c r="N253" t="s">
        <v>37</v>
      </c>
      <c r="P253" t="s">
        <v>691</v>
      </c>
      <c r="R253" s="3">
        <f t="shared" si="19"/>
        <v>4.1333333333333337</v>
      </c>
    </row>
    <row r="254" spans="1:18" hidden="1" x14ac:dyDescent="0.25">
      <c r="A254" t="s">
        <v>2721</v>
      </c>
      <c r="B254" t="s">
        <v>3206</v>
      </c>
      <c r="C254" t="s">
        <v>2611</v>
      </c>
      <c r="D254" s="3">
        <f t="shared" si="20"/>
        <v>10.5</v>
      </c>
      <c r="E254" t="s">
        <v>1051</v>
      </c>
      <c r="F254" t="s">
        <v>34</v>
      </c>
      <c r="G254">
        <f t="shared" si="21"/>
        <v>2825000</v>
      </c>
      <c r="H254" t="s">
        <v>1604</v>
      </c>
      <c r="I254" t="s">
        <v>2722</v>
      </c>
      <c r="J254" s="2">
        <f t="shared" si="22"/>
        <v>2685000</v>
      </c>
      <c r="K254" t="s">
        <v>1606</v>
      </c>
      <c r="L254">
        <f t="shared" si="23"/>
        <v>0.20833333333333334</v>
      </c>
      <c r="M254" s="5">
        <v>0.20833333333333334</v>
      </c>
      <c r="N254" t="s">
        <v>18</v>
      </c>
      <c r="P254" t="s">
        <v>1607</v>
      </c>
      <c r="R254" s="3">
        <f t="shared" si="19"/>
        <v>5</v>
      </c>
    </row>
    <row r="255" spans="1:18" hidden="1" x14ac:dyDescent="0.25">
      <c r="A255" t="s">
        <v>2760</v>
      </c>
      <c r="B255" t="s">
        <v>3206</v>
      </c>
      <c r="C255" t="s">
        <v>2611</v>
      </c>
      <c r="D255" s="3">
        <f t="shared" si="20"/>
        <v>9</v>
      </c>
      <c r="E255" t="s">
        <v>12</v>
      </c>
      <c r="F255" t="s">
        <v>34</v>
      </c>
      <c r="G255">
        <f t="shared" si="21"/>
        <v>1925000</v>
      </c>
      <c r="H255" t="s">
        <v>552</v>
      </c>
      <c r="I255" t="s">
        <v>2761</v>
      </c>
      <c r="J255" s="2">
        <f t="shared" si="22"/>
        <v>1830000</v>
      </c>
      <c r="K255" t="s">
        <v>1828</v>
      </c>
      <c r="L255">
        <f t="shared" si="23"/>
        <v>0.17291666666666669</v>
      </c>
      <c r="M255" s="5">
        <v>0.17291666666666669</v>
      </c>
      <c r="N255" t="s">
        <v>18</v>
      </c>
      <c r="P255" t="s">
        <v>1171</v>
      </c>
      <c r="R255" s="3">
        <f t="shared" si="19"/>
        <v>4.1500000000000004</v>
      </c>
    </row>
    <row r="256" spans="1:18" hidden="1" x14ac:dyDescent="0.25">
      <c r="A256" t="s">
        <v>3213</v>
      </c>
      <c r="B256" t="s">
        <v>3206</v>
      </c>
      <c r="C256" t="s">
        <v>2611</v>
      </c>
      <c r="D256" s="3">
        <f t="shared" si="20"/>
        <v>9</v>
      </c>
      <c r="E256" t="s">
        <v>12</v>
      </c>
      <c r="F256" t="s">
        <v>34</v>
      </c>
      <c r="G256">
        <f t="shared" si="21"/>
        <v>1825000</v>
      </c>
      <c r="H256" t="s">
        <v>196</v>
      </c>
      <c r="I256" t="s">
        <v>2761</v>
      </c>
      <c r="J256" s="2">
        <f t="shared" si="22"/>
        <v>1735000</v>
      </c>
      <c r="K256" t="s">
        <v>198</v>
      </c>
      <c r="L256">
        <f t="shared" si="23"/>
        <v>0.20833333333333334</v>
      </c>
      <c r="M256" s="5">
        <v>0.20833333333333334</v>
      </c>
      <c r="N256" t="s">
        <v>18</v>
      </c>
      <c r="P256" t="s">
        <v>199</v>
      </c>
      <c r="R256" s="3">
        <f t="shared" si="19"/>
        <v>5</v>
      </c>
    </row>
    <row r="257" spans="1:18" hidden="1" x14ac:dyDescent="0.25">
      <c r="A257" t="s">
        <v>5797</v>
      </c>
      <c r="B257" t="s">
        <v>5848</v>
      </c>
      <c r="C257" t="s">
        <v>5454</v>
      </c>
      <c r="D257" s="3">
        <f t="shared" si="20"/>
        <v>6</v>
      </c>
      <c r="E257" t="s">
        <v>285</v>
      </c>
      <c r="F257" t="s">
        <v>13</v>
      </c>
      <c r="G257">
        <f t="shared" si="21"/>
        <v>1175000</v>
      </c>
      <c r="H257" t="s">
        <v>779</v>
      </c>
      <c r="I257" t="s">
        <v>5798</v>
      </c>
      <c r="J257" s="2">
        <f t="shared" si="22"/>
        <v>1117500</v>
      </c>
      <c r="K257" t="s">
        <v>3494</v>
      </c>
      <c r="L257">
        <f t="shared" si="23"/>
        <v>0</v>
      </c>
      <c r="N257" t="s">
        <v>43</v>
      </c>
      <c r="P257" t="s">
        <v>3495</v>
      </c>
      <c r="R257" s="3">
        <f t="shared" si="19"/>
        <v>0</v>
      </c>
    </row>
    <row r="258" spans="1:18" hidden="1" x14ac:dyDescent="0.25">
      <c r="A258" t="s">
        <v>5477</v>
      </c>
      <c r="B258" t="s">
        <v>5848</v>
      </c>
      <c r="C258" t="s">
        <v>5454</v>
      </c>
      <c r="D258" s="3">
        <f t="shared" si="20"/>
        <v>9</v>
      </c>
      <c r="E258" t="s">
        <v>12</v>
      </c>
      <c r="F258" t="s">
        <v>13</v>
      </c>
      <c r="G258">
        <f t="shared" si="21"/>
        <v>1075000</v>
      </c>
      <c r="H258" t="s">
        <v>838</v>
      </c>
      <c r="I258" t="s">
        <v>5478</v>
      </c>
      <c r="J258" s="2">
        <f t="shared" si="22"/>
        <v>1022500</v>
      </c>
      <c r="K258" t="s">
        <v>2705</v>
      </c>
      <c r="L258">
        <f t="shared" si="23"/>
        <v>0.17083333333333331</v>
      </c>
      <c r="M258" s="5">
        <v>0.17083333333333331</v>
      </c>
      <c r="N258" t="s">
        <v>43</v>
      </c>
      <c r="P258" t="s">
        <v>2706</v>
      </c>
      <c r="R258" s="3">
        <f t="shared" ref="R258:R321" si="24">24*L258</f>
        <v>4.0999999999999996</v>
      </c>
    </row>
    <row r="259" spans="1:18" x14ac:dyDescent="0.25">
      <c r="A259" t="s">
        <v>296</v>
      </c>
      <c r="B259" t="s">
        <v>20</v>
      </c>
      <c r="C259" t="s">
        <v>298</v>
      </c>
      <c r="D259" s="3">
        <f t="shared" si="20"/>
        <v>12</v>
      </c>
      <c r="E259" t="s">
        <v>33</v>
      </c>
      <c r="F259" t="s">
        <v>13</v>
      </c>
      <c r="G259" t="str">
        <f t="shared" si="21"/>
        <v/>
      </c>
      <c r="H259" t="s">
        <v>14</v>
      </c>
      <c r="I259" t="s">
        <v>297</v>
      </c>
      <c r="J259" s="2">
        <f t="shared" si="22"/>
        <v>750000</v>
      </c>
      <c r="K259" t="s">
        <v>76</v>
      </c>
      <c r="L259">
        <f t="shared" si="23"/>
        <v>0</v>
      </c>
      <c r="N259" t="s">
        <v>43</v>
      </c>
      <c r="R259" s="3">
        <f t="shared" si="24"/>
        <v>0</v>
      </c>
    </row>
    <row r="260" spans="1:18" x14ac:dyDescent="0.25">
      <c r="A260" t="s">
        <v>356</v>
      </c>
      <c r="B260" t="s">
        <v>20</v>
      </c>
      <c r="C260" t="s">
        <v>84</v>
      </c>
      <c r="D260" s="3">
        <f t="shared" si="20"/>
        <v>12</v>
      </c>
      <c r="E260" t="s">
        <v>33</v>
      </c>
      <c r="F260" t="s">
        <v>13</v>
      </c>
      <c r="G260" t="str">
        <f t="shared" si="21"/>
        <v/>
      </c>
      <c r="H260" t="s">
        <v>14</v>
      </c>
      <c r="I260" t="s">
        <v>357</v>
      </c>
      <c r="J260" s="2">
        <f t="shared" si="22"/>
        <v>750000</v>
      </c>
      <c r="K260" t="s">
        <v>76</v>
      </c>
      <c r="L260">
        <f t="shared" si="23"/>
        <v>0.17083333333333331</v>
      </c>
      <c r="M260" s="5">
        <v>0.17083333333333331</v>
      </c>
      <c r="N260" t="s">
        <v>43</v>
      </c>
      <c r="R260" s="3">
        <f t="shared" si="24"/>
        <v>4.0999999999999996</v>
      </c>
    </row>
    <row r="261" spans="1:18" hidden="1" x14ac:dyDescent="0.25">
      <c r="A261" t="s">
        <v>2056</v>
      </c>
      <c r="B261" t="s">
        <v>2596</v>
      </c>
      <c r="C261" t="s">
        <v>1981</v>
      </c>
      <c r="D261" s="3">
        <f t="shared" si="20"/>
        <v>4.25</v>
      </c>
      <c r="E261" t="s">
        <v>2057</v>
      </c>
      <c r="F261" t="s">
        <v>34</v>
      </c>
      <c r="G261">
        <f t="shared" si="21"/>
        <v>750000</v>
      </c>
      <c r="H261" t="s">
        <v>76</v>
      </c>
      <c r="I261" t="s">
        <v>2058</v>
      </c>
      <c r="J261" s="2">
        <f t="shared" si="22"/>
        <v>712500</v>
      </c>
      <c r="K261" t="s">
        <v>2059</v>
      </c>
      <c r="L261">
        <f t="shared" si="23"/>
        <v>0.17083333333333331</v>
      </c>
      <c r="M261" s="5">
        <v>0.17083333333333331</v>
      </c>
      <c r="N261" t="s">
        <v>43</v>
      </c>
      <c r="P261" t="s">
        <v>1835</v>
      </c>
      <c r="R261" s="3">
        <f t="shared" si="24"/>
        <v>4.0999999999999996</v>
      </c>
    </row>
    <row r="262" spans="1:18" hidden="1" x14ac:dyDescent="0.25">
      <c r="A262" t="s">
        <v>5479</v>
      </c>
      <c r="B262" t="s">
        <v>5848</v>
      </c>
      <c r="C262" t="s">
        <v>5339</v>
      </c>
      <c r="D262" s="3">
        <f t="shared" si="20"/>
        <v>13.26</v>
      </c>
      <c r="E262" t="s">
        <v>5480</v>
      </c>
      <c r="F262" t="s">
        <v>13</v>
      </c>
      <c r="G262" t="str">
        <f t="shared" si="21"/>
        <v/>
      </c>
      <c r="H262" t="s">
        <v>14</v>
      </c>
      <c r="I262" t="s">
        <v>5481</v>
      </c>
      <c r="J262" s="2">
        <f t="shared" si="22"/>
        <v>1225000</v>
      </c>
      <c r="K262" t="s">
        <v>661</v>
      </c>
      <c r="L262">
        <f t="shared" si="23"/>
        <v>0.20833333333333334</v>
      </c>
      <c r="M262" s="5">
        <v>0.20833333333333334</v>
      </c>
      <c r="N262" t="s">
        <v>18</v>
      </c>
      <c r="R262" s="3">
        <f t="shared" si="24"/>
        <v>5</v>
      </c>
    </row>
    <row r="263" spans="1:18" hidden="1" x14ac:dyDescent="0.25">
      <c r="A263" t="s">
        <v>5668</v>
      </c>
      <c r="B263" t="s">
        <v>5848</v>
      </c>
      <c r="C263" t="s">
        <v>5339</v>
      </c>
      <c r="D263" s="3">
        <f t="shared" si="20"/>
        <v>9</v>
      </c>
      <c r="E263" t="s">
        <v>12</v>
      </c>
      <c r="F263" t="s">
        <v>13</v>
      </c>
      <c r="G263" t="str">
        <f t="shared" si="21"/>
        <v/>
      </c>
      <c r="H263" t="s">
        <v>14</v>
      </c>
      <c r="I263" t="s">
        <v>5669</v>
      </c>
      <c r="J263" s="2">
        <f t="shared" si="22"/>
        <v>925000</v>
      </c>
      <c r="K263" t="s">
        <v>649</v>
      </c>
      <c r="L263">
        <f t="shared" si="23"/>
        <v>0.17013888888888887</v>
      </c>
      <c r="M263" s="5">
        <v>0.17013888888888887</v>
      </c>
      <c r="N263" t="s">
        <v>18</v>
      </c>
      <c r="R263" s="3">
        <f t="shared" si="24"/>
        <v>4.083333333333333</v>
      </c>
    </row>
    <row r="264" spans="1:18" hidden="1" x14ac:dyDescent="0.25">
      <c r="A264" t="s">
        <v>2141</v>
      </c>
      <c r="B264" t="s">
        <v>2596</v>
      </c>
      <c r="C264" t="s">
        <v>1981</v>
      </c>
      <c r="D264" s="3">
        <f t="shared" si="20"/>
        <v>8.68</v>
      </c>
      <c r="E264" t="s">
        <v>1360</v>
      </c>
      <c r="F264" t="s">
        <v>13</v>
      </c>
      <c r="G264" t="str">
        <f t="shared" si="21"/>
        <v/>
      </c>
      <c r="H264" t="s">
        <v>14</v>
      </c>
      <c r="I264" t="s">
        <v>2142</v>
      </c>
      <c r="J264" s="2">
        <f t="shared" si="22"/>
        <v>1275000</v>
      </c>
      <c r="K264" t="s">
        <v>698</v>
      </c>
      <c r="L264">
        <f t="shared" si="23"/>
        <v>0.16944444444444443</v>
      </c>
      <c r="M264" s="5">
        <v>0.16944444444444443</v>
      </c>
      <c r="N264" t="s">
        <v>43</v>
      </c>
      <c r="P264" t="s">
        <v>2143</v>
      </c>
      <c r="R264" s="3">
        <f t="shared" si="24"/>
        <v>4.0666666666666664</v>
      </c>
    </row>
    <row r="265" spans="1:18" hidden="1" x14ac:dyDescent="0.25">
      <c r="A265" t="s">
        <v>2745</v>
      </c>
      <c r="B265" t="s">
        <v>3206</v>
      </c>
      <c r="C265" t="s">
        <v>2604</v>
      </c>
      <c r="D265" s="3">
        <f t="shared" si="20"/>
        <v>12.25</v>
      </c>
      <c r="E265" t="s">
        <v>187</v>
      </c>
      <c r="F265" t="s">
        <v>34</v>
      </c>
      <c r="G265" t="str">
        <f t="shared" si="21"/>
        <v/>
      </c>
      <c r="H265" t="s">
        <v>14</v>
      </c>
      <c r="I265" t="s">
        <v>2746</v>
      </c>
      <c r="J265" s="2">
        <f t="shared" si="22"/>
        <v>1200000</v>
      </c>
      <c r="K265" t="s">
        <v>36</v>
      </c>
      <c r="L265">
        <f t="shared" si="23"/>
        <v>0.17013888888888887</v>
      </c>
      <c r="M265" s="5">
        <v>0.17013888888888887</v>
      </c>
      <c r="N265" t="s">
        <v>43</v>
      </c>
      <c r="R265" s="3">
        <f t="shared" si="24"/>
        <v>4.083333333333333</v>
      </c>
    </row>
    <row r="266" spans="1:18" hidden="1" x14ac:dyDescent="0.25">
      <c r="A266" t="s">
        <v>2882</v>
      </c>
      <c r="B266" t="s">
        <v>3206</v>
      </c>
      <c r="C266" t="s">
        <v>2671</v>
      </c>
      <c r="D266" s="3">
        <f t="shared" si="20"/>
        <v>7.839999999999999</v>
      </c>
      <c r="E266" t="s">
        <v>1499</v>
      </c>
      <c r="F266" t="s">
        <v>34</v>
      </c>
      <c r="G266" t="str">
        <f t="shared" si="21"/>
        <v/>
      </c>
      <c r="H266" t="s">
        <v>14</v>
      </c>
      <c r="I266" t="s">
        <v>2883</v>
      </c>
      <c r="J266" s="2">
        <f t="shared" si="22"/>
        <v>700000</v>
      </c>
      <c r="K266" t="s">
        <v>157</v>
      </c>
      <c r="L266">
        <f t="shared" si="23"/>
        <v>0.17291666666666669</v>
      </c>
      <c r="M266" s="5">
        <v>0.17291666666666669</v>
      </c>
      <c r="N266" t="s">
        <v>18</v>
      </c>
      <c r="P266" t="s">
        <v>2417</v>
      </c>
      <c r="R266" s="3">
        <f t="shared" si="24"/>
        <v>4.1500000000000004</v>
      </c>
    </row>
    <row r="267" spans="1:18" hidden="1" x14ac:dyDescent="0.25">
      <c r="A267" t="s">
        <v>4387</v>
      </c>
      <c r="B267" t="s">
        <v>4272</v>
      </c>
      <c r="C267" t="s">
        <v>4281</v>
      </c>
      <c r="D267" s="3">
        <f t="shared" ref="D267:D330" si="25">VALUE(LEFT(E267,SEARCH(" x ",E267)-1))*VALUE(MID(E267,SEARCH(" x ",E267)+3,SEARCH(" meter",E267)-SEARCH(" x ",E267)-3))</f>
        <v>9</v>
      </c>
      <c r="E267" t="s">
        <v>12</v>
      </c>
      <c r="F267" t="s">
        <v>34</v>
      </c>
      <c r="G267">
        <f t="shared" ref="G267:G330" si="26">IF(H267="N/A","",VALUE(SUBSTITUTE(SUBSTITUTE(H267,"Rp",""),".","")))</f>
        <v>1325000</v>
      </c>
      <c r="H267" t="s">
        <v>683</v>
      </c>
      <c r="I267" t="s">
        <v>4388</v>
      </c>
      <c r="J267" s="2">
        <f t="shared" ref="J267:J330" si="27">VALUE(SUBSTITUTE(SUBSTITUTE(K267,"Rp",""),".",""))</f>
        <v>1260000</v>
      </c>
      <c r="K267" t="s">
        <v>2165</v>
      </c>
      <c r="L267">
        <f t="shared" ref="L267:L330" si="28">M267:M2607</f>
        <v>0.17013888888888887</v>
      </c>
      <c r="M267" s="5">
        <v>0.17013888888888887</v>
      </c>
      <c r="N267" t="s">
        <v>37</v>
      </c>
      <c r="P267" t="s">
        <v>2166</v>
      </c>
      <c r="R267" s="3">
        <f t="shared" si="24"/>
        <v>4.083333333333333</v>
      </c>
    </row>
    <row r="268" spans="1:18" x14ac:dyDescent="0.25">
      <c r="A268" t="s">
        <v>316</v>
      </c>
      <c r="B268" t="s">
        <v>20</v>
      </c>
      <c r="C268" t="s">
        <v>113</v>
      </c>
      <c r="D268" s="3">
        <f t="shared" si="25"/>
        <v>12</v>
      </c>
      <c r="E268" t="s">
        <v>33</v>
      </c>
      <c r="F268" t="s">
        <v>13</v>
      </c>
      <c r="G268" t="str">
        <f t="shared" si="26"/>
        <v/>
      </c>
      <c r="H268" t="s">
        <v>14</v>
      </c>
      <c r="I268" t="s">
        <v>317</v>
      </c>
      <c r="J268" s="2">
        <f t="shared" si="27"/>
        <v>750000</v>
      </c>
      <c r="K268" t="s">
        <v>76</v>
      </c>
      <c r="L268">
        <f t="shared" si="28"/>
        <v>8.6805555555555566E-2</v>
      </c>
      <c r="M268" s="5">
        <v>8.6805555555555566E-2</v>
      </c>
      <c r="N268" t="s">
        <v>43</v>
      </c>
      <c r="R268" s="3">
        <f t="shared" si="24"/>
        <v>2.0833333333333335</v>
      </c>
    </row>
    <row r="269" spans="1:18" x14ac:dyDescent="0.25">
      <c r="A269" t="s">
        <v>73</v>
      </c>
      <c r="B269" t="s">
        <v>20</v>
      </c>
      <c r="C269" t="s">
        <v>77</v>
      </c>
      <c r="D269" s="3">
        <f t="shared" si="25"/>
        <v>6.25</v>
      </c>
      <c r="E269" t="s">
        <v>74</v>
      </c>
      <c r="F269" t="s">
        <v>13</v>
      </c>
      <c r="G269" t="str">
        <f t="shared" si="26"/>
        <v/>
      </c>
      <c r="H269" t="s">
        <v>14</v>
      </c>
      <c r="I269" t="s">
        <v>75</v>
      </c>
      <c r="J269" s="2">
        <f t="shared" si="27"/>
        <v>750000</v>
      </c>
      <c r="K269" t="s">
        <v>76</v>
      </c>
      <c r="L269">
        <f t="shared" si="28"/>
        <v>0</v>
      </c>
      <c r="N269" t="s">
        <v>43</v>
      </c>
      <c r="R269" s="3">
        <f t="shared" si="24"/>
        <v>0</v>
      </c>
    </row>
    <row r="270" spans="1:18" x14ac:dyDescent="0.25">
      <c r="A270" t="s">
        <v>4232</v>
      </c>
      <c r="B270" t="s">
        <v>3746</v>
      </c>
      <c r="C270" t="s">
        <v>3861</v>
      </c>
      <c r="D270" s="3">
        <f t="shared" si="25"/>
        <v>9</v>
      </c>
      <c r="E270" t="s">
        <v>12</v>
      </c>
      <c r="F270" t="s">
        <v>13</v>
      </c>
      <c r="G270" t="str">
        <f t="shared" si="26"/>
        <v/>
      </c>
      <c r="H270" t="s">
        <v>14</v>
      </c>
      <c r="I270" t="s">
        <v>4233</v>
      </c>
      <c r="J270" s="2">
        <f t="shared" si="27"/>
        <v>750000</v>
      </c>
      <c r="K270" t="s">
        <v>76</v>
      </c>
      <c r="L270">
        <f t="shared" si="28"/>
        <v>0</v>
      </c>
      <c r="N270" t="s">
        <v>43</v>
      </c>
      <c r="R270" s="3">
        <f t="shared" si="24"/>
        <v>0</v>
      </c>
    </row>
    <row r="271" spans="1:18" hidden="1" x14ac:dyDescent="0.25">
      <c r="A271" t="s">
        <v>1818</v>
      </c>
      <c r="B271" t="s">
        <v>1303</v>
      </c>
      <c r="C271" t="s">
        <v>1319</v>
      </c>
      <c r="D271" s="3">
        <f t="shared" si="25"/>
        <v>6</v>
      </c>
      <c r="E271" t="s">
        <v>285</v>
      </c>
      <c r="F271" t="s">
        <v>34</v>
      </c>
      <c r="G271">
        <f t="shared" si="26"/>
        <v>825000</v>
      </c>
      <c r="H271" t="s">
        <v>715</v>
      </c>
      <c r="I271" t="s">
        <v>1819</v>
      </c>
      <c r="J271" s="2">
        <f t="shared" si="27"/>
        <v>761000</v>
      </c>
      <c r="K271" t="s">
        <v>1820</v>
      </c>
      <c r="L271">
        <f t="shared" si="28"/>
        <v>0.17222222222222225</v>
      </c>
      <c r="M271" s="5">
        <v>0.17222222222222225</v>
      </c>
      <c r="N271" t="s">
        <v>43</v>
      </c>
      <c r="P271" t="s">
        <v>1821</v>
      </c>
      <c r="R271" s="3">
        <f t="shared" si="24"/>
        <v>4.1333333333333337</v>
      </c>
    </row>
    <row r="272" spans="1:18" hidden="1" x14ac:dyDescent="0.25">
      <c r="A272" t="s">
        <v>1467</v>
      </c>
      <c r="B272" t="s">
        <v>1303</v>
      </c>
      <c r="C272" t="s">
        <v>1319</v>
      </c>
      <c r="D272" s="3">
        <f t="shared" si="25"/>
        <v>4</v>
      </c>
      <c r="E272" t="s">
        <v>313</v>
      </c>
      <c r="F272" t="s">
        <v>34</v>
      </c>
      <c r="G272">
        <f t="shared" si="26"/>
        <v>800000</v>
      </c>
      <c r="H272" t="s">
        <v>109</v>
      </c>
      <c r="I272" t="s">
        <v>1468</v>
      </c>
      <c r="J272" s="2">
        <f t="shared" si="27"/>
        <v>738000</v>
      </c>
      <c r="K272" t="s">
        <v>1469</v>
      </c>
      <c r="L272">
        <f t="shared" si="28"/>
        <v>0.17083333333333331</v>
      </c>
      <c r="M272" s="5">
        <v>0.17083333333333331</v>
      </c>
      <c r="N272" t="s">
        <v>43</v>
      </c>
      <c r="P272" t="s">
        <v>1470</v>
      </c>
      <c r="R272" s="3">
        <f t="shared" si="24"/>
        <v>4.0999999999999996</v>
      </c>
    </row>
    <row r="273" spans="1:18" hidden="1" x14ac:dyDescent="0.25">
      <c r="A273" t="s">
        <v>2440</v>
      </c>
      <c r="B273" t="s">
        <v>2596</v>
      </c>
      <c r="C273" t="s">
        <v>2071</v>
      </c>
      <c r="D273" s="3">
        <f t="shared" si="25"/>
        <v>15.75</v>
      </c>
      <c r="E273" t="s">
        <v>1099</v>
      </c>
      <c r="F273" t="s">
        <v>13</v>
      </c>
      <c r="G273" t="str">
        <f t="shared" si="26"/>
        <v/>
      </c>
      <c r="H273" t="s">
        <v>14</v>
      </c>
      <c r="I273" t="s">
        <v>2441</v>
      </c>
      <c r="J273" s="2">
        <f t="shared" si="27"/>
        <v>1625000</v>
      </c>
      <c r="K273" t="s">
        <v>702</v>
      </c>
      <c r="L273">
        <f t="shared" si="28"/>
        <v>0.17083333333333331</v>
      </c>
      <c r="M273" s="5">
        <v>0.17083333333333331</v>
      </c>
      <c r="N273" t="s">
        <v>18</v>
      </c>
      <c r="P273" t="s">
        <v>691</v>
      </c>
      <c r="R273" s="3">
        <f t="shared" si="24"/>
        <v>4.0999999999999996</v>
      </c>
    </row>
    <row r="274" spans="1:18" x14ac:dyDescent="0.25">
      <c r="A274" t="s">
        <v>4626</v>
      </c>
      <c r="B274" t="s">
        <v>4272</v>
      </c>
      <c r="C274" t="s">
        <v>4354</v>
      </c>
      <c r="D274" s="3">
        <f t="shared" si="25"/>
        <v>5.4600000000000009</v>
      </c>
      <c r="E274" t="s">
        <v>4627</v>
      </c>
      <c r="F274" t="s">
        <v>34</v>
      </c>
      <c r="G274">
        <f t="shared" si="26"/>
        <v>825000</v>
      </c>
      <c r="H274" t="s">
        <v>715</v>
      </c>
      <c r="I274" t="s">
        <v>4628</v>
      </c>
      <c r="J274" s="2">
        <f t="shared" si="27"/>
        <v>761000</v>
      </c>
      <c r="K274" t="s">
        <v>1820</v>
      </c>
      <c r="L274">
        <f t="shared" si="28"/>
        <v>0.20833333333333334</v>
      </c>
      <c r="M274" s="5">
        <v>0.20833333333333334</v>
      </c>
      <c r="N274" t="s">
        <v>18</v>
      </c>
      <c r="P274" t="s">
        <v>1821</v>
      </c>
      <c r="R274" s="3">
        <f t="shared" si="24"/>
        <v>5</v>
      </c>
    </row>
    <row r="275" spans="1:18" hidden="1" x14ac:dyDescent="0.25">
      <c r="A275" t="s">
        <v>2069</v>
      </c>
      <c r="B275" t="s">
        <v>2596</v>
      </c>
      <c r="C275" t="s">
        <v>2071</v>
      </c>
      <c r="D275" s="3">
        <f t="shared" si="25"/>
        <v>15.75</v>
      </c>
      <c r="E275" t="s">
        <v>1099</v>
      </c>
      <c r="F275" t="s">
        <v>13</v>
      </c>
      <c r="G275" t="str">
        <f t="shared" si="26"/>
        <v/>
      </c>
      <c r="H275" t="s">
        <v>14</v>
      </c>
      <c r="I275" t="s">
        <v>2070</v>
      </c>
      <c r="J275" s="2">
        <f t="shared" si="27"/>
        <v>1425000</v>
      </c>
      <c r="K275" t="s">
        <v>909</v>
      </c>
      <c r="L275">
        <f t="shared" si="28"/>
        <v>0.17291666666666669</v>
      </c>
      <c r="M275" s="5">
        <v>0.17291666666666669</v>
      </c>
      <c r="N275" t="s">
        <v>18</v>
      </c>
      <c r="R275" s="3">
        <f t="shared" si="24"/>
        <v>4.1500000000000004</v>
      </c>
    </row>
    <row r="276" spans="1:18" hidden="1" x14ac:dyDescent="0.25">
      <c r="A276" t="s">
        <v>4661</v>
      </c>
      <c r="B276" t="s">
        <v>4272</v>
      </c>
      <c r="C276" t="s">
        <v>4354</v>
      </c>
      <c r="D276" s="3">
        <f t="shared" si="25"/>
        <v>5.13</v>
      </c>
      <c r="E276" t="s">
        <v>4662</v>
      </c>
      <c r="F276" t="s">
        <v>34</v>
      </c>
      <c r="G276">
        <f t="shared" si="26"/>
        <v>925000</v>
      </c>
      <c r="H276" t="s">
        <v>649</v>
      </c>
      <c r="I276" t="s">
        <v>4663</v>
      </c>
      <c r="J276" s="2">
        <f t="shared" si="27"/>
        <v>853000</v>
      </c>
      <c r="K276" t="s">
        <v>4664</v>
      </c>
      <c r="L276">
        <f t="shared" si="28"/>
        <v>0.20833333333333334</v>
      </c>
      <c r="M276" s="5">
        <v>0.20833333333333334</v>
      </c>
      <c r="N276" t="s">
        <v>18</v>
      </c>
      <c r="P276" t="s">
        <v>2126</v>
      </c>
      <c r="R276" s="3">
        <f t="shared" si="24"/>
        <v>5</v>
      </c>
    </row>
    <row r="277" spans="1:18" x14ac:dyDescent="0.25">
      <c r="A277" t="s">
        <v>1719</v>
      </c>
      <c r="B277" t="s">
        <v>1303</v>
      </c>
      <c r="C277" t="s">
        <v>1322</v>
      </c>
      <c r="D277" s="3">
        <f t="shared" si="25"/>
        <v>9</v>
      </c>
      <c r="E277" t="s">
        <v>12</v>
      </c>
      <c r="F277" t="s">
        <v>13</v>
      </c>
      <c r="G277" t="str">
        <f t="shared" si="26"/>
        <v/>
      </c>
      <c r="H277" t="s">
        <v>14</v>
      </c>
      <c r="I277" t="s">
        <v>1698</v>
      </c>
      <c r="J277" s="2">
        <f t="shared" si="27"/>
        <v>775000</v>
      </c>
      <c r="K277" t="s">
        <v>440</v>
      </c>
      <c r="L277">
        <f t="shared" si="28"/>
        <v>0.1277777777777778</v>
      </c>
      <c r="M277" s="5">
        <v>0.1277777777777778</v>
      </c>
      <c r="N277" t="s">
        <v>43</v>
      </c>
      <c r="R277" s="3">
        <f t="shared" si="24"/>
        <v>3.0666666666666673</v>
      </c>
    </row>
    <row r="278" spans="1:18" hidden="1" x14ac:dyDescent="0.25">
      <c r="A278" t="s">
        <v>2677</v>
      </c>
      <c r="B278" t="s">
        <v>3206</v>
      </c>
      <c r="C278" t="s">
        <v>2604</v>
      </c>
      <c r="D278" s="3">
        <f t="shared" si="25"/>
        <v>18</v>
      </c>
      <c r="E278" t="s">
        <v>1338</v>
      </c>
      <c r="F278" t="s">
        <v>34</v>
      </c>
      <c r="G278" t="str">
        <f t="shared" si="26"/>
        <v/>
      </c>
      <c r="H278" t="s">
        <v>14</v>
      </c>
      <c r="I278" t="s">
        <v>2678</v>
      </c>
      <c r="J278" s="2">
        <f t="shared" si="27"/>
        <v>1425000</v>
      </c>
      <c r="K278" t="s">
        <v>909</v>
      </c>
      <c r="L278">
        <f t="shared" si="28"/>
        <v>0.17291666666666669</v>
      </c>
      <c r="M278" s="5">
        <v>0.17291666666666669</v>
      </c>
      <c r="N278" t="s">
        <v>18</v>
      </c>
      <c r="R278" s="3">
        <f t="shared" si="24"/>
        <v>4.1500000000000004</v>
      </c>
    </row>
    <row r="279" spans="1:18" hidden="1" x14ac:dyDescent="0.25">
      <c r="A279" t="s">
        <v>2754</v>
      </c>
      <c r="B279" t="s">
        <v>3206</v>
      </c>
      <c r="C279" t="s">
        <v>2604</v>
      </c>
      <c r="D279" s="3">
        <f t="shared" si="25"/>
        <v>10.5</v>
      </c>
      <c r="E279" t="s">
        <v>653</v>
      </c>
      <c r="F279" t="s">
        <v>34</v>
      </c>
      <c r="G279" t="str">
        <f t="shared" si="26"/>
        <v/>
      </c>
      <c r="H279" t="s">
        <v>14</v>
      </c>
      <c r="I279" t="s">
        <v>2755</v>
      </c>
      <c r="J279" s="2">
        <f t="shared" si="27"/>
        <v>1315000</v>
      </c>
      <c r="K279" t="s">
        <v>2756</v>
      </c>
      <c r="L279">
        <f t="shared" si="28"/>
        <v>0.20833333333333334</v>
      </c>
      <c r="M279" s="5">
        <v>0.20833333333333334</v>
      </c>
      <c r="N279" t="s">
        <v>18</v>
      </c>
      <c r="R279" s="3">
        <f t="shared" si="24"/>
        <v>5</v>
      </c>
    </row>
    <row r="280" spans="1:18" hidden="1" x14ac:dyDescent="0.25">
      <c r="A280" t="s">
        <v>2655</v>
      </c>
      <c r="B280" t="s">
        <v>3206</v>
      </c>
      <c r="C280" t="s">
        <v>2604</v>
      </c>
      <c r="D280" s="3">
        <f t="shared" si="25"/>
        <v>9</v>
      </c>
      <c r="E280" t="s">
        <v>12</v>
      </c>
      <c r="F280" t="s">
        <v>34</v>
      </c>
      <c r="G280" t="str">
        <f t="shared" si="26"/>
        <v/>
      </c>
      <c r="H280" t="s">
        <v>14</v>
      </c>
      <c r="I280" t="s">
        <v>2656</v>
      </c>
      <c r="J280" s="2">
        <f t="shared" si="27"/>
        <v>1225000</v>
      </c>
      <c r="K280" t="s">
        <v>661</v>
      </c>
      <c r="L280">
        <f t="shared" si="28"/>
        <v>0.17222222222222225</v>
      </c>
      <c r="M280" s="5">
        <v>0.17222222222222225</v>
      </c>
      <c r="N280" t="s">
        <v>18</v>
      </c>
      <c r="R280" s="3">
        <f t="shared" si="24"/>
        <v>4.1333333333333337</v>
      </c>
    </row>
    <row r="281" spans="1:18" x14ac:dyDescent="0.25">
      <c r="A281" t="s">
        <v>1697</v>
      </c>
      <c r="B281" t="s">
        <v>1303</v>
      </c>
      <c r="C281" t="s">
        <v>1322</v>
      </c>
      <c r="D281" s="3">
        <f t="shared" si="25"/>
        <v>9</v>
      </c>
      <c r="E281" t="s">
        <v>12</v>
      </c>
      <c r="F281" t="s">
        <v>13</v>
      </c>
      <c r="G281" t="str">
        <f t="shared" si="26"/>
        <v/>
      </c>
      <c r="H281" t="s">
        <v>14</v>
      </c>
      <c r="I281" t="s">
        <v>1698</v>
      </c>
      <c r="J281" s="2">
        <f t="shared" si="27"/>
        <v>775000</v>
      </c>
      <c r="K281" t="s">
        <v>440</v>
      </c>
      <c r="L281">
        <f t="shared" si="28"/>
        <v>0.12916666666666668</v>
      </c>
      <c r="M281" s="5">
        <v>0.12916666666666668</v>
      </c>
      <c r="N281" t="s">
        <v>43</v>
      </c>
      <c r="R281" s="3">
        <f t="shared" si="24"/>
        <v>3.1000000000000005</v>
      </c>
    </row>
    <row r="282" spans="1:18" hidden="1" x14ac:dyDescent="0.25">
      <c r="A282" t="s">
        <v>1978</v>
      </c>
      <c r="B282" t="s">
        <v>2596</v>
      </c>
      <c r="C282" t="s">
        <v>1981</v>
      </c>
      <c r="D282" s="3">
        <f t="shared" si="25"/>
        <v>11.840000000000002</v>
      </c>
      <c r="E282" t="s">
        <v>1979</v>
      </c>
      <c r="F282" t="s">
        <v>13</v>
      </c>
      <c r="G282" t="str">
        <f t="shared" si="26"/>
        <v/>
      </c>
      <c r="H282" t="s">
        <v>14</v>
      </c>
      <c r="I282" t="s">
        <v>1980</v>
      </c>
      <c r="J282" s="2">
        <f t="shared" si="27"/>
        <v>2125000</v>
      </c>
      <c r="K282" t="s">
        <v>936</v>
      </c>
      <c r="L282">
        <f t="shared" si="28"/>
        <v>0.20833333333333334</v>
      </c>
      <c r="M282" s="5">
        <v>0.20833333333333334</v>
      </c>
      <c r="N282" t="s">
        <v>18</v>
      </c>
      <c r="P282" t="s">
        <v>1810</v>
      </c>
      <c r="R282" s="3">
        <f t="shared" si="24"/>
        <v>5</v>
      </c>
    </row>
    <row r="283" spans="1:18" hidden="1" x14ac:dyDescent="0.25">
      <c r="A283" t="s">
        <v>1984</v>
      </c>
      <c r="B283" t="s">
        <v>2596</v>
      </c>
      <c r="C283" t="s">
        <v>1981</v>
      </c>
      <c r="D283" s="3">
        <f t="shared" si="25"/>
        <v>9.6000000000000014</v>
      </c>
      <c r="E283" t="s">
        <v>26</v>
      </c>
      <c r="F283" t="s">
        <v>13</v>
      </c>
      <c r="G283" t="str">
        <f t="shared" si="26"/>
        <v/>
      </c>
      <c r="H283" t="s">
        <v>14</v>
      </c>
      <c r="I283" t="s">
        <v>1985</v>
      </c>
      <c r="J283" s="2">
        <f t="shared" si="27"/>
        <v>2025000</v>
      </c>
      <c r="K283" t="s">
        <v>1065</v>
      </c>
      <c r="L283">
        <f t="shared" si="28"/>
        <v>0.17291666666666669</v>
      </c>
      <c r="M283" s="5">
        <v>0.17291666666666669</v>
      </c>
      <c r="N283" t="s">
        <v>18</v>
      </c>
      <c r="P283" t="s">
        <v>1810</v>
      </c>
      <c r="R283" s="3">
        <f t="shared" si="24"/>
        <v>4.1500000000000004</v>
      </c>
    </row>
    <row r="284" spans="1:18" hidden="1" x14ac:dyDescent="0.25">
      <c r="A284" t="s">
        <v>1982</v>
      </c>
      <c r="B284" t="s">
        <v>2596</v>
      </c>
      <c r="C284" t="s">
        <v>1981</v>
      </c>
      <c r="D284" s="3">
        <f t="shared" si="25"/>
        <v>10.240000000000002</v>
      </c>
      <c r="E284" t="s">
        <v>941</v>
      </c>
      <c r="F284" t="s">
        <v>13</v>
      </c>
      <c r="G284">
        <f t="shared" si="26"/>
        <v>1575000</v>
      </c>
      <c r="H284" t="s">
        <v>1021</v>
      </c>
      <c r="I284" t="s">
        <v>1983</v>
      </c>
      <c r="J284" s="2">
        <f t="shared" si="27"/>
        <v>1451000</v>
      </c>
      <c r="K284" t="s">
        <v>1809</v>
      </c>
      <c r="L284">
        <f t="shared" si="28"/>
        <v>0.20833333333333334</v>
      </c>
      <c r="M284" s="5">
        <v>0.20833333333333334</v>
      </c>
      <c r="N284" t="s">
        <v>18</v>
      </c>
      <c r="P284" t="s">
        <v>1810</v>
      </c>
      <c r="R284" s="3">
        <f t="shared" si="24"/>
        <v>5</v>
      </c>
    </row>
    <row r="285" spans="1:18" hidden="1" x14ac:dyDescent="0.25">
      <c r="A285" t="s">
        <v>4767</v>
      </c>
      <c r="B285" t="s">
        <v>4272</v>
      </c>
      <c r="C285" t="s">
        <v>4441</v>
      </c>
      <c r="D285" s="3">
        <f t="shared" si="25"/>
        <v>15</v>
      </c>
      <c r="E285" t="s">
        <v>504</v>
      </c>
      <c r="F285" t="s">
        <v>13</v>
      </c>
      <c r="G285">
        <f t="shared" si="26"/>
        <v>1025000</v>
      </c>
      <c r="H285" t="s">
        <v>914</v>
      </c>
      <c r="I285" t="s">
        <v>4768</v>
      </c>
      <c r="J285" s="2">
        <f t="shared" si="27"/>
        <v>975000</v>
      </c>
      <c r="K285" t="s">
        <v>544</v>
      </c>
      <c r="L285">
        <f t="shared" si="28"/>
        <v>0.16666666666666666</v>
      </c>
      <c r="M285" s="5">
        <v>0.16666666666666666</v>
      </c>
      <c r="N285" t="s">
        <v>43</v>
      </c>
      <c r="P285" t="s">
        <v>2025</v>
      </c>
      <c r="R285" s="3">
        <f t="shared" si="24"/>
        <v>4</v>
      </c>
    </row>
    <row r="286" spans="1:18" hidden="1" x14ac:dyDescent="0.25">
      <c r="A286" t="s">
        <v>4439</v>
      </c>
      <c r="B286" t="s">
        <v>4272</v>
      </c>
      <c r="C286" t="s">
        <v>4441</v>
      </c>
      <c r="D286" s="3">
        <f t="shared" si="25"/>
        <v>8.68</v>
      </c>
      <c r="E286" t="s">
        <v>1360</v>
      </c>
      <c r="F286" t="s">
        <v>13</v>
      </c>
      <c r="G286">
        <f t="shared" si="26"/>
        <v>825000</v>
      </c>
      <c r="H286" t="s">
        <v>715</v>
      </c>
      <c r="I286" t="s">
        <v>4440</v>
      </c>
      <c r="J286" s="2">
        <f t="shared" si="27"/>
        <v>761000</v>
      </c>
      <c r="K286" t="s">
        <v>1820</v>
      </c>
      <c r="L286">
        <f t="shared" si="28"/>
        <v>0.17013888888888887</v>
      </c>
      <c r="M286" s="5">
        <v>0.17013888888888887</v>
      </c>
      <c r="N286" t="s">
        <v>43</v>
      </c>
      <c r="P286" t="s">
        <v>1821</v>
      </c>
      <c r="R286" s="3">
        <f t="shared" si="24"/>
        <v>4.083333333333333</v>
      </c>
    </row>
    <row r="287" spans="1:18" hidden="1" x14ac:dyDescent="0.25">
      <c r="A287" t="s">
        <v>4522</v>
      </c>
      <c r="B287" t="s">
        <v>4272</v>
      </c>
      <c r="C287" t="s">
        <v>4441</v>
      </c>
      <c r="D287" s="3">
        <f t="shared" si="25"/>
        <v>6</v>
      </c>
      <c r="E287" t="s">
        <v>285</v>
      </c>
      <c r="F287" t="s">
        <v>13</v>
      </c>
      <c r="G287" t="str">
        <f t="shared" si="26"/>
        <v/>
      </c>
      <c r="H287" t="s">
        <v>14</v>
      </c>
      <c r="I287" t="s">
        <v>4523</v>
      </c>
      <c r="J287" s="2">
        <f t="shared" si="27"/>
        <v>725000</v>
      </c>
      <c r="K287" t="s">
        <v>1254</v>
      </c>
      <c r="L287">
        <f t="shared" si="28"/>
        <v>0.17083333333333331</v>
      </c>
      <c r="M287" s="5">
        <v>0.17083333333333331</v>
      </c>
      <c r="N287" t="s">
        <v>43</v>
      </c>
      <c r="P287" t="s">
        <v>1821</v>
      </c>
      <c r="R287" s="3">
        <f t="shared" si="24"/>
        <v>4.0999999999999996</v>
      </c>
    </row>
    <row r="288" spans="1:18" hidden="1" x14ac:dyDescent="0.25">
      <c r="A288" t="s">
        <v>1832</v>
      </c>
      <c r="B288" t="s">
        <v>1303</v>
      </c>
      <c r="C288" t="s">
        <v>1362</v>
      </c>
      <c r="D288" s="3">
        <f t="shared" si="25"/>
        <v>7.13</v>
      </c>
      <c r="E288" t="s">
        <v>1833</v>
      </c>
      <c r="F288" t="s">
        <v>13</v>
      </c>
      <c r="G288" t="str">
        <f t="shared" si="26"/>
        <v/>
      </c>
      <c r="H288" t="s">
        <v>14</v>
      </c>
      <c r="I288" t="s">
        <v>1834</v>
      </c>
      <c r="J288" s="2">
        <f t="shared" si="27"/>
        <v>1275000</v>
      </c>
      <c r="K288" t="s">
        <v>698</v>
      </c>
      <c r="L288">
        <f t="shared" si="28"/>
        <v>0.17222222222222225</v>
      </c>
      <c r="M288" s="5">
        <v>0.17222222222222225</v>
      </c>
      <c r="N288" t="s">
        <v>18</v>
      </c>
      <c r="P288" t="s">
        <v>1835</v>
      </c>
      <c r="R288" s="3">
        <f t="shared" si="24"/>
        <v>4.1333333333333337</v>
      </c>
    </row>
    <row r="289" spans="1:18" hidden="1" x14ac:dyDescent="0.25">
      <c r="A289" t="s">
        <v>2217</v>
      </c>
      <c r="B289" t="s">
        <v>2596</v>
      </c>
      <c r="C289" t="s">
        <v>2024</v>
      </c>
      <c r="D289" s="3">
        <f t="shared" si="25"/>
        <v>12</v>
      </c>
      <c r="E289" t="s">
        <v>33</v>
      </c>
      <c r="F289" t="s">
        <v>34</v>
      </c>
      <c r="G289" t="str">
        <f t="shared" si="26"/>
        <v/>
      </c>
      <c r="H289" t="s">
        <v>14</v>
      </c>
      <c r="I289" t="s">
        <v>2218</v>
      </c>
      <c r="J289" s="2">
        <f t="shared" si="27"/>
        <v>1825000</v>
      </c>
      <c r="K289" t="s">
        <v>196</v>
      </c>
      <c r="L289">
        <f t="shared" si="28"/>
        <v>0.17083333333333331</v>
      </c>
      <c r="M289" s="5">
        <v>0.17083333333333331</v>
      </c>
      <c r="N289" t="s">
        <v>43</v>
      </c>
      <c r="P289" t="s">
        <v>979</v>
      </c>
      <c r="R289" s="3">
        <f t="shared" si="24"/>
        <v>4.0999999999999996</v>
      </c>
    </row>
    <row r="290" spans="1:18" x14ac:dyDescent="0.25">
      <c r="A290" t="s">
        <v>5569</v>
      </c>
      <c r="B290" t="s">
        <v>5848</v>
      </c>
      <c r="C290" t="s">
        <v>5335</v>
      </c>
      <c r="D290" s="3">
        <f t="shared" si="25"/>
        <v>6.25</v>
      </c>
      <c r="E290" t="s">
        <v>74</v>
      </c>
      <c r="F290" t="s">
        <v>34</v>
      </c>
      <c r="G290">
        <f t="shared" si="26"/>
        <v>840000</v>
      </c>
      <c r="H290" t="s">
        <v>5570</v>
      </c>
      <c r="I290" t="s">
        <v>5571</v>
      </c>
      <c r="J290" s="2">
        <f t="shared" si="27"/>
        <v>799250</v>
      </c>
      <c r="K290" t="s">
        <v>5572</v>
      </c>
      <c r="L290">
        <f t="shared" si="28"/>
        <v>0.17083333333333331</v>
      </c>
      <c r="M290" s="5">
        <v>0.17083333333333331</v>
      </c>
      <c r="N290" t="s">
        <v>43</v>
      </c>
      <c r="P290" t="s">
        <v>5573</v>
      </c>
      <c r="R290" s="3">
        <f t="shared" si="24"/>
        <v>4.0999999999999996</v>
      </c>
    </row>
    <row r="291" spans="1:18" hidden="1" x14ac:dyDescent="0.25">
      <c r="A291" t="s">
        <v>5502</v>
      </c>
      <c r="B291" t="s">
        <v>5848</v>
      </c>
      <c r="C291" t="s">
        <v>5350</v>
      </c>
      <c r="D291" s="3">
        <f t="shared" si="25"/>
        <v>7.5</v>
      </c>
      <c r="E291" t="s">
        <v>178</v>
      </c>
      <c r="F291" t="s">
        <v>13</v>
      </c>
      <c r="G291" t="str">
        <f t="shared" si="26"/>
        <v/>
      </c>
      <c r="H291" t="s">
        <v>14</v>
      </c>
      <c r="I291" t="s">
        <v>5503</v>
      </c>
      <c r="J291" s="2">
        <f t="shared" si="27"/>
        <v>1273000</v>
      </c>
      <c r="K291" t="s">
        <v>5504</v>
      </c>
      <c r="L291">
        <f t="shared" si="28"/>
        <v>0.17222222222222225</v>
      </c>
      <c r="M291" s="5">
        <v>0.17222222222222225</v>
      </c>
      <c r="N291" t="s">
        <v>43</v>
      </c>
      <c r="P291" t="s">
        <v>2379</v>
      </c>
      <c r="R291" s="3">
        <f t="shared" si="24"/>
        <v>4.1333333333333337</v>
      </c>
    </row>
    <row r="292" spans="1:18" hidden="1" x14ac:dyDescent="0.25">
      <c r="A292" t="s">
        <v>5418</v>
      </c>
      <c r="B292" t="s">
        <v>5848</v>
      </c>
      <c r="C292" t="s">
        <v>5350</v>
      </c>
      <c r="D292" s="3">
        <f t="shared" si="25"/>
        <v>7.5</v>
      </c>
      <c r="E292" t="s">
        <v>178</v>
      </c>
      <c r="F292" t="s">
        <v>13</v>
      </c>
      <c r="G292">
        <f t="shared" si="26"/>
        <v>1173000</v>
      </c>
      <c r="H292" t="s">
        <v>5419</v>
      </c>
      <c r="I292" t="s">
        <v>5420</v>
      </c>
      <c r="J292" s="2">
        <f t="shared" si="27"/>
        <v>1085160</v>
      </c>
      <c r="K292" t="s">
        <v>5421</v>
      </c>
      <c r="L292">
        <f t="shared" si="28"/>
        <v>0.17083333333333331</v>
      </c>
      <c r="M292" s="5">
        <v>0.17083333333333331</v>
      </c>
      <c r="N292" t="s">
        <v>43</v>
      </c>
      <c r="P292" t="s">
        <v>2379</v>
      </c>
      <c r="R292" s="3">
        <f t="shared" si="24"/>
        <v>4.0999999999999996</v>
      </c>
    </row>
    <row r="293" spans="1:18" hidden="1" x14ac:dyDescent="0.25">
      <c r="A293" t="s">
        <v>5538</v>
      </c>
      <c r="B293" t="s">
        <v>5848</v>
      </c>
      <c r="C293" t="s">
        <v>5350</v>
      </c>
      <c r="D293" s="3">
        <f t="shared" si="25"/>
        <v>6.25</v>
      </c>
      <c r="E293" t="s">
        <v>74</v>
      </c>
      <c r="F293" t="s">
        <v>13</v>
      </c>
      <c r="G293" t="str">
        <f t="shared" si="26"/>
        <v/>
      </c>
      <c r="H293" t="s">
        <v>14</v>
      </c>
      <c r="I293" t="s">
        <v>5539</v>
      </c>
      <c r="J293" s="2">
        <f t="shared" si="27"/>
        <v>974000</v>
      </c>
      <c r="K293" t="s">
        <v>5540</v>
      </c>
      <c r="L293">
        <f t="shared" si="28"/>
        <v>0.16944444444444443</v>
      </c>
      <c r="M293" s="5">
        <v>0.16944444444444443</v>
      </c>
      <c r="N293" t="s">
        <v>43</v>
      </c>
      <c r="P293" t="s">
        <v>2379</v>
      </c>
      <c r="R293" s="3">
        <f t="shared" si="24"/>
        <v>4.0666666666666664</v>
      </c>
    </row>
    <row r="294" spans="1:18" hidden="1" x14ac:dyDescent="0.25">
      <c r="A294" t="s">
        <v>5779</v>
      </c>
      <c r="B294" t="s">
        <v>5848</v>
      </c>
      <c r="C294" t="s">
        <v>5350</v>
      </c>
      <c r="D294" s="3">
        <f t="shared" si="25"/>
        <v>6.25</v>
      </c>
      <c r="E294" t="s">
        <v>74</v>
      </c>
      <c r="F294" t="s">
        <v>13</v>
      </c>
      <c r="G294" t="str">
        <f t="shared" si="26"/>
        <v/>
      </c>
      <c r="H294" t="s">
        <v>14</v>
      </c>
      <c r="I294" t="s">
        <v>5780</v>
      </c>
      <c r="J294" s="2">
        <f t="shared" si="27"/>
        <v>674000</v>
      </c>
      <c r="K294" t="s">
        <v>5781</v>
      </c>
      <c r="L294">
        <f t="shared" si="28"/>
        <v>0.1673611111111111</v>
      </c>
      <c r="M294" s="5">
        <v>0.1673611111111111</v>
      </c>
      <c r="N294" t="s">
        <v>43</v>
      </c>
      <c r="P294" t="s">
        <v>2379</v>
      </c>
      <c r="R294" s="3">
        <f t="shared" si="24"/>
        <v>4.0166666666666666</v>
      </c>
    </row>
    <row r="295" spans="1:18" hidden="1" x14ac:dyDescent="0.25">
      <c r="A295" t="s">
        <v>1586</v>
      </c>
      <c r="B295" t="s">
        <v>1303</v>
      </c>
      <c r="C295" t="s">
        <v>1362</v>
      </c>
      <c r="D295" s="3">
        <f t="shared" si="25"/>
        <v>10.5</v>
      </c>
      <c r="E295" t="s">
        <v>1051</v>
      </c>
      <c r="F295" t="s">
        <v>13</v>
      </c>
      <c r="G295" t="str">
        <f t="shared" si="26"/>
        <v/>
      </c>
      <c r="H295" t="s">
        <v>14</v>
      </c>
      <c r="I295" t="s">
        <v>1587</v>
      </c>
      <c r="J295" s="2">
        <f t="shared" si="27"/>
        <v>950000</v>
      </c>
      <c r="K295" t="s">
        <v>355</v>
      </c>
      <c r="L295">
        <f t="shared" si="28"/>
        <v>0.17222222222222225</v>
      </c>
      <c r="M295" s="5">
        <v>0.17222222222222225</v>
      </c>
      <c r="N295" t="s">
        <v>43</v>
      </c>
      <c r="R295" s="3">
        <f t="shared" si="24"/>
        <v>4.1333333333333337</v>
      </c>
    </row>
    <row r="296" spans="1:18" hidden="1" x14ac:dyDescent="0.25">
      <c r="A296" t="s">
        <v>741</v>
      </c>
      <c r="B296" t="s">
        <v>640</v>
      </c>
      <c r="C296" t="s">
        <v>643</v>
      </c>
      <c r="D296" s="3">
        <f t="shared" si="25"/>
        <v>9</v>
      </c>
      <c r="E296" t="s">
        <v>12</v>
      </c>
      <c r="F296" t="s">
        <v>34</v>
      </c>
      <c r="G296">
        <f t="shared" si="26"/>
        <v>680000</v>
      </c>
      <c r="H296" t="s">
        <v>742</v>
      </c>
      <c r="I296" t="s">
        <v>743</v>
      </c>
      <c r="J296" s="2">
        <f t="shared" si="27"/>
        <v>612000</v>
      </c>
      <c r="K296" t="s">
        <v>744</v>
      </c>
      <c r="L296">
        <f t="shared" si="28"/>
        <v>0.17083333333333331</v>
      </c>
      <c r="M296" s="5">
        <v>0.17083333333333331</v>
      </c>
      <c r="N296" t="s">
        <v>37</v>
      </c>
      <c r="P296" t="s">
        <v>745</v>
      </c>
      <c r="R296" s="3">
        <f t="shared" si="24"/>
        <v>4.0999999999999996</v>
      </c>
    </row>
    <row r="297" spans="1:18" x14ac:dyDescent="0.25">
      <c r="A297" t="s">
        <v>1036</v>
      </c>
      <c r="B297" t="s">
        <v>640</v>
      </c>
      <c r="C297" t="s">
        <v>953</v>
      </c>
      <c r="D297" s="3">
        <f t="shared" si="25"/>
        <v>14</v>
      </c>
      <c r="E297" t="s">
        <v>238</v>
      </c>
      <c r="F297" t="s">
        <v>13</v>
      </c>
      <c r="G297" t="str">
        <f t="shared" si="26"/>
        <v/>
      </c>
      <c r="H297" t="s">
        <v>14</v>
      </c>
      <c r="I297" t="s">
        <v>1037</v>
      </c>
      <c r="J297" s="2">
        <f t="shared" si="27"/>
        <v>800000</v>
      </c>
      <c r="K297" t="s">
        <v>109</v>
      </c>
      <c r="L297">
        <f t="shared" si="28"/>
        <v>0</v>
      </c>
      <c r="N297" t="s">
        <v>43</v>
      </c>
      <c r="R297" s="3">
        <f t="shared" si="24"/>
        <v>0</v>
      </c>
    </row>
    <row r="298" spans="1:18" x14ac:dyDescent="0.25">
      <c r="A298" t="s">
        <v>4780</v>
      </c>
      <c r="B298" t="s">
        <v>4272</v>
      </c>
      <c r="C298" t="s">
        <v>4374</v>
      </c>
      <c r="D298" s="3">
        <f t="shared" si="25"/>
        <v>6</v>
      </c>
      <c r="E298" t="s">
        <v>64</v>
      </c>
      <c r="F298" t="s">
        <v>34</v>
      </c>
      <c r="G298" t="str">
        <f t="shared" si="26"/>
        <v/>
      </c>
      <c r="H298" t="s">
        <v>14</v>
      </c>
      <c r="I298" t="s">
        <v>4781</v>
      </c>
      <c r="J298" s="2">
        <f t="shared" si="27"/>
        <v>800000</v>
      </c>
      <c r="K298" t="s">
        <v>109</v>
      </c>
      <c r="L298">
        <f t="shared" si="28"/>
        <v>0</v>
      </c>
      <c r="N298" t="s">
        <v>18</v>
      </c>
      <c r="R298" s="3">
        <f t="shared" si="24"/>
        <v>0</v>
      </c>
    </row>
    <row r="299" spans="1:18" hidden="1" x14ac:dyDescent="0.25">
      <c r="A299" t="s">
        <v>5684</v>
      </c>
      <c r="B299" t="s">
        <v>5848</v>
      </c>
      <c r="C299" t="s">
        <v>5369</v>
      </c>
      <c r="D299" s="3">
        <f t="shared" si="25"/>
        <v>8</v>
      </c>
      <c r="E299" t="s">
        <v>5685</v>
      </c>
      <c r="F299" t="s">
        <v>13</v>
      </c>
      <c r="G299">
        <f t="shared" si="26"/>
        <v>1282000</v>
      </c>
      <c r="H299" t="s">
        <v>5686</v>
      </c>
      <c r="I299" t="s">
        <v>5687</v>
      </c>
      <c r="J299" s="2">
        <f t="shared" si="27"/>
        <v>1217900</v>
      </c>
      <c r="K299" t="s">
        <v>5688</v>
      </c>
      <c r="L299">
        <f t="shared" si="28"/>
        <v>0.20833333333333334</v>
      </c>
      <c r="M299" s="5">
        <v>0.20833333333333334</v>
      </c>
      <c r="N299" t="s">
        <v>37</v>
      </c>
      <c r="P299" t="s">
        <v>1821</v>
      </c>
      <c r="R299" s="3">
        <f t="shared" si="24"/>
        <v>5</v>
      </c>
    </row>
    <row r="300" spans="1:18" hidden="1" x14ac:dyDescent="0.25">
      <c r="A300" t="s">
        <v>5742</v>
      </c>
      <c r="B300" t="s">
        <v>5848</v>
      </c>
      <c r="C300" t="s">
        <v>5369</v>
      </c>
      <c r="D300" s="3">
        <f t="shared" si="25"/>
        <v>8</v>
      </c>
      <c r="E300" t="s">
        <v>5685</v>
      </c>
      <c r="F300" t="s">
        <v>13</v>
      </c>
      <c r="G300">
        <f t="shared" si="26"/>
        <v>1327000</v>
      </c>
      <c r="H300" t="s">
        <v>5743</v>
      </c>
      <c r="I300" t="s">
        <v>5744</v>
      </c>
      <c r="J300" s="2">
        <f t="shared" si="27"/>
        <v>1220840</v>
      </c>
      <c r="K300" t="s">
        <v>5745</v>
      </c>
      <c r="L300">
        <f t="shared" si="28"/>
        <v>0.16944444444444443</v>
      </c>
      <c r="M300" s="5">
        <v>0.16944444444444443</v>
      </c>
      <c r="N300" t="s">
        <v>37</v>
      </c>
      <c r="P300" t="s">
        <v>1144</v>
      </c>
      <c r="R300" s="3">
        <f t="shared" si="24"/>
        <v>4.0666666666666664</v>
      </c>
    </row>
    <row r="301" spans="1:18" hidden="1" x14ac:dyDescent="0.25">
      <c r="A301" t="s">
        <v>3837</v>
      </c>
      <c r="B301" t="s">
        <v>3746</v>
      </c>
      <c r="C301" t="s">
        <v>3763</v>
      </c>
      <c r="D301" s="3">
        <f t="shared" si="25"/>
        <v>15</v>
      </c>
      <c r="E301" t="s">
        <v>71</v>
      </c>
      <c r="F301" t="s">
        <v>13</v>
      </c>
      <c r="G301">
        <f t="shared" si="26"/>
        <v>1325000</v>
      </c>
      <c r="H301" t="s">
        <v>683</v>
      </c>
      <c r="I301" t="s">
        <v>3838</v>
      </c>
      <c r="J301" s="2">
        <f t="shared" si="27"/>
        <v>1260000</v>
      </c>
      <c r="K301" t="s">
        <v>2165</v>
      </c>
      <c r="L301">
        <f t="shared" si="28"/>
        <v>0.17083333333333331</v>
      </c>
      <c r="M301" s="5">
        <v>0.17083333333333331</v>
      </c>
      <c r="N301" t="s">
        <v>43</v>
      </c>
      <c r="P301" t="s">
        <v>2166</v>
      </c>
      <c r="R301" s="3">
        <f t="shared" si="24"/>
        <v>4.0999999999999996</v>
      </c>
    </row>
    <row r="302" spans="1:18" hidden="1" x14ac:dyDescent="0.25">
      <c r="A302" t="s">
        <v>3760</v>
      </c>
      <c r="B302" t="s">
        <v>3746</v>
      </c>
      <c r="C302" t="s">
        <v>3763</v>
      </c>
      <c r="D302" s="3">
        <f t="shared" si="25"/>
        <v>13.72</v>
      </c>
      <c r="E302" t="s">
        <v>3761</v>
      </c>
      <c r="F302" t="s">
        <v>13</v>
      </c>
      <c r="G302">
        <f t="shared" si="26"/>
        <v>1075000</v>
      </c>
      <c r="H302" t="s">
        <v>838</v>
      </c>
      <c r="I302" t="s">
        <v>3762</v>
      </c>
      <c r="J302" s="2">
        <f t="shared" si="27"/>
        <v>991000</v>
      </c>
      <c r="K302" t="s">
        <v>1532</v>
      </c>
      <c r="L302">
        <f t="shared" si="28"/>
        <v>0.17013888888888887</v>
      </c>
      <c r="M302" s="5">
        <v>0.17013888888888887</v>
      </c>
      <c r="N302" t="s">
        <v>43</v>
      </c>
      <c r="P302" t="s">
        <v>1063</v>
      </c>
      <c r="R302" s="3">
        <f t="shared" si="24"/>
        <v>4.083333333333333</v>
      </c>
    </row>
    <row r="303" spans="1:18" x14ac:dyDescent="0.25">
      <c r="A303" t="s">
        <v>560</v>
      </c>
      <c r="B303" t="s">
        <v>20</v>
      </c>
      <c r="C303" t="s">
        <v>563</v>
      </c>
      <c r="D303" s="3">
        <f t="shared" si="25"/>
        <v>14.399999999999999</v>
      </c>
      <c r="E303" t="s">
        <v>561</v>
      </c>
      <c r="F303" t="s">
        <v>13</v>
      </c>
      <c r="G303" t="str">
        <f t="shared" si="26"/>
        <v/>
      </c>
      <c r="H303" t="s">
        <v>14</v>
      </c>
      <c r="I303" t="s">
        <v>562</v>
      </c>
      <c r="J303" s="2">
        <f t="shared" si="27"/>
        <v>800000</v>
      </c>
      <c r="K303" t="s">
        <v>109</v>
      </c>
      <c r="L303">
        <f t="shared" si="28"/>
        <v>0</v>
      </c>
      <c r="N303" t="s">
        <v>43</v>
      </c>
      <c r="R303" s="3">
        <f t="shared" si="24"/>
        <v>0</v>
      </c>
    </row>
    <row r="304" spans="1:18" hidden="1" x14ac:dyDescent="0.25">
      <c r="A304" t="s">
        <v>5062</v>
      </c>
      <c r="B304" t="s">
        <v>4806</v>
      </c>
      <c r="C304" t="s">
        <v>4805</v>
      </c>
      <c r="D304" s="3">
        <f t="shared" si="25"/>
        <v>16</v>
      </c>
      <c r="E304" t="s">
        <v>79</v>
      </c>
      <c r="F304" t="s">
        <v>13</v>
      </c>
      <c r="G304" t="str">
        <f t="shared" si="26"/>
        <v/>
      </c>
      <c r="H304" t="s">
        <v>14</v>
      </c>
      <c r="I304" t="s">
        <v>5063</v>
      </c>
      <c r="J304" s="2">
        <f t="shared" si="27"/>
        <v>1000000</v>
      </c>
      <c r="K304" t="s">
        <v>52</v>
      </c>
      <c r="L304">
        <f t="shared" si="28"/>
        <v>0</v>
      </c>
      <c r="N304" t="s">
        <v>37</v>
      </c>
      <c r="R304" s="3">
        <f t="shared" si="24"/>
        <v>0</v>
      </c>
    </row>
    <row r="305" spans="1:18" x14ac:dyDescent="0.25">
      <c r="A305" t="s">
        <v>253</v>
      </c>
      <c r="B305" t="s">
        <v>20</v>
      </c>
      <c r="C305" t="s">
        <v>54</v>
      </c>
      <c r="D305" s="3">
        <f t="shared" si="25"/>
        <v>9</v>
      </c>
      <c r="E305" t="s">
        <v>12</v>
      </c>
      <c r="F305" t="s">
        <v>34</v>
      </c>
      <c r="G305" t="str">
        <f t="shared" si="26"/>
        <v/>
      </c>
      <c r="H305" t="s">
        <v>14</v>
      </c>
      <c r="I305" t="s">
        <v>254</v>
      </c>
      <c r="J305" s="2">
        <f t="shared" si="27"/>
        <v>800000</v>
      </c>
      <c r="K305" t="s">
        <v>109</v>
      </c>
      <c r="L305">
        <f t="shared" si="28"/>
        <v>0.1673611111111111</v>
      </c>
      <c r="M305" s="5">
        <v>0.1673611111111111</v>
      </c>
      <c r="N305" t="s">
        <v>43</v>
      </c>
      <c r="R305" s="3">
        <f t="shared" si="24"/>
        <v>4.0166666666666666</v>
      </c>
    </row>
    <row r="306" spans="1:18" x14ac:dyDescent="0.25">
      <c r="A306" t="s">
        <v>574</v>
      </c>
      <c r="B306" t="s">
        <v>20</v>
      </c>
      <c r="C306" t="s">
        <v>19</v>
      </c>
      <c r="D306" s="3">
        <f t="shared" si="25"/>
        <v>12</v>
      </c>
      <c r="E306" t="s">
        <v>33</v>
      </c>
      <c r="F306" t="s">
        <v>13</v>
      </c>
      <c r="G306" t="str">
        <f t="shared" si="26"/>
        <v/>
      </c>
      <c r="H306" t="s">
        <v>14</v>
      </c>
      <c r="I306" t="s">
        <v>575</v>
      </c>
      <c r="J306" s="2">
        <f t="shared" si="27"/>
        <v>800000</v>
      </c>
      <c r="K306" t="s">
        <v>109</v>
      </c>
      <c r="L306">
        <f t="shared" si="28"/>
        <v>0.20833333333333334</v>
      </c>
      <c r="M306" s="5">
        <v>0.20833333333333334</v>
      </c>
      <c r="N306" t="s">
        <v>43</v>
      </c>
      <c r="R306" s="3">
        <f t="shared" si="24"/>
        <v>5</v>
      </c>
    </row>
    <row r="307" spans="1:18" x14ac:dyDescent="0.25">
      <c r="A307" t="s">
        <v>284</v>
      </c>
      <c r="B307" t="s">
        <v>20</v>
      </c>
      <c r="C307" t="s">
        <v>24</v>
      </c>
      <c r="D307" s="3">
        <f t="shared" si="25"/>
        <v>6</v>
      </c>
      <c r="E307" t="s">
        <v>285</v>
      </c>
      <c r="F307" t="s">
        <v>13</v>
      </c>
      <c r="G307" t="str">
        <f t="shared" si="26"/>
        <v/>
      </c>
      <c r="H307" t="s">
        <v>14</v>
      </c>
      <c r="I307" t="s">
        <v>286</v>
      </c>
      <c r="J307" s="2">
        <f t="shared" si="27"/>
        <v>800000</v>
      </c>
      <c r="K307" t="s">
        <v>109</v>
      </c>
      <c r="L307">
        <f t="shared" si="28"/>
        <v>0.20833333333333334</v>
      </c>
      <c r="M307" s="5">
        <v>0.20833333333333334</v>
      </c>
      <c r="N307" t="s">
        <v>18</v>
      </c>
      <c r="R307" s="3">
        <f t="shared" si="24"/>
        <v>5</v>
      </c>
    </row>
    <row r="308" spans="1:18" hidden="1" x14ac:dyDescent="0.25">
      <c r="A308" t="s">
        <v>5071</v>
      </c>
      <c r="B308" t="s">
        <v>4806</v>
      </c>
      <c r="C308" t="s">
        <v>4939</v>
      </c>
      <c r="D308" s="3">
        <f t="shared" si="25"/>
        <v>9</v>
      </c>
      <c r="E308" t="s">
        <v>12</v>
      </c>
      <c r="F308" t="s">
        <v>13</v>
      </c>
      <c r="G308" t="str">
        <f t="shared" si="26"/>
        <v/>
      </c>
      <c r="H308" t="s">
        <v>14</v>
      </c>
      <c r="I308" t="s">
        <v>5072</v>
      </c>
      <c r="J308" s="2">
        <f t="shared" si="27"/>
        <v>1100000</v>
      </c>
      <c r="K308" t="s">
        <v>42</v>
      </c>
      <c r="L308">
        <f t="shared" si="28"/>
        <v>0.17083333333333331</v>
      </c>
      <c r="M308" s="5">
        <v>0.17083333333333331</v>
      </c>
      <c r="N308" t="s">
        <v>43</v>
      </c>
      <c r="R308" s="3">
        <f t="shared" si="24"/>
        <v>4.0999999999999996</v>
      </c>
    </row>
    <row r="309" spans="1:18" hidden="1" x14ac:dyDescent="0.25">
      <c r="A309" t="s">
        <v>3614</v>
      </c>
      <c r="B309" t="s">
        <v>3233</v>
      </c>
      <c r="C309" t="s">
        <v>3232</v>
      </c>
      <c r="D309" s="3">
        <f t="shared" si="25"/>
        <v>9</v>
      </c>
      <c r="E309" t="s">
        <v>12</v>
      </c>
      <c r="F309" t="s">
        <v>13</v>
      </c>
      <c r="G309" t="str">
        <f t="shared" si="26"/>
        <v/>
      </c>
      <c r="H309" t="s">
        <v>14</v>
      </c>
      <c r="I309" t="s">
        <v>3615</v>
      </c>
      <c r="J309" s="2">
        <f t="shared" si="27"/>
        <v>1850000</v>
      </c>
      <c r="K309" t="s">
        <v>87</v>
      </c>
      <c r="L309">
        <f t="shared" si="28"/>
        <v>0.17013888888888887</v>
      </c>
      <c r="M309" s="5">
        <v>0.17013888888888887</v>
      </c>
      <c r="N309" t="s">
        <v>43</v>
      </c>
      <c r="P309" t="s">
        <v>1622</v>
      </c>
      <c r="R309" s="3">
        <f t="shared" si="24"/>
        <v>4.083333333333333</v>
      </c>
    </row>
    <row r="310" spans="1:18" hidden="1" x14ac:dyDescent="0.25">
      <c r="A310" t="s">
        <v>466</v>
      </c>
      <c r="B310" t="s">
        <v>20</v>
      </c>
      <c r="C310" t="s">
        <v>67</v>
      </c>
      <c r="D310" s="3">
        <f t="shared" si="25"/>
        <v>16</v>
      </c>
      <c r="E310" t="s">
        <v>79</v>
      </c>
      <c r="F310" t="s">
        <v>13</v>
      </c>
      <c r="G310" t="str">
        <f t="shared" si="26"/>
        <v/>
      </c>
      <c r="H310" t="s">
        <v>14</v>
      </c>
      <c r="I310" t="s">
        <v>467</v>
      </c>
      <c r="J310" s="2">
        <f t="shared" si="27"/>
        <v>1000000</v>
      </c>
      <c r="K310" t="s">
        <v>52</v>
      </c>
      <c r="L310">
        <f t="shared" si="28"/>
        <v>0</v>
      </c>
      <c r="N310" t="s">
        <v>18</v>
      </c>
      <c r="R310" s="3">
        <f t="shared" si="24"/>
        <v>0</v>
      </c>
    </row>
    <row r="311" spans="1:18" x14ac:dyDescent="0.25">
      <c r="A311" t="s">
        <v>618</v>
      </c>
      <c r="B311" t="s">
        <v>20</v>
      </c>
      <c r="C311" t="s">
        <v>38</v>
      </c>
      <c r="D311" s="3">
        <f t="shared" si="25"/>
        <v>12</v>
      </c>
      <c r="E311" t="s">
        <v>33</v>
      </c>
      <c r="F311" t="s">
        <v>34</v>
      </c>
      <c r="G311" t="str">
        <f t="shared" si="26"/>
        <v/>
      </c>
      <c r="H311" t="s">
        <v>14</v>
      </c>
      <c r="I311" t="s">
        <v>619</v>
      </c>
      <c r="J311" s="2">
        <f t="shared" si="27"/>
        <v>800000</v>
      </c>
      <c r="K311" t="s">
        <v>109</v>
      </c>
      <c r="L311">
        <f t="shared" si="28"/>
        <v>0</v>
      </c>
      <c r="N311" t="s">
        <v>43</v>
      </c>
      <c r="R311" s="3">
        <f t="shared" si="24"/>
        <v>0</v>
      </c>
    </row>
    <row r="312" spans="1:18" hidden="1" x14ac:dyDescent="0.25">
      <c r="A312" t="s">
        <v>1911</v>
      </c>
      <c r="B312" t="s">
        <v>1303</v>
      </c>
      <c r="C312" t="s">
        <v>1770</v>
      </c>
      <c r="D312" s="3">
        <f t="shared" si="25"/>
        <v>9</v>
      </c>
      <c r="E312" t="s">
        <v>12</v>
      </c>
      <c r="F312" t="s">
        <v>13</v>
      </c>
      <c r="G312" t="str">
        <f t="shared" si="26"/>
        <v/>
      </c>
      <c r="H312" t="s">
        <v>14</v>
      </c>
      <c r="I312" t="s">
        <v>1912</v>
      </c>
      <c r="J312" s="2">
        <f t="shared" si="27"/>
        <v>2000000</v>
      </c>
      <c r="K312" t="s">
        <v>128</v>
      </c>
      <c r="L312">
        <f t="shared" si="28"/>
        <v>0.17291666666666669</v>
      </c>
      <c r="M312" s="5">
        <v>0.17291666666666669</v>
      </c>
      <c r="N312" t="s">
        <v>18</v>
      </c>
      <c r="P312" t="s">
        <v>1461</v>
      </c>
      <c r="R312" s="3">
        <f t="shared" si="24"/>
        <v>4.1500000000000004</v>
      </c>
    </row>
    <row r="313" spans="1:18" hidden="1" x14ac:dyDescent="0.25">
      <c r="A313" t="s">
        <v>4689</v>
      </c>
      <c r="B313" t="s">
        <v>4272</v>
      </c>
      <c r="C313" t="s">
        <v>4271</v>
      </c>
      <c r="D313" s="3">
        <f t="shared" si="25"/>
        <v>9</v>
      </c>
      <c r="E313" t="s">
        <v>12</v>
      </c>
      <c r="F313" t="s">
        <v>34</v>
      </c>
      <c r="G313" t="str">
        <f t="shared" si="26"/>
        <v/>
      </c>
      <c r="H313" t="s">
        <v>14</v>
      </c>
      <c r="I313" t="s">
        <v>4690</v>
      </c>
      <c r="J313" s="2">
        <f t="shared" si="27"/>
        <v>1700000</v>
      </c>
      <c r="K313" t="s">
        <v>23</v>
      </c>
      <c r="L313">
        <f t="shared" si="28"/>
        <v>0.17291666666666669</v>
      </c>
      <c r="M313" s="5">
        <v>0.17291666666666669</v>
      </c>
      <c r="N313" t="s">
        <v>43</v>
      </c>
      <c r="R313" s="3">
        <f t="shared" si="24"/>
        <v>4.1500000000000004</v>
      </c>
    </row>
    <row r="314" spans="1:18" hidden="1" x14ac:dyDescent="0.25">
      <c r="A314" t="s">
        <v>4584</v>
      </c>
      <c r="B314" t="s">
        <v>4272</v>
      </c>
      <c r="C314" t="s">
        <v>4271</v>
      </c>
      <c r="D314" s="3">
        <f t="shared" si="25"/>
        <v>9</v>
      </c>
      <c r="E314" t="s">
        <v>12</v>
      </c>
      <c r="F314" t="s">
        <v>34</v>
      </c>
      <c r="G314" t="str">
        <f t="shared" si="26"/>
        <v/>
      </c>
      <c r="H314" t="s">
        <v>14</v>
      </c>
      <c r="I314" t="s">
        <v>4585</v>
      </c>
      <c r="J314" s="2">
        <f t="shared" si="27"/>
        <v>2200000</v>
      </c>
      <c r="K314" t="s">
        <v>849</v>
      </c>
      <c r="L314">
        <f t="shared" si="28"/>
        <v>0</v>
      </c>
      <c r="N314" t="s">
        <v>43</v>
      </c>
      <c r="R314" s="3">
        <f t="shared" si="24"/>
        <v>0</v>
      </c>
    </row>
    <row r="315" spans="1:18" hidden="1" x14ac:dyDescent="0.25">
      <c r="A315" t="s">
        <v>5214</v>
      </c>
      <c r="B315" t="s">
        <v>4806</v>
      </c>
      <c r="C315" t="s">
        <v>4805</v>
      </c>
      <c r="D315" s="3">
        <f t="shared" si="25"/>
        <v>9</v>
      </c>
      <c r="E315" t="s">
        <v>12</v>
      </c>
      <c r="F315" t="s">
        <v>13</v>
      </c>
      <c r="G315" t="str">
        <f t="shared" si="26"/>
        <v/>
      </c>
      <c r="H315" t="s">
        <v>14</v>
      </c>
      <c r="I315" t="s">
        <v>5215</v>
      </c>
      <c r="J315" s="2">
        <f t="shared" si="27"/>
        <v>1200000</v>
      </c>
      <c r="K315" t="s">
        <v>36</v>
      </c>
      <c r="L315">
        <f t="shared" si="28"/>
        <v>0</v>
      </c>
      <c r="N315" t="s">
        <v>18</v>
      </c>
      <c r="R315" s="3">
        <f t="shared" si="24"/>
        <v>0</v>
      </c>
    </row>
    <row r="316" spans="1:18" hidden="1" x14ac:dyDescent="0.25">
      <c r="A316" t="s">
        <v>980</v>
      </c>
      <c r="B316" t="s">
        <v>640</v>
      </c>
      <c r="C316" t="s">
        <v>643</v>
      </c>
      <c r="D316" s="3">
        <f t="shared" si="25"/>
        <v>12</v>
      </c>
      <c r="E316" t="s">
        <v>33</v>
      </c>
      <c r="F316" t="s">
        <v>34</v>
      </c>
      <c r="G316" t="str">
        <f t="shared" si="26"/>
        <v/>
      </c>
      <c r="H316" t="s">
        <v>14</v>
      </c>
      <c r="I316" t="s">
        <v>981</v>
      </c>
      <c r="J316" s="2">
        <f t="shared" si="27"/>
        <v>800000</v>
      </c>
      <c r="K316" t="s">
        <v>109</v>
      </c>
      <c r="L316">
        <f t="shared" si="28"/>
        <v>0.17083333333333331</v>
      </c>
      <c r="M316" s="5">
        <v>0.17083333333333331</v>
      </c>
      <c r="N316" t="s">
        <v>37</v>
      </c>
      <c r="P316" t="s">
        <v>199</v>
      </c>
      <c r="R316" s="3">
        <f t="shared" si="24"/>
        <v>4.0999999999999996</v>
      </c>
    </row>
    <row r="317" spans="1:18" hidden="1" x14ac:dyDescent="0.25">
      <c r="A317" t="s">
        <v>5773</v>
      </c>
      <c r="B317" t="s">
        <v>5848</v>
      </c>
      <c r="C317" t="s">
        <v>5631</v>
      </c>
      <c r="D317" s="3">
        <f t="shared" si="25"/>
        <v>21</v>
      </c>
      <c r="E317" t="s">
        <v>350</v>
      </c>
      <c r="F317" t="s">
        <v>13</v>
      </c>
      <c r="G317" t="str">
        <f t="shared" si="26"/>
        <v/>
      </c>
      <c r="H317" t="s">
        <v>14</v>
      </c>
      <c r="I317" t="s">
        <v>5774</v>
      </c>
      <c r="J317" s="2">
        <f t="shared" si="27"/>
        <v>2100000</v>
      </c>
      <c r="K317" t="s">
        <v>451</v>
      </c>
      <c r="L317">
        <f t="shared" si="28"/>
        <v>0.17083333333333331</v>
      </c>
      <c r="M317" s="5">
        <v>0.17083333333333331</v>
      </c>
      <c r="N317" t="s">
        <v>43</v>
      </c>
      <c r="P317" t="s">
        <v>669</v>
      </c>
      <c r="R317" s="3">
        <f t="shared" si="24"/>
        <v>4.0999999999999996</v>
      </c>
    </row>
    <row r="318" spans="1:18" hidden="1" x14ac:dyDescent="0.25">
      <c r="A318" t="s">
        <v>5677</v>
      </c>
      <c r="B318" t="s">
        <v>5848</v>
      </c>
      <c r="C318" t="s">
        <v>5339</v>
      </c>
      <c r="D318" s="3">
        <f t="shared" si="25"/>
        <v>12</v>
      </c>
      <c r="E318" t="s">
        <v>33</v>
      </c>
      <c r="F318" t="s">
        <v>13</v>
      </c>
      <c r="G318" t="str">
        <f t="shared" si="26"/>
        <v/>
      </c>
      <c r="H318" t="s">
        <v>14</v>
      </c>
      <c r="I318" t="s">
        <v>5678</v>
      </c>
      <c r="J318" s="2">
        <f t="shared" si="27"/>
        <v>2480000</v>
      </c>
      <c r="K318" t="s">
        <v>5679</v>
      </c>
      <c r="L318">
        <f t="shared" si="28"/>
        <v>0.17083333333333331</v>
      </c>
      <c r="M318" s="5">
        <v>0.17083333333333331</v>
      </c>
      <c r="N318" t="s">
        <v>18</v>
      </c>
      <c r="P318" t="s">
        <v>727</v>
      </c>
      <c r="R318" s="3">
        <f t="shared" si="24"/>
        <v>4.0999999999999996</v>
      </c>
    </row>
    <row r="319" spans="1:18" hidden="1" x14ac:dyDescent="0.25">
      <c r="A319" t="s">
        <v>1252</v>
      </c>
      <c r="B319" t="s">
        <v>640</v>
      </c>
      <c r="C319" t="s">
        <v>657</v>
      </c>
      <c r="D319" s="3">
        <f t="shared" si="25"/>
        <v>20</v>
      </c>
      <c r="E319" t="s">
        <v>159</v>
      </c>
      <c r="F319" t="s">
        <v>34</v>
      </c>
      <c r="G319" t="str">
        <f t="shared" si="26"/>
        <v/>
      </c>
      <c r="H319" t="s">
        <v>14</v>
      </c>
      <c r="I319" t="s">
        <v>1253</v>
      </c>
      <c r="J319" s="2">
        <f t="shared" si="27"/>
        <v>725000</v>
      </c>
      <c r="K319" t="s">
        <v>1254</v>
      </c>
      <c r="L319">
        <f t="shared" si="28"/>
        <v>0.16944444444444443</v>
      </c>
      <c r="M319" s="5">
        <v>0.16944444444444443</v>
      </c>
      <c r="N319" t="s">
        <v>37</v>
      </c>
      <c r="R319" s="3">
        <f t="shared" si="24"/>
        <v>4.0666666666666664</v>
      </c>
    </row>
    <row r="320" spans="1:18" x14ac:dyDescent="0.25">
      <c r="A320" t="s">
        <v>4631</v>
      </c>
      <c r="B320" t="s">
        <v>4272</v>
      </c>
      <c r="C320" t="s">
        <v>4271</v>
      </c>
      <c r="D320" s="3">
        <f t="shared" si="25"/>
        <v>9</v>
      </c>
      <c r="E320" t="s">
        <v>12</v>
      </c>
      <c r="F320" t="s">
        <v>13</v>
      </c>
      <c r="G320">
        <f t="shared" si="26"/>
        <v>875000</v>
      </c>
      <c r="H320" t="s">
        <v>710</v>
      </c>
      <c r="I320" t="s">
        <v>4632</v>
      </c>
      <c r="J320" s="2">
        <f t="shared" si="27"/>
        <v>807000</v>
      </c>
      <c r="K320" t="s">
        <v>3836</v>
      </c>
      <c r="L320">
        <f t="shared" si="28"/>
        <v>0.17222222222222225</v>
      </c>
      <c r="M320" s="5">
        <v>0.17222222222222225</v>
      </c>
      <c r="N320" t="s">
        <v>18</v>
      </c>
      <c r="P320" t="s">
        <v>745</v>
      </c>
      <c r="R320" s="3">
        <f t="shared" si="24"/>
        <v>4.1333333333333337</v>
      </c>
    </row>
    <row r="321" spans="1:18" hidden="1" x14ac:dyDescent="0.25">
      <c r="A321" t="s">
        <v>50</v>
      </c>
      <c r="B321" t="s">
        <v>20</v>
      </c>
      <c r="C321" t="s">
        <v>54</v>
      </c>
      <c r="D321" s="3">
        <f t="shared" si="25"/>
        <v>12</v>
      </c>
      <c r="E321" t="s">
        <v>33</v>
      </c>
      <c r="F321" t="s">
        <v>13</v>
      </c>
      <c r="G321" t="str">
        <f t="shared" si="26"/>
        <v/>
      </c>
      <c r="H321" t="s">
        <v>14</v>
      </c>
      <c r="I321" t="s">
        <v>51</v>
      </c>
      <c r="J321" s="2">
        <f t="shared" si="27"/>
        <v>2150000</v>
      </c>
      <c r="K321" t="s">
        <v>53</v>
      </c>
      <c r="L321">
        <f t="shared" si="28"/>
        <v>0.20833333333333334</v>
      </c>
      <c r="M321" s="5">
        <v>0.20833333333333334</v>
      </c>
      <c r="N321" t="s">
        <v>18</v>
      </c>
      <c r="R321" s="3">
        <f t="shared" si="24"/>
        <v>5</v>
      </c>
    </row>
    <row r="322" spans="1:18" hidden="1" x14ac:dyDescent="0.25">
      <c r="A322" t="s">
        <v>1489</v>
      </c>
      <c r="B322" t="s">
        <v>1303</v>
      </c>
      <c r="C322" t="s">
        <v>1322</v>
      </c>
      <c r="D322" s="3">
        <f t="shared" si="25"/>
        <v>7.5</v>
      </c>
      <c r="E322" t="s">
        <v>178</v>
      </c>
      <c r="F322" t="s">
        <v>13</v>
      </c>
      <c r="G322" t="str">
        <f t="shared" si="26"/>
        <v/>
      </c>
      <c r="H322" t="s">
        <v>14</v>
      </c>
      <c r="I322" t="s">
        <v>1490</v>
      </c>
      <c r="J322" s="2">
        <f t="shared" si="27"/>
        <v>1750000</v>
      </c>
      <c r="K322" t="s">
        <v>306</v>
      </c>
      <c r="L322">
        <f t="shared" si="28"/>
        <v>0.17083333333333331</v>
      </c>
      <c r="M322" s="5">
        <v>0.17083333333333331</v>
      </c>
      <c r="N322" t="s">
        <v>43</v>
      </c>
      <c r="P322" t="s">
        <v>1449</v>
      </c>
      <c r="R322" s="3">
        <f t="shared" ref="R322:R385" si="29">24*L322</f>
        <v>4.0999999999999996</v>
      </c>
    </row>
    <row r="323" spans="1:18" hidden="1" x14ac:dyDescent="0.25">
      <c r="A323" t="s">
        <v>397</v>
      </c>
      <c r="B323" t="s">
        <v>20</v>
      </c>
      <c r="C323" t="s">
        <v>19</v>
      </c>
      <c r="D323" s="3">
        <f t="shared" si="25"/>
        <v>9</v>
      </c>
      <c r="E323" t="s">
        <v>12</v>
      </c>
      <c r="F323" t="s">
        <v>13</v>
      </c>
      <c r="G323" t="str">
        <f t="shared" si="26"/>
        <v/>
      </c>
      <c r="H323" t="s">
        <v>14</v>
      </c>
      <c r="I323" t="s">
        <v>398</v>
      </c>
      <c r="J323" s="2">
        <f t="shared" si="27"/>
        <v>1200000</v>
      </c>
      <c r="K323" t="s">
        <v>36</v>
      </c>
      <c r="L323">
        <f t="shared" si="28"/>
        <v>0</v>
      </c>
      <c r="N323" t="s">
        <v>18</v>
      </c>
      <c r="R323" s="3">
        <f t="shared" si="29"/>
        <v>0</v>
      </c>
    </row>
    <row r="324" spans="1:18" hidden="1" x14ac:dyDescent="0.25">
      <c r="A324" t="s">
        <v>620</v>
      </c>
      <c r="B324" t="s">
        <v>20</v>
      </c>
      <c r="C324" t="s">
        <v>24</v>
      </c>
      <c r="D324" s="3">
        <f t="shared" si="25"/>
        <v>12</v>
      </c>
      <c r="E324" t="s">
        <v>33</v>
      </c>
      <c r="F324" t="s">
        <v>13</v>
      </c>
      <c r="G324" t="str">
        <f t="shared" si="26"/>
        <v/>
      </c>
      <c r="H324" t="s">
        <v>14</v>
      </c>
      <c r="I324" t="s">
        <v>621</v>
      </c>
      <c r="J324" s="2">
        <f t="shared" si="27"/>
        <v>1300000</v>
      </c>
      <c r="K324" t="s">
        <v>17</v>
      </c>
      <c r="L324">
        <f t="shared" si="28"/>
        <v>0</v>
      </c>
      <c r="N324" t="s">
        <v>18</v>
      </c>
      <c r="R324" s="3">
        <f t="shared" si="29"/>
        <v>0</v>
      </c>
    </row>
    <row r="325" spans="1:18" x14ac:dyDescent="0.25">
      <c r="A325" t="s">
        <v>2196</v>
      </c>
      <c r="B325" t="s">
        <v>2596</v>
      </c>
      <c r="C325" t="s">
        <v>1981</v>
      </c>
      <c r="D325" s="3">
        <f t="shared" si="25"/>
        <v>4.25</v>
      </c>
      <c r="E325" t="s">
        <v>2057</v>
      </c>
      <c r="F325" t="s">
        <v>34</v>
      </c>
      <c r="G325">
        <f t="shared" si="26"/>
        <v>850000</v>
      </c>
      <c r="H325" t="s">
        <v>185</v>
      </c>
      <c r="I325" t="s">
        <v>2058</v>
      </c>
      <c r="J325" s="2">
        <f t="shared" si="27"/>
        <v>807500</v>
      </c>
      <c r="K325" t="s">
        <v>2197</v>
      </c>
      <c r="L325">
        <f t="shared" si="28"/>
        <v>0.17013888888888887</v>
      </c>
      <c r="M325" s="5">
        <v>0.17013888888888887</v>
      </c>
      <c r="N325" t="s">
        <v>43</v>
      </c>
      <c r="P325" t="s">
        <v>2198</v>
      </c>
      <c r="R325" s="3">
        <f t="shared" si="29"/>
        <v>4.083333333333333</v>
      </c>
    </row>
    <row r="326" spans="1:18" x14ac:dyDescent="0.25">
      <c r="A326" t="s">
        <v>947</v>
      </c>
      <c r="B326" t="s">
        <v>640</v>
      </c>
      <c r="C326" t="s">
        <v>657</v>
      </c>
      <c r="D326" s="3">
        <f t="shared" si="25"/>
        <v>16</v>
      </c>
      <c r="E326" t="s">
        <v>79</v>
      </c>
      <c r="F326" t="s">
        <v>13</v>
      </c>
      <c r="G326" t="str">
        <f t="shared" si="26"/>
        <v/>
      </c>
      <c r="H326" t="s">
        <v>14</v>
      </c>
      <c r="I326" t="s">
        <v>948</v>
      </c>
      <c r="J326" s="2">
        <f t="shared" si="27"/>
        <v>825000</v>
      </c>
      <c r="K326" t="s">
        <v>715</v>
      </c>
      <c r="L326">
        <f t="shared" si="28"/>
        <v>0.17083333333333331</v>
      </c>
      <c r="M326" s="5">
        <v>0.17083333333333331</v>
      </c>
      <c r="N326" t="s">
        <v>37</v>
      </c>
      <c r="P326" t="s">
        <v>199</v>
      </c>
      <c r="R326" s="3">
        <f t="shared" si="29"/>
        <v>4.0999999999999996</v>
      </c>
    </row>
    <row r="327" spans="1:18" hidden="1" x14ac:dyDescent="0.25">
      <c r="A327" t="s">
        <v>380</v>
      </c>
      <c r="B327" t="s">
        <v>20</v>
      </c>
      <c r="C327" t="s">
        <v>218</v>
      </c>
      <c r="D327" s="3">
        <f t="shared" si="25"/>
        <v>12</v>
      </c>
      <c r="E327" t="s">
        <v>33</v>
      </c>
      <c r="F327" t="s">
        <v>13</v>
      </c>
      <c r="G327" t="str">
        <f t="shared" si="26"/>
        <v/>
      </c>
      <c r="H327" t="s">
        <v>14</v>
      </c>
      <c r="I327" t="s">
        <v>381</v>
      </c>
      <c r="J327" s="2">
        <f t="shared" si="27"/>
        <v>1800000</v>
      </c>
      <c r="K327" t="s">
        <v>228</v>
      </c>
      <c r="L327">
        <f t="shared" si="28"/>
        <v>0</v>
      </c>
      <c r="N327" t="s">
        <v>43</v>
      </c>
      <c r="R327" s="3">
        <f t="shared" si="29"/>
        <v>0</v>
      </c>
    </row>
    <row r="328" spans="1:18" hidden="1" x14ac:dyDescent="0.25">
      <c r="A328" t="s">
        <v>5206</v>
      </c>
      <c r="B328" t="s">
        <v>4806</v>
      </c>
      <c r="C328" t="s">
        <v>4865</v>
      </c>
      <c r="D328" s="3">
        <f t="shared" si="25"/>
        <v>9</v>
      </c>
      <c r="E328" t="s">
        <v>12</v>
      </c>
      <c r="F328" t="s">
        <v>34</v>
      </c>
      <c r="G328" t="str">
        <f t="shared" si="26"/>
        <v/>
      </c>
      <c r="H328" t="s">
        <v>14</v>
      </c>
      <c r="I328" t="s">
        <v>5207</v>
      </c>
      <c r="J328" s="2">
        <f t="shared" si="27"/>
        <v>1100000</v>
      </c>
      <c r="K328" t="s">
        <v>42</v>
      </c>
      <c r="L328">
        <f t="shared" si="28"/>
        <v>0.20833333333333334</v>
      </c>
      <c r="M328" s="5">
        <v>0.20833333333333334</v>
      </c>
      <c r="N328" t="s">
        <v>37</v>
      </c>
      <c r="R328" s="3">
        <f t="shared" si="29"/>
        <v>5</v>
      </c>
    </row>
    <row r="329" spans="1:18" hidden="1" x14ac:dyDescent="0.25">
      <c r="A329" t="s">
        <v>5204</v>
      </c>
      <c r="B329" t="s">
        <v>4806</v>
      </c>
      <c r="C329" t="s">
        <v>4939</v>
      </c>
      <c r="D329" s="3">
        <f t="shared" si="25"/>
        <v>12</v>
      </c>
      <c r="E329" t="s">
        <v>33</v>
      </c>
      <c r="F329" t="s">
        <v>13</v>
      </c>
      <c r="G329" t="str">
        <f t="shared" si="26"/>
        <v/>
      </c>
      <c r="H329" t="s">
        <v>14</v>
      </c>
      <c r="I329" t="s">
        <v>5205</v>
      </c>
      <c r="J329" s="2">
        <f t="shared" si="27"/>
        <v>1400000</v>
      </c>
      <c r="K329" t="s">
        <v>81</v>
      </c>
      <c r="L329">
        <f t="shared" si="28"/>
        <v>0</v>
      </c>
      <c r="N329" t="s">
        <v>43</v>
      </c>
      <c r="R329" s="3">
        <f t="shared" si="29"/>
        <v>0</v>
      </c>
    </row>
    <row r="330" spans="1:18" hidden="1" x14ac:dyDescent="0.25">
      <c r="A330" t="s">
        <v>3707</v>
      </c>
      <c r="B330" t="s">
        <v>3233</v>
      </c>
      <c r="C330" t="s">
        <v>3232</v>
      </c>
      <c r="D330" s="3">
        <f t="shared" si="25"/>
        <v>6</v>
      </c>
      <c r="E330" t="s">
        <v>64</v>
      </c>
      <c r="F330" t="s">
        <v>13</v>
      </c>
      <c r="G330" t="str">
        <f t="shared" si="26"/>
        <v/>
      </c>
      <c r="H330" t="s">
        <v>14</v>
      </c>
      <c r="I330" t="s">
        <v>3708</v>
      </c>
      <c r="J330" s="2">
        <f t="shared" si="27"/>
        <v>1550000</v>
      </c>
      <c r="K330" t="s">
        <v>137</v>
      </c>
      <c r="L330">
        <f t="shared" si="28"/>
        <v>0.20833333333333334</v>
      </c>
      <c r="M330" s="5">
        <v>0.20833333333333334</v>
      </c>
      <c r="N330" t="s">
        <v>43</v>
      </c>
      <c r="R330" s="3">
        <f t="shared" si="29"/>
        <v>5</v>
      </c>
    </row>
    <row r="331" spans="1:18" hidden="1" x14ac:dyDescent="0.25">
      <c r="A331" t="s">
        <v>3666</v>
      </c>
      <c r="B331" t="s">
        <v>3233</v>
      </c>
      <c r="C331" t="s">
        <v>3232</v>
      </c>
      <c r="D331" s="3">
        <f t="shared" ref="D331:D394" si="30">VALUE(LEFT(E331,SEARCH(" x ",E331)-1))*VALUE(MID(E331,SEARCH(" x ",E331)+3,SEARCH(" meter",E331)-SEARCH(" x ",E331)-3))</f>
        <v>9</v>
      </c>
      <c r="E331" t="s">
        <v>12</v>
      </c>
      <c r="F331" t="s">
        <v>13</v>
      </c>
      <c r="G331" t="str">
        <f t="shared" ref="G331:G394" si="31">IF(H331="N/A","",VALUE(SUBSTITUTE(SUBSTITUTE(H331,"Rp",""),".","")))</f>
        <v/>
      </c>
      <c r="H331" t="s">
        <v>14</v>
      </c>
      <c r="I331" t="s">
        <v>3667</v>
      </c>
      <c r="J331" s="2">
        <f t="shared" ref="J331:J394" si="32">VALUE(SUBSTITUTE(SUBSTITUTE(K331,"Rp",""),".",""))</f>
        <v>1650000</v>
      </c>
      <c r="K331" t="s">
        <v>90</v>
      </c>
      <c r="L331">
        <f t="shared" ref="L331:L394" si="33">M331:M2671</f>
        <v>0.17222222222222225</v>
      </c>
      <c r="M331" s="5">
        <v>0.17222222222222225</v>
      </c>
      <c r="N331" t="s">
        <v>43</v>
      </c>
      <c r="P331" t="s">
        <v>1607</v>
      </c>
      <c r="R331" s="3">
        <f t="shared" si="29"/>
        <v>4.1333333333333337</v>
      </c>
    </row>
    <row r="332" spans="1:18" hidden="1" x14ac:dyDescent="0.25">
      <c r="A332" t="s">
        <v>241</v>
      </c>
      <c r="B332" t="s">
        <v>20</v>
      </c>
      <c r="C332" t="s">
        <v>218</v>
      </c>
      <c r="D332" s="3">
        <f t="shared" si="30"/>
        <v>20</v>
      </c>
      <c r="E332" t="s">
        <v>159</v>
      </c>
      <c r="F332" t="s">
        <v>13</v>
      </c>
      <c r="G332" t="str">
        <f t="shared" si="31"/>
        <v/>
      </c>
      <c r="H332" t="s">
        <v>14</v>
      </c>
      <c r="I332" t="s">
        <v>242</v>
      </c>
      <c r="J332" s="2">
        <f t="shared" si="32"/>
        <v>1200000</v>
      </c>
      <c r="K332" t="s">
        <v>36</v>
      </c>
      <c r="L332">
        <f t="shared" si="33"/>
        <v>0.20833333333333334</v>
      </c>
      <c r="M332" s="5">
        <v>0.20833333333333334</v>
      </c>
      <c r="N332" t="s">
        <v>43</v>
      </c>
      <c r="R332" s="3">
        <f t="shared" si="29"/>
        <v>5</v>
      </c>
    </row>
    <row r="333" spans="1:18" hidden="1" x14ac:dyDescent="0.25">
      <c r="A333" t="s">
        <v>418</v>
      </c>
      <c r="B333" t="s">
        <v>20</v>
      </c>
      <c r="C333" t="s">
        <v>218</v>
      </c>
      <c r="D333" s="3">
        <f t="shared" si="30"/>
        <v>20</v>
      </c>
      <c r="E333" t="s">
        <v>159</v>
      </c>
      <c r="F333" t="s">
        <v>13</v>
      </c>
      <c r="G333" t="str">
        <f t="shared" si="31"/>
        <v/>
      </c>
      <c r="H333" t="s">
        <v>14</v>
      </c>
      <c r="I333" t="s">
        <v>419</v>
      </c>
      <c r="J333" s="2">
        <f t="shared" si="32"/>
        <v>700000</v>
      </c>
      <c r="K333" t="s">
        <v>157</v>
      </c>
      <c r="L333">
        <f t="shared" si="33"/>
        <v>0</v>
      </c>
      <c r="N333" t="s">
        <v>43</v>
      </c>
      <c r="R333" s="3">
        <f t="shared" si="29"/>
        <v>0</v>
      </c>
    </row>
    <row r="334" spans="1:18" x14ac:dyDescent="0.25">
      <c r="A334" t="s">
        <v>4093</v>
      </c>
      <c r="B334" t="s">
        <v>3746</v>
      </c>
      <c r="C334" t="s">
        <v>4095</v>
      </c>
      <c r="D334" s="3">
        <f t="shared" si="30"/>
        <v>9</v>
      </c>
      <c r="E334" t="s">
        <v>12</v>
      </c>
      <c r="F334" t="s">
        <v>34</v>
      </c>
      <c r="G334" t="str">
        <f t="shared" si="31"/>
        <v/>
      </c>
      <c r="H334" t="s">
        <v>14</v>
      </c>
      <c r="I334" t="s">
        <v>4094</v>
      </c>
      <c r="J334" s="2">
        <f t="shared" si="32"/>
        <v>850000</v>
      </c>
      <c r="K334" t="s">
        <v>185</v>
      </c>
      <c r="L334">
        <f t="shared" si="33"/>
        <v>0</v>
      </c>
      <c r="N334" t="s">
        <v>18</v>
      </c>
      <c r="R334" s="3">
        <f t="shared" si="29"/>
        <v>0</v>
      </c>
    </row>
    <row r="335" spans="1:18" x14ac:dyDescent="0.25">
      <c r="A335" t="s">
        <v>3514</v>
      </c>
      <c r="B335" t="s">
        <v>3233</v>
      </c>
      <c r="C335" t="s">
        <v>3261</v>
      </c>
      <c r="D335" s="3">
        <f t="shared" si="30"/>
        <v>9</v>
      </c>
      <c r="E335" t="s">
        <v>12</v>
      </c>
      <c r="F335" t="s">
        <v>34</v>
      </c>
      <c r="G335" t="str">
        <f t="shared" si="31"/>
        <v/>
      </c>
      <c r="H335" t="s">
        <v>14</v>
      </c>
      <c r="I335" t="s">
        <v>3515</v>
      </c>
      <c r="J335" s="2">
        <f t="shared" si="32"/>
        <v>850000</v>
      </c>
      <c r="K335" t="s">
        <v>185</v>
      </c>
      <c r="L335">
        <f t="shared" si="33"/>
        <v>0</v>
      </c>
      <c r="N335" t="s">
        <v>43</v>
      </c>
      <c r="R335" s="3">
        <f t="shared" si="29"/>
        <v>0</v>
      </c>
    </row>
    <row r="336" spans="1:18" hidden="1" x14ac:dyDescent="0.25">
      <c r="A336" t="s">
        <v>4103</v>
      </c>
      <c r="B336" t="s">
        <v>3746</v>
      </c>
      <c r="C336" t="s">
        <v>3861</v>
      </c>
      <c r="D336" s="3">
        <f t="shared" si="30"/>
        <v>12</v>
      </c>
      <c r="E336" t="s">
        <v>33</v>
      </c>
      <c r="F336" t="s">
        <v>13</v>
      </c>
      <c r="G336" t="str">
        <f t="shared" si="31"/>
        <v/>
      </c>
      <c r="H336" t="s">
        <v>14</v>
      </c>
      <c r="I336" t="s">
        <v>4104</v>
      </c>
      <c r="J336" s="2">
        <f t="shared" si="32"/>
        <v>1400000</v>
      </c>
      <c r="K336" t="s">
        <v>81</v>
      </c>
      <c r="L336">
        <f t="shared" si="33"/>
        <v>0.17013888888888887</v>
      </c>
      <c r="M336" s="5">
        <v>0.17013888888888887</v>
      </c>
      <c r="N336" t="s">
        <v>43</v>
      </c>
      <c r="R336" s="3">
        <f t="shared" si="29"/>
        <v>4.083333333333333</v>
      </c>
    </row>
    <row r="337" spans="1:18" hidden="1" x14ac:dyDescent="0.25">
      <c r="A337" t="s">
        <v>260</v>
      </c>
      <c r="B337" t="s">
        <v>20</v>
      </c>
      <c r="C337" t="s">
        <v>19</v>
      </c>
      <c r="D337" s="3">
        <f t="shared" si="30"/>
        <v>12</v>
      </c>
      <c r="E337" t="s">
        <v>33</v>
      </c>
      <c r="F337" t="s">
        <v>13</v>
      </c>
      <c r="G337" t="str">
        <f t="shared" si="31"/>
        <v/>
      </c>
      <c r="H337" t="s">
        <v>14</v>
      </c>
      <c r="I337" t="s">
        <v>261</v>
      </c>
      <c r="J337" s="2">
        <f t="shared" si="32"/>
        <v>650000</v>
      </c>
      <c r="K337" t="s">
        <v>105</v>
      </c>
      <c r="L337">
        <f t="shared" si="33"/>
        <v>0.17013888888888887</v>
      </c>
      <c r="M337" s="5">
        <v>0.17013888888888887</v>
      </c>
      <c r="N337" t="s">
        <v>18</v>
      </c>
      <c r="R337" s="3">
        <f t="shared" si="29"/>
        <v>4.083333333333333</v>
      </c>
    </row>
    <row r="338" spans="1:18" hidden="1" x14ac:dyDescent="0.25">
      <c r="A338" t="s">
        <v>4876</v>
      </c>
      <c r="B338" t="s">
        <v>4806</v>
      </c>
      <c r="C338" t="s">
        <v>4805</v>
      </c>
      <c r="D338" s="3">
        <f t="shared" si="30"/>
        <v>9</v>
      </c>
      <c r="E338" t="s">
        <v>12</v>
      </c>
      <c r="F338" t="s">
        <v>34</v>
      </c>
      <c r="G338" t="str">
        <f t="shared" si="31"/>
        <v/>
      </c>
      <c r="H338" t="s">
        <v>14</v>
      </c>
      <c r="I338" t="s">
        <v>4877</v>
      </c>
      <c r="J338" s="2">
        <f t="shared" si="32"/>
        <v>1750000</v>
      </c>
      <c r="K338" t="s">
        <v>306</v>
      </c>
      <c r="L338">
        <f t="shared" si="33"/>
        <v>0</v>
      </c>
      <c r="N338" t="s">
        <v>37</v>
      </c>
      <c r="R338" s="3">
        <f t="shared" si="29"/>
        <v>0</v>
      </c>
    </row>
    <row r="339" spans="1:18" hidden="1" x14ac:dyDescent="0.25">
      <c r="A339" t="s">
        <v>4884</v>
      </c>
      <c r="B339" t="s">
        <v>4806</v>
      </c>
      <c r="C339" t="s">
        <v>4805</v>
      </c>
      <c r="D339" s="3">
        <f t="shared" si="30"/>
        <v>9</v>
      </c>
      <c r="E339" t="s">
        <v>12</v>
      </c>
      <c r="F339" t="s">
        <v>13</v>
      </c>
      <c r="G339" t="str">
        <f t="shared" si="31"/>
        <v/>
      </c>
      <c r="H339" t="s">
        <v>14</v>
      </c>
      <c r="I339" t="s">
        <v>4885</v>
      </c>
      <c r="J339" s="2">
        <f t="shared" si="32"/>
        <v>1600000</v>
      </c>
      <c r="K339" t="s">
        <v>95</v>
      </c>
      <c r="L339">
        <f t="shared" si="33"/>
        <v>0.17222222222222225</v>
      </c>
      <c r="M339" s="5">
        <v>0.17222222222222225</v>
      </c>
      <c r="N339" t="s">
        <v>43</v>
      </c>
      <c r="R339" s="3">
        <f t="shared" si="29"/>
        <v>4.1333333333333337</v>
      </c>
    </row>
    <row r="340" spans="1:18" hidden="1" x14ac:dyDescent="0.25">
      <c r="A340" t="s">
        <v>4840</v>
      </c>
      <c r="B340" t="s">
        <v>4806</v>
      </c>
      <c r="C340" t="s">
        <v>4805</v>
      </c>
      <c r="D340" s="3">
        <f t="shared" si="30"/>
        <v>9</v>
      </c>
      <c r="E340" t="s">
        <v>12</v>
      </c>
      <c r="F340" t="s">
        <v>34</v>
      </c>
      <c r="G340" t="str">
        <f t="shared" si="31"/>
        <v/>
      </c>
      <c r="H340" t="s">
        <v>14</v>
      </c>
      <c r="I340" t="s">
        <v>4841</v>
      </c>
      <c r="J340" s="2">
        <f t="shared" si="32"/>
        <v>1400000</v>
      </c>
      <c r="K340" t="s">
        <v>81</v>
      </c>
      <c r="L340">
        <f t="shared" si="33"/>
        <v>0</v>
      </c>
      <c r="N340" t="s">
        <v>43</v>
      </c>
      <c r="R340" s="3">
        <f t="shared" si="29"/>
        <v>0</v>
      </c>
    </row>
    <row r="341" spans="1:18" hidden="1" x14ac:dyDescent="0.25">
      <c r="A341" t="s">
        <v>3648</v>
      </c>
      <c r="B341" t="s">
        <v>3233</v>
      </c>
      <c r="C341" t="s">
        <v>3241</v>
      </c>
      <c r="D341" s="3">
        <f t="shared" si="30"/>
        <v>9</v>
      </c>
      <c r="E341" t="s">
        <v>12</v>
      </c>
      <c r="F341" t="s">
        <v>13</v>
      </c>
      <c r="G341" t="str">
        <f t="shared" si="31"/>
        <v/>
      </c>
      <c r="H341" t="s">
        <v>14</v>
      </c>
      <c r="I341" t="s">
        <v>3649</v>
      </c>
      <c r="J341" s="2">
        <f t="shared" si="32"/>
        <v>1300000</v>
      </c>
      <c r="K341" t="s">
        <v>17</v>
      </c>
      <c r="L341">
        <f t="shared" si="33"/>
        <v>0</v>
      </c>
      <c r="N341" t="s">
        <v>43</v>
      </c>
      <c r="R341" s="3">
        <f t="shared" si="29"/>
        <v>0</v>
      </c>
    </row>
    <row r="342" spans="1:18" hidden="1" x14ac:dyDescent="0.25">
      <c r="A342" t="s">
        <v>491</v>
      </c>
      <c r="B342" t="s">
        <v>20</v>
      </c>
      <c r="C342" t="s">
        <v>58</v>
      </c>
      <c r="D342" s="3">
        <f t="shared" si="30"/>
        <v>12</v>
      </c>
      <c r="E342" t="s">
        <v>33</v>
      </c>
      <c r="F342" t="s">
        <v>13</v>
      </c>
      <c r="G342" t="str">
        <f t="shared" si="31"/>
        <v/>
      </c>
      <c r="H342" t="s">
        <v>14</v>
      </c>
      <c r="I342" t="s">
        <v>492</v>
      </c>
      <c r="J342" s="2">
        <f t="shared" si="32"/>
        <v>1500000</v>
      </c>
      <c r="K342" t="s">
        <v>66</v>
      </c>
      <c r="L342">
        <f t="shared" si="33"/>
        <v>0</v>
      </c>
      <c r="N342" t="s">
        <v>43</v>
      </c>
      <c r="R342" s="3">
        <f t="shared" si="29"/>
        <v>0</v>
      </c>
    </row>
    <row r="343" spans="1:18" hidden="1" x14ac:dyDescent="0.25">
      <c r="A343" t="s">
        <v>318</v>
      </c>
      <c r="B343" t="s">
        <v>20</v>
      </c>
      <c r="C343" t="s">
        <v>24</v>
      </c>
      <c r="D343" s="3">
        <f t="shared" si="30"/>
        <v>9</v>
      </c>
      <c r="E343" t="s">
        <v>12</v>
      </c>
      <c r="F343" t="s">
        <v>13</v>
      </c>
      <c r="G343" t="str">
        <f t="shared" si="31"/>
        <v/>
      </c>
      <c r="H343" t="s">
        <v>14</v>
      </c>
      <c r="I343" t="s">
        <v>319</v>
      </c>
      <c r="J343" s="2">
        <f t="shared" si="32"/>
        <v>1200000</v>
      </c>
      <c r="K343" t="s">
        <v>36</v>
      </c>
      <c r="L343">
        <f t="shared" si="33"/>
        <v>0</v>
      </c>
      <c r="N343" t="s">
        <v>18</v>
      </c>
      <c r="R343" s="3">
        <f t="shared" si="29"/>
        <v>0</v>
      </c>
    </row>
    <row r="344" spans="1:18" hidden="1" x14ac:dyDescent="0.25">
      <c r="A344" t="s">
        <v>628</v>
      </c>
      <c r="B344" t="s">
        <v>20</v>
      </c>
      <c r="C344" t="s">
        <v>19</v>
      </c>
      <c r="D344" s="3">
        <f t="shared" si="30"/>
        <v>13.5</v>
      </c>
      <c r="E344" t="s">
        <v>446</v>
      </c>
      <c r="F344" t="s">
        <v>13</v>
      </c>
      <c r="G344" t="str">
        <f t="shared" si="31"/>
        <v/>
      </c>
      <c r="H344" t="s">
        <v>14</v>
      </c>
      <c r="I344" t="s">
        <v>629</v>
      </c>
      <c r="J344" s="2">
        <f t="shared" si="32"/>
        <v>1200000</v>
      </c>
      <c r="K344" t="s">
        <v>36</v>
      </c>
      <c r="L344">
        <f t="shared" si="33"/>
        <v>0</v>
      </c>
      <c r="N344" t="s">
        <v>18</v>
      </c>
      <c r="R344" s="3">
        <f t="shared" si="29"/>
        <v>0</v>
      </c>
    </row>
    <row r="345" spans="1:18" hidden="1" x14ac:dyDescent="0.25">
      <c r="A345" t="s">
        <v>1942</v>
      </c>
      <c r="B345" t="s">
        <v>1303</v>
      </c>
      <c r="C345" t="s">
        <v>1396</v>
      </c>
      <c r="D345" s="3">
        <f t="shared" si="30"/>
        <v>12</v>
      </c>
      <c r="E345" t="s">
        <v>33</v>
      </c>
      <c r="F345" t="s">
        <v>13</v>
      </c>
      <c r="G345" t="str">
        <f t="shared" si="31"/>
        <v/>
      </c>
      <c r="H345" t="s">
        <v>14</v>
      </c>
      <c r="I345" t="s">
        <v>1943</v>
      </c>
      <c r="J345" s="2">
        <f t="shared" si="32"/>
        <v>1500000</v>
      </c>
      <c r="K345" t="s">
        <v>66</v>
      </c>
      <c r="L345">
        <f t="shared" si="33"/>
        <v>0.1673611111111111</v>
      </c>
      <c r="M345" s="5">
        <v>0.1673611111111111</v>
      </c>
      <c r="N345" t="s">
        <v>43</v>
      </c>
      <c r="R345" s="3">
        <f t="shared" si="29"/>
        <v>4.0166666666666666</v>
      </c>
    </row>
    <row r="346" spans="1:18" hidden="1" x14ac:dyDescent="0.25">
      <c r="A346" t="s">
        <v>626</v>
      </c>
      <c r="B346" t="s">
        <v>20</v>
      </c>
      <c r="C346" t="s">
        <v>218</v>
      </c>
      <c r="D346" s="3">
        <f t="shared" si="30"/>
        <v>6</v>
      </c>
      <c r="E346" t="s">
        <v>64</v>
      </c>
      <c r="F346" t="s">
        <v>34</v>
      </c>
      <c r="G346" t="str">
        <f t="shared" si="31"/>
        <v/>
      </c>
      <c r="H346" t="s">
        <v>14</v>
      </c>
      <c r="I346" t="s">
        <v>627</v>
      </c>
      <c r="J346" s="2">
        <f t="shared" si="32"/>
        <v>900000</v>
      </c>
      <c r="K346" t="s">
        <v>101</v>
      </c>
      <c r="L346">
        <f t="shared" si="33"/>
        <v>0</v>
      </c>
      <c r="N346" t="s">
        <v>43</v>
      </c>
      <c r="R346" s="3">
        <f t="shared" si="29"/>
        <v>0</v>
      </c>
    </row>
    <row r="347" spans="1:18" hidden="1" x14ac:dyDescent="0.25">
      <c r="A347" t="s">
        <v>4606</v>
      </c>
      <c r="B347" t="s">
        <v>4272</v>
      </c>
      <c r="C347" t="s">
        <v>4285</v>
      </c>
      <c r="D347" s="3">
        <f t="shared" si="30"/>
        <v>9</v>
      </c>
      <c r="E347" t="s">
        <v>12</v>
      </c>
      <c r="F347" t="s">
        <v>13</v>
      </c>
      <c r="G347" t="str">
        <f t="shared" si="31"/>
        <v/>
      </c>
      <c r="H347" t="s">
        <v>14</v>
      </c>
      <c r="I347" t="s">
        <v>4607</v>
      </c>
      <c r="J347" s="2">
        <f t="shared" si="32"/>
        <v>1150001</v>
      </c>
      <c r="K347" t="s">
        <v>4608</v>
      </c>
      <c r="L347">
        <f t="shared" si="33"/>
        <v>0.20833333333333334</v>
      </c>
      <c r="M347" s="5">
        <v>0.20833333333333334</v>
      </c>
      <c r="N347" t="s">
        <v>37</v>
      </c>
      <c r="R347" s="3">
        <f t="shared" si="29"/>
        <v>5</v>
      </c>
    </row>
    <row r="348" spans="1:18" x14ac:dyDescent="0.25">
      <c r="A348" t="s">
        <v>3560</v>
      </c>
      <c r="B348" t="s">
        <v>3233</v>
      </c>
      <c r="C348" t="s">
        <v>3261</v>
      </c>
      <c r="D348" s="3">
        <f t="shared" si="30"/>
        <v>15</v>
      </c>
      <c r="E348" t="s">
        <v>71</v>
      </c>
      <c r="F348" t="s">
        <v>13</v>
      </c>
      <c r="G348" t="str">
        <f t="shared" si="31"/>
        <v/>
      </c>
      <c r="H348" t="s">
        <v>14</v>
      </c>
      <c r="I348" t="s">
        <v>3561</v>
      </c>
      <c r="J348" s="2">
        <f t="shared" si="32"/>
        <v>850000</v>
      </c>
      <c r="K348" t="s">
        <v>185</v>
      </c>
      <c r="L348">
        <f t="shared" si="33"/>
        <v>0</v>
      </c>
      <c r="N348" t="s">
        <v>43</v>
      </c>
      <c r="R348" s="3">
        <f t="shared" si="29"/>
        <v>0</v>
      </c>
    </row>
    <row r="349" spans="1:18" hidden="1" x14ac:dyDescent="0.25">
      <c r="A349" t="s">
        <v>3694</v>
      </c>
      <c r="B349" t="s">
        <v>3233</v>
      </c>
      <c r="C349" t="s">
        <v>3376</v>
      </c>
      <c r="D349" s="3">
        <f t="shared" si="30"/>
        <v>6</v>
      </c>
      <c r="E349" t="s">
        <v>64</v>
      </c>
      <c r="F349" t="s">
        <v>13</v>
      </c>
      <c r="G349" t="str">
        <f t="shared" si="31"/>
        <v/>
      </c>
      <c r="H349" t="s">
        <v>14</v>
      </c>
      <c r="I349" t="s">
        <v>3695</v>
      </c>
      <c r="J349" s="2">
        <f t="shared" si="32"/>
        <v>750000</v>
      </c>
      <c r="K349" t="s">
        <v>76</v>
      </c>
      <c r="L349">
        <f t="shared" si="33"/>
        <v>0.1277777777777778</v>
      </c>
      <c r="M349" s="5">
        <v>0.1277777777777778</v>
      </c>
      <c r="N349" t="s">
        <v>43</v>
      </c>
      <c r="R349" s="3">
        <f t="shared" si="29"/>
        <v>3.0666666666666673</v>
      </c>
    </row>
    <row r="350" spans="1:18" hidden="1" x14ac:dyDescent="0.25">
      <c r="A350" t="s">
        <v>3908</v>
      </c>
      <c r="B350" t="s">
        <v>3746</v>
      </c>
      <c r="C350" t="s">
        <v>3749</v>
      </c>
      <c r="D350" s="3">
        <f t="shared" si="30"/>
        <v>12</v>
      </c>
      <c r="E350" t="s">
        <v>33</v>
      </c>
      <c r="F350" t="s">
        <v>34</v>
      </c>
      <c r="G350" t="str">
        <f t="shared" si="31"/>
        <v/>
      </c>
      <c r="H350" t="s">
        <v>14</v>
      </c>
      <c r="I350" t="s">
        <v>3909</v>
      </c>
      <c r="J350" s="2">
        <f t="shared" si="32"/>
        <v>1500000</v>
      </c>
      <c r="K350" t="s">
        <v>66</v>
      </c>
      <c r="L350">
        <f t="shared" si="33"/>
        <v>0.17291666666666669</v>
      </c>
      <c r="M350" s="5">
        <v>0.17291666666666669</v>
      </c>
      <c r="N350" t="s">
        <v>18</v>
      </c>
      <c r="R350" s="3">
        <f t="shared" si="29"/>
        <v>4.1500000000000004</v>
      </c>
    </row>
    <row r="351" spans="1:18" hidden="1" x14ac:dyDescent="0.25">
      <c r="A351" t="s">
        <v>4874</v>
      </c>
      <c r="B351" t="s">
        <v>4806</v>
      </c>
      <c r="C351" t="s">
        <v>4859</v>
      </c>
      <c r="D351" s="3">
        <f t="shared" si="30"/>
        <v>21</v>
      </c>
      <c r="E351" t="s">
        <v>121</v>
      </c>
      <c r="F351" t="s">
        <v>13</v>
      </c>
      <c r="G351" t="str">
        <f t="shared" si="31"/>
        <v/>
      </c>
      <c r="H351" t="s">
        <v>14</v>
      </c>
      <c r="I351" t="s">
        <v>4875</v>
      </c>
      <c r="J351" s="2">
        <f t="shared" si="32"/>
        <v>600000</v>
      </c>
      <c r="K351" t="s">
        <v>173</v>
      </c>
      <c r="L351">
        <f t="shared" si="33"/>
        <v>0</v>
      </c>
      <c r="N351" t="s">
        <v>43</v>
      </c>
      <c r="R351" s="3">
        <f t="shared" si="29"/>
        <v>0</v>
      </c>
    </row>
    <row r="352" spans="1:18" x14ac:dyDescent="0.25">
      <c r="A352" t="s">
        <v>5844</v>
      </c>
      <c r="B352" t="s">
        <v>5848</v>
      </c>
      <c r="C352" t="s">
        <v>5342</v>
      </c>
      <c r="D352" s="3">
        <f t="shared" si="30"/>
        <v>8.8000000000000007</v>
      </c>
      <c r="E352" t="s">
        <v>4892</v>
      </c>
      <c r="F352" t="s">
        <v>13</v>
      </c>
      <c r="G352">
        <f t="shared" si="31"/>
        <v>925000</v>
      </c>
      <c r="H352" t="s">
        <v>649</v>
      </c>
      <c r="I352" t="s">
        <v>5845</v>
      </c>
      <c r="J352" s="2">
        <f t="shared" si="32"/>
        <v>853000</v>
      </c>
      <c r="K352" t="s">
        <v>4664</v>
      </c>
      <c r="L352">
        <f t="shared" si="33"/>
        <v>0.17291666666666669</v>
      </c>
      <c r="M352" s="5">
        <v>0.17291666666666669</v>
      </c>
      <c r="N352" t="s">
        <v>18</v>
      </c>
      <c r="P352" t="s">
        <v>2126</v>
      </c>
      <c r="R352" s="3">
        <f t="shared" si="29"/>
        <v>4.1500000000000004</v>
      </c>
    </row>
    <row r="353" spans="1:18" hidden="1" x14ac:dyDescent="0.25">
      <c r="A353" t="s">
        <v>3479</v>
      </c>
      <c r="B353" t="s">
        <v>3233</v>
      </c>
      <c r="C353" t="s">
        <v>3432</v>
      </c>
      <c r="D353" s="3">
        <f t="shared" si="30"/>
        <v>12</v>
      </c>
      <c r="E353" t="s">
        <v>33</v>
      </c>
      <c r="F353" t="s">
        <v>13</v>
      </c>
      <c r="G353" t="str">
        <f t="shared" si="31"/>
        <v/>
      </c>
      <c r="H353" t="s">
        <v>14</v>
      </c>
      <c r="I353" t="s">
        <v>3480</v>
      </c>
      <c r="J353" s="2">
        <f t="shared" si="32"/>
        <v>1300000</v>
      </c>
      <c r="K353" t="s">
        <v>17</v>
      </c>
      <c r="L353">
        <f t="shared" si="33"/>
        <v>0</v>
      </c>
      <c r="N353" t="s">
        <v>37</v>
      </c>
      <c r="R353" s="3">
        <f t="shared" si="29"/>
        <v>0</v>
      </c>
    </row>
    <row r="354" spans="1:18" hidden="1" x14ac:dyDescent="0.25">
      <c r="A354" t="s">
        <v>3453</v>
      </c>
      <c r="B354" t="s">
        <v>3233</v>
      </c>
      <c r="C354" t="s">
        <v>3329</v>
      </c>
      <c r="D354" s="3">
        <f t="shared" si="30"/>
        <v>12</v>
      </c>
      <c r="E354" t="s">
        <v>33</v>
      </c>
      <c r="F354" t="s">
        <v>13</v>
      </c>
      <c r="G354" t="str">
        <f t="shared" si="31"/>
        <v/>
      </c>
      <c r="H354" t="s">
        <v>14</v>
      </c>
      <c r="I354" t="s">
        <v>3454</v>
      </c>
      <c r="J354" s="2">
        <f t="shared" si="32"/>
        <v>900000</v>
      </c>
      <c r="K354" t="s">
        <v>101</v>
      </c>
      <c r="L354">
        <f t="shared" si="33"/>
        <v>0</v>
      </c>
      <c r="N354" t="s">
        <v>37</v>
      </c>
      <c r="R354" s="3">
        <f t="shared" si="29"/>
        <v>0</v>
      </c>
    </row>
    <row r="355" spans="1:18" hidden="1" x14ac:dyDescent="0.25">
      <c r="A355" t="s">
        <v>604</v>
      </c>
      <c r="B355" t="s">
        <v>20</v>
      </c>
      <c r="C355" t="s">
        <v>67</v>
      </c>
      <c r="D355" s="3">
        <f t="shared" si="30"/>
        <v>12</v>
      </c>
      <c r="E355" t="s">
        <v>33</v>
      </c>
      <c r="F355" t="s">
        <v>34</v>
      </c>
      <c r="G355" t="str">
        <f t="shared" si="31"/>
        <v/>
      </c>
      <c r="H355" t="s">
        <v>14</v>
      </c>
      <c r="I355" t="s">
        <v>605</v>
      </c>
      <c r="J355" s="2">
        <f t="shared" si="32"/>
        <v>1350000</v>
      </c>
      <c r="K355" t="s">
        <v>257</v>
      </c>
      <c r="L355">
        <f t="shared" si="33"/>
        <v>0</v>
      </c>
      <c r="N355" t="s">
        <v>43</v>
      </c>
      <c r="R355" s="3">
        <f t="shared" si="29"/>
        <v>0</v>
      </c>
    </row>
    <row r="356" spans="1:18" hidden="1" x14ac:dyDescent="0.25">
      <c r="A356" t="s">
        <v>4116</v>
      </c>
      <c r="B356" t="s">
        <v>3746</v>
      </c>
      <c r="C356" t="s">
        <v>3775</v>
      </c>
      <c r="D356" s="3">
        <f t="shared" si="30"/>
        <v>12</v>
      </c>
      <c r="E356" t="s">
        <v>33</v>
      </c>
      <c r="F356" t="s">
        <v>13</v>
      </c>
      <c r="G356" t="str">
        <f t="shared" si="31"/>
        <v/>
      </c>
      <c r="H356" t="s">
        <v>14</v>
      </c>
      <c r="I356" t="s">
        <v>4117</v>
      </c>
      <c r="J356" s="2">
        <f t="shared" si="32"/>
        <v>1400000</v>
      </c>
      <c r="K356" t="s">
        <v>81</v>
      </c>
      <c r="L356">
        <f t="shared" si="33"/>
        <v>0.17291666666666669</v>
      </c>
      <c r="M356" s="5">
        <v>0.17291666666666669</v>
      </c>
      <c r="N356" t="s">
        <v>43</v>
      </c>
      <c r="R356" s="3">
        <f t="shared" si="29"/>
        <v>4.1500000000000004</v>
      </c>
    </row>
    <row r="357" spans="1:18" hidden="1" x14ac:dyDescent="0.25">
      <c r="A357" t="s">
        <v>4129</v>
      </c>
      <c r="B357" t="s">
        <v>3746</v>
      </c>
      <c r="C357" t="s">
        <v>3749</v>
      </c>
      <c r="D357" s="3">
        <f t="shared" si="30"/>
        <v>11.100000000000001</v>
      </c>
      <c r="E357" t="s">
        <v>4130</v>
      </c>
      <c r="F357" t="s">
        <v>13</v>
      </c>
      <c r="G357" t="str">
        <f t="shared" si="31"/>
        <v/>
      </c>
      <c r="H357" t="s">
        <v>14</v>
      </c>
      <c r="I357" t="s">
        <v>4131</v>
      </c>
      <c r="J357" s="2">
        <f t="shared" si="32"/>
        <v>2550000</v>
      </c>
      <c r="K357" t="s">
        <v>2615</v>
      </c>
      <c r="L357">
        <f t="shared" si="33"/>
        <v>0</v>
      </c>
      <c r="N357" t="s">
        <v>43</v>
      </c>
      <c r="R357" s="3">
        <f t="shared" si="29"/>
        <v>0</v>
      </c>
    </row>
    <row r="358" spans="1:18" hidden="1" x14ac:dyDescent="0.25">
      <c r="A358" t="s">
        <v>3422</v>
      </c>
      <c r="B358" t="s">
        <v>3233</v>
      </c>
      <c r="C358" t="s">
        <v>3237</v>
      </c>
      <c r="D358" s="3">
        <f t="shared" si="30"/>
        <v>7</v>
      </c>
      <c r="E358" t="s">
        <v>2061</v>
      </c>
      <c r="F358" t="s">
        <v>13</v>
      </c>
      <c r="G358" t="str">
        <f t="shared" si="31"/>
        <v/>
      </c>
      <c r="H358" t="s">
        <v>14</v>
      </c>
      <c r="I358" t="s">
        <v>3423</v>
      </c>
      <c r="J358" s="2">
        <f t="shared" si="32"/>
        <v>1650000</v>
      </c>
      <c r="K358" t="s">
        <v>90</v>
      </c>
      <c r="L358">
        <f t="shared" si="33"/>
        <v>0.17222222222222225</v>
      </c>
      <c r="M358" s="5">
        <v>0.17222222222222225</v>
      </c>
      <c r="N358" t="s">
        <v>43</v>
      </c>
      <c r="P358" t="s">
        <v>1449</v>
      </c>
      <c r="R358" s="3">
        <f t="shared" si="29"/>
        <v>4.1333333333333337</v>
      </c>
    </row>
    <row r="359" spans="1:18" hidden="1" x14ac:dyDescent="0.25">
      <c r="A359" t="s">
        <v>5403</v>
      </c>
      <c r="B359" t="s">
        <v>5848</v>
      </c>
      <c r="C359" t="s">
        <v>5406</v>
      </c>
      <c r="D359" s="3">
        <f t="shared" si="30"/>
        <v>3</v>
      </c>
      <c r="E359" t="s">
        <v>5404</v>
      </c>
      <c r="F359" t="s">
        <v>34</v>
      </c>
      <c r="G359" t="str">
        <f t="shared" si="31"/>
        <v/>
      </c>
      <c r="H359" t="s">
        <v>14</v>
      </c>
      <c r="I359" t="s">
        <v>5405</v>
      </c>
      <c r="J359" s="2">
        <f t="shared" si="32"/>
        <v>1500000</v>
      </c>
      <c r="K359" t="s">
        <v>66</v>
      </c>
      <c r="L359">
        <f t="shared" si="33"/>
        <v>0.20833333333333334</v>
      </c>
      <c r="M359" s="5">
        <v>0.20833333333333334</v>
      </c>
      <c r="N359" t="s">
        <v>18</v>
      </c>
      <c r="R359" s="3">
        <f t="shared" si="29"/>
        <v>5</v>
      </c>
    </row>
    <row r="360" spans="1:18" hidden="1" x14ac:dyDescent="0.25">
      <c r="A360" t="s">
        <v>495</v>
      </c>
      <c r="B360" t="s">
        <v>20</v>
      </c>
      <c r="C360" t="s">
        <v>293</v>
      </c>
      <c r="D360" s="3">
        <f t="shared" si="30"/>
        <v>21</v>
      </c>
      <c r="E360" t="s">
        <v>121</v>
      </c>
      <c r="F360" t="s">
        <v>13</v>
      </c>
      <c r="G360" t="str">
        <f t="shared" si="31"/>
        <v/>
      </c>
      <c r="H360" t="s">
        <v>14</v>
      </c>
      <c r="I360" t="s">
        <v>496</v>
      </c>
      <c r="J360" s="2">
        <f t="shared" si="32"/>
        <v>1500000</v>
      </c>
      <c r="K360" t="s">
        <v>66</v>
      </c>
      <c r="L360">
        <f t="shared" si="33"/>
        <v>0.17291666666666669</v>
      </c>
      <c r="M360" s="5">
        <v>0.17291666666666669</v>
      </c>
      <c r="N360" t="s">
        <v>43</v>
      </c>
      <c r="R360" s="3">
        <f t="shared" si="29"/>
        <v>4.1500000000000004</v>
      </c>
    </row>
    <row r="361" spans="1:18" hidden="1" x14ac:dyDescent="0.25">
      <c r="A361" t="s">
        <v>537</v>
      </c>
      <c r="B361" t="s">
        <v>20</v>
      </c>
      <c r="C361" t="s">
        <v>236</v>
      </c>
      <c r="D361" s="3">
        <f t="shared" si="30"/>
        <v>12</v>
      </c>
      <c r="E361" t="s">
        <v>33</v>
      </c>
      <c r="F361" t="s">
        <v>13</v>
      </c>
      <c r="G361" t="str">
        <f t="shared" si="31"/>
        <v/>
      </c>
      <c r="H361" t="s">
        <v>14</v>
      </c>
      <c r="I361" t="s">
        <v>538</v>
      </c>
      <c r="J361" s="2">
        <f t="shared" si="32"/>
        <v>2250000</v>
      </c>
      <c r="K361" t="s">
        <v>448</v>
      </c>
      <c r="L361">
        <f t="shared" si="33"/>
        <v>0</v>
      </c>
      <c r="N361" t="s">
        <v>43</v>
      </c>
      <c r="R361" s="3">
        <f t="shared" si="29"/>
        <v>0</v>
      </c>
    </row>
    <row r="362" spans="1:18" hidden="1" x14ac:dyDescent="0.25">
      <c r="A362" t="s">
        <v>63</v>
      </c>
      <c r="B362" t="s">
        <v>20</v>
      </c>
      <c r="C362" t="s">
        <v>67</v>
      </c>
      <c r="D362" s="3">
        <f t="shared" si="30"/>
        <v>6</v>
      </c>
      <c r="E362" t="s">
        <v>64</v>
      </c>
      <c r="F362" t="s">
        <v>34</v>
      </c>
      <c r="G362" t="str">
        <f t="shared" si="31"/>
        <v/>
      </c>
      <c r="H362" t="s">
        <v>14</v>
      </c>
      <c r="I362" t="s">
        <v>65</v>
      </c>
      <c r="J362" s="2">
        <f t="shared" si="32"/>
        <v>1500000</v>
      </c>
      <c r="K362" t="s">
        <v>66</v>
      </c>
      <c r="L362">
        <f t="shared" si="33"/>
        <v>0</v>
      </c>
      <c r="N362" t="s">
        <v>43</v>
      </c>
      <c r="R362" s="3">
        <f t="shared" si="29"/>
        <v>0</v>
      </c>
    </row>
    <row r="363" spans="1:18" x14ac:dyDescent="0.25">
      <c r="A363" t="s">
        <v>5689</v>
      </c>
      <c r="B363" t="s">
        <v>5848</v>
      </c>
      <c r="C363" t="s">
        <v>5369</v>
      </c>
      <c r="D363" s="3">
        <f t="shared" si="30"/>
        <v>7.2900000000000009</v>
      </c>
      <c r="E363" t="s">
        <v>1002</v>
      </c>
      <c r="F363" t="s">
        <v>34</v>
      </c>
      <c r="G363">
        <f t="shared" si="31"/>
        <v>950000</v>
      </c>
      <c r="H363" t="s">
        <v>355</v>
      </c>
      <c r="I363" t="s">
        <v>5690</v>
      </c>
      <c r="J363" s="2">
        <f t="shared" si="32"/>
        <v>855000</v>
      </c>
      <c r="K363" t="s">
        <v>5470</v>
      </c>
      <c r="L363">
        <f t="shared" si="33"/>
        <v>0.20833333333333334</v>
      </c>
      <c r="M363" s="5">
        <v>0.20833333333333334</v>
      </c>
      <c r="N363" t="s">
        <v>43</v>
      </c>
      <c r="P363" t="s">
        <v>1171</v>
      </c>
      <c r="R363" s="3">
        <f t="shared" si="29"/>
        <v>5</v>
      </c>
    </row>
    <row r="364" spans="1:18" hidden="1" x14ac:dyDescent="0.25">
      <c r="A364" t="s">
        <v>3920</v>
      </c>
      <c r="B364" t="s">
        <v>3746</v>
      </c>
      <c r="C364" t="s">
        <v>3753</v>
      </c>
      <c r="D364" s="3">
        <f t="shared" si="30"/>
        <v>12</v>
      </c>
      <c r="E364" t="s">
        <v>33</v>
      </c>
      <c r="F364" t="s">
        <v>13</v>
      </c>
      <c r="G364" t="str">
        <f t="shared" si="31"/>
        <v/>
      </c>
      <c r="H364" t="s">
        <v>14</v>
      </c>
      <c r="I364" t="s">
        <v>3921</v>
      </c>
      <c r="J364" s="2">
        <f t="shared" si="32"/>
        <v>1650000</v>
      </c>
      <c r="K364" t="s">
        <v>90</v>
      </c>
      <c r="L364">
        <f t="shared" si="33"/>
        <v>0.17222222222222225</v>
      </c>
      <c r="M364" s="5">
        <v>0.17222222222222225</v>
      </c>
      <c r="N364" t="s">
        <v>43</v>
      </c>
      <c r="P364" t="s">
        <v>199</v>
      </c>
      <c r="R364" s="3">
        <f t="shared" si="29"/>
        <v>4.1333333333333337</v>
      </c>
    </row>
    <row r="365" spans="1:18" hidden="1" x14ac:dyDescent="0.25">
      <c r="A365" t="s">
        <v>3892</v>
      </c>
      <c r="B365" t="s">
        <v>3746</v>
      </c>
      <c r="C365" t="s">
        <v>3894</v>
      </c>
      <c r="D365" s="3">
        <f t="shared" si="30"/>
        <v>12</v>
      </c>
      <c r="E365" t="s">
        <v>33</v>
      </c>
      <c r="F365" t="s">
        <v>13</v>
      </c>
      <c r="G365" t="str">
        <f t="shared" si="31"/>
        <v/>
      </c>
      <c r="H365" t="s">
        <v>14</v>
      </c>
      <c r="I365" t="s">
        <v>3893</v>
      </c>
      <c r="J365" s="2">
        <f t="shared" si="32"/>
        <v>1650000</v>
      </c>
      <c r="K365" t="s">
        <v>90</v>
      </c>
      <c r="L365">
        <f t="shared" si="33"/>
        <v>0.17222222222222225</v>
      </c>
      <c r="M365" s="5">
        <v>0.17222222222222225</v>
      </c>
      <c r="N365" t="s">
        <v>43</v>
      </c>
      <c r="P365" t="s">
        <v>199</v>
      </c>
      <c r="R365" s="3">
        <f t="shared" si="29"/>
        <v>4.1333333333333337</v>
      </c>
    </row>
    <row r="366" spans="1:18" x14ac:dyDescent="0.25">
      <c r="A366" t="s">
        <v>5649</v>
      </c>
      <c r="B366" t="s">
        <v>5848</v>
      </c>
      <c r="C366" t="s">
        <v>5363</v>
      </c>
      <c r="D366" s="3">
        <f t="shared" si="30"/>
        <v>8.64</v>
      </c>
      <c r="E366" t="s">
        <v>983</v>
      </c>
      <c r="F366" t="s">
        <v>34</v>
      </c>
      <c r="G366">
        <f t="shared" si="31"/>
        <v>900000</v>
      </c>
      <c r="H366" t="s">
        <v>101</v>
      </c>
      <c r="I366" t="s">
        <v>5650</v>
      </c>
      <c r="J366" s="2">
        <f t="shared" si="32"/>
        <v>855000</v>
      </c>
      <c r="K366" t="s">
        <v>5470</v>
      </c>
      <c r="L366">
        <f t="shared" si="33"/>
        <v>0.16944444444444443</v>
      </c>
      <c r="M366" s="5">
        <v>0.16944444444444443</v>
      </c>
      <c r="N366" t="s">
        <v>43</v>
      </c>
      <c r="P366" t="s">
        <v>1397</v>
      </c>
      <c r="R366" s="3">
        <f t="shared" si="29"/>
        <v>4.0666666666666664</v>
      </c>
    </row>
    <row r="367" spans="1:18" hidden="1" x14ac:dyDescent="0.25">
      <c r="A367" t="s">
        <v>1249</v>
      </c>
      <c r="B367" t="s">
        <v>640</v>
      </c>
      <c r="C367" t="s">
        <v>643</v>
      </c>
      <c r="D367" s="3">
        <f t="shared" si="30"/>
        <v>12.5</v>
      </c>
      <c r="E367" t="s">
        <v>1250</v>
      </c>
      <c r="F367" t="s">
        <v>34</v>
      </c>
      <c r="G367" t="str">
        <f t="shared" si="31"/>
        <v/>
      </c>
      <c r="H367" t="s">
        <v>14</v>
      </c>
      <c r="I367" t="s">
        <v>1251</v>
      </c>
      <c r="J367" s="2">
        <f t="shared" si="32"/>
        <v>900000</v>
      </c>
      <c r="K367" t="s">
        <v>101</v>
      </c>
      <c r="L367">
        <f t="shared" si="33"/>
        <v>0.17222222222222225</v>
      </c>
      <c r="M367" s="5">
        <v>0.17222222222222225</v>
      </c>
      <c r="N367" t="s">
        <v>37</v>
      </c>
      <c r="P367" t="s">
        <v>669</v>
      </c>
      <c r="R367" s="3">
        <f t="shared" si="29"/>
        <v>4.1333333333333337</v>
      </c>
    </row>
    <row r="368" spans="1:18" x14ac:dyDescent="0.25">
      <c r="A368" t="s">
        <v>5468</v>
      </c>
      <c r="B368" t="s">
        <v>5848</v>
      </c>
      <c r="C368" t="s">
        <v>5369</v>
      </c>
      <c r="D368" s="3">
        <f t="shared" si="30"/>
        <v>7.5</v>
      </c>
      <c r="E368" t="s">
        <v>614</v>
      </c>
      <c r="F368" t="s">
        <v>34</v>
      </c>
      <c r="G368">
        <f t="shared" si="31"/>
        <v>900000</v>
      </c>
      <c r="H368" t="s">
        <v>101</v>
      </c>
      <c r="I368" t="s">
        <v>5469</v>
      </c>
      <c r="J368" s="2">
        <f t="shared" si="32"/>
        <v>855000</v>
      </c>
      <c r="K368" t="s">
        <v>5470</v>
      </c>
      <c r="L368">
        <f t="shared" si="33"/>
        <v>0.17222222222222225</v>
      </c>
      <c r="M368" s="5">
        <v>0.17222222222222225</v>
      </c>
      <c r="N368" t="s">
        <v>37</v>
      </c>
      <c r="P368" t="s">
        <v>1397</v>
      </c>
      <c r="R368" s="3">
        <f t="shared" si="29"/>
        <v>4.1333333333333337</v>
      </c>
    </row>
    <row r="369" spans="1:18" hidden="1" x14ac:dyDescent="0.25">
      <c r="A369" t="s">
        <v>1108</v>
      </c>
      <c r="B369" t="s">
        <v>640</v>
      </c>
      <c r="C369" t="s">
        <v>1016</v>
      </c>
      <c r="D369" s="3">
        <f t="shared" si="30"/>
        <v>9</v>
      </c>
      <c r="E369" t="s">
        <v>12</v>
      </c>
      <c r="F369" t="s">
        <v>13</v>
      </c>
      <c r="G369" t="str">
        <f t="shared" si="31"/>
        <v/>
      </c>
      <c r="H369" t="s">
        <v>14</v>
      </c>
      <c r="I369" t="s">
        <v>1109</v>
      </c>
      <c r="J369" s="2">
        <f t="shared" si="32"/>
        <v>750000</v>
      </c>
      <c r="K369" t="s">
        <v>76</v>
      </c>
      <c r="L369">
        <f t="shared" si="33"/>
        <v>0</v>
      </c>
      <c r="N369" t="s">
        <v>43</v>
      </c>
      <c r="R369" s="3">
        <f t="shared" si="29"/>
        <v>0</v>
      </c>
    </row>
    <row r="370" spans="1:18" hidden="1" x14ac:dyDescent="0.25">
      <c r="A370" t="s">
        <v>5198</v>
      </c>
      <c r="B370" t="s">
        <v>4806</v>
      </c>
      <c r="C370" t="s">
        <v>4809</v>
      </c>
      <c r="D370" s="3">
        <f t="shared" si="30"/>
        <v>9</v>
      </c>
      <c r="E370" t="s">
        <v>12</v>
      </c>
      <c r="F370" t="s">
        <v>13</v>
      </c>
      <c r="G370" t="str">
        <f t="shared" si="31"/>
        <v/>
      </c>
      <c r="H370" t="s">
        <v>14</v>
      </c>
      <c r="I370" t="s">
        <v>5199</v>
      </c>
      <c r="J370" s="2">
        <f t="shared" si="32"/>
        <v>1000000</v>
      </c>
      <c r="K370" t="s">
        <v>52</v>
      </c>
      <c r="L370">
        <f t="shared" si="33"/>
        <v>0.20833333333333334</v>
      </c>
      <c r="M370" s="5">
        <v>0.20833333333333334</v>
      </c>
      <c r="N370" t="s">
        <v>37</v>
      </c>
      <c r="R370" s="3">
        <f t="shared" si="29"/>
        <v>5</v>
      </c>
    </row>
    <row r="371" spans="1:18" hidden="1" x14ac:dyDescent="0.25">
      <c r="A371" t="s">
        <v>5440</v>
      </c>
      <c r="B371" t="s">
        <v>5848</v>
      </c>
      <c r="C371" t="s">
        <v>5339</v>
      </c>
      <c r="D371" s="3">
        <f t="shared" si="30"/>
        <v>16</v>
      </c>
      <c r="E371" t="s">
        <v>79</v>
      </c>
      <c r="F371" t="s">
        <v>13</v>
      </c>
      <c r="G371" t="str">
        <f t="shared" si="31"/>
        <v/>
      </c>
      <c r="H371" t="s">
        <v>14</v>
      </c>
      <c r="I371" t="s">
        <v>5441</v>
      </c>
      <c r="J371" s="2">
        <f t="shared" si="32"/>
        <v>1350000</v>
      </c>
      <c r="K371" t="s">
        <v>257</v>
      </c>
      <c r="L371">
        <f t="shared" si="33"/>
        <v>0.17291666666666669</v>
      </c>
      <c r="M371" s="5">
        <v>0.17291666666666669</v>
      </c>
      <c r="N371" t="s">
        <v>43</v>
      </c>
      <c r="R371" s="3">
        <f t="shared" si="29"/>
        <v>4.1500000000000004</v>
      </c>
    </row>
    <row r="372" spans="1:18" hidden="1" x14ac:dyDescent="0.25">
      <c r="A372" t="s">
        <v>5282</v>
      </c>
      <c r="B372" t="s">
        <v>4806</v>
      </c>
      <c r="C372" t="s">
        <v>4830</v>
      </c>
      <c r="D372" s="3">
        <f t="shared" si="30"/>
        <v>14</v>
      </c>
      <c r="E372" t="s">
        <v>238</v>
      </c>
      <c r="F372" t="s">
        <v>34</v>
      </c>
      <c r="G372" t="str">
        <f t="shared" si="31"/>
        <v/>
      </c>
      <c r="H372" t="s">
        <v>14</v>
      </c>
      <c r="I372" t="s">
        <v>5283</v>
      </c>
      <c r="J372" s="2">
        <f t="shared" si="32"/>
        <v>750000</v>
      </c>
      <c r="K372" t="s">
        <v>76</v>
      </c>
      <c r="L372">
        <f t="shared" si="33"/>
        <v>0</v>
      </c>
      <c r="N372" t="s">
        <v>37</v>
      </c>
      <c r="R372" s="3">
        <f t="shared" si="29"/>
        <v>0</v>
      </c>
    </row>
    <row r="373" spans="1:18" hidden="1" x14ac:dyDescent="0.25">
      <c r="A373" t="s">
        <v>124</v>
      </c>
      <c r="B373" t="s">
        <v>20</v>
      </c>
      <c r="C373" t="s">
        <v>123</v>
      </c>
      <c r="D373" s="3">
        <f t="shared" si="30"/>
        <v>21</v>
      </c>
      <c r="E373" t="s">
        <v>121</v>
      </c>
      <c r="F373" t="s">
        <v>13</v>
      </c>
      <c r="G373" t="str">
        <f t="shared" si="31"/>
        <v/>
      </c>
      <c r="H373" t="s">
        <v>14</v>
      </c>
      <c r="I373" t="s">
        <v>122</v>
      </c>
      <c r="J373" s="2">
        <f t="shared" si="32"/>
        <v>1300000</v>
      </c>
      <c r="K373" t="s">
        <v>17</v>
      </c>
      <c r="L373">
        <f t="shared" si="33"/>
        <v>0</v>
      </c>
      <c r="N373" t="s">
        <v>18</v>
      </c>
      <c r="R373" s="3">
        <f t="shared" si="29"/>
        <v>0</v>
      </c>
    </row>
    <row r="374" spans="1:18" hidden="1" x14ac:dyDescent="0.25">
      <c r="A374" t="s">
        <v>120</v>
      </c>
      <c r="B374" t="s">
        <v>20</v>
      </c>
      <c r="C374" t="s">
        <v>123</v>
      </c>
      <c r="D374" s="3">
        <f t="shared" si="30"/>
        <v>21</v>
      </c>
      <c r="E374" t="s">
        <v>121</v>
      </c>
      <c r="F374" t="s">
        <v>13</v>
      </c>
      <c r="G374" t="str">
        <f t="shared" si="31"/>
        <v/>
      </c>
      <c r="H374" t="s">
        <v>14</v>
      </c>
      <c r="I374" t="s">
        <v>122</v>
      </c>
      <c r="J374" s="2">
        <f t="shared" si="32"/>
        <v>1200000</v>
      </c>
      <c r="K374" t="s">
        <v>36</v>
      </c>
      <c r="L374">
        <f t="shared" si="33"/>
        <v>0</v>
      </c>
      <c r="N374" t="s">
        <v>43</v>
      </c>
      <c r="R374" s="3">
        <f t="shared" si="29"/>
        <v>0</v>
      </c>
    </row>
    <row r="375" spans="1:18" hidden="1" x14ac:dyDescent="0.25">
      <c r="A375" t="s">
        <v>3590</v>
      </c>
      <c r="B375" t="s">
        <v>3233</v>
      </c>
      <c r="C375" t="s">
        <v>3261</v>
      </c>
      <c r="D375" s="3">
        <f t="shared" si="30"/>
        <v>12</v>
      </c>
      <c r="E375" t="s">
        <v>33</v>
      </c>
      <c r="F375" t="s">
        <v>13</v>
      </c>
      <c r="G375" t="str">
        <f t="shared" si="31"/>
        <v/>
      </c>
      <c r="H375" t="s">
        <v>14</v>
      </c>
      <c r="I375" t="s">
        <v>3591</v>
      </c>
      <c r="J375" s="2">
        <f t="shared" si="32"/>
        <v>2000000</v>
      </c>
      <c r="K375" t="s">
        <v>128</v>
      </c>
      <c r="L375">
        <f t="shared" si="33"/>
        <v>0.16944444444444443</v>
      </c>
      <c r="M375" s="5">
        <v>0.16944444444444443</v>
      </c>
      <c r="N375" t="s">
        <v>43</v>
      </c>
      <c r="R375" s="3">
        <f t="shared" si="29"/>
        <v>4.0666666666666664</v>
      </c>
    </row>
    <row r="376" spans="1:18" hidden="1" x14ac:dyDescent="0.25">
      <c r="A376" t="s">
        <v>183</v>
      </c>
      <c r="B376" t="s">
        <v>20</v>
      </c>
      <c r="C376" t="s">
        <v>24</v>
      </c>
      <c r="D376" s="3">
        <f t="shared" si="30"/>
        <v>9</v>
      </c>
      <c r="E376" t="s">
        <v>12</v>
      </c>
      <c r="F376" t="s">
        <v>13</v>
      </c>
      <c r="G376" t="str">
        <f t="shared" si="31"/>
        <v/>
      </c>
      <c r="H376" t="s">
        <v>14</v>
      </c>
      <c r="I376" t="s">
        <v>184</v>
      </c>
      <c r="J376" s="2">
        <f t="shared" si="32"/>
        <v>850000</v>
      </c>
      <c r="K376" t="s">
        <v>185</v>
      </c>
      <c r="L376">
        <f t="shared" si="33"/>
        <v>0</v>
      </c>
      <c r="N376" t="s">
        <v>18</v>
      </c>
      <c r="R376" s="3">
        <f t="shared" si="29"/>
        <v>0</v>
      </c>
    </row>
    <row r="377" spans="1:18" hidden="1" x14ac:dyDescent="0.25">
      <c r="A377" t="s">
        <v>1290</v>
      </c>
      <c r="B377" t="s">
        <v>640</v>
      </c>
      <c r="C377" t="s">
        <v>643</v>
      </c>
      <c r="D377" s="3">
        <f t="shared" si="30"/>
        <v>21</v>
      </c>
      <c r="E377" t="s">
        <v>121</v>
      </c>
      <c r="F377" t="s">
        <v>34</v>
      </c>
      <c r="G377" t="str">
        <f t="shared" si="31"/>
        <v/>
      </c>
      <c r="H377" t="s">
        <v>14</v>
      </c>
      <c r="I377" t="s">
        <v>1291</v>
      </c>
      <c r="J377" s="2">
        <f t="shared" si="32"/>
        <v>1500000</v>
      </c>
      <c r="K377" t="s">
        <v>66</v>
      </c>
      <c r="L377">
        <f t="shared" si="33"/>
        <v>0.20833333333333334</v>
      </c>
      <c r="M377" s="5">
        <v>0.20833333333333334</v>
      </c>
      <c r="N377" t="s">
        <v>43</v>
      </c>
      <c r="R377" s="3">
        <f t="shared" si="29"/>
        <v>5</v>
      </c>
    </row>
    <row r="378" spans="1:18" hidden="1" x14ac:dyDescent="0.25">
      <c r="A378" t="s">
        <v>4980</v>
      </c>
      <c r="B378" t="s">
        <v>4806</v>
      </c>
      <c r="C378" t="s">
        <v>4805</v>
      </c>
      <c r="D378" s="3">
        <f t="shared" si="30"/>
        <v>12</v>
      </c>
      <c r="E378" t="s">
        <v>33</v>
      </c>
      <c r="F378" t="s">
        <v>34</v>
      </c>
      <c r="G378" t="str">
        <f t="shared" si="31"/>
        <v/>
      </c>
      <c r="H378" t="s">
        <v>14</v>
      </c>
      <c r="I378" t="s">
        <v>4981</v>
      </c>
      <c r="J378" s="2">
        <f t="shared" si="32"/>
        <v>700000</v>
      </c>
      <c r="K378" t="s">
        <v>157</v>
      </c>
      <c r="L378">
        <f t="shared" si="33"/>
        <v>0</v>
      </c>
      <c r="N378" t="s">
        <v>18</v>
      </c>
      <c r="R378" s="3">
        <f t="shared" si="29"/>
        <v>0</v>
      </c>
    </row>
    <row r="379" spans="1:18" x14ac:dyDescent="0.25">
      <c r="A379" t="s">
        <v>1235</v>
      </c>
      <c r="B379" t="s">
        <v>640</v>
      </c>
      <c r="C379" t="s">
        <v>657</v>
      </c>
      <c r="D379" s="3">
        <f t="shared" si="30"/>
        <v>12</v>
      </c>
      <c r="E379" t="s">
        <v>33</v>
      </c>
      <c r="F379" t="s">
        <v>34</v>
      </c>
      <c r="G379" t="str">
        <f t="shared" si="31"/>
        <v/>
      </c>
      <c r="H379" t="s">
        <v>14</v>
      </c>
      <c r="I379" t="s">
        <v>1236</v>
      </c>
      <c r="J379" s="2">
        <f t="shared" si="32"/>
        <v>865000</v>
      </c>
      <c r="K379" t="s">
        <v>1237</v>
      </c>
      <c r="L379">
        <f t="shared" si="33"/>
        <v>0</v>
      </c>
      <c r="N379" t="s">
        <v>18</v>
      </c>
      <c r="R379" s="3">
        <f t="shared" si="29"/>
        <v>0</v>
      </c>
    </row>
    <row r="380" spans="1:18" x14ac:dyDescent="0.25">
      <c r="A380" t="s">
        <v>2251</v>
      </c>
      <c r="B380" t="s">
        <v>2596</v>
      </c>
      <c r="C380" t="s">
        <v>2013</v>
      </c>
      <c r="D380" s="3">
        <f t="shared" si="30"/>
        <v>6.25</v>
      </c>
      <c r="E380" t="s">
        <v>74</v>
      </c>
      <c r="F380" t="s">
        <v>34</v>
      </c>
      <c r="G380" t="str">
        <f t="shared" si="31"/>
        <v/>
      </c>
      <c r="H380" t="s">
        <v>14</v>
      </c>
      <c r="I380" t="s">
        <v>2252</v>
      </c>
      <c r="J380" s="2">
        <f t="shared" si="32"/>
        <v>875000</v>
      </c>
      <c r="K380" t="s">
        <v>710</v>
      </c>
      <c r="L380">
        <f t="shared" si="33"/>
        <v>0.17083333333333331</v>
      </c>
      <c r="M380" s="5">
        <v>0.17083333333333331</v>
      </c>
      <c r="N380" t="s">
        <v>43</v>
      </c>
      <c r="P380" t="s">
        <v>1774</v>
      </c>
      <c r="R380" s="3">
        <f t="shared" si="29"/>
        <v>4.0999999999999996</v>
      </c>
    </row>
    <row r="381" spans="1:18" x14ac:dyDescent="0.25">
      <c r="A381" t="s">
        <v>5559</v>
      </c>
      <c r="B381" t="s">
        <v>5848</v>
      </c>
      <c r="C381" t="s">
        <v>5454</v>
      </c>
      <c r="D381" s="3">
        <f t="shared" si="30"/>
        <v>5.6</v>
      </c>
      <c r="E381" t="s">
        <v>5560</v>
      </c>
      <c r="F381" t="s">
        <v>13</v>
      </c>
      <c r="G381">
        <f t="shared" si="31"/>
        <v>925000</v>
      </c>
      <c r="H381" t="s">
        <v>649</v>
      </c>
      <c r="I381" t="s">
        <v>5561</v>
      </c>
      <c r="J381" s="2">
        <f t="shared" si="32"/>
        <v>880000</v>
      </c>
      <c r="K381" t="s">
        <v>1170</v>
      </c>
      <c r="L381">
        <f t="shared" si="33"/>
        <v>0.17083333333333331</v>
      </c>
      <c r="M381" s="5">
        <v>0.17083333333333331</v>
      </c>
      <c r="N381" t="s">
        <v>43</v>
      </c>
      <c r="P381" t="s">
        <v>1397</v>
      </c>
      <c r="R381" s="3">
        <f t="shared" si="29"/>
        <v>4.0999999999999996</v>
      </c>
    </row>
    <row r="382" spans="1:18" hidden="1" x14ac:dyDescent="0.25">
      <c r="A382" t="s">
        <v>1724</v>
      </c>
      <c r="B382" t="s">
        <v>1303</v>
      </c>
      <c r="C382" t="s">
        <v>1316</v>
      </c>
      <c r="D382" s="3">
        <f t="shared" si="30"/>
        <v>6</v>
      </c>
      <c r="E382" t="s">
        <v>285</v>
      </c>
      <c r="F382" t="s">
        <v>13</v>
      </c>
      <c r="G382" t="str">
        <f t="shared" si="31"/>
        <v/>
      </c>
      <c r="H382" t="s">
        <v>14</v>
      </c>
      <c r="I382" t="s">
        <v>1725</v>
      </c>
      <c r="J382" s="2">
        <f t="shared" si="32"/>
        <v>1980000</v>
      </c>
      <c r="K382" t="s">
        <v>1046</v>
      </c>
      <c r="L382">
        <f t="shared" si="33"/>
        <v>0.20833333333333334</v>
      </c>
      <c r="M382" s="5">
        <v>0.20833333333333334</v>
      </c>
      <c r="N382" t="s">
        <v>43</v>
      </c>
      <c r="P382" t="s">
        <v>1442</v>
      </c>
      <c r="R382" s="3">
        <f t="shared" si="29"/>
        <v>5</v>
      </c>
    </row>
    <row r="383" spans="1:18" hidden="1" x14ac:dyDescent="0.25">
      <c r="A383" t="s">
        <v>4096</v>
      </c>
      <c r="B383" t="s">
        <v>3746</v>
      </c>
      <c r="C383" t="s">
        <v>3759</v>
      </c>
      <c r="D383" s="3">
        <f t="shared" si="30"/>
        <v>14</v>
      </c>
      <c r="E383" t="s">
        <v>238</v>
      </c>
      <c r="F383" t="s">
        <v>13</v>
      </c>
      <c r="G383" t="str">
        <f t="shared" si="31"/>
        <v/>
      </c>
      <c r="H383" t="s">
        <v>14</v>
      </c>
      <c r="I383" t="s">
        <v>4097</v>
      </c>
      <c r="J383" s="2">
        <f t="shared" si="32"/>
        <v>3400000</v>
      </c>
      <c r="K383" t="s">
        <v>1976</v>
      </c>
      <c r="L383">
        <f t="shared" si="33"/>
        <v>0.1673611111111111</v>
      </c>
      <c r="M383" s="5">
        <v>0.1673611111111111</v>
      </c>
      <c r="N383" t="s">
        <v>43</v>
      </c>
      <c r="P383" t="s">
        <v>899</v>
      </c>
      <c r="R383" s="3">
        <f t="shared" si="29"/>
        <v>4.0166666666666666</v>
      </c>
    </row>
    <row r="384" spans="1:18" hidden="1" x14ac:dyDescent="0.25">
      <c r="A384" t="s">
        <v>1582</v>
      </c>
      <c r="B384" t="s">
        <v>1303</v>
      </c>
      <c r="C384" t="s">
        <v>1342</v>
      </c>
      <c r="D384" s="3">
        <f t="shared" si="30"/>
        <v>12</v>
      </c>
      <c r="E384" t="s">
        <v>33</v>
      </c>
      <c r="F384" t="s">
        <v>13</v>
      </c>
      <c r="G384" t="str">
        <f t="shared" si="31"/>
        <v/>
      </c>
      <c r="H384" t="s">
        <v>14</v>
      </c>
      <c r="I384" t="s">
        <v>1583</v>
      </c>
      <c r="J384" s="2">
        <f t="shared" si="32"/>
        <v>2499000</v>
      </c>
      <c r="K384" t="s">
        <v>1114</v>
      </c>
      <c r="L384">
        <f t="shared" si="33"/>
        <v>0</v>
      </c>
      <c r="N384" t="s">
        <v>43</v>
      </c>
      <c r="R384" s="3">
        <f t="shared" si="29"/>
        <v>0</v>
      </c>
    </row>
    <row r="385" spans="1:18" hidden="1" x14ac:dyDescent="0.25">
      <c r="A385" t="s">
        <v>5723</v>
      </c>
      <c r="B385" t="s">
        <v>5848</v>
      </c>
      <c r="C385" t="s">
        <v>5369</v>
      </c>
      <c r="D385" s="3">
        <f t="shared" si="30"/>
        <v>9</v>
      </c>
      <c r="E385" t="s">
        <v>12</v>
      </c>
      <c r="F385" t="s">
        <v>13</v>
      </c>
      <c r="G385" t="str">
        <f t="shared" si="31"/>
        <v/>
      </c>
      <c r="H385" t="s">
        <v>14</v>
      </c>
      <c r="I385" t="s">
        <v>5724</v>
      </c>
      <c r="J385" s="2">
        <f t="shared" si="32"/>
        <v>1500000</v>
      </c>
      <c r="K385" t="s">
        <v>66</v>
      </c>
      <c r="L385">
        <f t="shared" si="33"/>
        <v>0.20833333333333334</v>
      </c>
      <c r="M385" s="5">
        <v>0.20833333333333334</v>
      </c>
      <c r="N385" t="s">
        <v>18</v>
      </c>
      <c r="R385" s="3">
        <f t="shared" si="29"/>
        <v>5</v>
      </c>
    </row>
    <row r="386" spans="1:18" hidden="1" x14ac:dyDescent="0.25">
      <c r="A386" t="s">
        <v>4797</v>
      </c>
      <c r="B386" t="s">
        <v>4272</v>
      </c>
      <c r="C386" t="s">
        <v>4334</v>
      </c>
      <c r="D386" s="3">
        <f t="shared" si="30"/>
        <v>12</v>
      </c>
      <c r="E386" t="s">
        <v>33</v>
      </c>
      <c r="F386" t="s">
        <v>13</v>
      </c>
      <c r="G386" t="str">
        <f t="shared" si="31"/>
        <v/>
      </c>
      <c r="H386" t="s">
        <v>14</v>
      </c>
      <c r="I386" t="s">
        <v>4798</v>
      </c>
      <c r="J386" s="2">
        <f t="shared" si="32"/>
        <v>1000000</v>
      </c>
      <c r="K386" t="s">
        <v>52</v>
      </c>
      <c r="L386">
        <f t="shared" si="33"/>
        <v>0</v>
      </c>
      <c r="N386" t="s">
        <v>43</v>
      </c>
      <c r="R386" s="3">
        <f t="shared" ref="R386:R449" si="34">24*L386</f>
        <v>0</v>
      </c>
    </row>
    <row r="387" spans="1:18" hidden="1" x14ac:dyDescent="0.25">
      <c r="A387" t="s">
        <v>5381</v>
      </c>
      <c r="B387" t="s">
        <v>5848</v>
      </c>
      <c r="C387" t="s">
        <v>5369</v>
      </c>
      <c r="D387" s="3">
        <f t="shared" si="30"/>
        <v>8.75</v>
      </c>
      <c r="E387" t="s">
        <v>1404</v>
      </c>
      <c r="F387" t="s">
        <v>13</v>
      </c>
      <c r="G387" t="str">
        <f t="shared" si="31"/>
        <v/>
      </c>
      <c r="H387" t="s">
        <v>14</v>
      </c>
      <c r="I387" t="s">
        <v>5382</v>
      </c>
      <c r="J387" s="2">
        <f t="shared" si="32"/>
        <v>1800000</v>
      </c>
      <c r="K387" t="s">
        <v>228</v>
      </c>
      <c r="L387">
        <f t="shared" si="33"/>
        <v>0</v>
      </c>
      <c r="N387" t="s">
        <v>18</v>
      </c>
      <c r="R387" s="3">
        <f t="shared" si="34"/>
        <v>0</v>
      </c>
    </row>
    <row r="388" spans="1:18" hidden="1" x14ac:dyDescent="0.25">
      <c r="A388" t="s">
        <v>303</v>
      </c>
      <c r="B388" t="s">
        <v>20</v>
      </c>
      <c r="C388" t="s">
        <v>30</v>
      </c>
      <c r="D388" s="3">
        <f t="shared" si="30"/>
        <v>6.3000000000000007</v>
      </c>
      <c r="E388" t="s">
        <v>304</v>
      </c>
      <c r="F388" t="s">
        <v>34</v>
      </c>
      <c r="G388" t="str">
        <f t="shared" si="31"/>
        <v/>
      </c>
      <c r="H388" t="s">
        <v>14</v>
      </c>
      <c r="I388" t="s">
        <v>305</v>
      </c>
      <c r="J388" s="2">
        <f t="shared" si="32"/>
        <v>1750000</v>
      </c>
      <c r="K388" t="s">
        <v>306</v>
      </c>
      <c r="L388">
        <f t="shared" si="33"/>
        <v>0</v>
      </c>
      <c r="N388" t="s">
        <v>43</v>
      </c>
      <c r="R388" s="3">
        <f t="shared" si="34"/>
        <v>0</v>
      </c>
    </row>
    <row r="389" spans="1:18" hidden="1" x14ac:dyDescent="0.25">
      <c r="A389" t="s">
        <v>3950</v>
      </c>
      <c r="B389" t="s">
        <v>3746</v>
      </c>
      <c r="C389" t="s">
        <v>3746</v>
      </c>
      <c r="D389" s="3">
        <f t="shared" si="30"/>
        <v>9</v>
      </c>
      <c r="E389" t="s">
        <v>12</v>
      </c>
      <c r="F389" t="s">
        <v>13</v>
      </c>
      <c r="G389" t="str">
        <f t="shared" si="31"/>
        <v/>
      </c>
      <c r="H389" t="s">
        <v>14</v>
      </c>
      <c r="I389" t="s">
        <v>3951</v>
      </c>
      <c r="J389" s="2">
        <f t="shared" si="32"/>
        <v>1300000</v>
      </c>
      <c r="K389" t="s">
        <v>17</v>
      </c>
      <c r="L389">
        <f t="shared" si="33"/>
        <v>0.20833333333333334</v>
      </c>
      <c r="M389" s="5">
        <v>0.20833333333333334</v>
      </c>
      <c r="N389" t="s">
        <v>43</v>
      </c>
      <c r="R389" s="3">
        <f t="shared" si="34"/>
        <v>5</v>
      </c>
    </row>
    <row r="390" spans="1:18" hidden="1" x14ac:dyDescent="0.25">
      <c r="A390" t="s">
        <v>399</v>
      </c>
      <c r="B390" t="s">
        <v>20</v>
      </c>
      <c r="C390" t="s">
        <v>402</v>
      </c>
      <c r="D390" s="3">
        <f t="shared" si="30"/>
        <v>1600</v>
      </c>
      <c r="E390" t="s">
        <v>400</v>
      </c>
      <c r="F390" t="s">
        <v>13</v>
      </c>
      <c r="G390" t="str">
        <f t="shared" si="31"/>
        <v/>
      </c>
      <c r="H390" t="s">
        <v>14</v>
      </c>
      <c r="I390" t="s">
        <v>401</v>
      </c>
      <c r="J390" s="2">
        <f t="shared" si="32"/>
        <v>900000</v>
      </c>
      <c r="K390" t="s">
        <v>101</v>
      </c>
      <c r="L390">
        <f t="shared" si="33"/>
        <v>0</v>
      </c>
      <c r="N390" t="s">
        <v>43</v>
      </c>
      <c r="R390" s="3">
        <f t="shared" si="34"/>
        <v>0</v>
      </c>
    </row>
    <row r="391" spans="1:18" hidden="1" x14ac:dyDescent="0.25">
      <c r="A391" t="s">
        <v>5152</v>
      </c>
      <c r="B391" t="s">
        <v>4806</v>
      </c>
      <c r="C391" t="s">
        <v>4865</v>
      </c>
      <c r="D391" s="3">
        <f t="shared" si="30"/>
        <v>18</v>
      </c>
      <c r="E391" t="s">
        <v>126</v>
      </c>
      <c r="F391" t="s">
        <v>13</v>
      </c>
      <c r="G391" t="str">
        <f t="shared" si="31"/>
        <v/>
      </c>
      <c r="H391" t="s">
        <v>14</v>
      </c>
      <c r="I391" t="s">
        <v>5153</v>
      </c>
      <c r="J391" s="2">
        <f t="shared" si="32"/>
        <v>700000</v>
      </c>
      <c r="K391" t="s">
        <v>157</v>
      </c>
      <c r="L391">
        <f t="shared" si="33"/>
        <v>0.20833333333333334</v>
      </c>
      <c r="M391" s="5">
        <v>0.20833333333333334</v>
      </c>
      <c r="N391" t="s">
        <v>43</v>
      </c>
      <c r="R391" s="3">
        <f t="shared" si="34"/>
        <v>5</v>
      </c>
    </row>
    <row r="392" spans="1:18" hidden="1" x14ac:dyDescent="0.25">
      <c r="A392" t="s">
        <v>5118</v>
      </c>
      <c r="B392" t="s">
        <v>4806</v>
      </c>
      <c r="C392" t="s">
        <v>4830</v>
      </c>
      <c r="D392" s="3">
        <f t="shared" si="30"/>
        <v>9</v>
      </c>
      <c r="E392" t="s">
        <v>12</v>
      </c>
      <c r="F392" t="s">
        <v>13</v>
      </c>
      <c r="G392" t="str">
        <f t="shared" si="31"/>
        <v/>
      </c>
      <c r="H392" t="s">
        <v>14</v>
      </c>
      <c r="I392" t="s">
        <v>5119</v>
      </c>
      <c r="J392" s="2">
        <f t="shared" si="32"/>
        <v>610000</v>
      </c>
      <c r="K392" t="s">
        <v>5026</v>
      </c>
      <c r="L392">
        <f t="shared" si="33"/>
        <v>0.20833333333333334</v>
      </c>
      <c r="M392" s="5">
        <v>0.20833333333333334</v>
      </c>
      <c r="N392" t="s">
        <v>43</v>
      </c>
      <c r="R392" s="3">
        <f t="shared" si="34"/>
        <v>5</v>
      </c>
    </row>
    <row r="393" spans="1:18" hidden="1" x14ac:dyDescent="0.25">
      <c r="A393" t="s">
        <v>3925</v>
      </c>
      <c r="B393" t="s">
        <v>3746</v>
      </c>
      <c r="C393" t="s">
        <v>3775</v>
      </c>
      <c r="D393" s="3">
        <f t="shared" si="30"/>
        <v>9</v>
      </c>
      <c r="E393" t="s">
        <v>12</v>
      </c>
      <c r="F393" t="s">
        <v>13</v>
      </c>
      <c r="G393" t="str">
        <f t="shared" si="31"/>
        <v/>
      </c>
      <c r="H393" t="s">
        <v>14</v>
      </c>
      <c r="I393" t="s">
        <v>3926</v>
      </c>
      <c r="J393" s="2">
        <f t="shared" si="32"/>
        <v>1600000</v>
      </c>
      <c r="K393" t="s">
        <v>95</v>
      </c>
      <c r="L393">
        <f t="shared" si="33"/>
        <v>0.17083333333333331</v>
      </c>
      <c r="M393" s="5">
        <v>0.17083333333333331</v>
      </c>
      <c r="N393" t="s">
        <v>43</v>
      </c>
      <c r="P393" t="s">
        <v>1657</v>
      </c>
      <c r="R393" s="3">
        <f t="shared" si="34"/>
        <v>4.0999999999999996</v>
      </c>
    </row>
    <row r="394" spans="1:18" hidden="1" x14ac:dyDescent="0.25">
      <c r="A394" t="s">
        <v>3824</v>
      </c>
      <c r="B394" t="s">
        <v>3746</v>
      </c>
      <c r="C394" t="s">
        <v>3775</v>
      </c>
      <c r="D394" s="3">
        <f t="shared" si="30"/>
        <v>9</v>
      </c>
      <c r="E394" t="s">
        <v>12</v>
      </c>
      <c r="F394" t="s">
        <v>13</v>
      </c>
      <c r="G394" t="str">
        <f t="shared" si="31"/>
        <v/>
      </c>
      <c r="H394" t="s">
        <v>14</v>
      </c>
      <c r="I394" t="s">
        <v>3825</v>
      </c>
      <c r="J394" s="2">
        <f t="shared" si="32"/>
        <v>1550000</v>
      </c>
      <c r="K394" t="s">
        <v>137</v>
      </c>
      <c r="L394">
        <f t="shared" si="33"/>
        <v>0.17083333333333331</v>
      </c>
      <c r="M394" s="5">
        <v>0.17083333333333331</v>
      </c>
      <c r="N394" t="s">
        <v>43</v>
      </c>
      <c r="R394" s="3">
        <f t="shared" si="34"/>
        <v>4.0999999999999996</v>
      </c>
    </row>
    <row r="395" spans="1:18" hidden="1" x14ac:dyDescent="0.25">
      <c r="A395" t="s">
        <v>4886</v>
      </c>
      <c r="B395" t="s">
        <v>4806</v>
      </c>
      <c r="C395" t="s">
        <v>4888</v>
      </c>
      <c r="D395" s="3">
        <f t="shared" ref="D395:D458" si="35">VALUE(LEFT(E395,SEARCH(" x ",E395)-1))*VALUE(MID(E395,SEARCH(" x ",E395)+3,SEARCH(" meter",E395)-SEARCH(" x ",E395)-3))</f>
        <v>9</v>
      </c>
      <c r="E395" t="s">
        <v>12</v>
      </c>
      <c r="F395" t="s">
        <v>13</v>
      </c>
      <c r="G395" t="str">
        <f t="shared" ref="G395:G458" si="36">IF(H395="N/A","",VALUE(SUBSTITUTE(SUBSTITUTE(H395,"Rp",""),".","")))</f>
        <v/>
      </c>
      <c r="H395" t="s">
        <v>14</v>
      </c>
      <c r="I395" t="s">
        <v>4887</v>
      </c>
      <c r="J395" s="2">
        <f t="shared" ref="J395:J458" si="37">VALUE(SUBSTITUTE(SUBSTITUTE(K395,"Rp",""),".",""))</f>
        <v>900000</v>
      </c>
      <c r="K395" t="s">
        <v>101</v>
      </c>
      <c r="L395">
        <f t="shared" ref="L395:L458" si="38">M395:M2735</f>
        <v>0</v>
      </c>
      <c r="N395" t="s">
        <v>37</v>
      </c>
      <c r="R395" s="3">
        <f t="shared" si="34"/>
        <v>0</v>
      </c>
    </row>
    <row r="396" spans="1:18" hidden="1" x14ac:dyDescent="0.25">
      <c r="A396" t="s">
        <v>4385</v>
      </c>
      <c r="B396" t="s">
        <v>4272</v>
      </c>
      <c r="C396" t="s">
        <v>4285</v>
      </c>
      <c r="D396" s="3">
        <f t="shared" si="35"/>
        <v>9</v>
      </c>
      <c r="E396" t="s">
        <v>12</v>
      </c>
      <c r="F396" t="s">
        <v>13</v>
      </c>
      <c r="G396" t="str">
        <f t="shared" si="36"/>
        <v/>
      </c>
      <c r="H396" t="s">
        <v>14</v>
      </c>
      <c r="I396" t="s">
        <v>4386</v>
      </c>
      <c r="J396" s="2">
        <f t="shared" si="37"/>
        <v>1600000</v>
      </c>
      <c r="K396" t="s">
        <v>95</v>
      </c>
      <c r="L396">
        <f t="shared" si="38"/>
        <v>0.17291666666666669</v>
      </c>
      <c r="M396" s="5">
        <v>0.17291666666666669</v>
      </c>
      <c r="N396" t="s">
        <v>43</v>
      </c>
      <c r="R396" s="3">
        <f t="shared" si="34"/>
        <v>4.1500000000000004</v>
      </c>
    </row>
    <row r="397" spans="1:18" hidden="1" x14ac:dyDescent="0.25">
      <c r="A397" t="s">
        <v>91</v>
      </c>
      <c r="B397" t="s">
        <v>20</v>
      </c>
      <c r="C397" t="s">
        <v>38</v>
      </c>
      <c r="D397" s="3">
        <f t="shared" si="35"/>
        <v>12</v>
      </c>
      <c r="E397" t="s">
        <v>33</v>
      </c>
      <c r="F397" t="s">
        <v>13</v>
      </c>
      <c r="G397" t="str">
        <f t="shared" si="36"/>
        <v/>
      </c>
      <c r="H397" t="s">
        <v>14</v>
      </c>
      <c r="I397" t="s">
        <v>92</v>
      </c>
      <c r="J397" s="2">
        <f t="shared" si="37"/>
        <v>750000</v>
      </c>
      <c r="K397" t="s">
        <v>76</v>
      </c>
      <c r="L397">
        <f t="shared" si="38"/>
        <v>0</v>
      </c>
      <c r="N397" t="s">
        <v>43</v>
      </c>
      <c r="R397" s="3">
        <f t="shared" si="34"/>
        <v>0</v>
      </c>
    </row>
    <row r="398" spans="1:18" hidden="1" x14ac:dyDescent="0.25">
      <c r="A398" t="s">
        <v>5718</v>
      </c>
      <c r="B398" t="s">
        <v>5848</v>
      </c>
      <c r="C398" t="s">
        <v>5342</v>
      </c>
      <c r="D398" s="3">
        <f t="shared" si="35"/>
        <v>5.4</v>
      </c>
      <c r="E398" t="s">
        <v>5719</v>
      </c>
      <c r="F398" t="s">
        <v>13</v>
      </c>
      <c r="G398" t="str">
        <f t="shared" si="36"/>
        <v/>
      </c>
      <c r="H398" t="s">
        <v>14</v>
      </c>
      <c r="I398" t="s">
        <v>5720</v>
      </c>
      <c r="J398" s="2">
        <f t="shared" si="37"/>
        <v>1500000</v>
      </c>
      <c r="K398" t="s">
        <v>66</v>
      </c>
      <c r="L398">
        <f t="shared" si="38"/>
        <v>0.17222222222222225</v>
      </c>
      <c r="M398" s="5">
        <v>0.17222222222222225</v>
      </c>
      <c r="N398" t="s">
        <v>18</v>
      </c>
      <c r="P398" t="s">
        <v>2619</v>
      </c>
      <c r="R398" s="3">
        <f t="shared" si="34"/>
        <v>4.1333333333333337</v>
      </c>
    </row>
    <row r="399" spans="1:18" hidden="1" x14ac:dyDescent="0.25">
      <c r="A399" t="s">
        <v>5171</v>
      </c>
      <c r="B399" t="s">
        <v>4806</v>
      </c>
      <c r="C399" t="s">
        <v>5173</v>
      </c>
      <c r="D399" s="3">
        <f t="shared" si="35"/>
        <v>12</v>
      </c>
      <c r="E399" t="s">
        <v>347</v>
      </c>
      <c r="F399" t="s">
        <v>13</v>
      </c>
      <c r="G399" t="str">
        <f t="shared" si="36"/>
        <v/>
      </c>
      <c r="H399" t="s">
        <v>14</v>
      </c>
      <c r="I399" t="s">
        <v>5172</v>
      </c>
      <c r="J399" s="2">
        <f t="shared" si="37"/>
        <v>750000</v>
      </c>
      <c r="K399" t="s">
        <v>76</v>
      </c>
      <c r="L399">
        <f t="shared" si="38"/>
        <v>0.20833333333333334</v>
      </c>
      <c r="M399" s="5">
        <v>0.20833333333333334</v>
      </c>
      <c r="N399" t="s">
        <v>37</v>
      </c>
      <c r="R399" s="3">
        <f t="shared" si="34"/>
        <v>5</v>
      </c>
    </row>
    <row r="400" spans="1:18" hidden="1" x14ac:dyDescent="0.25">
      <c r="A400" t="s">
        <v>1192</v>
      </c>
      <c r="B400" t="s">
        <v>640</v>
      </c>
      <c r="C400" t="s">
        <v>643</v>
      </c>
      <c r="D400" s="3">
        <f t="shared" si="35"/>
        <v>9</v>
      </c>
      <c r="E400" t="s">
        <v>12</v>
      </c>
      <c r="F400" t="s">
        <v>34</v>
      </c>
      <c r="G400" t="str">
        <f t="shared" si="36"/>
        <v/>
      </c>
      <c r="H400" t="s">
        <v>14</v>
      </c>
      <c r="I400" t="s">
        <v>1193</v>
      </c>
      <c r="J400" s="2">
        <f t="shared" si="37"/>
        <v>600000</v>
      </c>
      <c r="K400" t="s">
        <v>173</v>
      </c>
      <c r="L400">
        <f t="shared" si="38"/>
        <v>0.20833333333333334</v>
      </c>
      <c r="M400" s="5">
        <v>0.20833333333333334</v>
      </c>
      <c r="N400" t="s">
        <v>37</v>
      </c>
      <c r="R400" s="3">
        <f t="shared" si="34"/>
        <v>5</v>
      </c>
    </row>
    <row r="401" spans="1:18" hidden="1" x14ac:dyDescent="0.25">
      <c r="A401" t="s">
        <v>3362</v>
      </c>
      <c r="B401" t="s">
        <v>3233</v>
      </c>
      <c r="C401" t="s">
        <v>3248</v>
      </c>
      <c r="D401" s="3">
        <f t="shared" si="35"/>
        <v>9</v>
      </c>
      <c r="E401" t="s">
        <v>12</v>
      </c>
      <c r="F401" t="s">
        <v>34</v>
      </c>
      <c r="G401" t="str">
        <f t="shared" si="36"/>
        <v/>
      </c>
      <c r="H401" t="s">
        <v>14</v>
      </c>
      <c r="I401" t="s">
        <v>3363</v>
      </c>
      <c r="J401" s="2">
        <f t="shared" si="37"/>
        <v>2300000</v>
      </c>
      <c r="K401" t="s">
        <v>820</v>
      </c>
      <c r="L401">
        <f t="shared" si="38"/>
        <v>0.17222222222222225</v>
      </c>
      <c r="M401" s="5">
        <v>0.17222222222222225</v>
      </c>
      <c r="N401" t="s">
        <v>18</v>
      </c>
      <c r="P401" t="s">
        <v>727</v>
      </c>
      <c r="R401" s="3">
        <f t="shared" si="34"/>
        <v>4.1333333333333337</v>
      </c>
    </row>
    <row r="402" spans="1:18" hidden="1" x14ac:dyDescent="0.25">
      <c r="A402" t="s">
        <v>5255</v>
      </c>
      <c r="B402" t="s">
        <v>4806</v>
      </c>
      <c r="C402" t="s">
        <v>4930</v>
      </c>
      <c r="D402" s="3">
        <f t="shared" si="35"/>
        <v>10.5</v>
      </c>
      <c r="E402" t="s">
        <v>653</v>
      </c>
      <c r="F402" t="s">
        <v>34</v>
      </c>
      <c r="G402" t="str">
        <f t="shared" si="36"/>
        <v/>
      </c>
      <c r="H402" t="s">
        <v>14</v>
      </c>
      <c r="I402" t="s">
        <v>5256</v>
      </c>
      <c r="J402" s="2">
        <f t="shared" si="37"/>
        <v>1400000</v>
      </c>
      <c r="K402" t="s">
        <v>81</v>
      </c>
      <c r="L402">
        <f t="shared" si="38"/>
        <v>0</v>
      </c>
      <c r="N402" t="s">
        <v>18</v>
      </c>
      <c r="R402" s="3">
        <f t="shared" si="34"/>
        <v>0</v>
      </c>
    </row>
    <row r="403" spans="1:18" hidden="1" x14ac:dyDescent="0.25">
      <c r="A403" t="s">
        <v>4567</v>
      </c>
      <c r="B403" t="s">
        <v>4272</v>
      </c>
      <c r="C403" t="s">
        <v>4417</v>
      </c>
      <c r="D403" s="3">
        <f t="shared" si="35"/>
        <v>9</v>
      </c>
      <c r="E403" t="s">
        <v>12</v>
      </c>
      <c r="F403" t="s">
        <v>34</v>
      </c>
      <c r="G403" t="str">
        <f t="shared" si="36"/>
        <v/>
      </c>
      <c r="H403" t="s">
        <v>14</v>
      </c>
      <c r="I403" t="s">
        <v>4568</v>
      </c>
      <c r="J403" s="2">
        <f t="shared" si="37"/>
        <v>800000</v>
      </c>
      <c r="K403" t="s">
        <v>109</v>
      </c>
      <c r="L403">
        <f t="shared" si="38"/>
        <v>0</v>
      </c>
      <c r="N403" t="s">
        <v>18</v>
      </c>
      <c r="R403" s="3">
        <f t="shared" si="34"/>
        <v>0</v>
      </c>
    </row>
    <row r="404" spans="1:18" hidden="1" x14ac:dyDescent="0.25">
      <c r="A404" t="s">
        <v>1198</v>
      </c>
      <c r="B404" t="s">
        <v>640</v>
      </c>
      <c r="C404" t="s">
        <v>643</v>
      </c>
      <c r="D404" s="3">
        <f t="shared" si="35"/>
        <v>9</v>
      </c>
      <c r="E404" t="s">
        <v>12</v>
      </c>
      <c r="F404" t="s">
        <v>34</v>
      </c>
      <c r="G404" t="str">
        <f t="shared" si="36"/>
        <v/>
      </c>
      <c r="H404" t="s">
        <v>14</v>
      </c>
      <c r="I404" t="s">
        <v>1199</v>
      </c>
      <c r="J404" s="2">
        <f t="shared" si="37"/>
        <v>750000</v>
      </c>
      <c r="K404" t="s">
        <v>76</v>
      </c>
      <c r="L404">
        <f t="shared" si="38"/>
        <v>0.17291666666666669</v>
      </c>
      <c r="M404" s="5">
        <v>0.17291666666666669</v>
      </c>
      <c r="N404" t="s">
        <v>18</v>
      </c>
      <c r="P404" t="s">
        <v>199</v>
      </c>
      <c r="R404" s="3">
        <f t="shared" si="34"/>
        <v>4.1500000000000004</v>
      </c>
    </row>
    <row r="405" spans="1:18" hidden="1" x14ac:dyDescent="0.25">
      <c r="A405" t="s">
        <v>365</v>
      </c>
      <c r="B405" t="s">
        <v>20</v>
      </c>
      <c r="C405" t="s">
        <v>367</v>
      </c>
      <c r="D405" s="3">
        <f t="shared" si="35"/>
        <v>18</v>
      </c>
      <c r="E405" t="s">
        <v>126</v>
      </c>
      <c r="F405" t="s">
        <v>13</v>
      </c>
      <c r="G405" t="str">
        <f t="shared" si="36"/>
        <v/>
      </c>
      <c r="H405" t="s">
        <v>14</v>
      </c>
      <c r="I405" t="s">
        <v>366</v>
      </c>
      <c r="J405" s="2">
        <f t="shared" si="37"/>
        <v>900000</v>
      </c>
      <c r="K405" t="s">
        <v>101</v>
      </c>
      <c r="L405">
        <f t="shared" si="38"/>
        <v>0</v>
      </c>
      <c r="N405" t="s">
        <v>43</v>
      </c>
      <c r="R405" s="3">
        <f t="shared" si="34"/>
        <v>0</v>
      </c>
    </row>
    <row r="406" spans="1:18" hidden="1" x14ac:dyDescent="0.25">
      <c r="A406" t="s">
        <v>5833</v>
      </c>
      <c r="B406" t="s">
        <v>5848</v>
      </c>
      <c r="C406" t="s">
        <v>5342</v>
      </c>
      <c r="D406" s="3">
        <f t="shared" si="35"/>
        <v>15.679999999999998</v>
      </c>
      <c r="E406" t="s">
        <v>5834</v>
      </c>
      <c r="F406" t="s">
        <v>13</v>
      </c>
      <c r="G406" t="str">
        <f t="shared" si="36"/>
        <v/>
      </c>
      <c r="H406" t="s">
        <v>14</v>
      </c>
      <c r="I406" t="s">
        <v>5835</v>
      </c>
      <c r="J406" s="2">
        <f t="shared" si="37"/>
        <v>1350000</v>
      </c>
      <c r="K406" t="s">
        <v>257</v>
      </c>
      <c r="L406">
        <f t="shared" si="38"/>
        <v>0.20833333333333334</v>
      </c>
      <c r="M406" s="5">
        <v>0.20833333333333334</v>
      </c>
      <c r="N406" t="s">
        <v>43</v>
      </c>
      <c r="P406" t="s">
        <v>665</v>
      </c>
      <c r="R406" s="3">
        <f t="shared" si="34"/>
        <v>5</v>
      </c>
    </row>
    <row r="407" spans="1:18" hidden="1" x14ac:dyDescent="0.25">
      <c r="A407" t="s">
        <v>4195</v>
      </c>
      <c r="B407" t="s">
        <v>3746</v>
      </c>
      <c r="C407" t="s">
        <v>3861</v>
      </c>
      <c r="D407" s="3">
        <f t="shared" si="35"/>
        <v>8.75</v>
      </c>
      <c r="E407" t="s">
        <v>1404</v>
      </c>
      <c r="F407" t="s">
        <v>34</v>
      </c>
      <c r="G407" t="str">
        <f t="shared" si="36"/>
        <v/>
      </c>
      <c r="H407" t="s">
        <v>14</v>
      </c>
      <c r="I407" t="s">
        <v>4196</v>
      </c>
      <c r="J407" s="2">
        <f t="shared" si="37"/>
        <v>800000</v>
      </c>
      <c r="K407" t="s">
        <v>109</v>
      </c>
      <c r="L407">
        <f t="shared" si="38"/>
        <v>0.17222222222222225</v>
      </c>
      <c r="M407" s="5">
        <v>0.17222222222222225</v>
      </c>
      <c r="N407" t="s">
        <v>18</v>
      </c>
      <c r="P407" t="s">
        <v>745</v>
      </c>
      <c r="R407" s="3">
        <f t="shared" si="34"/>
        <v>4.1333333333333337</v>
      </c>
    </row>
    <row r="408" spans="1:18" x14ac:dyDescent="0.25">
      <c r="A408" t="s">
        <v>4427</v>
      </c>
      <c r="B408" t="s">
        <v>4272</v>
      </c>
      <c r="C408" t="s">
        <v>4281</v>
      </c>
      <c r="D408" s="3">
        <f t="shared" si="35"/>
        <v>9</v>
      </c>
      <c r="E408" t="s">
        <v>12</v>
      </c>
      <c r="F408" t="s">
        <v>34</v>
      </c>
      <c r="G408">
        <f t="shared" si="36"/>
        <v>925000</v>
      </c>
      <c r="H408" t="s">
        <v>649</v>
      </c>
      <c r="I408" t="s">
        <v>4428</v>
      </c>
      <c r="J408" s="2">
        <f t="shared" si="37"/>
        <v>880000</v>
      </c>
      <c r="K408" t="s">
        <v>1170</v>
      </c>
      <c r="L408">
        <f t="shared" si="38"/>
        <v>0.17083333333333331</v>
      </c>
      <c r="M408" s="5">
        <v>0.17083333333333331</v>
      </c>
      <c r="N408" t="s">
        <v>37</v>
      </c>
      <c r="P408" t="s">
        <v>1397</v>
      </c>
      <c r="R408" s="3">
        <f t="shared" si="34"/>
        <v>4.0999999999999996</v>
      </c>
    </row>
    <row r="409" spans="1:18" hidden="1" x14ac:dyDescent="0.25">
      <c r="A409" t="s">
        <v>611</v>
      </c>
      <c r="B409" t="s">
        <v>20</v>
      </c>
      <c r="C409" t="s">
        <v>84</v>
      </c>
      <c r="D409" s="3">
        <f t="shared" si="35"/>
        <v>9</v>
      </c>
      <c r="E409" t="s">
        <v>12</v>
      </c>
      <c r="F409" t="s">
        <v>13</v>
      </c>
      <c r="G409" t="str">
        <f t="shared" si="36"/>
        <v/>
      </c>
      <c r="H409" t="s">
        <v>14</v>
      </c>
      <c r="I409" t="s">
        <v>612</v>
      </c>
      <c r="J409" s="2">
        <f t="shared" si="37"/>
        <v>500000</v>
      </c>
      <c r="K409" t="s">
        <v>16</v>
      </c>
      <c r="L409">
        <f t="shared" si="38"/>
        <v>0.20833333333333334</v>
      </c>
      <c r="M409" s="5">
        <v>0.20833333333333334</v>
      </c>
      <c r="N409" t="s">
        <v>18</v>
      </c>
      <c r="R409" s="3">
        <f t="shared" si="34"/>
        <v>5</v>
      </c>
    </row>
    <row r="410" spans="1:18" x14ac:dyDescent="0.25">
      <c r="A410" t="s">
        <v>3406</v>
      </c>
      <c r="B410" t="s">
        <v>3233</v>
      </c>
      <c r="C410" t="s">
        <v>3248</v>
      </c>
      <c r="D410" s="3">
        <f t="shared" si="35"/>
        <v>9</v>
      </c>
      <c r="E410" t="s">
        <v>12</v>
      </c>
      <c r="F410" t="s">
        <v>13</v>
      </c>
      <c r="G410" t="str">
        <f t="shared" si="36"/>
        <v/>
      </c>
      <c r="H410" t="s">
        <v>14</v>
      </c>
      <c r="I410" t="s">
        <v>3407</v>
      </c>
      <c r="J410" s="2">
        <f t="shared" si="37"/>
        <v>885000</v>
      </c>
      <c r="K410" t="s">
        <v>360</v>
      </c>
      <c r="L410">
        <f t="shared" si="38"/>
        <v>0.17222222222222225</v>
      </c>
      <c r="M410" s="5">
        <v>0.17222222222222225</v>
      </c>
      <c r="N410" t="s">
        <v>43</v>
      </c>
      <c r="R410" s="3">
        <f t="shared" si="34"/>
        <v>4.1333333333333337</v>
      </c>
    </row>
    <row r="411" spans="1:18" x14ac:dyDescent="0.25">
      <c r="A411" t="s">
        <v>3717</v>
      </c>
      <c r="B411" t="s">
        <v>3233</v>
      </c>
      <c r="C411" t="s">
        <v>3248</v>
      </c>
      <c r="D411" s="3">
        <f t="shared" si="35"/>
        <v>4</v>
      </c>
      <c r="E411" t="s">
        <v>313</v>
      </c>
      <c r="F411" t="s">
        <v>13</v>
      </c>
      <c r="G411" t="str">
        <f t="shared" si="36"/>
        <v/>
      </c>
      <c r="H411" t="s">
        <v>14</v>
      </c>
      <c r="I411" t="s">
        <v>3718</v>
      </c>
      <c r="J411" s="2">
        <f t="shared" si="37"/>
        <v>899000</v>
      </c>
      <c r="K411" t="s">
        <v>3719</v>
      </c>
      <c r="L411">
        <f t="shared" si="38"/>
        <v>0.16874999999999998</v>
      </c>
      <c r="M411" s="5">
        <v>0.16874999999999998</v>
      </c>
      <c r="N411" t="s">
        <v>43</v>
      </c>
      <c r="R411" s="3">
        <f t="shared" si="34"/>
        <v>4.05</v>
      </c>
    </row>
    <row r="412" spans="1:18" hidden="1" x14ac:dyDescent="0.25">
      <c r="A412" t="s">
        <v>436</v>
      </c>
      <c r="B412" t="s">
        <v>20</v>
      </c>
      <c r="C412" t="s">
        <v>30</v>
      </c>
      <c r="D412" s="3">
        <f t="shared" si="35"/>
        <v>9</v>
      </c>
      <c r="E412" t="s">
        <v>12</v>
      </c>
      <c r="F412" t="s">
        <v>34</v>
      </c>
      <c r="G412" t="str">
        <f t="shared" si="36"/>
        <v/>
      </c>
      <c r="H412" t="s">
        <v>14</v>
      </c>
      <c r="I412" t="s">
        <v>437</v>
      </c>
      <c r="J412" s="2">
        <f t="shared" si="37"/>
        <v>1800000</v>
      </c>
      <c r="K412" t="s">
        <v>228</v>
      </c>
      <c r="L412">
        <f t="shared" si="38"/>
        <v>0</v>
      </c>
      <c r="N412" t="s">
        <v>43</v>
      </c>
      <c r="R412" s="3">
        <f t="shared" si="34"/>
        <v>0</v>
      </c>
    </row>
    <row r="413" spans="1:18" x14ac:dyDescent="0.25">
      <c r="A413" t="s">
        <v>1130</v>
      </c>
      <c r="B413" t="s">
        <v>640</v>
      </c>
      <c r="C413" t="s">
        <v>643</v>
      </c>
      <c r="D413" s="3">
        <f t="shared" si="35"/>
        <v>9</v>
      </c>
      <c r="E413" t="s">
        <v>12</v>
      </c>
      <c r="F413" t="s">
        <v>13</v>
      </c>
      <c r="G413">
        <f t="shared" si="36"/>
        <v>1000000</v>
      </c>
      <c r="H413" t="s">
        <v>52</v>
      </c>
      <c r="I413" t="s">
        <v>1131</v>
      </c>
      <c r="J413" s="2">
        <f t="shared" si="37"/>
        <v>900000</v>
      </c>
      <c r="K413" t="s">
        <v>101</v>
      </c>
      <c r="L413">
        <f t="shared" si="38"/>
        <v>0</v>
      </c>
      <c r="N413" t="s">
        <v>43</v>
      </c>
      <c r="P413" t="s">
        <v>669</v>
      </c>
      <c r="R413" s="3">
        <f t="shared" si="34"/>
        <v>0</v>
      </c>
    </row>
    <row r="414" spans="1:18" hidden="1" x14ac:dyDescent="0.25">
      <c r="A414" t="s">
        <v>5200</v>
      </c>
      <c r="B414" t="s">
        <v>4806</v>
      </c>
      <c r="C414" t="s">
        <v>5015</v>
      </c>
      <c r="D414" s="3">
        <f t="shared" si="35"/>
        <v>15</v>
      </c>
      <c r="E414" t="s">
        <v>71</v>
      </c>
      <c r="F414" t="s">
        <v>13</v>
      </c>
      <c r="G414" t="str">
        <f t="shared" si="36"/>
        <v/>
      </c>
      <c r="H414" t="s">
        <v>14</v>
      </c>
      <c r="I414" t="s">
        <v>5201</v>
      </c>
      <c r="J414" s="2">
        <f t="shared" si="37"/>
        <v>1200000</v>
      </c>
      <c r="K414" t="s">
        <v>36</v>
      </c>
      <c r="L414">
        <f t="shared" si="38"/>
        <v>0.20833333333333334</v>
      </c>
      <c r="M414" s="5">
        <v>0.20833333333333334</v>
      </c>
      <c r="N414" t="s">
        <v>43</v>
      </c>
      <c r="R414" s="3">
        <f t="shared" si="34"/>
        <v>5</v>
      </c>
    </row>
    <row r="415" spans="1:18" hidden="1" x14ac:dyDescent="0.25">
      <c r="A415" t="s">
        <v>1138</v>
      </c>
      <c r="B415" t="s">
        <v>640</v>
      </c>
      <c r="C415" t="s">
        <v>643</v>
      </c>
      <c r="D415" s="3">
        <f t="shared" si="35"/>
        <v>9</v>
      </c>
      <c r="E415" t="s">
        <v>12</v>
      </c>
      <c r="F415" t="s">
        <v>34</v>
      </c>
      <c r="G415" t="str">
        <f t="shared" si="36"/>
        <v/>
      </c>
      <c r="H415" t="s">
        <v>14</v>
      </c>
      <c r="I415" t="s">
        <v>1139</v>
      </c>
      <c r="J415" s="2">
        <f t="shared" si="37"/>
        <v>950000</v>
      </c>
      <c r="K415" t="s">
        <v>355</v>
      </c>
      <c r="L415">
        <f t="shared" si="38"/>
        <v>0</v>
      </c>
      <c r="N415" t="s">
        <v>37</v>
      </c>
      <c r="R415" s="3">
        <f t="shared" si="34"/>
        <v>0</v>
      </c>
    </row>
    <row r="416" spans="1:18" hidden="1" x14ac:dyDescent="0.25">
      <c r="A416" t="s">
        <v>1009</v>
      </c>
      <c r="B416" t="s">
        <v>640</v>
      </c>
      <c r="C416" t="s">
        <v>718</v>
      </c>
      <c r="D416" s="3">
        <f t="shared" si="35"/>
        <v>9</v>
      </c>
      <c r="E416" t="s">
        <v>12</v>
      </c>
      <c r="F416" t="s">
        <v>13</v>
      </c>
      <c r="G416" t="str">
        <f t="shared" si="36"/>
        <v/>
      </c>
      <c r="H416" t="s">
        <v>14</v>
      </c>
      <c r="I416" t="s">
        <v>1010</v>
      </c>
      <c r="J416" s="2">
        <f t="shared" si="37"/>
        <v>800000</v>
      </c>
      <c r="K416" t="s">
        <v>109</v>
      </c>
      <c r="L416">
        <f t="shared" si="38"/>
        <v>0</v>
      </c>
      <c r="N416" t="s">
        <v>43</v>
      </c>
      <c r="R416" s="3">
        <f t="shared" si="34"/>
        <v>0</v>
      </c>
    </row>
    <row r="417" spans="1:18" hidden="1" x14ac:dyDescent="0.25">
      <c r="A417" t="s">
        <v>5811</v>
      </c>
      <c r="B417" t="s">
        <v>5848</v>
      </c>
      <c r="C417" t="s">
        <v>5360</v>
      </c>
      <c r="D417" s="3">
        <f t="shared" si="35"/>
        <v>9</v>
      </c>
      <c r="E417" t="s">
        <v>12</v>
      </c>
      <c r="F417" t="s">
        <v>13</v>
      </c>
      <c r="G417" t="str">
        <f t="shared" si="36"/>
        <v/>
      </c>
      <c r="H417" t="s">
        <v>14</v>
      </c>
      <c r="I417" t="s">
        <v>5812</v>
      </c>
      <c r="J417" s="2">
        <f t="shared" si="37"/>
        <v>1200000</v>
      </c>
      <c r="K417" t="s">
        <v>36</v>
      </c>
      <c r="L417">
        <f t="shared" si="38"/>
        <v>0.17291666666666669</v>
      </c>
      <c r="M417" s="5">
        <v>0.17291666666666669</v>
      </c>
      <c r="N417" t="s">
        <v>37</v>
      </c>
      <c r="R417" s="3">
        <f t="shared" si="34"/>
        <v>4.1500000000000004</v>
      </c>
    </row>
    <row r="418" spans="1:18" x14ac:dyDescent="0.25">
      <c r="A418" t="s">
        <v>248</v>
      </c>
      <c r="B418" t="s">
        <v>20</v>
      </c>
      <c r="C418" t="s">
        <v>218</v>
      </c>
      <c r="D418" s="3">
        <f t="shared" si="35"/>
        <v>6.25</v>
      </c>
      <c r="E418" t="s">
        <v>74</v>
      </c>
      <c r="F418" t="s">
        <v>13</v>
      </c>
      <c r="G418" t="str">
        <f t="shared" si="36"/>
        <v/>
      </c>
      <c r="H418" t="s">
        <v>14</v>
      </c>
      <c r="I418" t="s">
        <v>249</v>
      </c>
      <c r="J418" s="2">
        <f t="shared" si="37"/>
        <v>900000</v>
      </c>
      <c r="K418" t="s">
        <v>101</v>
      </c>
      <c r="L418">
        <f t="shared" si="38"/>
        <v>0.1673611111111111</v>
      </c>
      <c r="M418" s="5">
        <v>0.1673611111111111</v>
      </c>
      <c r="N418" t="s">
        <v>18</v>
      </c>
      <c r="R418" s="3">
        <f t="shared" si="34"/>
        <v>4.0166666666666666</v>
      </c>
    </row>
    <row r="419" spans="1:18" hidden="1" x14ac:dyDescent="0.25">
      <c r="A419" t="s">
        <v>510</v>
      </c>
      <c r="B419" t="s">
        <v>20</v>
      </c>
      <c r="C419" t="s">
        <v>30</v>
      </c>
      <c r="D419" s="3">
        <f t="shared" si="35"/>
        <v>9</v>
      </c>
      <c r="E419" t="s">
        <v>12</v>
      </c>
      <c r="F419" t="s">
        <v>34</v>
      </c>
      <c r="G419" t="str">
        <f t="shared" si="36"/>
        <v/>
      </c>
      <c r="H419" t="s">
        <v>14</v>
      </c>
      <c r="I419" t="s">
        <v>511</v>
      </c>
      <c r="J419" s="2">
        <f t="shared" si="37"/>
        <v>1200000</v>
      </c>
      <c r="K419" t="s">
        <v>36</v>
      </c>
      <c r="L419">
        <f t="shared" si="38"/>
        <v>0</v>
      </c>
      <c r="N419" t="s">
        <v>18</v>
      </c>
      <c r="R419" s="3">
        <f t="shared" si="34"/>
        <v>0</v>
      </c>
    </row>
    <row r="420" spans="1:18" hidden="1" x14ac:dyDescent="0.25">
      <c r="A420" t="s">
        <v>5125</v>
      </c>
      <c r="B420" t="s">
        <v>4806</v>
      </c>
      <c r="C420" t="s">
        <v>4805</v>
      </c>
      <c r="D420" s="3">
        <f t="shared" si="35"/>
        <v>12</v>
      </c>
      <c r="E420" t="s">
        <v>33</v>
      </c>
      <c r="F420" t="s">
        <v>13</v>
      </c>
      <c r="G420" t="str">
        <f t="shared" si="36"/>
        <v/>
      </c>
      <c r="H420" t="s">
        <v>14</v>
      </c>
      <c r="I420" t="s">
        <v>5126</v>
      </c>
      <c r="J420" s="2">
        <f t="shared" si="37"/>
        <v>1500000</v>
      </c>
      <c r="K420" t="s">
        <v>66</v>
      </c>
      <c r="L420">
        <f t="shared" si="38"/>
        <v>0.17222222222222225</v>
      </c>
      <c r="M420" s="5">
        <v>0.17222222222222225</v>
      </c>
      <c r="N420" t="s">
        <v>43</v>
      </c>
      <c r="R420" s="3">
        <f t="shared" si="34"/>
        <v>4.1333333333333337</v>
      </c>
    </row>
    <row r="421" spans="1:18" hidden="1" x14ac:dyDescent="0.25">
      <c r="A421" t="s">
        <v>3868</v>
      </c>
      <c r="B421" t="s">
        <v>3746</v>
      </c>
      <c r="C421" t="s">
        <v>3746</v>
      </c>
      <c r="D421" s="3">
        <f t="shared" si="35"/>
        <v>12</v>
      </c>
      <c r="E421" t="s">
        <v>33</v>
      </c>
      <c r="F421" t="s">
        <v>13</v>
      </c>
      <c r="G421" t="str">
        <f t="shared" si="36"/>
        <v/>
      </c>
      <c r="H421" t="s">
        <v>14</v>
      </c>
      <c r="I421" t="s">
        <v>3869</v>
      </c>
      <c r="J421" s="2">
        <f t="shared" si="37"/>
        <v>2000000</v>
      </c>
      <c r="K421" t="s">
        <v>128</v>
      </c>
      <c r="L421">
        <f t="shared" si="38"/>
        <v>0</v>
      </c>
      <c r="N421" t="s">
        <v>18</v>
      </c>
      <c r="R421" s="3">
        <f t="shared" si="34"/>
        <v>0</v>
      </c>
    </row>
    <row r="422" spans="1:18" hidden="1" x14ac:dyDescent="0.25">
      <c r="A422" t="s">
        <v>4740</v>
      </c>
      <c r="B422" t="s">
        <v>4272</v>
      </c>
      <c r="C422" t="s">
        <v>4354</v>
      </c>
      <c r="D422" s="3">
        <f t="shared" si="35"/>
        <v>9</v>
      </c>
      <c r="E422" t="s">
        <v>12</v>
      </c>
      <c r="F422" t="s">
        <v>13</v>
      </c>
      <c r="G422" t="str">
        <f t="shared" si="36"/>
        <v/>
      </c>
      <c r="H422" t="s">
        <v>14</v>
      </c>
      <c r="I422" t="s">
        <v>4741</v>
      </c>
      <c r="J422" s="2">
        <f t="shared" si="37"/>
        <v>550000</v>
      </c>
      <c r="K422" t="s">
        <v>62</v>
      </c>
      <c r="L422">
        <f t="shared" si="38"/>
        <v>0.17222222222222225</v>
      </c>
      <c r="M422" s="5">
        <v>0.17222222222222225</v>
      </c>
      <c r="N422" t="s">
        <v>43</v>
      </c>
      <c r="R422" s="3">
        <f t="shared" si="34"/>
        <v>4.1333333333333337</v>
      </c>
    </row>
    <row r="423" spans="1:18" hidden="1" x14ac:dyDescent="0.25">
      <c r="A423" t="s">
        <v>1267</v>
      </c>
      <c r="B423" t="s">
        <v>640</v>
      </c>
      <c r="C423" t="s">
        <v>1210</v>
      </c>
      <c r="D423" s="3">
        <f t="shared" si="35"/>
        <v>7.5</v>
      </c>
      <c r="E423" t="s">
        <v>614</v>
      </c>
      <c r="F423" t="s">
        <v>13</v>
      </c>
      <c r="G423" t="str">
        <f t="shared" si="36"/>
        <v/>
      </c>
      <c r="H423" t="s">
        <v>14</v>
      </c>
      <c r="I423" t="s">
        <v>1268</v>
      </c>
      <c r="J423" s="2">
        <f t="shared" si="37"/>
        <v>1100000</v>
      </c>
      <c r="K423" t="s">
        <v>42</v>
      </c>
      <c r="L423">
        <f t="shared" si="38"/>
        <v>0</v>
      </c>
      <c r="N423" t="s">
        <v>18</v>
      </c>
      <c r="R423" s="3">
        <f t="shared" si="34"/>
        <v>0</v>
      </c>
    </row>
    <row r="424" spans="1:18" hidden="1" x14ac:dyDescent="0.25">
      <c r="A424" t="s">
        <v>3674</v>
      </c>
      <c r="B424" t="s">
        <v>3233</v>
      </c>
      <c r="C424" t="s">
        <v>3248</v>
      </c>
      <c r="D424" s="3">
        <f t="shared" si="35"/>
        <v>9</v>
      </c>
      <c r="E424" t="s">
        <v>12</v>
      </c>
      <c r="F424" t="s">
        <v>13</v>
      </c>
      <c r="G424" t="str">
        <f t="shared" si="36"/>
        <v/>
      </c>
      <c r="H424" t="s">
        <v>14</v>
      </c>
      <c r="I424" t="s">
        <v>3675</v>
      </c>
      <c r="J424" s="2">
        <f t="shared" si="37"/>
        <v>1950000</v>
      </c>
      <c r="K424" t="s">
        <v>748</v>
      </c>
      <c r="L424">
        <f t="shared" si="38"/>
        <v>0.17013888888888887</v>
      </c>
      <c r="M424" s="5">
        <v>0.17013888888888887</v>
      </c>
      <c r="N424" t="s">
        <v>43</v>
      </c>
      <c r="P424" t="s">
        <v>1622</v>
      </c>
      <c r="R424" s="3">
        <f t="shared" si="34"/>
        <v>4.083333333333333</v>
      </c>
    </row>
    <row r="425" spans="1:18" hidden="1" x14ac:dyDescent="0.25">
      <c r="A425" t="s">
        <v>3986</v>
      </c>
      <c r="B425" t="s">
        <v>3746</v>
      </c>
      <c r="C425" t="s">
        <v>3937</v>
      </c>
      <c r="D425" s="3">
        <f t="shared" si="35"/>
        <v>12</v>
      </c>
      <c r="E425" t="s">
        <v>33</v>
      </c>
      <c r="F425" t="s">
        <v>13</v>
      </c>
      <c r="G425" t="str">
        <f t="shared" si="36"/>
        <v/>
      </c>
      <c r="H425" t="s">
        <v>14</v>
      </c>
      <c r="I425" t="s">
        <v>3987</v>
      </c>
      <c r="J425" s="2">
        <f t="shared" si="37"/>
        <v>1000000</v>
      </c>
      <c r="K425" t="s">
        <v>52</v>
      </c>
      <c r="L425">
        <f t="shared" si="38"/>
        <v>0</v>
      </c>
      <c r="N425" t="s">
        <v>37</v>
      </c>
      <c r="R425" s="3">
        <f t="shared" si="34"/>
        <v>0</v>
      </c>
    </row>
    <row r="426" spans="1:18" hidden="1" x14ac:dyDescent="0.25">
      <c r="A426" t="s">
        <v>4120</v>
      </c>
      <c r="B426" t="s">
        <v>3746</v>
      </c>
      <c r="C426" t="s">
        <v>3884</v>
      </c>
      <c r="D426" s="3">
        <f t="shared" si="35"/>
        <v>12</v>
      </c>
      <c r="E426" t="s">
        <v>33</v>
      </c>
      <c r="F426" t="s">
        <v>34</v>
      </c>
      <c r="G426" t="str">
        <f t="shared" si="36"/>
        <v/>
      </c>
      <c r="H426" t="s">
        <v>14</v>
      </c>
      <c r="I426" t="s">
        <v>4121</v>
      </c>
      <c r="J426" s="2">
        <f t="shared" si="37"/>
        <v>800000</v>
      </c>
      <c r="K426" t="s">
        <v>109</v>
      </c>
      <c r="L426">
        <f t="shared" si="38"/>
        <v>0.16666666666666666</v>
      </c>
      <c r="M426" s="5">
        <v>0.16666666666666666</v>
      </c>
      <c r="N426" t="s">
        <v>43</v>
      </c>
      <c r="R426" s="3">
        <f t="shared" si="34"/>
        <v>4</v>
      </c>
    </row>
    <row r="427" spans="1:18" hidden="1" x14ac:dyDescent="0.25">
      <c r="A427" t="s">
        <v>1690</v>
      </c>
      <c r="B427" t="s">
        <v>1303</v>
      </c>
      <c r="C427" t="s">
        <v>1316</v>
      </c>
      <c r="D427" s="3">
        <f t="shared" si="35"/>
        <v>10.5</v>
      </c>
      <c r="E427" t="s">
        <v>653</v>
      </c>
      <c r="F427" t="s">
        <v>13</v>
      </c>
      <c r="G427" t="str">
        <f t="shared" si="36"/>
        <v/>
      </c>
      <c r="H427" t="s">
        <v>14</v>
      </c>
      <c r="I427" t="s">
        <v>1691</v>
      </c>
      <c r="J427" s="2">
        <f t="shared" si="37"/>
        <v>2599999</v>
      </c>
      <c r="K427" t="s">
        <v>1692</v>
      </c>
      <c r="L427">
        <f t="shared" si="38"/>
        <v>0.20833333333333334</v>
      </c>
      <c r="M427" s="5">
        <v>0.20833333333333334</v>
      </c>
      <c r="N427" t="s">
        <v>43</v>
      </c>
      <c r="R427" s="3">
        <f t="shared" si="34"/>
        <v>5</v>
      </c>
    </row>
    <row r="428" spans="1:18" hidden="1" x14ac:dyDescent="0.25">
      <c r="A428" t="s">
        <v>4848</v>
      </c>
      <c r="B428" t="s">
        <v>4806</v>
      </c>
      <c r="C428" t="s">
        <v>4805</v>
      </c>
      <c r="D428" s="3">
        <f t="shared" si="35"/>
        <v>16</v>
      </c>
      <c r="E428" t="s">
        <v>79</v>
      </c>
      <c r="F428" t="s">
        <v>13</v>
      </c>
      <c r="G428" t="str">
        <f t="shared" si="36"/>
        <v/>
      </c>
      <c r="H428" t="s">
        <v>14</v>
      </c>
      <c r="I428" t="s">
        <v>4849</v>
      </c>
      <c r="J428" s="2">
        <f t="shared" si="37"/>
        <v>2800000</v>
      </c>
      <c r="K428" t="s">
        <v>1166</v>
      </c>
      <c r="L428">
        <f t="shared" si="38"/>
        <v>0.20833333333333334</v>
      </c>
      <c r="M428" s="5">
        <v>0.20833333333333334</v>
      </c>
      <c r="N428" t="s">
        <v>43</v>
      </c>
      <c r="R428" s="3">
        <f t="shared" si="34"/>
        <v>5</v>
      </c>
    </row>
    <row r="429" spans="1:18" hidden="1" x14ac:dyDescent="0.25">
      <c r="A429" t="s">
        <v>4870</v>
      </c>
      <c r="B429" t="s">
        <v>4806</v>
      </c>
      <c r="C429" t="s">
        <v>4805</v>
      </c>
      <c r="D429" s="3">
        <f t="shared" si="35"/>
        <v>16</v>
      </c>
      <c r="E429" t="s">
        <v>79</v>
      </c>
      <c r="F429" t="s">
        <v>13</v>
      </c>
      <c r="G429" t="str">
        <f t="shared" si="36"/>
        <v/>
      </c>
      <c r="H429" t="s">
        <v>14</v>
      </c>
      <c r="I429" t="s">
        <v>4871</v>
      </c>
      <c r="J429" s="2">
        <f t="shared" si="37"/>
        <v>3500000</v>
      </c>
      <c r="K429" t="s">
        <v>143</v>
      </c>
      <c r="L429">
        <f t="shared" si="38"/>
        <v>0.20833333333333334</v>
      </c>
      <c r="M429" s="5">
        <v>0.20833333333333334</v>
      </c>
      <c r="N429" t="s">
        <v>43</v>
      </c>
      <c r="R429" s="3">
        <f t="shared" si="34"/>
        <v>5</v>
      </c>
    </row>
    <row r="430" spans="1:18" hidden="1" x14ac:dyDescent="0.25">
      <c r="A430" t="s">
        <v>4891</v>
      </c>
      <c r="B430" t="s">
        <v>4806</v>
      </c>
      <c r="C430" t="s">
        <v>4805</v>
      </c>
      <c r="D430" s="3">
        <f t="shared" si="35"/>
        <v>8.8000000000000007</v>
      </c>
      <c r="E430" t="s">
        <v>4892</v>
      </c>
      <c r="F430" t="s">
        <v>13</v>
      </c>
      <c r="G430" t="str">
        <f t="shared" si="36"/>
        <v/>
      </c>
      <c r="H430" t="s">
        <v>14</v>
      </c>
      <c r="I430" t="s">
        <v>4893</v>
      </c>
      <c r="J430" s="2">
        <f t="shared" si="37"/>
        <v>1750000</v>
      </c>
      <c r="K430" t="s">
        <v>306</v>
      </c>
      <c r="L430">
        <f t="shared" si="38"/>
        <v>0.17222222222222225</v>
      </c>
      <c r="M430" s="5">
        <v>0.17222222222222225</v>
      </c>
      <c r="N430" t="s">
        <v>43</v>
      </c>
      <c r="R430" s="3">
        <f t="shared" si="34"/>
        <v>4.1333333333333337</v>
      </c>
    </row>
    <row r="431" spans="1:18" hidden="1" x14ac:dyDescent="0.25">
      <c r="A431" t="s">
        <v>4878</v>
      </c>
      <c r="B431" t="s">
        <v>4806</v>
      </c>
      <c r="C431" t="s">
        <v>4805</v>
      </c>
      <c r="D431" s="3">
        <f t="shared" si="35"/>
        <v>9</v>
      </c>
      <c r="E431" t="s">
        <v>12</v>
      </c>
      <c r="F431" t="s">
        <v>13</v>
      </c>
      <c r="G431" t="str">
        <f t="shared" si="36"/>
        <v/>
      </c>
      <c r="H431" t="s">
        <v>14</v>
      </c>
      <c r="I431" t="s">
        <v>4879</v>
      </c>
      <c r="J431" s="2">
        <f t="shared" si="37"/>
        <v>2500000</v>
      </c>
      <c r="K431" t="s">
        <v>272</v>
      </c>
      <c r="L431">
        <f t="shared" si="38"/>
        <v>0</v>
      </c>
      <c r="N431" t="s">
        <v>43</v>
      </c>
      <c r="R431" s="3">
        <f t="shared" si="34"/>
        <v>0</v>
      </c>
    </row>
    <row r="432" spans="1:18" hidden="1" x14ac:dyDescent="0.25">
      <c r="A432" t="s">
        <v>163</v>
      </c>
      <c r="B432" t="s">
        <v>20</v>
      </c>
      <c r="C432" t="s">
        <v>165</v>
      </c>
      <c r="D432" s="3">
        <f t="shared" si="35"/>
        <v>9</v>
      </c>
      <c r="E432" t="s">
        <v>12</v>
      </c>
      <c r="F432" t="s">
        <v>13</v>
      </c>
      <c r="G432" t="str">
        <f t="shared" si="36"/>
        <v/>
      </c>
      <c r="H432" t="s">
        <v>14</v>
      </c>
      <c r="I432" t="s">
        <v>164</v>
      </c>
      <c r="J432" s="2">
        <f t="shared" si="37"/>
        <v>1550000</v>
      </c>
      <c r="K432" t="s">
        <v>137</v>
      </c>
      <c r="L432">
        <f t="shared" si="38"/>
        <v>0</v>
      </c>
      <c r="N432" t="s">
        <v>18</v>
      </c>
      <c r="R432" s="3">
        <f t="shared" si="34"/>
        <v>0</v>
      </c>
    </row>
    <row r="433" spans="1:18" hidden="1" x14ac:dyDescent="0.25">
      <c r="A433" t="s">
        <v>5141</v>
      </c>
      <c r="B433" t="s">
        <v>4806</v>
      </c>
      <c r="C433" t="s">
        <v>4805</v>
      </c>
      <c r="D433" s="3">
        <f t="shared" si="35"/>
        <v>9</v>
      </c>
      <c r="E433" t="s">
        <v>12</v>
      </c>
      <c r="F433" t="s">
        <v>13</v>
      </c>
      <c r="G433" t="str">
        <f t="shared" si="36"/>
        <v/>
      </c>
      <c r="H433" t="s">
        <v>14</v>
      </c>
      <c r="I433" t="s">
        <v>5142</v>
      </c>
      <c r="J433" s="2">
        <f t="shared" si="37"/>
        <v>1300000</v>
      </c>
      <c r="K433" t="s">
        <v>17</v>
      </c>
      <c r="L433">
        <f t="shared" si="38"/>
        <v>0.17291666666666669</v>
      </c>
      <c r="M433" s="5">
        <v>0.17291666666666669</v>
      </c>
      <c r="N433" t="s">
        <v>43</v>
      </c>
      <c r="R433" s="3">
        <f t="shared" si="34"/>
        <v>4.1500000000000004</v>
      </c>
    </row>
    <row r="434" spans="1:18" hidden="1" x14ac:dyDescent="0.25">
      <c r="A434" t="s">
        <v>5110</v>
      </c>
      <c r="B434" t="s">
        <v>4806</v>
      </c>
      <c r="C434" t="s">
        <v>4805</v>
      </c>
      <c r="D434" s="3">
        <f t="shared" si="35"/>
        <v>12</v>
      </c>
      <c r="E434" t="s">
        <v>33</v>
      </c>
      <c r="F434" t="s">
        <v>34</v>
      </c>
      <c r="G434" t="str">
        <f t="shared" si="36"/>
        <v/>
      </c>
      <c r="H434" t="s">
        <v>14</v>
      </c>
      <c r="I434" t="s">
        <v>5111</v>
      </c>
      <c r="J434" s="2">
        <f t="shared" si="37"/>
        <v>1700000</v>
      </c>
      <c r="K434" t="s">
        <v>23</v>
      </c>
      <c r="L434">
        <f t="shared" si="38"/>
        <v>0.20833333333333334</v>
      </c>
      <c r="M434" s="5">
        <v>0.20833333333333334</v>
      </c>
      <c r="N434" t="s">
        <v>43</v>
      </c>
      <c r="R434" s="3">
        <f t="shared" si="34"/>
        <v>5</v>
      </c>
    </row>
    <row r="435" spans="1:18" hidden="1" x14ac:dyDescent="0.25">
      <c r="A435" t="s">
        <v>5278</v>
      </c>
      <c r="B435" t="s">
        <v>4806</v>
      </c>
      <c r="C435" t="s">
        <v>4805</v>
      </c>
      <c r="D435" s="3">
        <f t="shared" si="35"/>
        <v>20</v>
      </c>
      <c r="E435" t="s">
        <v>159</v>
      </c>
      <c r="F435" t="s">
        <v>13</v>
      </c>
      <c r="G435" t="str">
        <f t="shared" si="36"/>
        <v/>
      </c>
      <c r="H435" t="s">
        <v>14</v>
      </c>
      <c r="I435" t="s">
        <v>5279</v>
      </c>
      <c r="J435" s="2">
        <f t="shared" si="37"/>
        <v>1800000</v>
      </c>
      <c r="K435" t="s">
        <v>228</v>
      </c>
      <c r="L435">
        <f t="shared" si="38"/>
        <v>0.17222222222222225</v>
      </c>
      <c r="M435" s="5">
        <v>0.17222222222222225</v>
      </c>
      <c r="N435" t="s">
        <v>43</v>
      </c>
      <c r="R435" s="3">
        <f t="shared" si="34"/>
        <v>4.1333333333333337</v>
      </c>
    </row>
    <row r="436" spans="1:18" hidden="1" x14ac:dyDescent="0.25">
      <c r="A436" t="s">
        <v>5278</v>
      </c>
      <c r="B436" t="s">
        <v>4806</v>
      </c>
      <c r="C436" t="s">
        <v>4805</v>
      </c>
      <c r="D436" s="3">
        <f t="shared" si="35"/>
        <v>20</v>
      </c>
      <c r="E436" t="s">
        <v>159</v>
      </c>
      <c r="F436" t="s">
        <v>13</v>
      </c>
      <c r="G436" t="str">
        <f t="shared" si="36"/>
        <v/>
      </c>
      <c r="H436" t="s">
        <v>14</v>
      </c>
      <c r="I436" t="s">
        <v>5317</v>
      </c>
      <c r="J436" s="2">
        <f t="shared" si="37"/>
        <v>1800000</v>
      </c>
      <c r="K436" t="s">
        <v>228</v>
      </c>
      <c r="L436">
        <f t="shared" si="38"/>
        <v>0.17222222222222225</v>
      </c>
      <c r="M436" s="5">
        <v>0.17222222222222225</v>
      </c>
      <c r="N436" t="s">
        <v>43</v>
      </c>
      <c r="R436" s="3">
        <f t="shared" si="34"/>
        <v>4.1333333333333337</v>
      </c>
    </row>
    <row r="437" spans="1:18" hidden="1" x14ac:dyDescent="0.25">
      <c r="A437" t="s">
        <v>5202</v>
      </c>
      <c r="B437" t="s">
        <v>4806</v>
      </c>
      <c r="C437" t="s">
        <v>4805</v>
      </c>
      <c r="D437" s="3">
        <f t="shared" si="35"/>
        <v>9</v>
      </c>
      <c r="E437" t="s">
        <v>12</v>
      </c>
      <c r="F437" t="s">
        <v>13</v>
      </c>
      <c r="G437" t="str">
        <f t="shared" si="36"/>
        <v/>
      </c>
      <c r="H437" t="s">
        <v>14</v>
      </c>
      <c r="I437" t="s">
        <v>5203</v>
      </c>
      <c r="J437" s="2">
        <f t="shared" si="37"/>
        <v>1400000</v>
      </c>
      <c r="K437" t="s">
        <v>81</v>
      </c>
      <c r="L437">
        <f t="shared" si="38"/>
        <v>0</v>
      </c>
      <c r="N437" t="s">
        <v>43</v>
      </c>
      <c r="R437" s="3">
        <f t="shared" si="34"/>
        <v>0</v>
      </c>
    </row>
    <row r="438" spans="1:18" hidden="1" x14ac:dyDescent="0.25">
      <c r="A438" t="s">
        <v>4807</v>
      </c>
      <c r="B438" t="s">
        <v>4806</v>
      </c>
      <c r="C438" t="s">
        <v>4809</v>
      </c>
      <c r="D438" s="3">
        <f t="shared" si="35"/>
        <v>12</v>
      </c>
      <c r="E438" t="s">
        <v>33</v>
      </c>
      <c r="F438" t="s">
        <v>13</v>
      </c>
      <c r="G438" t="str">
        <f t="shared" si="36"/>
        <v/>
      </c>
      <c r="H438" t="s">
        <v>14</v>
      </c>
      <c r="I438" t="s">
        <v>4808</v>
      </c>
      <c r="J438" s="2">
        <f t="shared" si="37"/>
        <v>1800000</v>
      </c>
      <c r="K438" t="s">
        <v>228</v>
      </c>
      <c r="L438">
        <f t="shared" si="38"/>
        <v>0</v>
      </c>
      <c r="N438" t="s">
        <v>37</v>
      </c>
      <c r="R438" s="3">
        <f t="shared" si="34"/>
        <v>0</v>
      </c>
    </row>
    <row r="439" spans="1:18" hidden="1" x14ac:dyDescent="0.25">
      <c r="A439" t="s">
        <v>4922</v>
      </c>
      <c r="B439" t="s">
        <v>4806</v>
      </c>
      <c r="C439" t="s">
        <v>4805</v>
      </c>
      <c r="D439" s="3">
        <f t="shared" si="35"/>
        <v>16</v>
      </c>
      <c r="E439" t="s">
        <v>79</v>
      </c>
      <c r="F439" t="s">
        <v>13</v>
      </c>
      <c r="G439" t="str">
        <f t="shared" si="36"/>
        <v/>
      </c>
      <c r="H439" t="s">
        <v>14</v>
      </c>
      <c r="I439" t="s">
        <v>4923</v>
      </c>
      <c r="J439" s="2">
        <f t="shared" si="37"/>
        <v>1800000</v>
      </c>
      <c r="K439" t="s">
        <v>228</v>
      </c>
      <c r="L439">
        <f t="shared" si="38"/>
        <v>0</v>
      </c>
      <c r="N439" t="s">
        <v>18</v>
      </c>
      <c r="R439" s="3">
        <f t="shared" si="34"/>
        <v>0</v>
      </c>
    </row>
    <row r="440" spans="1:18" hidden="1" x14ac:dyDescent="0.25">
      <c r="A440" t="s">
        <v>5218</v>
      </c>
      <c r="B440" t="s">
        <v>4806</v>
      </c>
      <c r="C440" t="s">
        <v>4805</v>
      </c>
      <c r="D440" s="3">
        <f t="shared" si="35"/>
        <v>13.5</v>
      </c>
      <c r="E440" t="s">
        <v>446</v>
      </c>
      <c r="F440" t="s">
        <v>13</v>
      </c>
      <c r="G440" t="str">
        <f t="shared" si="36"/>
        <v/>
      </c>
      <c r="H440" t="s">
        <v>14</v>
      </c>
      <c r="I440" t="s">
        <v>5219</v>
      </c>
      <c r="J440" s="2">
        <f t="shared" si="37"/>
        <v>1200000</v>
      </c>
      <c r="K440" t="s">
        <v>36</v>
      </c>
      <c r="L440">
        <f t="shared" si="38"/>
        <v>0.16944444444444443</v>
      </c>
      <c r="M440" s="5">
        <v>0.16944444444444443</v>
      </c>
      <c r="N440" t="s">
        <v>43</v>
      </c>
      <c r="R440" s="3">
        <f t="shared" si="34"/>
        <v>4.0666666666666664</v>
      </c>
    </row>
    <row r="441" spans="1:18" hidden="1" x14ac:dyDescent="0.25">
      <c r="A441" t="s">
        <v>4896</v>
      </c>
      <c r="B441" t="s">
        <v>4806</v>
      </c>
      <c r="C441" t="s">
        <v>4809</v>
      </c>
      <c r="D441" s="3">
        <f t="shared" si="35"/>
        <v>12</v>
      </c>
      <c r="E441" t="s">
        <v>33</v>
      </c>
      <c r="F441" t="s">
        <v>13</v>
      </c>
      <c r="G441" t="str">
        <f t="shared" si="36"/>
        <v/>
      </c>
      <c r="H441" t="s">
        <v>14</v>
      </c>
      <c r="I441" t="s">
        <v>4897</v>
      </c>
      <c r="J441" s="2">
        <f t="shared" si="37"/>
        <v>1600000</v>
      </c>
      <c r="K441" t="s">
        <v>95</v>
      </c>
      <c r="L441">
        <f t="shared" si="38"/>
        <v>0</v>
      </c>
      <c r="N441" t="s">
        <v>18</v>
      </c>
      <c r="R441" s="3">
        <f t="shared" si="34"/>
        <v>0</v>
      </c>
    </row>
    <row r="442" spans="1:18" hidden="1" x14ac:dyDescent="0.25">
      <c r="A442" t="s">
        <v>4916</v>
      </c>
      <c r="B442" t="s">
        <v>4806</v>
      </c>
      <c r="C442" t="s">
        <v>4820</v>
      </c>
      <c r="D442" s="3">
        <f t="shared" si="35"/>
        <v>12</v>
      </c>
      <c r="E442" t="s">
        <v>33</v>
      </c>
      <c r="F442" t="s">
        <v>13</v>
      </c>
      <c r="G442" t="str">
        <f t="shared" si="36"/>
        <v/>
      </c>
      <c r="H442" t="s">
        <v>14</v>
      </c>
      <c r="I442" t="s">
        <v>4917</v>
      </c>
      <c r="J442" s="2">
        <f t="shared" si="37"/>
        <v>1900000</v>
      </c>
      <c r="K442" t="s">
        <v>352</v>
      </c>
      <c r="L442">
        <f t="shared" si="38"/>
        <v>0</v>
      </c>
      <c r="N442" t="s">
        <v>37</v>
      </c>
      <c r="R442" s="3">
        <f t="shared" si="34"/>
        <v>0</v>
      </c>
    </row>
    <row r="443" spans="1:18" hidden="1" x14ac:dyDescent="0.25">
      <c r="A443" t="s">
        <v>4905</v>
      </c>
      <c r="B443" t="s">
        <v>4806</v>
      </c>
      <c r="C443" t="s">
        <v>4809</v>
      </c>
      <c r="D443" s="3">
        <f t="shared" si="35"/>
        <v>12</v>
      </c>
      <c r="E443" t="s">
        <v>33</v>
      </c>
      <c r="F443" t="s">
        <v>13</v>
      </c>
      <c r="G443" t="str">
        <f t="shared" si="36"/>
        <v/>
      </c>
      <c r="H443" t="s">
        <v>14</v>
      </c>
      <c r="I443" t="s">
        <v>4906</v>
      </c>
      <c r="J443" s="2">
        <f t="shared" si="37"/>
        <v>1500000</v>
      </c>
      <c r="K443" t="s">
        <v>66</v>
      </c>
      <c r="L443">
        <f t="shared" si="38"/>
        <v>0.17013888888888887</v>
      </c>
      <c r="M443" s="5">
        <v>0.17013888888888887</v>
      </c>
      <c r="N443" t="s">
        <v>37</v>
      </c>
      <c r="R443" s="3">
        <f t="shared" si="34"/>
        <v>4.083333333333333</v>
      </c>
    </row>
    <row r="444" spans="1:18" hidden="1" x14ac:dyDescent="0.25">
      <c r="A444" t="s">
        <v>4835</v>
      </c>
      <c r="B444" t="s">
        <v>4806</v>
      </c>
      <c r="C444" t="s">
        <v>4809</v>
      </c>
      <c r="D444" s="3">
        <f t="shared" si="35"/>
        <v>12</v>
      </c>
      <c r="E444" t="s">
        <v>33</v>
      </c>
      <c r="F444" t="s">
        <v>13</v>
      </c>
      <c r="G444" t="str">
        <f t="shared" si="36"/>
        <v/>
      </c>
      <c r="H444" t="s">
        <v>14</v>
      </c>
      <c r="I444" t="s">
        <v>4836</v>
      </c>
      <c r="J444" s="2">
        <f t="shared" si="37"/>
        <v>1700000</v>
      </c>
      <c r="K444" t="s">
        <v>23</v>
      </c>
      <c r="L444">
        <f t="shared" si="38"/>
        <v>0</v>
      </c>
      <c r="N444" t="s">
        <v>37</v>
      </c>
      <c r="R444" s="3">
        <f t="shared" si="34"/>
        <v>0</v>
      </c>
    </row>
    <row r="445" spans="1:18" hidden="1" x14ac:dyDescent="0.25">
      <c r="A445" t="s">
        <v>4898</v>
      </c>
      <c r="B445" t="s">
        <v>4806</v>
      </c>
      <c r="C445" t="s">
        <v>4809</v>
      </c>
      <c r="D445" s="3">
        <f t="shared" si="35"/>
        <v>12</v>
      </c>
      <c r="E445" t="s">
        <v>33</v>
      </c>
      <c r="F445" t="s">
        <v>13</v>
      </c>
      <c r="G445" t="str">
        <f t="shared" si="36"/>
        <v/>
      </c>
      <c r="H445" t="s">
        <v>14</v>
      </c>
      <c r="I445" t="s">
        <v>4899</v>
      </c>
      <c r="J445" s="2">
        <f t="shared" si="37"/>
        <v>1900000</v>
      </c>
      <c r="K445" t="s">
        <v>352</v>
      </c>
      <c r="L445">
        <f t="shared" si="38"/>
        <v>0</v>
      </c>
      <c r="N445" t="s">
        <v>18</v>
      </c>
      <c r="R445" s="3">
        <f t="shared" si="34"/>
        <v>0</v>
      </c>
    </row>
    <row r="446" spans="1:18" hidden="1" x14ac:dyDescent="0.25">
      <c r="A446" t="s">
        <v>4940</v>
      </c>
      <c r="B446" t="s">
        <v>4806</v>
      </c>
      <c r="C446" t="s">
        <v>4809</v>
      </c>
      <c r="D446" s="3">
        <f t="shared" si="35"/>
        <v>12</v>
      </c>
      <c r="E446" t="s">
        <v>33</v>
      </c>
      <c r="F446" t="s">
        <v>13</v>
      </c>
      <c r="G446" t="str">
        <f t="shared" si="36"/>
        <v/>
      </c>
      <c r="H446" t="s">
        <v>14</v>
      </c>
      <c r="I446" t="s">
        <v>4941</v>
      </c>
      <c r="J446" s="2">
        <f t="shared" si="37"/>
        <v>1900000</v>
      </c>
      <c r="K446" t="s">
        <v>352</v>
      </c>
      <c r="L446">
        <f t="shared" si="38"/>
        <v>0</v>
      </c>
      <c r="N446" t="s">
        <v>18</v>
      </c>
      <c r="R446" s="3">
        <f t="shared" si="34"/>
        <v>0</v>
      </c>
    </row>
    <row r="447" spans="1:18" hidden="1" x14ac:dyDescent="0.25">
      <c r="A447" t="s">
        <v>4844</v>
      </c>
      <c r="B447" t="s">
        <v>4806</v>
      </c>
      <c r="C447" t="s">
        <v>4809</v>
      </c>
      <c r="D447" s="3">
        <f t="shared" si="35"/>
        <v>12</v>
      </c>
      <c r="E447" t="s">
        <v>33</v>
      </c>
      <c r="F447" t="s">
        <v>13</v>
      </c>
      <c r="G447" t="str">
        <f t="shared" si="36"/>
        <v/>
      </c>
      <c r="H447" t="s">
        <v>14</v>
      </c>
      <c r="I447" t="s">
        <v>4845</v>
      </c>
      <c r="J447" s="2">
        <f t="shared" si="37"/>
        <v>1800000</v>
      </c>
      <c r="K447" t="s">
        <v>228</v>
      </c>
      <c r="L447">
        <f t="shared" si="38"/>
        <v>0</v>
      </c>
      <c r="N447" t="s">
        <v>37</v>
      </c>
      <c r="R447" s="3">
        <f t="shared" si="34"/>
        <v>0</v>
      </c>
    </row>
    <row r="448" spans="1:18" hidden="1" x14ac:dyDescent="0.25">
      <c r="A448" t="s">
        <v>4880</v>
      </c>
      <c r="B448" t="s">
        <v>4806</v>
      </c>
      <c r="C448" t="s">
        <v>4820</v>
      </c>
      <c r="D448" s="3">
        <f t="shared" si="35"/>
        <v>12</v>
      </c>
      <c r="E448" t="s">
        <v>33</v>
      </c>
      <c r="F448" t="s">
        <v>13</v>
      </c>
      <c r="G448" t="str">
        <f t="shared" si="36"/>
        <v/>
      </c>
      <c r="H448" t="s">
        <v>14</v>
      </c>
      <c r="I448" t="s">
        <v>4881</v>
      </c>
      <c r="J448" s="2">
        <f t="shared" si="37"/>
        <v>1700000</v>
      </c>
      <c r="K448" t="s">
        <v>23</v>
      </c>
      <c r="L448">
        <f t="shared" si="38"/>
        <v>0</v>
      </c>
      <c r="N448" t="s">
        <v>18</v>
      </c>
      <c r="R448" s="3">
        <f t="shared" si="34"/>
        <v>0</v>
      </c>
    </row>
    <row r="449" spans="1:18" hidden="1" x14ac:dyDescent="0.25">
      <c r="A449" t="s">
        <v>4911</v>
      </c>
      <c r="B449" t="s">
        <v>4806</v>
      </c>
      <c r="C449" t="s">
        <v>4809</v>
      </c>
      <c r="D449" s="3">
        <f t="shared" si="35"/>
        <v>12</v>
      </c>
      <c r="E449" t="s">
        <v>33</v>
      </c>
      <c r="F449" t="s">
        <v>13</v>
      </c>
      <c r="G449" t="str">
        <f t="shared" si="36"/>
        <v/>
      </c>
      <c r="H449" t="s">
        <v>14</v>
      </c>
      <c r="I449" t="s">
        <v>4912</v>
      </c>
      <c r="J449" s="2">
        <f t="shared" si="37"/>
        <v>1700000</v>
      </c>
      <c r="K449" t="s">
        <v>23</v>
      </c>
      <c r="L449">
        <f t="shared" si="38"/>
        <v>0</v>
      </c>
      <c r="N449" t="s">
        <v>37</v>
      </c>
      <c r="R449" s="3">
        <f t="shared" si="34"/>
        <v>0</v>
      </c>
    </row>
    <row r="450" spans="1:18" hidden="1" x14ac:dyDescent="0.25">
      <c r="A450" t="s">
        <v>4810</v>
      </c>
      <c r="B450" t="s">
        <v>4806</v>
      </c>
      <c r="C450" t="s">
        <v>4809</v>
      </c>
      <c r="D450" s="3">
        <f t="shared" si="35"/>
        <v>12</v>
      </c>
      <c r="E450" t="s">
        <v>33</v>
      </c>
      <c r="F450" t="s">
        <v>13</v>
      </c>
      <c r="G450" t="str">
        <f t="shared" si="36"/>
        <v/>
      </c>
      <c r="H450" t="s">
        <v>14</v>
      </c>
      <c r="I450" t="s">
        <v>4811</v>
      </c>
      <c r="J450" s="2">
        <f t="shared" si="37"/>
        <v>1700000</v>
      </c>
      <c r="K450" t="s">
        <v>23</v>
      </c>
      <c r="L450">
        <f t="shared" si="38"/>
        <v>0</v>
      </c>
      <c r="N450" t="s">
        <v>18</v>
      </c>
      <c r="R450" s="3">
        <f t="shared" ref="R450:R513" si="39">24*L450</f>
        <v>0</v>
      </c>
    </row>
    <row r="451" spans="1:18" hidden="1" x14ac:dyDescent="0.25">
      <c r="A451" t="s">
        <v>4918</v>
      </c>
      <c r="B451" t="s">
        <v>4806</v>
      </c>
      <c r="C451" t="s">
        <v>4805</v>
      </c>
      <c r="D451" s="3">
        <f t="shared" si="35"/>
        <v>18</v>
      </c>
      <c r="E451" t="s">
        <v>126</v>
      </c>
      <c r="F451" t="s">
        <v>13</v>
      </c>
      <c r="G451" t="str">
        <f t="shared" si="36"/>
        <v/>
      </c>
      <c r="H451" t="s">
        <v>14</v>
      </c>
      <c r="I451" t="s">
        <v>4919</v>
      </c>
      <c r="J451" s="2">
        <f t="shared" si="37"/>
        <v>1700000</v>
      </c>
      <c r="K451" t="s">
        <v>23</v>
      </c>
      <c r="L451">
        <f t="shared" si="38"/>
        <v>0</v>
      </c>
      <c r="N451" t="s">
        <v>18</v>
      </c>
      <c r="R451" s="3">
        <f t="shared" si="39"/>
        <v>0</v>
      </c>
    </row>
    <row r="452" spans="1:18" hidden="1" x14ac:dyDescent="0.25">
      <c r="A452" t="s">
        <v>5626</v>
      </c>
      <c r="B452" t="s">
        <v>5848</v>
      </c>
      <c r="C452" t="s">
        <v>5402</v>
      </c>
      <c r="D452" s="3">
        <f t="shared" si="35"/>
        <v>9</v>
      </c>
      <c r="E452" t="s">
        <v>12</v>
      </c>
      <c r="F452" t="s">
        <v>34</v>
      </c>
      <c r="G452" t="str">
        <f t="shared" si="36"/>
        <v/>
      </c>
      <c r="H452" t="s">
        <v>14</v>
      </c>
      <c r="I452" t="s">
        <v>5627</v>
      </c>
      <c r="J452" s="2">
        <f t="shared" si="37"/>
        <v>1399000</v>
      </c>
      <c r="K452" t="s">
        <v>5628</v>
      </c>
      <c r="L452">
        <f t="shared" si="38"/>
        <v>0.20833333333333334</v>
      </c>
      <c r="M452" s="5">
        <v>0.20833333333333334</v>
      </c>
      <c r="N452" t="s">
        <v>43</v>
      </c>
      <c r="R452" s="3">
        <f t="shared" si="39"/>
        <v>5</v>
      </c>
    </row>
    <row r="453" spans="1:18" x14ac:dyDescent="0.25">
      <c r="A453" t="s">
        <v>2770</v>
      </c>
      <c r="B453" t="s">
        <v>3206</v>
      </c>
      <c r="C453" t="s">
        <v>2772</v>
      </c>
      <c r="D453" s="3">
        <f t="shared" si="35"/>
        <v>9</v>
      </c>
      <c r="E453" t="s">
        <v>12</v>
      </c>
      <c r="F453" t="s">
        <v>13</v>
      </c>
      <c r="G453" t="str">
        <f t="shared" si="36"/>
        <v/>
      </c>
      <c r="H453" t="s">
        <v>14</v>
      </c>
      <c r="I453" t="s">
        <v>2771</v>
      </c>
      <c r="J453" s="2">
        <f t="shared" si="37"/>
        <v>900000</v>
      </c>
      <c r="K453" t="s">
        <v>101</v>
      </c>
      <c r="L453">
        <f t="shared" si="38"/>
        <v>0.16666666666666666</v>
      </c>
      <c r="M453" s="5">
        <v>0.16666666666666666</v>
      </c>
      <c r="N453" t="s">
        <v>43</v>
      </c>
      <c r="R453" s="3">
        <f t="shared" si="39"/>
        <v>4</v>
      </c>
    </row>
    <row r="454" spans="1:18" hidden="1" x14ac:dyDescent="0.25">
      <c r="A454" t="s">
        <v>3689</v>
      </c>
      <c r="B454" t="s">
        <v>3233</v>
      </c>
      <c r="C454" t="s">
        <v>3248</v>
      </c>
      <c r="D454" s="3">
        <f t="shared" si="35"/>
        <v>6</v>
      </c>
      <c r="E454" t="s">
        <v>64</v>
      </c>
      <c r="F454" t="s">
        <v>34</v>
      </c>
      <c r="G454" t="str">
        <f t="shared" si="36"/>
        <v/>
      </c>
      <c r="H454" t="s">
        <v>14</v>
      </c>
      <c r="I454" t="s">
        <v>3690</v>
      </c>
      <c r="J454" s="2">
        <f t="shared" si="37"/>
        <v>1800000</v>
      </c>
      <c r="K454" t="s">
        <v>228</v>
      </c>
      <c r="L454">
        <f t="shared" si="38"/>
        <v>0</v>
      </c>
      <c r="N454" t="s">
        <v>43</v>
      </c>
      <c r="R454" s="3">
        <f t="shared" si="39"/>
        <v>0</v>
      </c>
    </row>
    <row r="455" spans="1:18" hidden="1" x14ac:dyDescent="0.25">
      <c r="A455" t="s">
        <v>470</v>
      </c>
      <c r="B455" t="s">
        <v>20</v>
      </c>
      <c r="C455" t="s">
        <v>152</v>
      </c>
      <c r="D455" s="3">
        <f t="shared" si="35"/>
        <v>27</v>
      </c>
      <c r="E455" t="s">
        <v>471</v>
      </c>
      <c r="F455" t="s">
        <v>34</v>
      </c>
      <c r="G455" t="str">
        <f t="shared" si="36"/>
        <v/>
      </c>
      <c r="H455" t="s">
        <v>14</v>
      </c>
      <c r="I455" t="s">
        <v>472</v>
      </c>
      <c r="J455" s="2">
        <f t="shared" si="37"/>
        <v>800000</v>
      </c>
      <c r="K455" t="s">
        <v>109</v>
      </c>
      <c r="L455">
        <f t="shared" si="38"/>
        <v>0</v>
      </c>
      <c r="N455" t="s">
        <v>18</v>
      </c>
      <c r="R455" s="3">
        <f t="shared" si="39"/>
        <v>0</v>
      </c>
    </row>
    <row r="456" spans="1:18" hidden="1" x14ac:dyDescent="0.25">
      <c r="A456" t="s">
        <v>2536</v>
      </c>
      <c r="B456" t="s">
        <v>2596</v>
      </c>
      <c r="C456" t="s">
        <v>2013</v>
      </c>
      <c r="D456" s="3">
        <f t="shared" si="35"/>
        <v>5.52</v>
      </c>
      <c r="E456" t="s">
        <v>2537</v>
      </c>
      <c r="F456" t="s">
        <v>34</v>
      </c>
      <c r="G456" t="str">
        <f t="shared" si="36"/>
        <v/>
      </c>
      <c r="H456" t="s">
        <v>14</v>
      </c>
      <c r="I456" t="s">
        <v>2538</v>
      </c>
      <c r="J456" s="2">
        <f t="shared" si="37"/>
        <v>1500000</v>
      </c>
      <c r="K456" t="s">
        <v>66</v>
      </c>
      <c r="L456">
        <f t="shared" si="38"/>
        <v>0.17222222222222225</v>
      </c>
      <c r="M456" s="5">
        <v>0.17222222222222225</v>
      </c>
      <c r="N456" t="s">
        <v>43</v>
      </c>
      <c r="P456" t="s">
        <v>745</v>
      </c>
      <c r="R456" s="3">
        <f t="shared" si="39"/>
        <v>4.1333333333333337</v>
      </c>
    </row>
    <row r="457" spans="1:18" hidden="1" x14ac:dyDescent="0.25">
      <c r="A457" t="s">
        <v>2564</v>
      </c>
      <c r="B457" t="s">
        <v>2596</v>
      </c>
      <c r="C457" t="s">
        <v>2013</v>
      </c>
      <c r="D457" s="3">
        <f t="shared" si="35"/>
        <v>5.52</v>
      </c>
      <c r="E457" t="s">
        <v>2565</v>
      </c>
      <c r="F457" t="s">
        <v>34</v>
      </c>
      <c r="G457" t="str">
        <f t="shared" si="36"/>
        <v/>
      </c>
      <c r="H457" t="s">
        <v>14</v>
      </c>
      <c r="I457" t="s">
        <v>2566</v>
      </c>
      <c r="J457" s="2">
        <f t="shared" si="37"/>
        <v>1500000</v>
      </c>
      <c r="K457" t="s">
        <v>66</v>
      </c>
      <c r="L457">
        <f t="shared" si="38"/>
        <v>0.17222222222222225</v>
      </c>
      <c r="M457" s="5">
        <v>0.17222222222222225</v>
      </c>
      <c r="N457" t="s">
        <v>43</v>
      </c>
      <c r="P457" t="s">
        <v>745</v>
      </c>
      <c r="R457" s="3">
        <f t="shared" si="39"/>
        <v>4.1333333333333337</v>
      </c>
    </row>
    <row r="458" spans="1:18" hidden="1" x14ac:dyDescent="0.25">
      <c r="A458" t="s">
        <v>2559</v>
      </c>
      <c r="B458" t="s">
        <v>2596</v>
      </c>
      <c r="C458" t="s">
        <v>2013</v>
      </c>
      <c r="D458" s="3">
        <f t="shared" si="35"/>
        <v>9</v>
      </c>
      <c r="E458" t="s">
        <v>12</v>
      </c>
      <c r="F458" t="s">
        <v>34</v>
      </c>
      <c r="G458" t="str">
        <f t="shared" si="36"/>
        <v/>
      </c>
      <c r="H458" t="s">
        <v>14</v>
      </c>
      <c r="I458" t="s">
        <v>2560</v>
      </c>
      <c r="J458" s="2">
        <f t="shared" si="37"/>
        <v>2200000</v>
      </c>
      <c r="K458" t="s">
        <v>849</v>
      </c>
      <c r="L458">
        <f t="shared" si="38"/>
        <v>0.20833333333333334</v>
      </c>
      <c r="M458" s="5">
        <v>0.20833333333333334</v>
      </c>
      <c r="N458" t="s">
        <v>43</v>
      </c>
      <c r="P458" t="s">
        <v>727</v>
      </c>
      <c r="R458" s="3">
        <f t="shared" si="39"/>
        <v>5</v>
      </c>
    </row>
    <row r="459" spans="1:18" hidden="1" x14ac:dyDescent="0.25">
      <c r="A459" t="s">
        <v>3771</v>
      </c>
      <c r="B459" t="s">
        <v>3746</v>
      </c>
      <c r="C459" t="s">
        <v>3773</v>
      </c>
      <c r="D459" s="3">
        <f t="shared" ref="D459:D522" si="40">VALUE(LEFT(E459,SEARCH(" x ",E459)-1))*VALUE(MID(E459,SEARCH(" x ",E459)+3,SEARCH(" meter",E459)-SEARCH(" x ",E459)-3))</f>
        <v>28</v>
      </c>
      <c r="E459" t="s">
        <v>1702</v>
      </c>
      <c r="F459" t="s">
        <v>13</v>
      </c>
      <c r="G459" t="str">
        <f t="shared" ref="G459:G522" si="41">IF(H459="N/A","",VALUE(SUBSTITUTE(SUBSTITUTE(H459,"Rp",""),".","")))</f>
        <v/>
      </c>
      <c r="H459" t="s">
        <v>14</v>
      </c>
      <c r="I459" t="s">
        <v>3772</v>
      </c>
      <c r="J459" s="2">
        <f t="shared" ref="J459:J522" si="42">VALUE(SUBSTITUTE(SUBSTITUTE(K459,"Rp",""),".",""))</f>
        <v>2900000</v>
      </c>
      <c r="K459" t="s">
        <v>1738</v>
      </c>
      <c r="L459">
        <f t="shared" ref="L459:L522" si="43">M459:M2799</f>
        <v>0</v>
      </c>
      <c r="N459" t="s">
        <v>43</v>
      </c>
      <c r="R459" s="3">
        <f t="shared" si="39"/>
        <v>0</v>
      </c>
    </row>
    <row r="460" spans="1:18" hidden="1" x14ac:dyDescent="0.25">
      <c r="A460" t="s">
        <v>945</v>
      </c>
      <c r="B460" t="s">
        <v>640</v>
      </c>
      <c r="C460" t="s">
        <v>643</v>
      </c>
      <c r="D460" s="3">
        <f t="shared" si="40"/>
        <v>12</v>
      </c>
      <c r="E460" t="s">
        <v>33</v>
      </c>
      <c r="F460" t="s">
        <v>13</v>
      </c>
      <c r="G460" t="str">
        <f t="shared" si="41"/>
        <v/>
      </c>
      <c r="H460" t="s">
        <v>14</v>
      </c>
      <c r="I460" t="s">
        <v>946</v>
      </c>
      <c r="J460" s="2">
        <f t="shared" si="42"/>
        <v>1400000</v>
      </c>
      <c r="K460" t="s">
        <v>81</v>
      </c>
      <c r="L460">
        <f t="shared" si="43"/>
        <v>0.17013888888888887</v>
      </c>
      <c r="M460" s="5">
        <v>0.17013888888888887</v>
      </c>
      <c r="N460" t="s">
        <v>37</v>
      </c>
      <c r="R460" s="3">
        <f t="shared" si="39"/>
        <v>4.083333333333333</v>
      </c>
    </row>
    <row r="461" spans="1:18" x14ac:dyDescent="0.25">
      <c r="A461" t="s">
        <v>246</v>
      </c>
      <c r="B461" t="s">
        <v>20</v>
      </c>
      <c r="C461" t="s">
        <v>30</v>
      </c>
      <c r="D461" s="3">
        <f t="shared" si="40"/>
        <v>12</v>
      </c>
      <c r="E461" t="s">
        <v>33</v>
      </c>
      <c r="F461" t="s">
        <v>34</v>
      </c>
      <c r="G461" t="str">
        <f t="shared" si="41"/>
        <v/>
      </c>
      <c r="H461" t="s">
        <v>14</v>
      </c>
      <c r="I461" t="s">
        <v>247</v>
      </c>
      <c r="J461" s="2">
        <f t="shared" si="42"/>
        <v>900000</v>
      </c>
      <c r="K461" t="s">
        <v>101</v>
      </c>
      <c r="L461">
        <f t="shared" si="43"/>
        <v>0</v>
      </c>
      <c r="N461" t="s">
        <v>43</v>
      </c>
      <c r="R461" s="3">
        <f t="shared" si="39"/>
        <v>0</v>
      </c>
    </row>
    <row r="462" spans="1:18" hidden="1" x14ac:dyDescent="0.25">
      <c r="A462" t="s">
        <v>1147</v>
      </c>
      <c r="B462" t="s">
        <v>640</v>
      </c>
      <c r="C462" t="s">
        <v>664</v>
      </c>
      <c r="D462" s="3">
        <f t="shared" si="40"/>
        <v>12</v>
      </c>
      <c r="E462" t="s">
        <v>33</v>
      </c>
      <c r="F462" t="s">
        <v>13</v>
      </c>
      <c r="G462" t="str">
        <f t="shared" si="41"/>
        <v/>
      </c>
      <c r="H462" t="s">
        <v>14</v>
      </c>
      <c r="I462" t="s">
        <v>1148</v>
      </c>
      <c r="J462" s="2">
        <f t="shared" si="42"/>
        <v>1600000</v>
      </c>
      <c r="K462" t="s">
        <v>95</v>
      </c>
      <c r="L462">
        <f t="shared" si="43"/>
        <v>0</v>
      </c>
      <c r="N462" t="s">
        <v>18</v>
      </c>
      <c r="R462" s="3">
        <f t="shared" si="39"/>
        <v>0</v>
      </c>
    </row>
    <row r="463" spans="1:18" x14ac:dyDescent="0.25">
      <c r="A463" t="s">
        <v>933</v>
      </c>
      <c r="B463" t="s">
        <v>640</v>
      </c>
      <c r="C463" t="s">
        <v>664</v>
      </c>
      <c r="D463" s="3">
        <f t="shared" si="40"/>
        <v>12</v>
      </c>
      <c r="E463" t="s">
        <v>33</v>
      </c>
      <c r="F463" t="s">
        <v>34</v>
      </c>
      <c r="G463" t="str">
        <f t="shared" si="41"/>
        <v/>
      </c>
      <c r="H463" t="s">
        <v>14</v>
      </c>
      <c r="I463" t="s">
        <v>934</v>
      </c>
      <c r="J463" s="2">
        <f t="shared" si="42"/>
        <v>900000</v>
      </c>
      <c r="K463" t="s">
        <v>101</v>
      </c>
      <c r="L463">
        <f t="shared" si="43"/>
        <v>0.17083333333333331</v>
      </c>
      <c r="M463" s="5">
        <v>0.17083333333333331</v>
      </c>
      <c r="N463" t="s">
        <v>37</v>
      </c>
      <c r="P463" t="s">
        <v>199</v>
      </c>
      <c r="R463" s="3">
        <f t="shared" si="39"/>
        <v>4.0999999999999996</v>
      </c>
    </row>
    <row r="464" spans="1:18" hidden="1" x14ac:dyDescent="0.25">
      <c r="A464" t="s">
        <v>5003</v>
      </c>
      <c r="B464" t="s">
        <v>4806</v>
      </c>
      <c r="C464" t="s">
        <v>4805</v>
      </c>
      <c r="D464" s="3">
        <f t="shared" si="40"/>
        <v>7.5</v>
      </c>
      <c r="E464" t="s">
        <v>178</v>
      </c>
      <c r="F464" t="s">
        <v>13</v>
      </c>
      <c r="G464" t="str">
        <f t="shared" si="41"/>
        <v/>
      </c>
      <c r="H464" t="s">
        <v>14</v>
      </c>
      <c r="I464" t="s">
        <v>5004</v>
      </c>
      <c r="J464" s="2">
        <f t="shared" si="42"/>
        <v>1600000</v>
      </c>
      <c r="K464" t="s">
        <v>95</v>
      </c>
      <c r="L464">
        <f t="shared" si="43"/>
        <v>0</v>
      </c>
      <c r="N464" t="s">
        <v>18</v>
      </c>
      <c r="R464" s="3">
        <f t="shared" si="39"/>
        <v>0</v>
      </c>
    </row>
    <row r="465" spans="1:18" hidden="1" x14ac:dyDescent="0.25">
      <c r="A465" t="s">
        <v>3396</v>
      </c>
      <c r="B465" t="s">
        <v>3233</v>
      </c>
      <c r="C465" t="s">
        <v>3248</v>
      </c>
      <c r="D465" s="3">
        <f t="shared" si="40"/>
        <v>7.5</v>
      </c>
      <c r="E465" t="s">
        <v>614</v>
      </c>
      <c r="F465" t="s">
        <v>13</v>
      </c>
      <c r="G465" t="str">
        <f t="shared" si="41"/>
        <v/>
      </c>
      <c r="H465" t="s">
        <v>14</v>
      </c>
      <c r="I465" t="s">
        <v>3397</v>
      </c>
      <c r="J465" s="2">
        <f t="shared" si="42"/>
        <v>2000000</v>
      </c>
      <c r="K465" t="s">
        <v>128</v>
      </c>
      <c r="L465">
        <f t="shared" si="43"/>
        <v>0.16666666666666666</v>
      </c>
      <c r="M465" s="5">
        <v>0.16666666666666666</v>
      </c>
      <c r="N465" t="s">
        <v>43</v>
      </c>
      <c r="P465" t="s">
        <v>840</v>
      </c>
      <c r="R465" s="3">
        <f t="shared" si="39"/>
        <v>4</v>
      </c>
    </row>
    <row r="466" spans="1:18" x14ac:dyDescent="0.25">
      <c r="A466" t="s">
        <v>368</v>
      </c>
      <c r="B466" t="s">
        <v>20</v>
      </c>
      <c r="C466" t="s">
        <v>54</v>
      </c>
      <c r="D466" s="3">
        <f t="shared" si="40"/>
        <v>9</v>
      </c>
      <c r="E466" t="s">
        <v>12</v>
      </c>
      <c r="F466" t="s">
        <v>13</v>
      </c>
      <c r="G466" t="str">
        <f t="shared" si="41"/>
        <v/>
      </c>
      <c r="H466" t="s">
        <v>14</v>
      </c>
      <c r="I466" t="s">
        <v>369</v>
      </c>
      <c r="J466" s="2">
        <f t="shared" si="42"/>
        <v>900000</v>
      </c>
      <c r="K466" t="s">
        <v>101</v>
      </c>
      <c r="L466">
        <f t="shared" si="43"/>
        <v>0</v>
      </c>
      <c r="N466" t="s">
        <v>18</v>
      </c>
      <c r="R466" s="3">
        <f t="shared" si="39"/>
        <v>0</v>
      </c>
    </row>
    <row r="467" spans="1:18" x14ac:dyDescent="0.25">
      <c r="A467" t="s">
        <v>982</v>
      </c>
      <c r="B467" t="s">
        <v>640</v>
      </c>
      <c r="C467" t="s">
        <v>643</v>
      </c>
      <c r="D467" s="3">
        <f t="shared" si="40"/>
        <v>8.64</v>
      </c>
      <c r="E467" t="s">
        <v>983</v>
      </c>
      <c r="F467" t="s">
        <v>34</v>
      </c>
      <c r="G467">
        <f t="shared" si="41"/>
        <v>1025000</v>
      </c>
      <c r="H467" t="s">
        <v>914</v>
      </c>
      <c r="I467" t="s">
        <v>984</v>
      </c>
      <c r="J467" s="2">
        <f t="shared" si="42"/>
        <v>925000</v>
      </c>
      <c r="K467" t="s">
        <v>649</v>
      </c>
      <c r="L467">
        <f t="shared" si="43"/>
        <v>0.17291666666666669</v>
      </c>
      <c r="M467" s="5">
        <v>0.17291666666666669</v>
      </c>
      <c r="N467" t="s">
        <v>18</v>
      </c>
      <c r="P467" t="s">
        <v>669</v>
      </c>
      <c r="R467" s="3">
        <f t="shared" si="39"/>
        <v>4.1500000000000004</v>
      </c>
    </row>
    <row r="468" spans="1:18" hidden="1" x14ac:dyDescent="0.25">
      <c r="A468" t="s">
        <v>5791</v>
      </c>
      <c r="B468" t="s">
        <v>5848</v>
      </c>
      <c r="C468" t="s">
        <v>5750</v>
      </c>
      <c r="D468" s="3">
        <f t="shared" si="40"/>
        <v>12</v>
      </c>
      <c r="E468" t="s">
        <v>33</v>
      </c>
      <c r="F468" t="s">
        <v>13</v>
      </c>
      <c r="G468" t="str">
        <f t="shared" si="41"/>
        <v/>
      </c>
      <c r="H468" t="s">
        <v>14</v>
      </c>
      <c r="I468" t="s">
        <v>5792</v>
      </c>
      <c r="J468" s="2">
        <f t="shared" si="42"/>
        <v>1750000</v>
      </c>
      <c r="K468" t="s">
        <v>306</v>
      </c>
      <c r="L468">
        <f t="shared" si="43"/>
        <v>0.17291666666666669</v>
      </c>
      <c r="M468" s="5">
        <v>0.17291666666666669</v>
      </c>
      <c r="N468" t="s">
        <v>18</v>
      </c>
      <c r="P468" t="s">
        <v>2379</v>
      </c>
      <c r="R468" s="3">
        <f t="shared" si="39"/>
        <v>4.1500000000000004</v>
      </c>
    </row>
    <row r="469" spans="1:18" x14ac:dyDescent="0.25">
      <c r="A469" t="s">
        <v>913</v>
      </c>
      <c r="B469" t="s">
        <v>640</v>
      </c>
      <c r="C469" t="s">
        <v>664</v>
      </c>
      <c r="D469" s="3">
        <f t="shared" si="40"/>
        <v>15</v>
      </c>
      <c r="E469" t="s">
        <v>504</v>
      </c>
      <c r="F469" t="s">
        <v>13</v>
      </c>
      <c r="G469">
        <f t="shared" si="41"/>
        <v>1025000</v>
      </c>
      <c r="H469" t="s">
        <v>914</v>
      </c>
      <c r="I469" t="s">
        <v>915</v>
      </c>
      <c r="J469" s="2">
        <f t="shared" si="42"/>
        <v>925000</v>
      </c>
      <c r="K469" t="s">
        <v>649</v>
      </c>
      <c r="L469">
        <f t="shared" si="43"/>
        <v>0.17222222222222225</v>
      </c>
      <c r="M469" s="5">
        <v>0.17222222222222225</v>
      </c>
      <c r="N469" t="s">
        <v>43</v>
      </c>
      <c r="P469" t="s">
        <v>669</v>
      </c>
      <c r="R469" s="3">
        <f t="shared" si="39"/>
        <v>4.1333333333333337</v>
      </c>
    </row>
    <row r="470" spans="1:18" hidden="1" x14ac:dyDescent="0.25">
      <c r="A470" t="s">
        <v>336</v>
      </c>
      <c r="B470" t="s">
        <v>20</v>
      </c>
      <c r="C470" t="s">
        <v>236</v>
      </c>
      <c r="D470" s="3">
        <f t="shared" si="40"/>
        <v>12</v>
      </c>
      <c r="E470" t="s">
        <v>33</v>
      </c>
      <c r="F470" t="s">
        <v>13</v>
      </c>
      <c r="G470" t="str">
        <f t="shared" si="41"/>
        <v/>
      </c>
      <c r="H470" t="s">
        <v>14</v>
      </c>
      <c r="I470" t="s">
        <v>337</v>
      </c>
      <c r="J470" s="2">
        <f t="shared" si="42"/>
        <v>1230000</v>
      </c>
      <c r="K470" t="s">
        <v>338</v>
      </c>
      <c r="L470">
        <f t="shared" si="43"/>
        <v>0.17083333333333331</v>
      </c>
      <c r="M470" s="5">
        <v>0.17083333333333331</v>
      </c>
      <c r="N470" t="s">
        <v>43</v>
      </c>
      <c r="R470" s="3">
        <f t="shared" si="39"/>
        <v>4.0999999999999996</v>
      </c>
    </row>
    <row r="471" spans="1:18" x14ac:dyDescent="0.25">
      <c r="A471" t="s">
        <v>5398</v>
      </c>
      <c r="B471" t="s">
        <v>5848</v>
      </c>
      <c r="C471" t="s">
        <v>5369</v>
      </c>
      <c r="D471" s="3">
        <f t="shared" si="40"/>
        <v>5.6700000000000008</v>
      </c>
      <c r="E471" t="s">
        <v>5399</v>
      </c>
      <c r="F471" t="s">
        <v>34</v>
      </c>
      <c r="G471">
        <f t="shared" si="41"/>
        <v>975000</v>
      </c>
      <c r="H471" t="s">
        <v>544</v>
      </c>
      <c r="I471" t="s">
        <v>5400</v>
      </c>
      <c r="J471" s="2">
        <f t="shared" si="42"/>
        <v>927500</v>
      </c>
      <c r="K471" t="s">
        <v>1506</v>
      </c>
      <c r="L471">
        <f t="shared" si="43"/>
        <v>0.17222222222222225</v>
      </c>
      <c r="M471" s="5">
        <v>0.17222222222222225</v>
      </c>
      <c r="N471" t="s">
        <v>37</v>
      </c>
      <c r="P471" t="s">
        <v>1507</v>
      </c>
      <c r="R471" s="3">
        <f t="shared" si="39"/>
        <v>4.1333333333333337</v>
      </c>
    </row>
    <row r="472" spans="1:18" x14ac:dyDescent="0.25">
      <c r="A472" t="s">
        <v>4736</v>
      </c>
      <c r="B472" t="s">
        <v>4272</v>
      </c>
      <c r="C472" t="s">
        <v>4285</v>
      </c>
      <c r="D472" s="3">
        <f t="shared" si="40"/>
        <v>9</v>
      </c>
      <c r="E472" t="s">
        <v>3322</v>
      </c>
      <c r="F472" t="s">
        <v>13</v>
      </c>
      <c r="G472">
        <f t="shared" si="41"/>
        <v>975000</v>
      </c>
      <c r="H472" t="s">
        <v>544</v>
      </c>
      <c r="I472" t="s">
        <v>4737</v>
      </c>
      <c r="J472" s="2">
        <f t="shared" si="42"/>
        <v>927500</v>
      </c>
      <c r="K472" t="s">
        <v>1506</v>
      </c>
      <c r="L472">
        <f t="shared" si="43"/>
        <v>0.16944444444444443</v>
      </c>
      <c r="M472" s="5">
        <v>0.16944444444444443</v>
      </c>
      <c r="N472" t="s">
        <v>43</v>
      </c>
      <c r="P472" t="s">
        <v>1507</v>
      </c>
      <c r="R472" s="3">
        <f t="shared" si="39"/>
        <v>4.0666666666666664</v>
      </c>
    </row>
    <row r="473" spans="1:18" hidden="1" x14ac:dyDescent="0.25">
      <c r="A473" t="s">
        <v>3839</v>
      </c>
      <c r="B473" t="s">
        <v>3746</v>
      </c>
      <c r="C473" t="s">
        <v>3775</v>
      </c>
      <c r="D473" s="3">
        <f t="shared" si="40"/>
        <v>15</v>
      </c>
      <c r="E473" t="s">
        <v>71</v>
      </c>
      <c r="F473" t="s">
        <v>13</v>
      </c>
      <c r="G473" t="str">
        <f t="shared" si="41"/>
        <v/>
      </c>
      <c r="H473" t="s">
        <v>14</v>
      </c>
      <c r="I473" t="s">
        <v>3840</v>
      </c>
      <c r="J473" s="2">
        <f t="shared" si="42"/>
        <v>2400000</v>
      </c>
      <c r="K473" t="s">
        <v>133</v>
      </c>
      <c r="L473">
        <f t="shared" si="43"/>
        <v>0.17083333333333331</v>
      </c>
      <c r="M473" s="5">
        <v>0.17083333333333331</v>
      </c>
      <c r="N473" t="s">
        <v>43</v>
      </c>
      <c r="R473" s="3">
        <f t="shared" si="39"/>
        <v>4.0999999999999996</v>
      </c>
    </row>
    <row r="474" spans="1:18" x14ac:dyDescent="0.25">
      <c r="A474" t="s">
        <v>353</v>
      </c>
      <c r="B474" t="s">
        <v>20</v>
      </c>
      <c r="C474" t="s">
        <v>30</v>
      </c>
      <c r="D474" s="3">
        <f t="shared" si="40"/>
        <v>12</v>
      </c>
      <c r="E474" t="s">
        <v>33</v>
      </c>
      <c r="F474" t="s">
        <v>34</v>
      </c>
      <c r="G474" t="str">
        <f t="shared" si="41"/>
        <v/>
      </c>
      <c r="H474" t="s">
        <v>14</v>
      </c>
      <c r="I474" t="s">
        <v>354</v>
      </c>
      <c r="J474" s="2">
        <f t="shared" si="42"/>
        <v>950000</v>
      </c>
      <c r="K474" t="s">
        <v>355</v>
      </c>
      <c r="L474">
        <f t="shared" si="43"/>
        <v>0</v>
      </c>
      <c r="N474" t="s">
        <v>43</v>
      </c>
      <c r="R474" s="3">
        <f t="shared" si="39"/>
        <v>0</v>
      </c>
    </row>
    <row r="475" spans="1:18" hidden="1" x14ac:dyDescent="0.25">
      <c r="A475" t="s">
        <v>1211</v>
      </c>
      <c r="B475" t="s">
        <v>640</v>
      </c>
      <c r="C475" t="s">
        <v>918</v>
      </c>
      <c r="D475" s="3">
        <f t="shared" si="40"/>
        <v>7.5</v>
      </c>
      <c r="E475" t="s">
        <v>178</v>
      </c>
      <c r="F475" t="s">
        <v>34</v>
      </c>
      <c r="G475" t="str">
        <f t="shared" si="41"/>
        <v/>
      </c>
      <c r="H475" t="s">
        <v>14</v>
      </c>
      <c r="I475" t="s">
        <v>1212</v>
      </c>
      <c r="J475" s="2">
        <f t="shared" si="42"/>
        <v>1300000</v>
      </c>
      <c r="K475" t="s">
        <v>17</v>
      </c>
      <c r="L475">
        <f t="shared" si="43"/>
        <v>0.1673611111111111</v>
      </c>
      <c r="M475" s="5">
        <v>0.1673611111111111</v>
      </c>
      <c r="N475" t="s">
        <v>18</v>
      </c>
      <c r="R475" s="3">
        <f t="shared" si="39"/>
        <v>4.0166666666666666</v>
      </c>
    </row>
    <row r="476" spans="1:18" hidden="1" x14ac:dyDescent="0.25">
      <c r="A476" t="s">
        <v>4931</v>
      </c>
      <c r="B476" t="s">
        <v>4806</v>
      </c>
      <c r="C476" t="s">
        <v>4805</v>
      </c>
      <c r="D476" s="3">
        <f t="shared" si="40"/>
        <v>12</v>
      </c>
      <c r="E476" t="s">
        <v>33</v>
      </c>
      <c r="F476" t="s">
        <v>13</v>
      </c>
      <c r="G476" t="str">
        <f t="shared" si="41"/>
        <v/>
      </c>
      <c r="H476" t="s">
        <v>14</v>
      </c>
      <c r="I476" t="s">
        <v>4932</v>
      </c>
      <c r="J476" s="2">
        <f t="shared" si="42"/>
        <v>1700000</v>
      </c>
      <c r="K476" t="s">
        <v>23</v>
      </c>
      <c r="L476">
        <f t="shared" si="43"/>
        <v>0</v>
      </c>
      <c r="N476" t="s">
        <v>43</v>
      </c>
      <c r="R476" s="3">
        <f t="shared" si="39"/>
        <v>0</v>
      </c>
    </row>
    <row r="477" spans="1:18" hidden="1" x14ac:dyDescent="0.25">
      <c r="A477" t="s">
        <v>4926</v>
      </c>
      <c r="B477" t="s">
        <v>4806</v>
      </c>
      <c r="C477" t="s">
        <v>4805</v>
      </c>
      <c r="D477" s="3">
        <f t="shared" si="40"/>
        <v>9</v>
      </c>
      <c r="E477" t="s">
        <v>12</v>
      </c>
      <c r="F477" t="s">
        <v>13</v>
      </c>
      <c r="G477" t="str">
        <f t="shared" si="41"/>
        <v/>
      </c>
      <c r="H477" t="s">
        <v>14</v>
      </c>
      <c r="I477" t="s">
        <v>4927</v>
      </c>
      <c r="J477" s="2">
        <f t="shared" si="42"/>
        <v>1550000</v>
      </c>
      <c r="K477" t="s">
        <v>137</v>
      </c>
      <c r="L477">
        <f t="shared" si="43"/>
        <v>0</v>
      </c>
      <c r="N477" t="s">
        <v>43</v>
      </c>
      <c r="R477" s="3">
        <f t="shared" si="39"/>
        <v>0</v>
      </c>
    </row>
    <row r="478" spans="1:18" hidden="1" x14ac:dyDescent="0.25">
      <c r="A478" t="s">
        <v>4872</v>
      </c>
      <c r="B478" t="s">
        <v>4806</v>
      </c>
      <c r="C478" t="s">
        <v>4805</v>
      </c>
      <c r="D478" s="3">
        <f t="shared" si="40"/>
        <v>12</v>
      </c>
      <c r="E478" t="s">
        <v>33</v>
      </c>
      <c r="F478" t="s">
        <v>13</v>
      </c>
      <c r="G478" t="str">
        <f t="shared" si="41"/>
        <v/>
      </c>
      <c r="H478" t="s">
        <v>14</v>
      </c>
      <c r="I478" t="s">
        <v>4873</v>
      </c>
      <c r="J478" s="2">
        <f t="shared" si="42"/>
        <v>1600000</v>
      </c>
      <c r="K478" t="s">
        <v>95</v>
      </c>
      <c r="L478">
        <f t="shared" si="43"/>
        <v>0</v>
      </c>
      <c r="N478" t="s">
        <v>43</v>
      </c>
      <c r="R478" s="3">
        <f t="shared" si="39"/>
        <v>0</v>
      </c>
    </row>
    <row r="479" spans="1:18" hidden="1" x14ac:dyDescent="0.25">
      <c r="A479" t="s">
        <v>5114</v>
      </c>
      <c r="B479" t="s">
        <v>4806</v>
      </c>
      <c r="C479" t="s">
        <v>4939</v>
      </c>
      <c r="D479" s="3">
        <f t="shared" si="40"/>
        <v>12</v>
      </c>
      <c r="E479" t="s">
        <v>33</v>
      </c>
      <c r="F479" t="s">
        <v>34</v>
      </c>
      <c r="G479" t="str">
        <f t="shared" si="41"/>
        <v/>
      </c>
      <c r="H479" t="s">
        <v>14</v>
      </c>
      <c r="I479" t="s">
        <v>5115</v>
      </c>
      <c r="J479" s="2">
        <f t="shared" si="42"/>
        <v>920000</v>
      </c>
      <c r="K479" t="s">
        <v>1092</v>
      </c>
      <c r="L479">
        <f t="shared" si="43"/>
        <v>0.20833333333333334</v>
      </c>
      <c r="M479" s="5">
        <v>0.20833333333333334</v>
      </c>
      <c r="N479" t="s">
        <v>18</v>
      </c>
      <c r="R479" s="3">
        <f t="shared" si="39"/>
        <v>5</v>
      </c>
    </row>
    <row r="480" spans="1:18" hidden="1" x14ac:dyDescent="0.25">
      <c r="A480" t="s">
        <v>5284</v>
      </c>
      <c r="B480" t="s">
        <v>4806</v>
      </c>
      <c r="C480" t="s">
        <v>4805</v>
      </c>
      <c r="D480" s="3">
        <f t="shared" si="40"/>
        <v>9</v>
      </c>
      <c r="E480" t="s">
        <v>12</v>
      </c>
      <c r="F480" t="s">
        <v>34</v>
      </c>
      <c r="G480" t="str">
        <f t="shared" si="41"/>
        <v/>
      </c>
      <c r="H480" t="s">
        <v>14</v>
      </c>
      <c r="I480" t="s">
        <v>5285</v>
      </c>
      <c r="J480" s="2">
        <f t="shared" si="42"/>
        <v>1120000</v>
      </c>
      <c r="K480" t="s">
        <v>5286</v>
      </c>
      <c r="L480">
        <f t="shared" si="43"/>
        <v>0</v>
      </c>
      <c r="N480" t="s">
        <v>18</v>
      </c>
      <c r="R480" s="3">
        <f t="shared" si="39"/>
        <v>0</v>
      </c>
    </row>
    <row r="481" spans="1:18" hidden="1" x14ac:dyDescent="0.25">
      <c r="A481" t="s">
        <v>5284</v>
      </c>
      <c r="B481" t="s">
        <v>4806</v>
      </c>
      <c r="C481" t="s">
        <v>4805</v>
      </c>
      <c r="D481" s="3">
        <f t="shared" si="40"/>
        <v>9</v>
      </c>
      <c r="E481" t="s">
        <v>12</v>
      </c>
      <c r="F481" t="s">
        <v>34</v>
      </c>
      <c r="G481" t="str">
        <f t="shared" si="41"/>
        <v/>
      </c>
      <c r="H481" t="s">
        <v>14</v>
      </c>
      <c r="I481" t="s">
        <v>5307</v>
      </c>
      <c r="J481" s="2">
        <f t="shared" si="42"/>
        <v>1120000</v>
      </c>
      <c r="K481" t="s">
        <v>5286</v>
      </c>
      <c r="L481">
        <f t="shared" si="43"/>
        <v>0</v>
      </c>
      <c r="N481" t="s">
        <v>18</v>
      </c>
      <c r="R481" s="3">
        <f t="shared" si="39"/>
        <v>0</v>
      </c>
    </row>
    <row r="482" spans="1:18" hidden="1" x14ac:dyDescent="0.25">
      <c r="A482" t="s">
        <v>5284</v>
      </c>
      <c r="B482" t="s">
        <v>4806</v>
      </c>
      <c r="C482" t="s">
        <v>4805</v>
      </c>
      <c r="D482" s="3">
        <f t="shared" si="40"/>
        <v>9</v>
      </c>
      <c r="E482" t="s">
        <v>12</v>
      </c>
      <c r="F482" t="s">
        <v>34</v>
      </c>
      <c r="G482" t="str">
        <f t="shared" si="41"/>
        <v/>
      </c>
      <c r="H482" t="s">
        <v>14</v>
      </c>
      <c r="I482" t="s">
        <v>5318</v>
      </c>
      <c r="J482" s="2">
        <f t="shared" si="42"/>
        <v>1120000</v>
      </c>
      <c r="K482" t="s">
        <v>5286</v>
      </c>
      <c r="L482">
        <f t="shared" si="43"/>
        <v>0</v>
      </c>
      <c r="N482" t="s">
        <v>18</v>
      </c>
      <c r="R482" s="3">
        <f t="shared" si="39"/>
        <v>0</v>
      </c>
    </row>
    <row r="483" spans="1:18" x14ac:dyDescent="0.25">
      <c r="A483" t="s">
        <v>4560</v>
      </c>
      <c r="B483" t="s">
        <v>4272</v>
      </c>
      <c r="C483" t="s">
        <v>4435</v>
      </c>
      <c r="D483" s="3">
        <f t="shared" si="40"/>
        <v>6.7600000000000007</v>
      </c>
      <c r="E483" t="s">
        <v>4561</v>
      </c>
      <c r="F483" t="s">
        <v>13</v>
      </c>
      <c r="G483" t="str">
        <f t="shared" si="41"/>
        <v/>
      </c>
      <c r="H483" t="s">
        <v>14</v>
      </c>
      <c r="I483" t="s">
        <v>4562</v>
      </c>
      <c r="J483" s="2">
        <f t="shared" si="42"/>
        <v>950000</v>
      </c>
      <c r="K483" t="s">
        <v>355</v>
      </c>
      <c r="L483">
        <f t="shared" si="43"/>
        <v>0</v>
      </c>
      <c r="N483" t="s">
        <v>18</v>
      </c>
      <c r="R483" s="3">
        <f t="shared" si="39"/>
        <v>0</v>
      </c>
    </row>
    <row r="484" spans="1:18" x14ac:dyDescent="0.25">
      <c r="A484" t="s">
        <v>5389</v>
      </c>
      <c r="B484" t="s">
        <v>5848</v>
      </c>
      <c r="C484" t="s">
        <v>5335</v>
      </c>
      <c r="D484" s="3">
        <f t="shared" si="40"/>
        <v>5.28</v>
      </c>
      <c r="E484" t="s">
        <v>3239</v>
      </c>
      <c r="F484" t="s">
        <v>13</v>
      </c>
      <c r="G484">
        <f t="shared" si="41"/>
        <v>1000000</v>
      </c>
      <c r="H484" t="s">
        <v>52</v>
      </c>
      <c r="I484" t="s">
        <v>5390</v>
      </c>
      <c r="J484" s="2">
        <f t="shared" si="42"/>
        <v>950000</v>
      </c>
      <c r="K484" t="s">
        <v>355</v>
      </c>
      <c r="L484">
        <f t="shared" si="43"/>
        <v>0.17222222222222225</v>
      </c>
      <c r="M484" s="5">
        <v>0.17222222222222225</v>
      </c>
      <c r="N484" t="s">
        <v>37</v>
      </c>
      <c r="P484" t="s">
        <v>2025</v>
      </c>
      <c r="R484" s="3">
        <f t="shared" si="39"/>
        <v>4.1333333333333337</v>
      </c>
    </row>
    <row r="485" spans="1:18" hidden="1" x14ac:dyDescent="0.25">
      <c r="A485" t="s">
        <v>410</v>
      </c>
      <c r="B485" t="s">
        <v>20</v>
      </c>
      <c r="C485" t="s">
        <v>19</v>
      </c>
      <c r="D485" s="3">
        <f t="shared" si="40"/>
        <v>9</v>
      </c>
      <c r="E485" t="s">
        <v>12</v>
      </c>
      <c r="F485" t="s">
        <v>13</v>
      </c>
      <c r="G485" t="str">
        <f t="shared" si="41"/>
        <v/>
      </c>
      <c r="H485" t="s">
        <v>14</v>
      </c>
      <c r="I485" t="s">
        <v>411</v>
      </c>
      <c r="J485" s="2">
        <f t="shared" si="42"/>
        <v>535000</v>
      </c>
      <c r="K485" t="s">
        <v>412</v>
      </c>
      <c r="L485">
        <f t="shared" si="43"/>
        <v>0</v>
      </c>
      <c r="N485" t="s">
        <v>37</v>
      </c>
      <c r="R485" s="3">
        <f t="shared" si="39"/>
        <v>0</v>
      </c>
    </row>
    <row r="486" spans="1:18" hidden="1" x14ac:dyDescent="0.25">
      <c r="A486" t="s">
        <v>312</v>
      </c>
      <c r="B486" t="s">
        <v>20</v>
      </c>
      <c r="C486" t="s">
        <v>19</v>
      </c>
      <c r="D486" s="3">
        <f t="shared" si="40"/>
        <v>4</v>
      </c>
      <c r="E486" t="s">
        <v>313</v>
      </c>
      <c r="F486" t="s">
        <v>13</v>
      </c>
      <c r="G486" t="str">
        <f t="shared" si="41"/>
        <v/>
      </c>
      <c r="H486" t="s">
        <v>14</v>
      </c>
      <c r="I486" t="s">
        <v>314</v>
      </c>
      <c r="J486" s="2">
        <f t="shared" si="42"/>
        <v>525000</v>
      </c>
      <c r="K486" t="s">
        <v>315</v>
      </c>
      <c r="L486">
        <f t="shared" si="43"/>
        <v>0.17013888888888887</v>
      </c>
      <c r="M486" s="5">
        <v>0.17013888888888887</v>
      </c>
      <c r="N486" t="s">
        <v>18</v>
      </c>
      <c r="R486" s="3">
        <f t="shared" si="39"/>
        <v>4.083333333333333</v>
      </c>
    </row>
    <row r="487" spans="1:18" hidden="1" x14ac:dyDescent="0.25">
      <c r="A487" t="s">
        <v>4080</v>
      </c>
      <c r="B487" t="s">
        <v>3746</v>
      </c>
      <c r="C487" t="s">
        <v>3894</v>
      </c>
      <c r="D487" s="3">
        <f t="shared" si="40"/>
        <v>12</v>
      </c>
      <c r="E487" t="s">
        <v>33</v>
      </c>
      <c r="F487" t="s">
        <v>13</v>
      </c>
      <c r="G487" t="str">
        <f t="shared" si="41"/>
        <v/>
      </c>
      <c r="H487" t="s">
        <v>14</v>
      </c>
      <c r="I487" t="s">
        <v>4081</v>
      </c>
      <c r="J487" s="2">
        <f t="shared" si="42"/>
        <v>1300000</v>
      </c>
      <c r="K487" t="s">
        <v>17</v>
      </c>
      <c r="L487">
        <f t="shared" si="43"/>
        <v>0.20833333333333334</v>
      </c>
      <c r="M487" s="5">
        <v>0.20833333333333334</v>
      </c>
      <c r="N487" t="s">
        <v>18</v>
      </c>
      <c r="R487" s="3">
        <f t="shared" si="39"/>
        <v>5</v>
      </c>
    </row>
    <row r="488" spans="1:18" x14ac:dyDescent="0.25">
      <c r="A488" t="s">
        <v>674</v>
      </c>
      <c r="B488" t="s">
        <v>640</v>
      </c>
      <c r="C488" t="s">
        <v>643</v>
      </c>
      <c r="D488" s="3">
        <f t="shared" si="40"/>
        <v>15</v>
      </c>
      <c r="E488" t="s">
        <v>71</v>
      </c>
      <c r="F488" t="s">
        <v>13</v>
      </c>
      <c r="G488">
        <f t="shared" si="41"/>
        <v>1055000</v>
      </c>
      <c r="H488" t="s">
        <v>675</v>
      </c>
      <c r="I488" t="s">
        <v>676</v>
      </c>
      <c r="J488" s="2">
        <f t="shared" si="42"/>
        <v>952000</v>
      </c>
      <c r="K488" t="s">
        <v>677</v>
      </c>
      <c r="L488">
        <f t="shared" si="43"/>
        <v>0.17291666666666669</v>
      </c>
      <c r="M488" s="5">
        <v>0.17291666666666669</v>
      </c>
      <c r="N488" t="s">
        <v>43</v>
      </c>
      <c r="P488" t="s">
        <v>678</v>
      </c>
      <c r="R488" s="3">
        <f t="shared" si="39"/>
        <v>4.1500000000000004</v>
      </c>
    </row>
    <row r="489" spans="1:18" hidden="1" x14ac:dyDescent="0.25">
      <c r="A489" t="s">
        <v>3588</v>
      </c>
      <c r="B489" t="s">
        <v>3233</v>
      </c>
      <c r="C489" t="s">
        <v>3232</v>
      </c>
      <c r="D489" s="3">
        <f t="shared" si="40"/>
        <v>9</v>
      </c>
      <c r="E489" t="s">
        <v>12</v>
      </c>
      <c r="F489" t="s">
        <v>13</v>
      </c>
      <c r="G489" t="str">
        <f t="shared" si="41"/>
        <v/>
      </c>
      <c r="H489" t="s">
        <v>14</v>
      </c>
      <c r="I489" t="s">
        <v>3589</v>
      </c>
      <c r="J489" s="2">
        <f t="shared" si="42"/>
        <v>1300000</v>
      </c>
      <c r="K489" t="s">
        <v>17</v>
      </c>
      <c r="L489">
        <f t="shared" si="43"/>
        <v>0.16944444444444443</v>
      </c>
      <c r="M489" s="5">
        <v>0.16944444444444443</v>
      </c>
      <c r="N489" t="s">
        <v>18</v>
      </c>
      <c r="R489" s="3">
        <f t="shared" si="39"/>
        <v>4.0666666666666664</v>
      </c>
    </row>
    <row r="490" spans="1:18" hidden="1" x14ac:dyDescent="0.25">
      <c r="A490" t="s">
        <v>4706</v>
      </c>
      <c r="B490" t="s">
        <v>4272</v>
      </c>
      <c r="C490" t="s">
        <v>4271</v>
      </c>
      <c r="D490" s="3">
        <f t="shared" si="40"/>
        <v>9</v>
      </c>
      <c r="E490" t="s">
        <v>12</v>
      </c>
      <c r="F490" t="s">
        <v>13</v>
      </c>
      <c r="G490" t="str">
        <f t="shared" si="41"/>
        <v/>
      </c>
      <c r="H490" t="s">
        <v>14</v>
      </c>
      <c r="I490" t="s">
        <v>4707</v>
      </c>
      <c r="J490" s="2">
        <f t="shared" si="42"/>
        <v>700000</v>
      </c>
      <c r="K490" t="s">
        <v>157</v>
      </c>
      <c r="L490">
        <f t="shared" si="43"/>
        <v>0.16944444444444443</v>
      </c>
      <c r="M490" s="5">
        <v>0.16944444444444443</v>
      </c>
      <c r="N490" t="s">
        <v>37</v>
      </c>
      <c r="P490" t="s">
        <v>4300</v>
      </c>
      <c r="R490" s="3">
        <f t="shared" si="39"/>
        <v>4.0666666666666664</v>
      </c>
    </row>
    <row r="491" spans="1:18" hidden="1" x14ac:dyDescent="0.25">
      <c r="A491" t="s">
        <v>3435</v>
      </c>
      <c r="B491" t="s">
        <v>3233</v>
      </c>
      <c r="C491" t="s">
        <v>3232</v>
      </c>
      <c r="D491" s="3">
        <f t="shared" si="40"/>
        <v>9.1</v>
      </c>
      <c r="E491" t="s">
        <v>3436</v>
      </c>
      <c r="F491" t="s">
        <v>34</v>
      </c>
      <c r="G491" t="str">
        <f t="shared" si="41"/>
        <v/>
      </c>
      <c r="H491" t="s">
        <v>14</v>
      </c>
      <c r="I491" t="s">
        <v>3437</v>
      </c>
      <c r="J491" s="2">
        <f t="shared" si="42"/>
        <v>2550000</v>
      </c>
      <c r="K491" t="s">
        <v>2615</v>
      </c>
      <c r="L491">
        <f t="shared" si="43"/>
        <v>0.12569444444444444</v>
      </c>
      <c r="M491" s="5">
        <v>0.12569444444444444</v>
      </c>
      <c r="N491" t="s">
        <v>18</v>
      </c>
      <c r="R491" s="3">
        <f t="shared" si="39"/>
        <v>3.0166666666666666</v>
      </c>
    </row>
    <row r="492" spans="1:18" hidden="1" x14ac:dyDescent="0.25">
      <c r="A492" t="s">
        <v>3569</v>
      </c>
      <c r="B492" t="s">
        <v>3233</v>
      </c>
      <c r="C492" t="s">
        <v>3248</v>
      </c>
      <c r="D492" s="3">
        <f t="shared" si="40"/>
        <v>14.43</v>
      </c>
      <c r="E492" t="s">
        <v>3570</v>
      </c>
      <c r="F492" t="s">
        <v>13</v>
      </c>
      <c r="G492" t="str">
        <f t="shared" si="41"/>
        <v/>
      </c>
      <c r="H492" t="s">
        <v>14</v>
      </c>
      <c r="I492" t="s">
        <v>3571</v>
      </c>
      <c r="J492" s="2">
        <f t="shared" si="42"/>
        <v>2350000</v>
      </c>
      <c r="K492" t="s">
        <v>647</v>
      </c>
      <c r="L492">
        <f t="shared" si="43"/>
        <v>0</v>
      </c>
      <c r="N492" t="s">
        <v>18</v>
      </c>
      <c r="R492" s="3">
        <f t="shared" si="39"/>
        <v>0</v>
      </c>
    </row>
    <row r="493" spans="1:18" x14ac:dyDescent="0.25">
      <c r="A493" t="s">
        <v>1142</v>
      </c>
      <c r="B493" t="s">
        <v>640</v>
      </c>
      <c r="C493" t="s">
        <v>643</v>
      </c>
      <c r="D493" s="3">
        <f t="shared" si="40"/>
        <v>12</v>
      </c>
      <c r="E493" t="s">
        <v>347</v>
      </c>
      <c r="F493" t="s">
        <v>13</v>
      </c>
      <c r="G493">
        <f t="shared" si="41"/>
        <v>1060000</v>
      </c>
      <c r="H493" t="s">
        <v>781</v>
      </c>
      <c r="I493" t="s">
        <v>1061</v>
      </c>
      <c r="J493" s="2">
        <f t="shared" si="42"/>
        <v>954000</v>
      </c>
      <c r="K493" t="s">
        <v>1143</v>
      </c>
      <c r="L493">
        <f t="shared" si="43"/>
        <v>0.17013888888888887</v>
      </c>
      <c r="M493" s="5">
        <v>0.17013888888888887</v>
      </c>
      <c r="N493" t="s">
        <v>18</v>
      </c>
      <c r="P493" t="s">
        <v>1144</v>
      </c>
      <c r="R493" s="3">
        <f t="shared" si="39"/>
        <v>4.083333333333333</v>
      </c>
    </row>
    <row r="494" spans="1:18" hidden="1" x14ac:dyDescent="0.25">
      <c r="A494" t="s">
        <v>5647</v>
      </c>
      <c r="B494" t="s">
        <v>5848</v>
      </c>
      <c r="C494" t="s">
        <v>5335</v>
      </c>
      <c r="D494" s="3">
        <f t="shared" si="40"/>
        <v>12</v>
      </c>
      <c r="E494" t="s">
        <v>33</v>
      </c>
      <c r="F494" t="s">
        <v>13</v>
      </c>
      <c r="G494" t="str">
        <f t="shared" si="41"/>
        <v/>
      </c>
      <c r="H494" t="s">
        <v>14</v>
      </c>
      <c r="I494" t="s">
        <v>5648</v>
      </c>
      <c r="J494" s="2">
        <f t="shared" si="42"/>
        <v>1200000</v>
      </c>
      <c r="K494" t="s">
        <v>36</v>
      </c>
      <c r="L494">
        <f t="shared" si="43"/>
        <v>0</v>
      </c>
      <c r="N494" t="s">
        <v>43</v>
      </c>
      <c r="R494" s="3">
        <f t="shared" si="39"/>
        <v>0</v>
      </c>
    </row>
    <row r="495" spans="1:18" hidden="1" x14ac:dyDescent="0.25">
      <c r="A495" t="s">
        <v>3715</v>
      </c>
      <c r="B495" t="s">
        <v>3233</v>
      </c>
      <c r="C495" t="s">
        <v>3232</v>
      </c>
      <c r="D495" s="3">
        <f t="shared" si="40"/>
        <v>6.25</v>
      </c>
      <c r="E495" t="s">
        <v>74</v>
      </c>
      <c r="F495" t="s">
        <v>13</v>
      </c>
      <c r="G495" t="str">
        <f t="shared" si="41"/>
        <v/>
      </c>
      <c r="H495" t="s">
        <v>14</v>
      </c>
      <c r="I495" t="s">
        <v>3716</v>
      </c>
      <c r="J495" s="2">
        <f t="shared" si="42"/>
        <v>1050000</v>
      </c>
      <c r="K495" t="s">
        <v>477</v>
      </c>
      <c r="L495">
        <f t="shared" si="43"/>
        <v>0.16666666666666666</v>
      </c>
      <c r="M495" s="5">
        <v>0.16666666666666666</v>
      </c>
      <c r="N495" t="s">
        <v>43</v>
      </c>
      <c r="P495" t="s">
        <v>1063</v>
      </c>
      <c r="R495" s="3">
        <f t="shared" si="39"/>
        <v>4</v>
      </c>
    </row>
    <row r="496" spans="1:18" x14ac:dyDescent="0.25">
      <c r="A496" t="s">
        <v>1060</v>
      </c>
      <c r="B496" t="s">
        <v>640</v>
      </c>
      <c r="C496" t="s">
        <v>643</v>
      </c>
      <c r="D496" s="3">
        <f t="shared" si="40"/>
        <v>12</v>
      </c>
      <c r="E496" t="s">
        <v>347</v>
      </c>
      <c r="F496" t="s">
        <v>13</v>
      </c>
      <c r="G496">
        <f t="shared" si="41"/>
        <v>1050000</v>
      </c>
      <c r="H496" t="s">
        <v>477</v>
      </c>
      <c r="I496" t="s">
        <v>1061</v>
      </c>
      <c r="J496" s="2">
        <f t="shared" si="42"/>
        <v>966000</v>
      </c>
      <c r="K496" t="s">
        <v>1062</v>
      </c>
      <c r="L496">
        <f t="shared" si="43"/>
        <v>0.17291666666666669</v>
      </c>
      <c r="M496" s="5">
        <v>0.17291666666666669</v>
      </c>
      <c r="N496" t="s">
        <v>18</v>
      </c>
      <c r="P496" t="s">
        <v>1063</v>
      </c>
      <c r="R496" s="3">
        <f t="shared" si="39"/>
        <v>4.1500000000000004</v>
      </c>
    </row>
    <row r="497" spans="1:18" hidden="1" x14ac:dyDescent="0.25">
      <c r="A497" t="s">
        <v>3338</v>
      </c>
      <c r="B497" t="s">
        <v>3233</v>
      </c>
      <c r="C497" t="s">
        <v>3248</v>
      </c>
      <c r="D497" s="3">
        <f t="shared" si="40"/>
        <v>8.75</v>
      </c>
      <c r="E497" t="s">
        <v>1404</v>
      </c>
      <c r="F497" t="s">
        <v>13</v>
      </c>
      <c r="G497" t="str">
        <f t="shared" si="41"/>
        <v/>
      </c>
      <c r="H497" t="s">
        <v>14</v>
      </c>
      <c r="I497" t="s">
        <v>3339</v>
      </c>
      <c r="J497" s="2">
        <f t="shared" si="42"/>
        <v>1950000</v>
      </c>
      <c r="K497" t="s">
        <v>748</v>
      </c>
      <c r="L497">
        <f t="shared" si="43"/>
        <v>0.16666666666666666</v>
      </c>
      <c r="M497" s="5">
        <v>0.16666666666666666</v>
      </c>
      <c r="N497" t="s">
        <v>43</v>
      </c>
      <c r="P497" t="s">
        <v>840</v>
      </c>
      <c r="R497" s="3">
        <f t="shared" si="39"/>
        <v>4</v>
      </c>
    </row>
    <row r="498" spans="1:18" hidden="1" x14ac:dyDescent="0.25">
      <c r="A498" t="s">
        <v>55</v>
      </c>
      <c r="B498" t="s">
        <v>20</v>
      </c>
      <c r="C498" t="s">
        <v>58</v>
      </c>
      <c r="D498" s="3">
        <f t="shared" si="40"/>
        <v>12</v>
      </c>
      <c r="E498" t="s">
        <v>33</v>
      </c>
      <c r="F498" t="s">
        <v>13</v>
      </c>
      <c r="G498" t="str">
        <f t="shared" si="41"/>
        <v/>
      </c>
      <c r="H498" t="s">
        <v>14</v>
      </c>
      <c r="I498" t="s">
        <v>56</v>
      </c>
      <c r="J498" s="2">
        <f t="shared" si="42"/>
        <v>1435000</v>
      </c>
      <c r="K498" t="s">
        <v>57</v>
      </c>
      <c r="L498">
        <f t="shared" si="43"/>
        <v>0</v>
      </c>
      <c r="N498" t="s">
        <v>43</v>
      </c>
      <c r="R498" s="3">
        <f t="shared" si="39"/>
        <v>0</v>
      </c>
    </row>
    <row r="499" spans="1:18" hidden="1" x14ac:dyDescent="0.25">
      <c r="A499" t="s">
        <v>3678</v>
      </c>
      <c r="B499" t="s">
        <v>3233</v>
      </c>
      <c r="C499" t="s">
        <v>3329</v>
      </c>
      <c r="D499" s="3">
        <f t="shared" si="40"/>
        <v>21</v>
      </c>
      <c r="E499" t="s">
        <v>121</v>
      </c>
      <c r="F499" t="s">
        <v>13</v>
      </c>
      <c r="G499" t="str">
        <f t="shared" si="41"/>
        <v/>
      </c>
      <c r="H499" t="s">
        <v>14</v>
      </c>
      <c r="I499" t="s">
        <v>3679</v>
      </c>
      <c r="J499" s="2">
        <f t="shared" si="42"/>
        <v>1200000</v>
      </c>
      <c r="K499" t="s">
        <v>36</v>
      </c>
      <c r="L499">
        <f t="shared" si="43"/>
        <v>0</v>
      </c>
      <c r="N499" t="s">
        <v>43</v>
      </c>
      <c r="R499" s="3">
        <f t="shared" si="39"/>
        <v>0</v>
      </c>
    </row>
    <row r="500" spans="1:18" hidden="1" x14ac:dyDescent="0.25">
      <c r="A500" t="s">
        <v>547</v>
      </c>
      <c r="B500" t="s">
        <v>20</v>
      </c>
      <c r="C500" t="s">
        <v>24</v>
      </c>
      <c r="D500" s="3">
        <f t="shared" si="40"/>
        <v>36</v>
      </c>
      <c r="E500" t="s">
        <v>548</v>
      </c>
      <c r="F500" t="s">
        <v>13</v>
      </c>
      <c r="G500" t="str">
        <f t="shared" si="41"/>
        <v/>
      </c>
      <c r="H500" t="s">
        <v>14</v>
      </c>
      <c r="I500" t="s">
        <v>549</v>
      </c>
      <c r="J500" s="2">
        <f t="shared" si="42"/>
        <v>650000</v>
      </c>
      <c r="K500" t="s">
        <v>105</v>
      </c>
      <c r="L500">
        <f t="shared" si="43"/>
        <v>0.17291666666666669</v>
      </c>
      <c r="M500" s="5">
        <v>0.17291666666666669</v>
      </c>
      <c r="N500" t="s">
        <v>43</v>
      </c>
      <c r="R500" s="3">
        <f t="shared" si="39"/>
        <v>4.1500000000000004</v>
      </c>
    </row>
    <row r="501" spans="1:18" hidden="1" x14ac:dyDescent="0.25">
      <c r="A501" t="s">
        <v>4970</v>
      </c>
      <c r="B501" t="s">
        <v>4806</v>
      </c>
      <c r="C501" t="s">
        <v>4805</v>
      </c>
      <c r="D501" s="3">
        <f t="shared" si="40"/>
        <v>9</v>
      </c>
      <c r="E501" t="s">
        <v>12</v>
      </c>
      <c r="F501" t="s">
        <v>34</v>
      </c>
      <c r="G501" t="str">
        <f t="shared" si="41"/>
        <v/>
      </c>
      <c r="H501" t="s">
        <v>14</v>
      </c>
      <c r="I501" t="s">
        <v>4971</v>
      </c>
      <c r="J501" s="2">
        <f t="shared" si="42"/>
        <v>800000</v>
      </c>
      <c r="K501" t="s">
        <v>109</v>
      </c>
      <c r="L501">
        <f t="shared" si="43"/>
        <v>0</v>
      </c>
      <c r="N501" t="s">
        <v>37</v>
      </c>
      <c r="R501" s="3">
        <f t="shared" si="39"/>
        <v>0</v>
      </c>
    </row>
    <row r="502" spans="1:18" hidden="1" x14ac:dyDescent="0.25">
      <c r="A502" t="s">
        <v>501</v>
      </c>
      <c r="B502" t="s">
        <v>20</v>
      </c>
      <c r="C502" t="s">
        <v>293</v>
      </c>
      <c r="D502" s="3">
        <f t="shared" si="40"/>
        <v>18</v>
      </c>
      <c r="E502" t="s">
        <v>126</v>
      </c>
      <c r="F502" t="s">
        <v>13</v>
      </c>
      <c r="G502" t="str">
        <f t="shared" si="41"/>
        <v/>
      </c>
      <c r="H502" t="s">
        <v>14</v>
      </c>
      <c r="I502" t="s">
        <v>502</v>
      </c>
      <c r="J502" s="2">
        <f t="shared" si="42"/>
        <v>1500000</v>
      </c>
      <c r="K502" t="s">
        <v>66</v>
      </c>
      <c r="L502">
        <f t="shared" si="43"/>
        <v>0.17291666666666669</v>
      </c>
      <c r="M502" s="5">
        <v>0.17291666666666669</v>
      </c>
      <c r="N502" t="s">
        <v>43</v>
      </c>
      <c r="R502" s="3">
        <f t="shared" si="39"/>
        <v>4.1500000000000004</v>
      </c>
    </row>
    <row r="503" spans="1:18" hidden="1" x14ac:dyDescent="0.25">
      <c r="A503" t="s">
        <v>441</v>
      </c>
      <c r="B503" t="s">
        <v>20</v>
      </c>
      <c r="C503" t="s">
        <v>293</v>
      </c>
      <c r="D503" s="3">
        <f t="shared" si="40"/>
        <v>15</v>
      </c>
      <c r="E503" t="s">
        <v>71</v>
      </c>
      <c r="F503" t="s">
        <v>13</v>
      </c>
      <c r="G503" t="str">
        <f t="shared" si="41"/>
        <v/>
      </c>
      <c r="H503" t="s">
        <v>14</v>
      </c>
      <c r="I503" t="s">
        <v>442</v>
      </c>
      <c r="J503" s="2">
        <f t="shared" si="42"/>
        <v>1700000</v>
      </c>
      <c r="K503" t="s">
        <v>23</v>
      </c>
      <c r="L503">
        <f t="shared" si="43"/>
        <v>0.17291666666666669</v>
      </c>
      <c r="M503" s="5">
        <v>0.17291666666666669</v>
      </c>
      <c r="N503" t="s">
        <v>43</v>
      </c>
      <c r="R503" s="3">
        <f t="shared" si="39"/>
        <v>4.1500000000000004</v>
      </c>
    </row>
    <row r="504" spans="1:18" hidden="1" x14ac:dyDescent="0.25">
      <c r="A504" t="s">
        <v>161</v>
      </c>
      <c r="B504" t="s">
        <v>20</v>
      </c>
      <c r="C504" t="s">
        <v>102</v>
      </c>
      <c r="D504" s="3">
        <f t="shared" si="40"/>
        <v>9</v>
      </c>
      <c r="E504" t="s">
        <v>12</v>
      </c>
      <c r="F504" t="s">
        <v>34</v>
      </c>
      <c r="G504" t="str">
        <f t="shared" si="41"/>
        <v/>
      </c>
      <c r="H504" t="s">
        <v>14</v>
      </c>
      <c r="I504" t="s">
        <v>162</v>
      </c>
      <c r="J504" s="2">
        <f t="shared" si="42"/>
        <v>500000</v>
      </c>
      <c r="K504" t="s">
        <v>16</v>
      </c>
      <c r="L504">
        <f t="shared" si="43"/>
        <v>0</v>
      </c>
      <c r="N504" t="s">
        <v>37</v>
      </c>
      <c r="R504" s="3">
        <f t="shared" si="39"/>
        <v>0</v>
      </c>
    </row>
    <row r="505" spans="1:18" hidden="1" x14ac:dyDescent="0.25">
      <c r="A505" t="s">
        <v>2773</v>
      </c>
      <c r="B505" t="s">
        <v>3206</v>
      </c>
      <c r="C505" t="s">
        <v>2671</v>
      </c>
      <c r="D505" s="3">
        <f t="shared" si="40"/>
        <v>12</v>
      </c>
      <c r="E505" t="s">
        <v>33</v>
      </c>
      <c r="F505" t="s">
        <v>34</v>
      </c>
      <c r="G505" t="str">
        <f t="shared" si="41"/>
        <v/>
      </c>
      <c r="H505" t="s">
        <v>14</v>
      </c>
      <c r="I505" t="s">
        <v>2774</v>
      </c>
      <c r="J505" s="2">
        <f t="shared" si="42"/>
        <v>1200000</v>
      </c>
      <c r="K505" t="s">
        <v>36</v>
      </c>
      <c r="L505">
        <f t="shared" si="43"/>
        <v>0</v>
      </c>
      <c r="N505" t="s">
        <v>43</v>
      </c>
      <c r="R505" s="3">
        <f t="shared" si="39"/>
        <v>0</v>
      </c>
    </row>
    <row r="506" spans="1:18" x14ac:dyDescent="0.25">
      <c r="A506" t="s">
        <v>1038</v>
      </c>
      <c r="B506" t="s">
        <v>640</v>
      </c>
      <c r="C506" t="s">
        <v>643</v>
      </c>
      <c r="D506" s="3">
        <f t="shared" si="40"/>
        <v>9.990000000000002</v>
      </c>
      <c r="E506" t="s">
        <v>1012</v>
      </c>
      <c r="F506" t="s">
        <v>34</v>
      </c>
      <c r="G506">
        <f t="shared" si="41"/>
        <v>1075000</v>
      </c>
      <c r="H506" t="s">
        <v>838</v>
      </c>
      <c r="I506" t="s">
        <v>1039</v>
      </c>
      <c r="J506" s="2">
        <f t="shared" si="42"/>
        <v>970000</v>
      </c>
      <c r="K506" t="s">
        <v>252</v>
      </c>
      <c r="L506">
        <f t="shared" si="43"/>
        <v>0.17291666666666669</v>
      </c>
      <c r="M506" s="5">
        <v>0.17291666666666669</v>
      </c>
      <c r="N506" t="s">
        <v>18</v>
      </c>
      <c r="P506" t="s">
        <v>840</v>
      </c>
      <c r="R506" s="3">
        <f t="shared" si="39"/>
        <v>4.1500000000000004</v>
      </c>
    </row>
    <row r="507" spans="1:18" x14ac:dyDescent="0.25">
      <c r="A507" t="s">
        <v>836</v>
      </c>
      <c r="B507" t="s">
        <v>640</v>
      </c>
      <c r="C507" t="s">
        <v>643</v>
      </c>
      <c r="D507" s="3">
        <f t="shared" si="40"/>
        <v>9.8999999999999986</v>
      </c>
      <c r="E507" t="s">
        <v>837</v>
      </c>
      <c r="F507" t="s">
        <v>34</v>
      </c>
      <c r="G507">
        <f t="shared" si="41"/>
        <v>1075000</v>
      </c>
      <c r="H507" t="s">
        <v>838</v>
      </c>
      <c r="I507" t="s">
        <v>839</v>
      </c>
      <c r="J507" s="2">
        <f t="shared" si="42"/>
        <v>970000</v>
      </c>
      <c r="K507" t="s">
        <v>252</v>
      </c>
      <c r="L507">
        <f t="shared" si="43"/>
        <v>0.17291666666666669</v>
      </c>
      <c r="M507" s="5">
        <v>0.17291666666666669</v>
      </c>
      <c r="N507" t="s">
        <v>37</v>
      </c>
      <c r="P507" t="s">
        <v>840</v>
      </c>
      <c r="R507" s="3">
        <f t="shared" si="39"/>
        <v>4.1500000000000004</v>
      </c>
    </row>
    <row r="508" spans="1:18" x14ac:dyDescent="0.25">
      <c r="A508" t="s">
        <v>1206</v>
      </c>
      <c r="B508" t="s">
        <v>640</v>
      </c>
      <c r="C508" t="s">
        <v>953</v>
      </c>
      <c r="D508" s="3">
        <f t="shared" si="40"/>
        <v>9</v>
      </c>
      <c r="E508" t="s">
        <v>12</v>
      </c>
      <c r="F508" t="s">
        <v>13</v>
      </c>
      <c r="G508" t="str">
        <f t="shared" si="41"/>
        <v/>
      </c>
      <c r="H508" t="s">
        <v>14</v>
      </c>
      <c r="I508" t="s">
        <v>1207</v>
      </c>
      <c r="J508" s="2">
        <f t="shared" si="42"/>
        <v>1000000</v>
      </c>
      <c r="K508" t="s">
        <v>52</v>
      </c>
      <c r="L508">
        <f t="shared" si="43"/>
        <v>0</v>
      </c>
      <c r="N508" t="s">
        <v>18</v>
      </c>
      <c r="R508" s="3">
        <f t="shared" si="39"/>
        <v>0</v>
      </c>
    </row>
    <row r="509" spans="1:18" x14ac:dyDescent="0.25">
      <c r="A509" t="s">
        <v>4265</v>
      </c>
      <c r="B509" t="s">
        <v>3746</v>
      </c>
      <c r="C509" t="s">
        <v>3894</v>
      </c>
      <c r="D509" s="3">
        <f t="shared" si="40"/>
        <v>12</v>
      </c>
      <c r="E509" t="s">
        <v>33</v>
      </c>
      <c r="F509" t="s">
        <v>13</v>
      </c>
      <c r="G509" t="str">
        <f t="shared" si="41"/>
        <v/>
      </c>
      <c r="H509" t="s">
        <v>14</v>
      </c>
      <c r="I509" t="s">
        <v>4266</v>
      </c>
      <c r="J509" s="2">
        <f t="shared" si="42"/>
        <v>1000000</v>
      </c>
      <c r="K509" t="s">
        <v>52</v>
      </c>
      <c r="L509">
        <f t="shared" si="43"/>
        <v>8.9583333333333334E-2</v>
      </c>
      <c r="M509" s="5">
        <v>8.9583333333333334E-2</v>
      </c>
      <c r="N509" t="s">
        <v>43</v>
      </c>
      <c r="R509" s="3">
        <f t="shared" si="39"/>
        <v>2.15</v>
      </c>
    </row>
    <row r="510" spans="1:18" hidden="1" x14ac:dyDescent="0.25">
      <c r="A510" t="s">
        <v>3730</v>
      </c>
      <c r="B510" t="s">
        <v>3233</v>
      </c>
      <c r="C510" t="s">
        <v>3264</v>
      </c>
      <c r="D510" s="3">
        <f t="shared" si="40"/>
        <v>9</v>
      </c>
      <c r="E510" t="s">
        <v>12</v>
      </c>
      <c r="F510" t="s">
        <v>13</v>
      </c>
      <c r="G510" t="str">
        <f t="shared" si="41"/>
        <v/>
      </c>
      <c r="H510" t="s">
        <v>14</v>
      </c>
      <c r="I510" t="s">
        <v>3731</v>
      </c>
      <c r="J510" s="2">
        <f t="shared" si="42"/>
        <v>1500000</v>
      </c>
      <c r="K510" t="s">
        <v>66</v>
      </c>
      <c r="L510">
        <f t="shared" si="43"/>
        <v>0.20833333333333334</v>
      </c>
      <c r="M510" s="5">
        <v>0.20833333333333334</v>
      </c>
      <c r="N510" t="s">
        <v>43</v>
      </c>
      <c r="P510" t="s">
        <v>713</v>
      </c>
      <c r="R510" s="3">
        <f t="shared" si="39"/>
        <v>5</v>
      </c>
    </row>
    <row r="511" spans="1:18" hidden="1" x14ac:dyDescent="0.25">
      <c r="A511" t="s">
        <v>1215</v>
      </c>
      <c r="B511" t="s">
        <v>640</v>
      </c>
      <c r="C511" t="s">
        <v>749</v>
      </c>
      <c r="D511" s="3">
        <f t="shared" si="40"/>
        <v>12</v>
      </c>
      <c r="E511" t="s">
        <v>33</v>
      </c>
      <c r="F511" t="s">
        <v>13</v>
      </c>
      <c r="G511" t="str">
        <f t="shared" si="41"/>
        <v/>
      </c>
      <c r="H511" t="s">
        <v>14</v>
      </c>
      <c r="I511" t="s">
        <v>1216</v>
      </c>
      <c r="J511" s="2">
        <f t="shared" si="42"/>
        <v>1800000</v>
      </c>
      <c r="K511" t="s">
        <v>228</v>
      </c>
      <c r="L511">
        <f t="shared" si="43"/>
        <v>0</v>
      </c>
      <c r="N511" t="s">
        <v>18</v>
      </c>
      <c r="R511" s="3">
        <f t="shared" si="39"/>
        <v>0</v>
      </c>
    </row>
    <row r="512" spans="1:18" hidden="1" x14ac:dyDescent="0.25">
      <c r="A512" t="s">
        <v>3996</v>
      </c>
      <c r="B512" t="s">
        <v>3746</v>
      </c>
      <c r="C512" t="s">
        <v>3876</v>
      </c>
      <c r="D512" s="3">
        <f t="shared" si="40"/>
        <v>3.2</v>
      </c>
      <c r="E512" t="s">
        <v>3997</v>
      </c>
      <c r="F512" t="s">
        <v>34</v>
      </c>
      <c r="G512" t="str">
        <f t="shared" si="41"/>
        <v/>
      </c>
      <c r="H512" t="s">
        <v>14</v>
      </c>
      <c r="I512" t="s">
        <v>3998</v>
      </c>
      <c r="J512" s="2">
        <f t="shared" si="42"/>
        <v>1100000</v>
      </c>
      <c r="K512" t="s">
        <v>42</v>
      </c>
      <c r="L512">
        <f t="shared" si="43"/>
        <v>0</v>
      </c>
      <c r="N512" t="s">
        <v>18</v>
      </c>
      <c r="R512" s="3">
        <f t="shared" si="39"/>
        <v>0</v>
      </c>
    </row>
    <row r="513" spans="1:18" hidden="1" x14ac:dyDescent="0.25">
      <c r="A513" t="s">
        <v>4018</v>
      </c>
      <c r="B513" t="s">
        <v>3746</v>
      </c>
      <c r="C513" t="s">
        <v>3833</v>
      </c>
      <c r="D513" s="3">
        <f t="shared" si="40"/>
        <v>4</v>
      </c>
      <c r="E513" t="s">
        <v>313</v>
      </c>
      <c r="F513" t="s">
        <v>34</v>
      </c>
      <c r="G513" t="str">
        <f t="shared" si="41"/>
        <v/>
      </c>
      <c r="H513" t="s">
        <v>14</v>
      </c>
      <c r="I513" t="s">
        <v>4019</v>
      </c>
      <c r="J513" s="2">
        <f t="shared" si="42"/>
        <v>750000</v>
      </c>
      <c r="K513" t="s">
        <v>76</v>
      </c>
      <c r="L513">
        <f t="shared" si="43"/>
        <v>0.20833333333333334</v>
      </c>
      <c r="M513" s="5">
        <v>0.20833333333333334</v>
      </c>
      <c r="N513" t="s">
        <v>18</v>
      </c>
      <c r="R513" s="3">
        <f t="shared" si="39"/>
        <v>5</v>
      </c>
    </row>
    <row r="514" spans="1:18" hidden="1" x14ac:dyDescent="0.25">
      <c r="A514" t="s">
        <v>5234</v>
      </c>
      <c r="B514" t="s">
        <v>4806</v>
      </c>
      <c r="C514" t="s">
        <v>4865</v>
      </c>
      <c r="D514" s="3">
        <f t="shared" si="40"/>
        <v>9</v>
      </c>
      <c r="E514" t="s">
        <v>12</v>
      </c>
      <c r="F514" t="s">
        <v>13</v>
      </c>
      <c r="G514" t="str">
        <f t="shared" si="41"/>
        <v/>
      </c>
      <c r="H514" t="s">
        <v>14</v>
      </c>
      <c r="I514" t="s">
        <v>5235</v>
      </c>
      <c r="J514" s="2">
        <f t="shared" si="42"/>
        <v>650000</v>
      </c>
      <c r="K514" t="s">
        <v>105</v>
      </c>
      <c r="L514">
        <f t="shared" si="43"/>
        <v>0</v>
      </c>
      <c r="N514" t="s">
        <v>43</v>
      </c>
      <c r="R514" s="3">
        <f t="shared" ref="R514:R577" si="44">24*L514</f>
        <v>0</v>
      </c>
    </row>
    <row r="515" spans="1:18" hidden="1" x14ac:dyDescent="0.25">
      <c r="A515" t="s">
        <v>1662</v>
      </c>
      <c r="B515" t="s">
        <v>1303</v>
      </c>
      <c r="C515" t="s">
        <v>1664</v>
      </c>
      <c r="D515" s="3">
        <f t="shared" si="40"/>
        <v>8.3999999999999986</v>
      </c>
      <c r="E515" t="s">
        <v>729</v>
      </c>
      <c r="F515" t="s">
        <v>13</v>
      </c>
      <c r="G515" t="str">
        <f t="shared" si="41"/>
        <v/>
      </c>
      <c r="H515" t="s">
        <v>14</v>
      </c>
      <c r="I515" t="s">
        <v>1663</v>
      </c>
      <c r="J515" s="2">
        <f t="shared" si="42"/>
        <v>1400000</v>
      </c>
      <c r="K515" t="s">
        <v>81</v>
      </c>
      <c r="L515">
        <f t="shared" si="43"/>
        <v>0.17083333333333331</v>
      </c>
      <c r="M515" s="5">
        <v>0.17083333333333331</v>
      </c>
      <c r="N515" t="s">
        <v>43</v>
      </c>
      <c r="R515" s="3">
        <f t="shared" si="44"/>
        <v>4.0999999999999996</v>
      </c>
    </row>
    <row r="516" spans="1:18" hidden="1" x14ac:dyDescent="0.25">
      <c r="A516" t="s">
        <v>1961</v>
      </c>
      <c r="B516" t="s">
        <v>1303</v>
      </c>
      <c r="C516" t="s">
        <v>1863</v>
      </c>
      <c r="D516" s="3">
        <f t="shared" si="40"/>
        <v>10.5</v>
      </c>
      <c r="E516" t="s">
        <v>653</v>
      </c>
      <c r="F516" t="s">
        <v>13</v>
      </c>
      <c r="G516" t="str">
        <f t="shared" si="41"/>
        <v/>
      </c>
      <c r="H516" t="s">
        <v>14</v>
      </c>
      <c r="I516" t="s">
        <v>1962</v>
      </c>
      <c r="J516" s="2">
        <f t="shared" si="42"/>
        <v>1300000</v>
      </c>
      <c r="K516" t="s">
        <v>17</v>
      </c>
      <c r="L516">
        <f t="shared" si="43"/>
        <v>0</v>
      </c>
      <c r="N516" t="s">
        <v>18</v>
      </c>
      <c r="R516" s="3">
        <f t="shared" si="44"/>
        <v>0</v>
      </c>
    </row>
    <row r="517" spans="1:18" hidden="1" x14ac:dyDescent="0.25">
      <c r="A517" t="s">
        <v>1017</v>
      </c>
      <c r="B517" t="s">
        <v>640</v>
      </c>
      <c r="C517" t="s">
        <v>1019</v>
      </c>
      <c r="D517" s="3">
        <f t="shared" si="40"/>
        <v>12</v>
      </c>
      <c r="E517" t="s">
        <v>33</v>
      </c>
      <c r="F517" t="s">
        <v>13</v>
      </c>
      <c r="G517" t="str">
        <f t="shared" si="41"/>
        <v/>
      </c>
      <c r="H517" t="s">
        <v>14</v>
      </c>
      <c r="I517" t="s">
        <v>1018</v>
      </c>
      <c r="J517" s="2">
        <f t="shared" si="42"/>
        <v>1300000</v>
      </c>
      <c r="K517" t="s">
        <v>17</v>
      </c>
      <c r="L517">
        <f t="shared" si="43"/>
        <v>0.17013888888888887</v>
      </c>
      <c r="M517" s="5">
        <v>0.17013888888888887</v>
      </c>
      <c r="N517" t="s">
        <v>43</v>
      </c>
      <c r="P517" t="s">
        <v>979</v>
      </c>
      <c r="R517" s="3">
        <f t="shared" si="44"/>
        <v>4.083333333333333</v>
      </c>
    </row>
    <row r="518" spans="1:18" x14ac:dyDescent="0.25">
      <c r="A518" t="s">
        <v>4443</v>
      </c>
      <c r="B518" t="s">
        <v>4272</v>
      </c>
      <c r="C518" t="s">
        <v>4295</v>
      </c>
      <c r="D518" s="3">
        <f t="shared" si="40"/>
        <v>12</v>
      </c>
      <c r="E518" t="s">
        <v>33</v>
      </c>
      <c r="F518" t="s">
        <v>34</v>
      </c>
      <c r="G518" t="str">
        <f t="shared" si="41"/>
        <v/>
      </c>
      <c r="H518" t="s">
        <v>14</v>
      </c>
      <c r="I518" t="s">
        <v>4444</v>
      </c>
      <c r="J518" s="2">
        <f t="shared" si="42"/>
        <v>1000000</v>
      </c>
      <c r="K518" t="s">
        <v>52</v>
      </c>
      <c r="L518">
        <f t="shared" si="43"/>
        <v>0</v>
      </c>
      <c r="N518" t="s">
        <v>43</v>
      </c>
      <c r="R518" s="3">
        <f t="shared" si="44"/>
        <v>0</v>
      </c>
    </row>
    <row r="519" spans="1:18" hidden="1" x14ac:dyDescent="0.25">
      <c r="A519" t="s">
        <v>1310</v>
      </c>
      <c r="B519" t="s">
        <v>1303</v>
      </c>
      <c r="C519" t="s">
        <v>1312</v>
      </c>
      <c r="D519" s="3">
        <f t="shared" si="40"/>
        <v>12</v>
      </c>
      <c r="E519" t="s">
        <v>33</v>
      </c>
      <c r="F519" t="s">
        <v>13</v>
      </c>
      <c r="G519" t="str">
        <f t="shared" si="41"/>
        <v/>
      </c>
      <c r="H519" t="s">
        <v>14</v>
      </c>
      <c r="I519" t="s">
        <v>1311</v>
      </c>
      <c r="J519" s="2">
        <f t="shared" si="42"/>
        <v>2350000</v>
      </c>
      <c r="K519" t="s">
        <v>647</v>
      </c>
      <c r="L519">
        <f t="shared" si="43"/>
        <v>0.17222222222222225</v>
      </c>
      <c r="M519" s="5">
        <v>0.17222222222222225</v>
      </c>
      <c r="N519" t="s">
        <v>18</v>
      </c>
      <c r="P519" t="s">
        <v>752</v>
      </c>
      <c r="R519" s="3">
        <f t="shared" si="44"/>
        <v>4.1333333333333337</v>
      </c>
    </row>
    <row r="520" spans="1:18" x14ac:dyDescent="0.25">
      <c r="A520" t="s">
        <v>3984</v>
      </c>
      <c r="B520" t="s">
        <v>3746</v>
      </c>
      <c r="C520" t="s">
        <v>3889</v>
      </c>
      <c r="D520" s="3">
        <f t="shared" si="40"/>
        <v>9</v>
      </c>
      <c r="E520" t="s">
        <v>12</v>
      </c>
      <c r="F520" t="s">
        <v>13</v>
      </c>
      <c r="G520" t="str">
        <f t="shared" si="41"/>
        <v/>
      </c>
      <c r="H520" t="s">
        <v>14</v>
      </c>
      <c r="I520" t="s">
        <v>3985</v>
      </c>
      <c r="J520" s="2">
        <f t="shared" si="42"/>
        <v>1000000</v>
      </c>
      <c r="K520" t="s">
        <v>52</v>
      </c>
      <c r="L520">
        <f t="shared" si="43"/>
        <v>8.9583333333333334E-2</v>
      </c>
      <c r="M520" s="5">
        <v>8.9583333333333334E-2</v>
      </c>
      <c r="N520" t="s">
        <v>43</v>
      </c>
      <c r="R520" s="3">
        <f t="shared" si="44"/>
        <v>2.15</v>
      </c>
    </row>
    <row r="521" spans="1:18" hidden="1" x14ac:dyDescent="0.25">
      <c r="A521" t="s">
        <v>5035</v>
      </c>
      <c r="B521" t="s">
        <v>4806</v>
      </c>
      <c r="C521" t="s">
        <v>4939</v>
      </c>
      <c r="D521" s="3">
        <f t="shared" si="40"/>
        <v>9</v>
      </c>
      <c r="E521" t="s">
        <v>12</v>
      </c>
      <c r="F521" t="s">
        <v>13</v>
      </c>
      <c r="G521" t="str">
        <f t="shared" si="41"/>
        <v/>
      </c>
      <c r="H521" t="s">
        <v>14</v>
      </c>
      <c r="I521" t="s">
        <v>5036</v>
      </c>
      <c r="J521" s="2">
        <f t="shared" si="42"/>
        <v>1200000</v>
      </c>
      <c r="K521" t="s">
        <v>36</v>
      </c>
      <c r="L521">
        <f t="shared" si="43"/>
        <v>0</v>
      </c>
      <c r="N521" t="s">
        <v>37</v>
      </c>
      <c r="R521" s="3">
        <f t="shared" si="44"/>
        <v>0</v>
      </c>
    </row>
    <row r="522" spans="1:18" x14ac:dyDescent="0.25">
      <c r="A522" t="s">
        <v>3969</v>
      </c>
      <c r="B522" t="s">
        <v>3746</v>
      </c>
      <c r="C522" t="s">
        <v>3780</v>
      </c>
      <c r="D522" s="3">
        <f t="shared" si="40"/>
        <v>16</v>
      </c>
      <c r="E522" t="s">
        <v>79</v>
      </c>
      <c r="F522" t="s">
        <v>13</v>
      </c>
      <c r="G522" t="str">
        <f t="shared" si="41"/>
        <v/>
      </c>
      <c r="H522" t="s">
        <v>14</v>
      </c>
      <c r="I522" t="s">
        <v>3970</v>
      </c>
      <c r="J522" s="2">
        <f t="shared" si="42"/>
        <v>1000000</v>
      </c>
      <c r="K522" t="s">
        <v>52</v>
      </c>
      <c r="L522">
        <f t="shared" si="43"/>
        <v>0</v>
      </c>
      <c r="N522" t="s">
        <v>43</v>
      </c>
      <c r="R522" s="3">
        <f t="shared" si="44"/>
        <v>0</v>
      </c>
    </row>
    <row r="523" spans="1:18" hidden="1" x14ac:dyDescent="0.25">
      <c r="A523" t="s">
        <v>3973</v>
      </c>
      <c r="B523" t="s">
        <v>3746</v>
      </c>
      <c r="C523" t="s">
        <v>3937</v>
      </c>
      <c r="D523" s="3">
        <f t="shared" ref="D523:D586" si="45">VALUE(LEFT(E523,SEARCH(" x ",E523)-1))*VALUE(MID(E523,SEARCH(" x ",E523)+3,SEARCH(" meter",E523)-SEARCH(" x ",E523)-3))</f>
        <v>9</v>
      </c>
      <c r="E523" t="s">
        <v>12</v>
      </c>
      <c r="F523" t="s">
        <v>13</v>
      </c>
      <c r="G523" t="str">
        <f t="shared" ref="G523:G586" si="46">IF(H523="N/A","",VALUE(SUBSTITUTE(SUBSTITUTE(H523,"Rp",""),".","")))</f>
        <v/>
      </c>
      <c r="H523" t="s">
        <v>14</v>
      </c>
      <c r="I523" t="s">
        <v>3974</v>
      </c>
      <c r="J523" s="2">
        <f t="shared" ref="J523:J586" si="47">VALUE(SUBSTITUTE(SUBSTITUTE(K523,"Rp",""),".",""))</f>
        <v>1600000</v>
      </c>
      <c r="K523" t="s">
        <v>95</v>
      </c>
      <c r="L523">
        <f t="shared" ref="L523:L586" si="48">M523:M2863</f>
        <v>0</v>
      </c>
      <c r="N523" t="s">
        <v>18</v>
      </c>
      <c r="R523" s="3">
        <f t="shared" si="44"/>
        <v>0</v>
      </c>
    </row>
    <row r="524" spans="1:18" hidden="1" x14ac:dyDescent="0.25">
      <c r="A524" t="s">
        <v>1842</v>
      </c>
      <c r="B524" t="s">
        <v>1303</v>
      </c>
      <c r="C524" t="s">
        <v>1316</v>
      </c>
      <c r="D524" s="3">
        <f t="shared" si="45"/>
        <v>12</v>
      </c>
      <c r="E524" t="s">
        <v>33</v>
      </c>
      <c r="F524" t="s">
        <v>13</v>
      </c>
      <c r="G524" t="str">
        <f t="shared" si="46"/>
        <v/>
      </c>
      <c r="H524" t="s">
        <v>14</v>
      </c>
      <c r="I524" t="s">
        <v>1843</v>
      </c>
      <c r="J524" s="2">
        <f t="shared" si="47"/>
        <v>2750000</v>
      </c>
      <c r="K524" t="s">
        <v>1464</v>
      </c>
      <c r="L524">
        <f t="shared" si="48"/>
        <v>0.17083333333333331</v>
      </c>
      <c r="M524" s="5">
        <v>0.17083333333333331</v>
      </c>
      <c r="N524" t="s">
        <v>43</v>
      </c>
      <c r="R524" s="3">
        <f t="shared" si="44"/>
        <v>4.0999999999999996</v>
      </c>
    </row>
    <row r="525" spans="1:18" x14ac:dyDescent="0.25">
      <c r="A525" t="s">
        <v>4324</v>
      </c>
      <c r="B525" t="s">
        <v>4272</v>
      </c>
      <c r="C525" t="s">
        <v>4295</v>
      </c>
      <c r="D525" s="3">
        <f t="shared" si="45"/>
        <v>16</v>
      </c>
      <c r="E525" t="s">
        <v>79</v>
      </c>
      <c r="F525" t="s">
        <v>13</v>
      </c>
      <c r="G525" t="str">
        <f t="shared" si="46"/>
        <v/>
      </c>
      <c r="H525" t="s">
        <v>14</v>
      </c>
      <c r="I525" t="s">
        <v>4325</v>
      </c>
      <c r="J525" s="2">
        <f t="shared" si="47"/>
        <v>1000000</v>
      </c>
      <c r="K525" t="s">
        <v>52</v>
      </c>
      <c r="L525">
        <f t="shared" si="48"/>
        <v>0</v>
      </c>
      <c r="N525" t="s">
        <v>43</v>
      </c>
      <c r="R525" s="3">
        <f t="shared" si="44"/>
        <v>0</v>
      </c>
    </row>
    <row r="526" spans="1:18" x14ac:dyDescent="0.25">
      <c r="A526" t="s">
        <v>5819</v>
      </c>
      <c r="B526" t="s">
        <v>5848</v>
      </c>
      <c r="C526" t="s">
        <v>5406</v>
      </c>
      <c r="D526" s="3">
        <f t="shared" si="45"/>
        <v>12</v>
      </c>
      <c r="E526" t="s">
        <v>33</v>
      </c>
      <c r="F526" t="s">
        <v>13</v>
      </c>
      <c r="G526" t="str">
        <f t="shared" si="46"/>
        <v/>
      </c>
      <c r="H526" t="s">
        <v>14</v>
      </c>
      <c r="I526" t="s">
        <v>5820</v>
      </c>
      <c r="J526" s="2">
        <f t="shared" si="47"/>
        <v>1000000</v>
      </c>
      <c r="K526" t="s">
        <v>52</v>
      </c>
      <c r="L526">
        <f t="shared" si="48"/>
        <v>0</v>
      </c>
      <c r="N526" t="s">
        <v>43</v>
      </c>
      <c r="R526" s="3">
        <f t="shared" si="44"/>
        <v>0</v>
      </c>
    </row>
    <row r="527" spans="1:18" x14ac:dyDescent="0.25">
      <c r="A527" t="s">
        <v>5713</v>
      </c>
      <c r="B527" t="s">
        <v>5848</v>
      </c>
      <c r="C527" t="s">
        <v>5406</v>
      </c>
      <c r="D527" s="3">
        <f t="shared" si="45"/>
        <v>6</v>
      </c>
      <c r="E527" t="s">
        <v>64</v>
      </c>
      <c r="F527" t="s">
        <v>13</v>
      </c>
      <c r="G527" t="str">
        <f t="shared" si="46"/>
        <v/>
      </c>
      <c r="H527" t="s">
        <v>14</v>
      </c>
      <c r="I527" t="s">
        <v>5714</v>
      </c>
      <c r="J527" s="2">
        <f t="shared" si="47"/>
        <v>1005000</v>
      </c>
      <c r="K527" t="s">
        <v>5715</v>
      </c>
      <c r="L527">
        <f t="shared" si="48"/>
        <v>0.17222222222222225</v>
      </c>
      <c r="M527" s="5">
        <v>0.17222222222222225</v>
      </c>
      <c r="N527" t="s">
        <v>37</v>
      </c>
      <c r="R527" s="3">
        <f t="shared" si="44"/>
        <v>4.1333333333333337</v>
      </c>
    </row>
    <row r="528" spans="1:18" x14ac:dyDescent="0.25">
      <c r="A528" t="s">
        <v>5271</v>
      </c>
      <c r="B528" t="s">
        <v>4806</v>
      </c>
      <c r="C528" t="s">
        <v>4865</v>
      </c>
      <c r="D528" s="3">
        <f t="shared" si="45"/>
        <v>16.900000000000002</v>
      </c>
      <c r="E528" t="s">
        <v>5267</v>
      </c>
      <c r="F528" t="s">
        <v>13</v>
      </c>
      <c r="G528" t="str">
        <f t="shared" si="46"/>
        <v/>
      </c>
      <c r="H528" t="s">
        <v>14</v>
      </c>
      <c r="I528" t="s">
        <v>5272</v>
      </c>
      <c r="J528" s="2">
        <f t="shared" si="47"/>
        <v>1035000</v>
      </c>
      <c r="K528" t="s">
        <v>826</v>
      </c>
      <c r="L528">
        <f t="shared" si="48"/>
        <v>0</v>
      </c>
      <c r="N528" t="s">
        <v>43</v>
      </c>
      <c r="R528" s="3">
        <f t="shared" si="44"/>
        <v>0</v>
      </c>
    </row>
    <row r="529" spans="1:18" x14ac:dyDescent="0.25">
      <c r="A529" t="s">
        <v>5271</v>
      </c>
      <c r="B529" t="s">
        <v>4806</v>
      </c>
      <c r="C529" t="s">
        <v>4865</v>
      </c>
      <c r="D529" s="3">
        <f t="shared" si="45"/>
        <v>16.900000000000002</v>
      </c>
      <c r="E529" t="s">
        <v>5267</v>
      </c>
      <c r="F529" t="s">
        <v>13</v>
      </c>
      <c r="G529" t="str">
        <f t="shared" si="46"/>
        <v/>
      </c>
      <c r="H529" t="s">
        <v>14</v>
      </c>
      <c r="I529" t="s">
        <v>5316</v>
      </c>
      <c r="J529" s="2">
        <f t="shared" si="47"/>
        <v>1035000</v>
      </c>
      <c r="K529" t="s">
        <v>826</v>
      </c>
      <c r="L529">
        <f t="shared" si="48"/>
        <v>0</v>
      </c>
      <c r="N529" t="s">
        <v>43</v>
      </c>
      <c r="R529" s="3">
        <f t="shared" si="44"/>
        <v>0</v>
      </c>
    </row>
    <row r="530" spans="1:18" x14ac:dyDescent="0.25">
      <c r="A530" t="s">
        <v>5416</v>
      </c>
      <c r="B530" t="s">
        <v>5848</v>
      </c>
      <c r="C530" t="s">
        <v>5342</v>
      </c>
      <c r="D530" s="3">
        <f t="shared" si="45"/>
        <v>7.5</v>
      </c>
      <c r="E530" t="s">
        <v>178</v>
      </c>
      <c r="F530" t="s">
        <v>34</v>
      </c>
      <c r="G530">
        <f t="shared" si="46"/>
        <v>1125000</v>
      </c>
      <c r="H530" t="s">
        <v>724</v>
      </c>
      <c r="I530" t="s">
        <v>5417</v>
      </c>
      <c r="J530" s="2">
        <f t="shared" si="47"/>
        <v>1037000</v>
      </c>
      <c r="K530" t="s">
        <v>2378</v>
      </c>
      <c r="L530">
        <f t="shared" si="48"/>
        <v>0.17013888888888887</v>
      </c>
      <c r="M530" s="5">
        <v>0.17013888888888887</v>
      </c>
      <c r="N530" t="s">
        <v>43</v>
      </c>
      <c r="P530" t="s">
        <v>2379</v>
      </c>
      <c r="R530" s="3">
        <f t="shared" si="44"/>
        <v>4.083333333333333</v>
      </c>
    </row>
    <row r="531" spans="1:18" x14ac:dyDescent="0.25">
      <c r="A531" t="s">
        <v>5266</v>
      </c>
      <c r="B531" t="s">
        <v>4806</v>
      </c>
      <c r="C531" t="s">
        <v>4865</v>
      </c>
      <c r="D531" s="3">
        <f t="shared" si="45"/>
        <v>16.900000000000002</v>
      </c>
      <c r="E531" t="s">
        <v>5267</v>
      </c>
      <c r="F531" t="s">
        <v>13</v>
      </c>
      <c r="G531" t="str">
        <f t="shared" si="46"/>
        <v/>
      </c>
      <c r="H531" t="s">
        <v>14</v>
      </c>
      <c r="I531" t="s">
        <v>5268</v>
      </c>
      <c r="J531" s="2">
        <f t="shared" si="47"/>
        <v>1040000</v>
      </c>
      <c r="K531" t="s">
        <v>456</v>
      </c>
      <c r="L531">
        <f t="shared" si="48"/>
        <v>0</v>
      </c>
      <c r="N531" t="s">
        <v>43</v>
      </c>
      <c r="R531" s="3">
        <f t="shared" si="44"/>
        <v>0</v>
      </c>
    </row>
    <row r="532" spans="1:18" x14ac:dyDescent="0.25">
      <c r="A532" t="s">
        <v>3792</v>
      </c>
      <c r="B532" t="s">
        <v>3746</v>
      </c>
      <c r="C532" t="s">
        <v>3749</v>
      </c>
      <c r="D532" s="3">
        <f t="shared" si="45"/>
        <v>12</v>
      </c>
      <c r="E532" t="s">
        <v>33</v>
      </c>
      <c r="F532" t="s">
        <v>13</v>
      </c>
      <c r="G532" t="str">
        <f t="shared" si="46"/>
        <v/>
      </c>
      <c r="H532" t="s">
        <v>14</v>
      </c>
      <c r="I532" t="s">
        <v>3793</v>
      </c>
      <c r="J532" s="2">
        <f t="shared" si="47"/>
        <v>1050000</v>
      </c>
      <c r="K532" t="s">
        <v>477</v>
      </c>
      <c r="L532">
        <f t="shared" si="48"/>
        <v>0</v>
      </c>
      <c r="N532" t="s">
        <v>43</v>
      </c>
      <c r="R532" s="3">
        <f t="shared" si="44"/>
        <v>0</v>
      </c>
    </row>
    <row r="533" spans="1:18" x14ac:dyDescent="0.25">
      <c r="A533" t="s">
        <v>3687</v>
      </c>
      <c r="B533" t="s">
        <v>3233</v>
      </c>
      <c r="C533" t="s">
        <v>3237</v>
      </c>
      <c r="D533" s="3">
        <f t="shared" si="45"/>
        <v>9</v>
      </c>
      <c r="E533" t="s">
        <v>12</v>
      </c>
      <c r="F533" t="s">
        <v>34</v>
      </c>
      <c r="G533" t="str">
        <f t="shared" si="46"/>
        <v/>
      </c>
      <c r="H533" t="s">
        <v>14</v>
      </c>
      <c r="I533" t="s">
        <v>3688</v>
      </c>
      <c r="J533" s="2">
        <f t="shared" si="47"/>
        <v>1050000</v>
      </c>
      <c r="K533" t="s">
        <v>477</v>
      </c>
      <c r="L533">
        <f t="shared" si="48"/>
        <v>0.20833333333333334</v>
      </c>
      <c r="M533" s="5">
        <v>0.20833333333333334</v>
      </c>
      <c r="N533" t="s">
        <v>43</v>
      </c>
      <c r="P533" t="s">
        <v>2025</v>
      </c>
      <c r="R533" s="3">
        <f t="shared" si="44"/>
        <v>5</v>
      </c>
    </row>
    <row r="534" spans="1:18" x14ac:dyDescent="0.25">
      <c r="A534" t="s">
        <v>5269</v>
      </c>
      <c r="B534" t="s">
        <v>4806</v>
      </c>
      <c r="C534" t="s">
        <v>4820</v>
      </c>
      <c r="D534" s="3">
        <f t="shared" si="45"/>
        <v>16.900000000000002</v>
      </c>
      <c r="E534" t="s">
        <v>5267</v>
      </c>
      <c r="F534" t="s">
        <v>13</v>
      </c>
      <c r="G534" t="str">
        <f t="shared" si="46"/>
        <v/>
      </c>
      <c r="H534" t="s">
        <v>14</v>
      </c>
      <c r="I534" t="s">
        <v>5270</v>
      </c>
      <c r="J534" s="2">
        <f t="shared" si="47"/>
        <v>1050000</v>
      </c>
      <c r="K534" t="s">
        <v>477</v>
      </c>
      <c r="L534">
        <f t="shared" si="48"/>
        <v>0</v>
      </c>
      <c r="N534" t="s">
        <v>43</v>
      </c>
      <c r="R534" s="3">
        <f t="shared" si="44"/>
        <v>0</v>
      </c>
    </row>
    <row r="535" spans="1:18" x14ac:dyDescent="0.25">
      <c r="A535" t="s">
        <v>1649</v>
      </c>
      <c r="B535" t="s">
        <v>1303</v>
      </c>
      <c r="C535" t="s">
        <v>1392</v>
      </c>
      <c r="D535" s="3">
        <f t="shared" si="45"/>
        <v>6</v>
      </c>
      <c r="E535" t="s">
        <v>285</v>
      </c>
      <c r="F535" t="s">
        <v>34</v>
      </c>
      <c r="G535">
        <f t="shared" si="46"/>
        <v>1125000</v>
      </c>
      <c r="H535" t="s">
        <v>724</v>
      </c>
      <c r="I535" t="s">
        <v>1650</v>
      </c>
      <c r="J535" s="2">
        <f t="shared" si="47"/>
        <v>1070000</v>
      </c>
      <c r="K535" t="s">
        <v>1651</v>
      </c>
      <c r="L535">
        <f t="shared" si="48"/>
        <v>0.17222222222222225</v>
      </c>
      <c r="M535" s="5">
        <v>0.17222222222222225</v>
      </c>
      <c r="N535" t="s">
        <v>43</v>
      </c>
      <c r="P535" t="s">
        <v>1652</v>
      </c>
      <c r="R535" s="3">
        <f t="shared" si="44"/>
        <v>4.1333333333333337</v>
      </c>
    </row>
    <row r="536" spans="1:18" x14ac:dyDescent="0.25">
      <c r="A536" t="s">
        <v>1126</v>
      </c>
      <c r="B536" t="s">
        <v>640</v>
      </c>
      <c r="C536" t="s">
        <v>643</v>
      </c>
      <c r="D536" s="3">
        <f t="shared" si="45"/>
        <v>10.240000000000002</v>
      </c>
      <c r="E536" t="s">
        <v>941</v>
      </c>
      <c r="F536" t="s">
        <v>13</v>
      </c>
      <c r="G536">
        <f t="shared" si="46"/>
        <v>1200000</v>
      </c>
      <c r="H536" t="s">
        <v>36</v>
      </c>
      <c r="I536" t="s">
        <v>1127</v>
      </c>
      <c r="J536" s="2">
        <f t="shared" si="47"/>
        <v>1080000</v>
      </c>
      <c r="K536" t="s">
        <v>733</v>
      </c>
      <c r="L536">
        <f t="shared" si="48"/>
        <v>0.17083333333333331</v>
      </c>
      <c r="M536" s="5">
        <v>0.17083333333333331</v>
      </c>
      <c r="N536" t="s">
        <v>37</v>
      </c>
      <c r="P536" t="s">
        <v>665</v>
      </c>
      <c r="R536" s="3">
        <f t="shared" si="44"/>
        <v>4.0999999999999996</v>
      </c>
    </row>
    <row r="537" spans="1:18" x14ac:dyDescent="0.25">
      <c r="A537" t="s">
        <v>2327</v>
      </c>
      <c r="B537" t="s">
        <v>2596</v>
      </c>
      <c r="C537" t="s">
        <v>2036</v>
      </c>
      <c r="D537" s="3">
        <f t="shared" si="45"/>
        <v>9</v>
      </c>
      <c r="E537" t="s">
        <v>12</v>
      </c>
      <c r="F537" t="s">
        <v>34</v>
      </c>
      <c r="G537" t="str">
        <f t="shared" si="46"/>
        <v/>
      </c>
      <c r="H537" t="s">
        <v>14</v>
      </c>
      <c r="I537" t="s">
        <v>2328</v>
      </c>
      <c r="J537" s="2">
        <f t="shared" si="47"/>
        <v>1100000</v>
      </c>
      <c r="K537" t="s">
        <v>42</v>
      </c>
      <c r="L537">
        <f t="shared" si="48"/>
        <v>0.17291666666666669</v>
      </c>
      <c r="M537" s="5">
        <v>0.17291666666666669</v>
      </c>
      <c r="N537" t="s">
        <v>18</v>
      </c>
      <c r="P537" t="s">
        <v>2095</v>
      </c>
      <c r="R537" s="3">
        <f t="shared" si="44"/>
        <v>4.1500000000000004</v>
      </c>
    </row>
    <row r="538" spans="1:18" x14ac:dyDescent="0.25">
      <c r="A538" t="s">
        <v>1115</v>
      </c>
      <c r="B538" t="s">
        <v>640</v>
      </c>
      <c r="C538" t="s">
        <v>643</v>
      </c>
      <c r="D538" s="3">
        <f t="shared" si="45"/>
        <v>12</v>
      </c>
      <c r="E538" t="s">
        <v>33</v>
      </c>
      <c r="F538" t="s">
        <v>34</v>
      </c>
      <c r="G538" t="str">
        <f t="shared" si="46"/>
        <v/>
      </c>
      <c r="H538" t="s">
        <v>14</v>
      </c>
      <c r="I538" t="s">
        <v>1116</v>
      </c>
      <c r="J538" s="2">
        <f t="shared" si="47"/>
        <v>1100000</v>
      </c>
      <c r="K538" t="s">
        <v>42</v>
      </c>
      <c r="L538">
        <f t="shared" si="48"/>
        <v>0.17083333333333331</v>
      </c>
      <c r="M538" s="5">
        <v>0.17083333333333331</v>
      </c>
      <c r="N538" t="s">
        <v>37</v>
      </c>
      <c r="P538" t="s">
        <v>199</v>
      </c>
      <c r="R538" s="3">
        <f t="shared" si="44"/>
        <v>4.0999999999999996</v>
      </c>
    </row>
    <row r="539" spans="1:18" x14ac:dyDescent="0.25">
      <c r="A539" t="s">
        <v>5180</v>
      </c>
      <c r="B539" t="s">
        <v>4806</v>
      </c>
      <c r="C539" t="s">
        <v>4820</v>
      </c>
      <c r="D539" s="3">
        <f t="shared" si="45"/>
        <v>9</v>
      </c>
      <c r="E539" t="s">
        <v>12</v>
      </c>
      <c r="F539" t="s">
        <v>13</v>
      </c>
      <c r="G539" t="str">
        <f t="shared" si="46"/>
        <v/>
      </c>
      <c r="H539" t="s">
        <v>14</v>
      </c>
      <c r="I539" t="s">
        <v>5181</v>
      </c>
      <c r="J539" s="2">
        <f t="shared" si="47"/>
        <v>1100000</v>
      </c>
      <c r="K539" t="s">
        <v>42</v>
      </c>
      <c r="L539">
        <f t="shared" si="48"/>
        <v>0</v>
      </c>
      <c r="N539" t="s">
        <v>18</v>
      </c>
      <c r="R539" s="3">
        <f t="shared" si="44"/>
        <v>0</v>
      </c>
    </row>
    <row r="540" spans="1:18" hidden="1" x14ac:dyDescent="0.25">
      <c r="A540" t="s">
        <v>2570</v>
      </c>
      <c r="B540" t="s">
        <v>2596</v>
      </c>
      <c r="C540" t="s">
        <v>2053</v>
      </c>
      <c r="D540" s="3">
        <f t="shared" si="45"/>
        <v>12</v>
      </c>
      <c r="E540" t="s">
        <v>33</v>
      </c>
      <c r="F540" t="s">
        <v>13</v>
      </c>
      <c r="G540" t="str">
        <f t="shared" si="46"/>
        <v/>
      </c>
      <c r="H540" t="s">
        <v>14</v>
      </c>
      <c r="I540" t="s">
        <v>2178</v>
      </c>
      <c r="J540" s="2">
        <f t="shared" si="47"/>
        <v>3750000</v>
      </c>
      <c r="K540" t="s">
        <v>2250</v>
      </c>
      <c r="L540">
        <f t="shared" si="48"/>
        <v>0.17222222222222225</v>
      </c>
      <c r="M540" s="5">
        <v>0.17222222222222225</v>
      </c>
      <c r="N540" t="s">
        <v>43</v>
      </c>
      <c r="P540" t="s">
        <v>1306</v>
      </c>
      <c r="R540" s="3">
        <f t="shared" si="44"/>
        <v>4.1333333333333337</v>
      </c>
    </row>
    <row r="541" spans="1:18" x14ac:dyDescent="0.25">
      <c r="A541" t="s">
        <v>940</v>
      </c>
      <c r="B541" t="s">
        <v>640</v>
      </c>
      <c r="C541" t="s">
        <v>643</v>
      </c>
      <c r="D541" s="3">
        <f t="shared" si="45"/>
        <v>10.240000000000002</v>
      </c>
      <c r="E541" t="s">
        <v>941</v>
      </c>
      <c r="F541" t="s">
        <v>13</v>
      </c>
      <c r="G541">
        <f t="shared" si="46"/>
        <v>1250000</v>
      </c>
      <c r="H541" t="s">
        <v>202</v>
      </c>
      <c r="I541" t="s">
        <v>942</v>
      </c>
      <c r="J541" s="2">
        <f t="shared" si="47"/>
        <v>1125000</v>
      </c>
      <c r="K541" t="s">
        <v>724</v>
      </c>
      <c r="L541">
        <f t="shared" si="48"/>
        <v>0.17083333333333331</v>
      </c>
      <c r="M541" s="5">
        <v>0.17083333333333331</v>
      </c>
      <c r="N541" t="s">
        <v>18</v>
      </c>
      <c r="P541" t="s">
        <v>134</v>
      </c>
      <c r="R541" s="3">
        <f t="shared" si="44"/>
        <v>4.0999999999999996</v>
      </c>
    </row>
    <row r="542" spans="1:18" x14ac:dyDescent="0.25">
      <c r="A542" t="s">
        <v>1678</v>
      </c>
      <c r="B542" t="s">
        <v>1303</v>
      </c>
      <c r="C542" t="s">
        <v>1319</v>
      </c>
      <c r="D542" s="3">
        <f t="shared" si="45"/>
        <v>8.1000000000000014</v>
      </c>
      <c r="E542" t="s">
        <v>1168</v>
      </c>
      <c r="F542" t="s">
        <v>13</v>
      </c>
      <c r="G542">
        <f t="shared" si="46"/>
        <v>1225000</v>
      </c>
      <c r="H542" t="s">
        <v>661</v>
      </c>
      <c r="I542" t="s">
        <v>1679</v>
      </c>
      <c r="J542" s="2">
        <f t="shared" si="47"/>
        <v>1129000</v>
      </c>
      <c r="K542" t="s">
        <v>1680</v>
      </c>
      <c r="L542">
        <f t="shared" si="48"/>
        <v>0.17222222222222225</v>
      </c>
      <c r="M542" s="5">
        <v>0.17222222222222225</v>
      </c>
      <c r="N542" t="s">
        <v>43</v>
      </c>
      <c r="P542" t="s">
        <v>1581</v>
      </c>
      <c r="R542" s="3">
        <f t="shared" si="44"/>
        <v>4.1333333333333337</v>
      </c>
    </row>
    <row r="543" spans="1:18" x14ac:dyDescent="0.25">
      <c r="A543" t="s">
        <v>2325</v>
      </c>
      <c r="B543" t="s">
        <v>2596</v>
      </c>
      <c r="C543" t="s">
        <v>2016</v>
      </c>
      <c r="D543" s="3">
        <f t="shared" si="45"/>
        <v>9</v>
      </c>
      <c r="E543" t="s">
        <v>12</v>
      </c>
      <c r="F543" t="s">
        <v>13</v>
      </c>
      <c r="G543">
        <f t="shared" si="46"/>
        <v>1225000</v>
      </c>
      <c r="H543" t="s">
        <v>661</v>
      </c>
      <c r="I543" t="s">
        <v>2326</v>
      </c>
      <c r="J543" s="2">
        <f t="shared" si="47"/>
        <v>1129000</v>
      </c>
      <c r="K543" t="s">
        <v>1680</v>
      </c>
      <c r="L543">
        <f t="shared" si="48"/>
        <v>0.17222222222222225</v>
      </c>
      <c r="M543" s="5">
        <v>0.17222222222222225</v>
      </c>
      <c r="N543" t="s">
        <v>43</v>
      </c>
      <c r="P543" t="s">
        <v>1581</v>
      </c>
      <c r="R543" s="3">
        <f t="shared" si="44"/>
        <v>4.1333333333333337</v>
      </c>
    </row>
    <row r="544" spans="1:18" x14ac:dyDescent="0.25">
      <c r="A544" t="s">
        <v>4359</v>
      </c>
      <c r="B544" t="s">
        <v>4272</v>
      </c>
      <c r="C544" t="s">
        <v>4281</v>
      </c>
      <c r="D544" s="3">
        <f t="shared" si="45"/>
        <v>6.4399999999999995</v>
      </c>
      <c r="E544" t="s">
        <v>3022</v>
      </c>
      <c r="F544" t="s">
        <v>13</v>
      </c>
      <c r="G544">
        <f t="shared" si="46"/>
        <v>1200000</v>
      </c>
      <c r="H544" t="s">
        <v>36</v>
      </c>
      <c r="I544" t="s">
        <v>4360</v>
      </c>
      <c r="J544" s="2">
        <f t="shared" si="47"/>
        <v>1140000</v>
      </c>
      <c r="K544" t="s">
        <v>2031</v>
      </c>
      <c r="L544">
        <f t="shared" si="48"/>
        <v>0.17222222222222225</v>
      </c>
      <c r="M544" s="5">
        <v>0.17222222222222225</v>
      </c>
      <c r="N544" t="s">
        <v>18</v>
      </c>
      <c r="P544" t="s">
        <v>866</v>
      </c>
      <c r="R544" s="3">
        <f t="shared" si="44"/>
        <v>4.1333333333333337</v>
      </c>
    </row>
    <row r="545" spans="1:18" hidden="1" x14ac:dyDescent="0.25">
      <c r="A545" t="s">
        <v>2405</v>
      </c>
      <c r="B545" t="s">
        <v>2596</v>
      </c>
      <c r="C545" t="s">
        <v>2049</v>
      </c>
      <c r="D545" s="3">
        <f t="shared" si="45"/>
        <v>13.5</v>
      </c>
      <c r="E545" t="s">
        <v>446</v>
      </c>
      <c r="F545" t="s">
        <v>13</v>
      </c>
      <c r="G545" t="str">
        <f t="shared" si="46"/>
        <v/>
      </c>
      <c r="H545" t="s">
        <v>14</v>
      </c>
      <c r="I545" t="s">
        <v>2406</v>
      </c>
      <c r="J545" s="2">
        <f t="shared" si="47"/>
        <v>3500000</v>
      </c>
      <c r="K545" t="s">
        <v>143</v>
      </c>
      <c r="L545">
        <f t="shared" si="48"/>
        <v>0.20833333333333334</v>
      </c>
      <c r="M545" s="5">
        <v>0.20833333333333334</v>
      </c>
      <c r="N545" t="s">
        <v>43</v>
      </c>
      <c r="P545" t="s">
        <v>1306</v>
      </c>
      <c r="R545" s="3">
        <f t="shared" si="44"/>
        <v>5</v>
      </c>
    </row>
    <row r="546" spans="1:18" x14ac:dyDescent="0.25">
      <c r="A546" t="s">
        <v>1106</v>
      </c>
      <c r="B546" t="s">
        <v>640</v>
      </c>
      <c r="C546" t="s">
        <v>643</v>
      </c>
      <c r="D546" s="3">
        <f t="shared" si="45"/>
        <v>12</v>
      </c>
      <c r="E546" t="s">
        <v>347</v>
      </c>
      <c r="F546" t="s">
        <v>34</v>
      </c>
      <c r="G546">
        <f t="shared" si="46"/>
        <v>1275000</v>
      </c>
      <c r="H546" t="s">
        <v>698</v>
      </c>
      <c r="I546" t="s">
        <v>1107</v>
      </c>
      <c r="J546" s="2">
        <f t="shared" si="47"/>
        <v>1150000</v>
      </c>
      <c r="K546" t="s">
        <v>700</v>
      </c>
      <c r="L546">
        <f t="shared" si="48"/>
        <v>0.17083333333333331</v>
      </c>
      <c r="M546" s="5">
        <v>0.17083333333333331</v>
      </c>
      <c r="N546" t="s">
        <v>37</v>
      </c>
      <c r="P546" t="s">
        <v>134</v>
      </c>
      <c r="R546" s="3">
        <f t="shared" si="44"/>
        <v>4.0999999999999996</v>
      </c>
    </row>
    <row r="547" spans="1:18" x14ac:dyDescent="0.25">
      <c r="A547" t="s">
        <v>697</v>
      </c>
      <c r="B547" t="s">
        <v>640</v>
      </c>
      <c r="C547" t="s">
        <v>657</v>
      </c>
      <c r="D547" s="3">
        <f t="shared" si="45"/>
        <v>12</v>
      </c>
      <c r="E547" t="s">
        <v>33</v>
      </c>
      <c r="F547" t="s">
        <v>13</v>
      </c>
      <c r="G547">
        <f t="shared" si="46"/>
        <v>1275000</v>
      </c>
      <c r="H547" t="s">
        <v>698</v>
      </c>
      <c r="I547" t="s">
        <v>699</v>
      </c>
      <c r="J547" s="2">
        <f t="shared" si="47"/>
        <v>1150000</v>
      </c>
      <c r="K547" t="s">
        <v>700</v>
      </c>
      <c r="L547">
        <f t="shared" si="48"/>
        <v>0.17222222222222225</v>
      </c>
      <c r="M547" s="5">
        <v>0.17222222222222225</v>
      </c>
      <c r="N547" t="s">
        <v>18</v>
      </c>
      <c r="P547" t="s">
        <v>134</v>
      </c>
      <c r="R547" s="3">
        <f t="shared" si="44"/>
        <v>4.1333333333333337</v>
      </c>
    </row>
    <row r="548" spans="1:18" hidden="1" x14ac:dyDescent="0.25">
      <c r="A548" t="s">
        <v>3358</v>
      </c>
      <c r="B548" t="s">
        <v>3233</v>
      </c>
      <c r="C548" t="s">
        <v>3261</v>
      </c>
      <c r="D548" s="3">
        <f t="shared" si="45"/>
        <v>9</v>
      </c>
      <c r="E548" t="s">
        <v>12</v>
      </c>
      <c r="F548" t="s">
        <v>13</v>
      </c>
      <c r="G548" t="str">
        <f t="shared" si="46"/>
        <v/>
      </c>
      <c r="H548" t="s">
        <v>14</v>
      </c>
      <c r="I548" t="s">
        <v>3359</v>
      </c>
      <c r="J548" s="2">
        <f t="shared" si="47"/>
        <v>1700000</v>
      </c>
      <c r="K548" t="s">
        <v>23</v>
      </c>
      <c r="L548">
        <f t="shared" si="48"/>
        <v>0.17222222222222225</v>
      </c>
      <c r="M548" s="5">
        <v>0.17222222222222225</v>
      </c>
      <c r="N548" t="s">
        <v>43</v>
      </c>
      <c r="P548" t="s">
        <v>1449</v>
      </c>
      <c r="R548" s="3">
        <f t="shared" si="44"/>
        <v>4.1333333333333337</v>
      </c>
    </row>
    <row r="549" spans="1:18" x14ac:dyDescent="0.25">
      <c r="A549" t="s">
        <v>3386</v>
      </c>
      <c r="B549" t="s">
        <v>3233</v>
      </c>
      <c r="C549" t="s">
        <v>3248</v>
      </c>
      <c r="D549" s="3">
        <f t="shared" si="45"/>
        <v>5</v>
      </c>
      <c r="E549" t="s">
        <v>60</v>
      </c>
      <c r="F549" t="s">
        <v>13</v>
      </c>
      <c r="G549">
        <f t="shared" si="46"/>
        <v>1250000</v>
      </c>
      <c r="H549" t="s">
        <v>202</v>
      </c>
      <c r="I549" t="s">
        <v>3387</v>
      </c>
      <c r="J549" s="2">
        <f t="shared" si="47"/>
        <v>1150000</v>
      </c>
      <c r="K549" t="s">
        <v>700</v>
      </c>
      <c r="L549">
        <f t="shared" si="48"/>
        <v>0.17083333333333331</v>
      </c>
      <c r="M549" s="5">
        <v>0.17083333333333331</v>
      </c>
      <c r="N549" t="s">
        <v>43</v>
      </c>
      <c r="P549" t="s">
        <v>669</v>
      </c>
      <c r="R549" s="3">
        <f t="shared" si="44"/>
        <v>4.0999999999999996</v>
      </c>
    </row>
    <row r="550" spans="1:18" x14ac:dyDescent="0.25">
      <c r="A550" t="s">
        <v>4786</v>
      </c>
      <c r="B550" t="s">
        <v>4272</v>
      </c>
      <c r="C550" t="s">
        <v>4281</v>
      </c>
      <c r="D550" s="3">
        <f t="shared" si="45"/>
        <v>7.2900000000000009</v>
      </c>
      <c r="E550" t="s">
        <v>1002</v>
      </c>
      <c r="F550" t="s">
        <v>13</v>
      </c>
      <c r="G550">
        <f t="shared" si="46"/>
        <v>1275000</v>
      </c>
      <c r="H550" t="s">
        <v>698</v>
      </c>
      <c r="I550" t="s">
        <v>4787</v>
      </c>
      <c r="J550" s="2">
        <f t="shared" si="47"/>
        <v>1150000</v>
      </c>
      <c r="K550" t="s">
        <v>700</v>
      </c>
      <c r="L550">
        <f t="shared" si="48"/>
        <v>0.20833333333333334</v>
      </c>
      <c r="M550" s="5">
        <v>0.20833333333333334</v>
      </c>
      <c r="N550" t="s">
        <v>37</v>
      </c>
      <c r="P550" t="s">
        <v>134</v>
      </c>
      <c r="R550" s="3">
        <f t="shared" si="44"/>
        <v>5</v>
      </c>
    </row>
    <row r="551" spans="1:18" x14ac:dyDescent="0.25">
      <c r="A551" t="s">
        <v>1948</v>
      </c>
      <c r="B551" t="s">
        <v>1303</v>
      </c>
      <c r="C551" t="s">
        <v>1319</v>
      </c>
      <c r="D551" s="3">
        <f t="shared" si="45"/>
        <v>9</v>
      </c>
      <c r="E551" t="s">
        <v>12</v>
      </c>
      <c r="F551" t="s">
        <v>13</v>
      </c>
      <c r="G551" t="str">
        <f t="shared" si="46"/>
        <v/>
      </c>
      <c r="H551" t="s">
        <v>14</v>
      </c>
      <c r="I551" t="s">
        <v>1949</v>
      </c>
      <c r="J551" s="2">
        <f t="shared" si="47"/>
        <v>1155000</v>
      </c>
      <c r="K551" t="s">
        <v>1950</v>
      </c>
      <c r="L551">
        <f t="shared" si="48"/>
        <v>0.17222222222222225</v>
      </c>
      <c r="M551" s="5">
        <v>0.17222222222222225</v>
      </c>
      <c r="N551" t="s">
        <v>43</v>
      </c>
      <c r="R551" s="3">
        <f t="shared" si="44"/>
        <v>4.1333333333333337</v>
      </c>
    </row>
    <row r="552" spans="1:18" x14ac:dyDescent="0.25">
      <c r="A552" t="s">
        <v>1154</v>
      </c>
      <c r="B552" t="s">
        <v>640</v>
      </c>
      <c r="C552" t="s">
        <v>643</v>
      </c>
      <c r="D552" s="3">
        <f t="shared" si="45"/>
        <v>10.240000000000002</v>
      </c>
      <c r="E552" t="s">
        <v>941</v>
      </c>
      <c r="F552" t="s">
        <v>13</v>
      </c>
      <c r="G552">
        <f t="shared" si="46"/>
        <v>1300000</v>
      </c>
      <c r="H552" t="s">
        <v>17</v>
      </c>
      <c r="I552" t="s">
        <v>942</v>
      </c>
      <c r="J552" s="2">
        <f t="shared" si="47"/>
        <v>1170000</v>
      </c>
      <c r="K552" t="s">
        <v>1155</v>
      </c>
      <c r="L552">
        <f t="shared" si="48"/>
        <v>0.17083333333333331</v>
      </c>
      <c r="M552" s="5">
        <v>0.17083333333333331</v>
      </c>
      <c r="N552" t="s">
        <v>18</v>
      </c>
      <c r="P552" t="s">
        <v>686</v>
      </c>
      <c r="R552" s="3">
        <f t="shared" si="44"/>
        <v>4.0999999999999996</v>
      </c>
    </row>
    <row r="553" spans="1:18" hidden="1" x14ac:dyDescent="0.25">
      <c r="A553" t="s">
        <v>506</v>
      </c>
      <c r="B553" t="s">
        <v>20</v>
      </c>
      <c r="C553" t="s">
        <v>509</v>
      </c>
      <c r="D553" s="3">
        <f t="shared" si="45"/>
        <v>22.5</v>
      </c>
      <c r="E553" t="s">
        <v>507</v>
      </c>
      <c r="F553" t="s">
        <v>13</v>
      </c>
      <c r="G553" t="str">
        <f t="shared" si="46"/>
        <v/>
      </c>
      <c r="H553" t="s">
        <v>14</v>
      </c>
      <c r="I553" t="s">
        <v>508</v>
      </c>
      <c r="J553" s="2">
        <f t="shared" si="47"/>
        <v>1000000</v>
      </c>
      <c r="K553" t="s">
        <v>52</v>
      </c>
      <c r="L553">
        <f t="shared" si="48"/>
        <v>0</v>
      </c>
      <c r="N553" t="s">
        <v>43</v>
      </c>
      <c r="R553" s="3">
        <f t="shared" si="44"/>
        <v>0</v>
      </c>
    </row>
    <row r="554" spans="1:18" hidden="1" x14ac:dyDescent="0.25">
      <c r="A554" t="s">
        <v>524</v>
      </c>
      <c r="B554" t="s">
        <v>20</v>
      </c>
      <c r="C554" t="s">
        <v>102</v>
      </c>
      <c r="D554" s="3">
        <f t="shared" si="45"/>
        <v>20</v>
      </c>
      <c r="E554" t="s">
        <v>159</v>
      </c>
      <c r="F554" t="s">
        <v>34</v>
      </c>
      <c r="G554" t="str">
        <f t="shared" si="46"/>
        <v/>
      </c>
      <c r="H554" t="s">
        <v>14</v>
      </c>
      <c r="I554" t="s">
        <v>525</v>
      </c>
      <c r="J554" s="2">
        <f t="shared" si="47"/>
        <v>750000</v>
      </c>
      <c r="K554" t="s">
        <v>76</v>
      </c>
      <c r="L554">
        <f t="shared" si="48"/>
        <v>0</v>
      </c>
      <c r="N554" t="s">
        <v>37</v>
      </c>
      <c r="R554" s="3">
        <f t="shared" si="44"/>
        <v>0</v>
      </c>
    </row>
    <row r="555" spans="1:18" hidden="1" x14ac:dyDescent="0.25">
      <c r="A555" t="s">
        <v>3584</v>
      </c>
      <c r="B555" t="s">
        <v>3233</v>
      </c>
      <c r="C555" t="s">
        <v>3261</v>
      </c>
      <c r="D555" s="3">
        <f t="shared" si="45"/>
        <v>9</v>
      </c>
      <c r="E555" t="s">
        <v>12</v>
      </c>
      <c r="F555" t="s">
        <v>13</v>
      </c>
      <c r="G555" t="str">
        <f t="shared" si="46"/>
        <v/>
      </c>
      <c r="H555" t="s">
        <v>14</v>
      </c>
      <c r="I555" t="s">
        <v>3585</v>
      </c>
      <c r="J555" s="2">
        <f t="shared" si="47"/>
        <v>1650000</v>
      </c>
      <c r="K555" t="s">
        <v>90</v>
      </c>
      <c r="L555">
        <f t="shared" si="48"/>
        <v>0.17222222222222225</v>
      </c>
      <c r="M555" s="5">
        <v>0.17222222222222225</v>
      </c>
      <c r="N555" t="s">
        <v>43</v>
      </c>
      <c r="P555" t="s">
        <v>3352</v>
      </c>
      <c r="R555" s="3">
        <f t="shared" si="44"/>
        <v>4.1333333333333337</v>
      </c>
    </row>
    <row r="556" spans="1:18" x14ac:dyDescent="0.25">
      <c r="A556" t="s">
        <v>720</v>
      </c>
      <c r="B556" t="s">
        <v>640</v>
      </c>
      <c r="C556" t="s">
        <v>643</v>
      </c>
      <c r="D556" s="3">
        <f t="shared" si="45"/>
        <v>9</v>
      </c>
      <c r="E556" t="s">
        <v>12</v>
      </c>
      <c r="F556" t="s">
        <v>13</v>
      </c>
      <c r="G556">
        <f t="shared" si="46"/>
        <v>1325000</v>
      </c>
      <c r="H556" t="s">
        <v>683</v>
      </c>
      <c r="I556" t="s">
        <v>721</v>
      </c>
      <c r="J556" s="2">
        <f t="shared" si="47"/>
        <v>1195000</v>
      </c>
      <c r="K556" t="s">
        <v>685</v>
      </c>
      <c r="L556">
        <f t="shared" si="48"/>
        <v>0.17222222222222225</v>
      </c>
      <c r="M556" s="5">
        <v>0.17222222222222225</v>
      </c>
      <c r="N556" t="s">
        <v>18</v>
      </c>
      <c r="P556" t="s">
        <v>686</v>
      </c>
      <c r="R556" s="3">
        <f t="shared" si="44"/>
        <v>4.1333333333333337</v>
      </c>
    </row>
    <row r="557" spans="1:18" hidden="1" x14ac:dyDescent="0.25">
      <c r="A557" t="s">
        <v>4747</v>
      </c>
      <c r="B557" t="s">
        <v>4272</v>
      </c>
      <c r="C557" t="s">
        <v>4337</v>
      </c>
      <c r="D557" s="3">
        <f t="shared" si="45"/>
        <v>16</v>
      </c>
      <c r="E557" t="s">
        <v>79</v>
      </c>
      <c r="F557" t="s">
        <v>13</v>
      </c>
      <c r="G557" t="str">
        <f t="shared" si="46"/>
        <v/>
      </c>
      <c r="H557" t="s">
        <v>14</v>
      </c>
      <c r="I557" t="s">
        <v>4748</v>
      </c>
      <c r="J557" s="2">
        <f t="shared" si="47"/>
        <v>1950000</v>
      </c>
      <c r="K557" t="s">
        <v>748</v>
      </c>
      <c r="L557">
        <f t="shared" si="48"/>
        <v>0</v>
      </c>
      <c r="N557" t="s">
        <v>18</v>
      </c>
      <c r="R557" s="3">
        <f t="shared" si="44"/>
        <v>0</v>
      </c>
    </row>
    <row r="558" spans="1:18" hidden="1" x14ac:dyDescent="0.25">
      <c r="A558" t="s">
        <v>5230</v>
      </c>
      <c r="B558" t="s">
        <v>4806</v>
      </c>
      <c r="C558" t="s">
        <v>4939</v>
      </c>
      <c r="D558" s="3">
        <f t="shared" si="45"/>
        <v>9</v>
      </c>
      <c r="E558" t="s">
        <v>12</v>
      </c>
      <c r="F558" t="s">
        <v>13</v>
      </c>
      <c r="G558" t="str">
        <f t="shared" si="46"/>
        <v/>
      </c>
      <c r="H558" t="s">
        <v>14</v>
      </c>
      <c r="I558" t="s">
        <v>5231</v>
      </c>
      <c r="J558" s="2">
        <f t="shared" si="47"/>
        <v>1350000</v>
      </c>
      <c r="K558" t="s">
        <v>257</v>
      </c>
      <c r="L558">
        <f t="shared" si="48"/>
        <v>0</v>
      </c>
      <c r="N558" t="s">
        <v>18</v>
      </c>
      <c r="R558" s="3">
        <f t="shared" si="44"/>
        <v>0</v>
      </c>
    </row>
    <row r="559" spans="1:18" hidden="1" x14ac:dyDescent="0.25">
      <c r="A559" t="s">
        <v>5169</v>
      </c>
      <c r="B559" t="s">
        <v>4806</v>
      </c>
      <c r="C559" t="s">
        <v>4939</v>
      </c>
      <c r="D559" s="3">
        <f t="shared" si="45"/>
        <v>9</v>
      </c>
      <c r="E559" t="s">
        <v>12</v>
      </c>
      <c r="F559" t="s">
        <v>13</v>
      </c>
      <c r="G559" t="str">
        <f t="shared" si="46"/>
        <v/>
      </c>
      <c r="H559" t="s">
        <v>14</v>
      </c>
      <c r="I559" t="s">
        <v>5170</v>
      </c>
      <c r="J559" s="2">
        <f t="shared" si="47"/>
        <v>1250000</v>
      </c>
      <c r="K559" t="s">
        <v>202</v>
      </c>
      <c r="L559">
        <f t="shared" si="48"/>
        <v>0.20833333333333334</v>
      </c>
      <c r="M559" s="5">
        <v>0.20833333333333334</v>
      </c>
      <c r="N559" t="s">
        <v>18</v>
      </c>
      <c r="R559" s="3">
        <f t="shared" si="44"/>
        <v>5</v>
      </c>
    </row>
    <row r="560" spans="1:18" x14ac:dyDescent="0.25">
      <c r="A560" t="s">
        <v>1145</v>
      </c>
      <c r="B560" t="s">
        <v>640</v>
      </c>
      <c r="C560" t="s">
        <v>643</v>
      </c>
      <c r="D560" s="3">
        <f t="shared" si="45"/>
        <v>12</v>
      </c>
      <c r="E560" t="s">
        <v>347</v>
      </c>
      <c r="F560" t="s">
        <v>13</v>
      </c>
      <c r="G560">
        <f t="shared" si="46"/>
        <v>1325000</v>
      </c>
      <c r="H560" t="s">
        <v>683</v>
      </c>
      <c r="I560" t="s">
        <v>1146</v>
      </c>
      <c r="J560" s="2">
        <f t="shared" si="47"/>
        <v>1195000</v>
      </c>
      <c r="K560" t="s">
        <v>685</v>
      </c>
      <c r="L560">
        <f t="shared" si="48"/>
        <v>0.17013888888888887</v>
      </c>
      <c r="M560" s="5">
        <v>0.17013888888888887</v>
      </c>
      <c r="N560" t="s">
        <v>18</v>
      </c>
      <c r="P560" t="s">
        <v>686</v>
      </c>
      <c r="R560" s="3">
        <f t="shared" si="44"/>
        <v>4.083333333333333</v>
      </c>
    </row>
    <row r="561" spans="1:18" hidden="1" x14ac:dyDescent="0.25">
      <c r="A561" t="s">
        <v>4141</v>
      </c>
      <c r="B561" t="s">
        <v>3746</v>
      </c>
      <c r="C561" t="s">
        <v>3759</v>
      </c>
      <c r="D561" s="3">
        <f t="shared" si="45"/>
        <v>9</v>
      </c>
      <c r="E561" t="s">
        <v>12</v>
      </c>
      <c r="F561" t="s">
        <v>13</v>
      </c>
      <c r="G561" t="str">
        <f t="shared" si="46"/>
        <v/>
      </c>
      <c r="H561" t="s">
        <v>14</v>
      </c>
      <c r="I561" t="s">
        <v>4142</v>
      </c>
      <c r="J561" s="2">
        <f t="shared" si="47"/>
        <v>1300000</v>
      </c>
      <c r="K561" t="s">
        <v>17</v>
      </c>
      <c r="L561">
        <f t="shared" si="48"/>
        <v>0.20833333333333334</v>
      </c>
      <c r="M561" s="5">
        <v>0.20833333333333334</v>
      </c>
      <c r="N561" t="s">
        <v>43</v>
      </c>
      <c r="R561" s="3">
        <f t="shared" si="44"/>
        <v>5</v>
      </c>
    </row>
    <row r="562" spans="1:18" hidden="1" x14ac:dyDescent="0.25">
      <c r="A562" t="s">
        <v>3747</v>
      </c>
      <c r="B562" t="s">
        <v>3746</v>
      </c>
      <c r="C562" t="s">
        <v>3749</v>
      </c>
      <c r="D562" s="3">
        <f t="shared" si="45"/>
        <v>9</v>
      </c>
      <c r="E562" t="s">
        <v>12</v>
      </c>
      <c r="F562" t="s">
        <v>13</v>
      </c>
      <c r="G562" t="str">
        <f t="shared" si="46"/>
        <v/>
      </c>
      <c r="H562" t="s">
        <v>14</v>
      </c>
      <c r="I562" t="s">
        <v>3748</v>
      </c>
      <c r="J562" s="2">
        <f t="shared" si="47"/>
        <v>2070000</v>
      </c>
      <c r="K562" t="s">
        <v>822</v>
      </c>
      <c r="L562">
        <f t="shared" si="48"/>
        <v>0.16874999999999998</v>
      </c>
      <c r="M562" s="5">
        <v>0.16874999999999998</v>
      </c>
      <c r="N562" t="s">
        <v>43</v>
      </c>
      <c r="P562" t="s">
        <v>1171</v>
      </c>
      <c r="R562" s="3">
        <f t="shared" si="44"/>
        <v>4.05</v>
      </c>
    </row>
    <row r="563" spans="1:18" hidden="1" x14ac:dyDescent="0.25">
      <c r="A563" t="s">
        <v>4084</v>
      </c>
      <c r="B563" t="s">
        <v>3746</v>
      </c>
      <c r="C563" t="s">
        <v>3749</v>
      </c>
      <c r="D563" s="3">
        <f t="shared" si="45"/>
        <v>9</v>
      </c>
      <c r="E563" t="s">
        <v>12</v>
      </c>
      <c r="F563" t="s">
        <v>13</v>
      </c>
      <c r="G563" t="str">
        <f t="shared" si="46"/>
        <v/>
      </c>
      <c r="H563" t="s">
        <v>14</v>
      </c>
      <c r="I563" t="s">
        <v>4085</v>
      </c>
      <c r="J563" s="2">
        <f t="shared" si="47"/>
        <v>1760000</v>
      </c>
      <c r="K563" t="s">
        <v>4086</v>
      </c>
      <c r="L563">
        <f t="shared" si="48"/>
        <v>0.16944444444444443</v>
      </c>
      <c r="M563" s="5">
        <v>0.16944444444444443</v>
      </c>
      <c r="N563" t="s">
        <v>43</v>
      </c>
      <c r="P563" t="s">
        <v>199</v>
      </c>
      <c r="R563" s="3">
        <f t="shared" si="44"/>
        <v>4.0666666666666664</v>
      </c>
    </row>
    <row r="564" spans="1:18" hidden="1" x14ac:dyDescent="0.25">
      <c r="A564" t="s">
        <v>4224</v>
      </c>
      <c r="B564" t="s">
        <v>3746</v>
      </c>
      <c r="C564" t="s">
        <v>3749</v>
      </c>
      <c r="D564" s="3">
        <f t="shared" si="45"/>
        <v>9</v>
      </c>
      <c r="E564" t="s">
        <v>12</v>
      </c>
      <c r="F564" t="s">
        <v>13</v>
      </c>
      <c r="G564" t="str">
        <f t="shared" si="46"/>
        <v/>
      </c>
      <c r="H564" t="s">
        <v>14</v>
      </c>
      <c r="I564" t="s">
        <v>4225</v>
      </c>
      <c r="J564" s="2">
        <f t="shared" si="47"/>
        <v>1650000</v>
      </c>
      <c r="K564" t="s">
        <v>90</v>
      </c>
      <c r="L564">
        <f t="shared" si="48"/>
        <v>0.17222222222222225</v>
      </c>
      <c r="M564" s="5">
        <v>0.17222222222222225</v>
      </c>
      <c r="N564" t="s">
        <v>43</v>
      </c>
      <c r="P564" t="s">
        <v>199</v>
      </c>
      <c r="R564" s="3">
        <f t="shared" si="44"/>
        <v>4.1333333333333337</v>
      </c>
    </row>
    <row r="565" spans="1:18" hidden="1" x14ac:dyDescent="0.25">
      <c r="A565" t="s">
        <v>4132</v>
      </c>
      <c r="B565" t="s">
        <v>3746</v>
      </c>
      <c r="C565" t="s">
        <v>3746</v>
      </c>
      <c r="D565" s="3">
        <f t="shared" si="45"/>
        <v>9</v>
      </c>
      <c r="E565" t="s">
        <v>12</v>
      </c>
      <c r="F565" t="s">
        <v>13</v>
      </c>
      <c r="G565" t="str">
        <f t="shared" si="46"/>
        <v/>
      </c>
      <c r="H565" t="s">
        <v>14</v>
      </c>
      <c r="I565" t="s">
        <v>4133</v>
      </c>
      <c r="J565" s="2">
        <f t="shared" si="47"/>
        <v>1960000</v>
      </c>
      <c r="K565" t="s">
        <v>4134</v>
      </c>
      <c r="L565">
        <f t="shared" si="48"/>
        <v>0.16666666666666666</v>
      </c>
      <c r="M565" s="5">
        <v>0.16666666666666666</v>
      </c>
      <c r="N565" t="s">
        <v>43</v>
      </c>
      <c r="P565" t="s">
        <v>199</v>
      </c>
      <c r="R565" s="3">
        <f t="shared" si="44"/>
        <v>4</v>
      </c>
    </row>
    <row r="566" spans="1:18" hidden="1" x14ac:dyDescent="0.25">
      <c r="A566" t="s">
        <v>4099</v>
      </c>
      <c r="B566" t="s">
        <v>3746</v>
      </c>
      <c r="C566" t="s">
        <v>3749</v>
      </c>
      <c r="D566" s="3">
        <f t="shared" si="45"/>
        <v>9</v>
      </c>
      <c r="E566" t="s">
        <v>12</v>
      </c>
      <c r="F566" t="s">
        <v>13</v>
      </c>
      <c r="G566" t="str">
        <f t="shared" si="46"/>
        <v/>
      </c>
      <c r="H566" t="s">
        <v>14</v>
      </c>
      <c r="I566" t="s">
        <v>4100</v>
      </c>
      <c r="J566" s="2">
        <f t="shared" si="47"/>
        <v>1850000</v>
      </c>
      <c r="K566" t="s">
        <v>87</v>
      </c>
      <c r="L566">
        <f t="shared" si="48"/>
        <v>0.17222222222222225</v>
      </c>
      <c r="M566" s="5">
        <v>0.17222222222222225</v>
      </c>
      <c r="N566" t="s">
        <v>43</v>
      </c>
      <c r="P566" t="s">
        <v>199</v>
      </c>
      <c r="R566" s="3">
        <f t="shared" si="44"/>
        <v>4.1333333333333337</v>
      </c>
    </row>
    <row r="567" spans="1:18" hidden="1" x14ac:dyDescent="0.25">
      <c r="A567" t="s">
        <v>5101</v>
      </c>
      <c r="B567" t="s">
        <v>4806</v>
      </c>
      <c r="C567" t="s">
        <v>4939</v>
      </c>
      <c r="D567" s="3">
        <f t="shared" si="45"/>
        <v>13.5</v>
      </c>
      <c r="E567" t="s">
        <v>446</v>
      </c>
      <c r="F567" t="s">
        <v>13</v>
      </c>
      <c r="G567" t="str">
        <f t="shared" si="46"/>
        <v/>
      </c>
      <c r="H567" t="s">
        <v>14</v>
      </c>
      <c r="I567" t="s">
        <v>5102</v>
      </c>
      <c r="J567" s="2">
        <f t="shared" si="47"/>
        <v>1200000</v>
      </c>
      <c r="K567" t="s">
        <v>36</v>
      </c>
      <c r="L567">
        <f t="shared" si="48"/>
        <v>0.17083333333333331</v>
      </c>
      <c r="M567" s="5">
        <v>0.17083333333333331</v>
      </c>
      <c r="N567" t="s">
        <v>43</v>
      </c>
      <c r="R567" s="3">
        <f t="shared" si="44"/>
        <v>4.0999999999999996</v>
      </c>
    </row>
    <row r="568" spans="1:18" hidden="1" x14ac:dyDescent="0.25">
      <c r="A568" t="s">
        <v>1244</v>
      </c>
      <c r="B568" t="s">
        <v>640</v>
      </c>
      <c r="C568" t="s">
        <v>643</v>
      </c>
      <c r="D568" s="3">
        <f t="shared" si="45"/>
        <v>18</v>
      </c>
      <c r="E568" t="s">
        <v>126</v>
      </c>
      <c r="F568" t="s">
        <v>13</v>
      </c>
      <c r="G568" t="str">
        <f t="shared" si="46"/>
        <v/>
      </c>
      <c r="H568" t="s">
        <v>14</v>
      </c>
      <c r="I568" t="s">
        <v>1245</v>
      </c>
      <c r="J568" s="2">
        <f t="shared" si="47"/>
        <v>1700000</v>
      </c>
      <c r="K568" t="s">
        <v>23</v>
      </c>
      <c r="L568">
        <f t="shared" si="48"/>
        <v>0.20833333333333334</v>
      </c>
      <c r="M568" s="5">
        <v>0.20833333333333334</v>
      </c>
      <c r="N568" t="s">
        <v>43</v>
      </c>
      <c r="P568" t="s">
        <v>757</v>
      </c>
      <c r="R568" s="3">
        <f t="shared" si="44"/>
        <v>5</v>
      </c>
    </row>
    <row r="569" spans="1:18" x14ac:dyDescent="0.25">
      <c r="A569" t="s">
        <v>867</v>
      </c>
      <c r="B569" t="s">
        <v>640</v>
      </c>
      <c r="C569" t="s">
        <v>664</v>
      </c>
      <c r="D569" s="3">
        <f t="shared" si="45"/>
        <v>15</v>
      </c>
      <c r="E569" t="s">
        <v>504</v>
      </c>
      <c r="F569" t="s">
        <v>13</v>
      </c>
      <c r="G569">
        <f t="shared" si="46"/>
        <v>1325000</v>
      </c>
      <c r="H569" t="s">
        <v>683</v>
      </c>
      <c r="I569" t="s">
        <v>868</v>
      </c>
      <c r="J569" s="2">
        <f t="shared" si="47"/>
        <v>1195000</v>
      </c>
      <c r="K569" t="s">
        <v>685</v>
      </c>
      <c r="L569">
        <f t="shared" si="48"/>
        <v>0.17222222222222225</v>
      </c>
      <c r="M569" s="5">
        <v>0.17222222222222225</v>
      </c>
      <c r="N569" t="s">
        <v>43</v>
      </c>
      <c r="P569" t="s">
        <v>686</v>
      </c>
      <c r="R569" s="3">
        <f t="shared" si="44"/>
        <v>4.1333333333333337</v>
      </c>
    </row>
    <row r="570" spans="1:18" hidden="1" x14ac:dyDescent="0.25">
      <c r="A570" t="s">
        <v>2838</v>
      </c>
      <c r="B570" t="s">
        <v>3206</v>
      </c>
      <c r="C570" t="s">
        <v>2640</v>
      </c>
      <c r="D570" s="3">
        <f t="shared" si="45"/>
        <v>9</v>
      </c>
      <c r="E570" t="s">
        <v>12</v>
      </c>
      <c r="F570" t="s">
        <v>13</v>
      </c>
      <c r="G570" t="str">
        <f t="shared" si="46"/>
        <v/>
      </c>
      <c r="H570" t="s">
        <v>14</v>
      </c>
      <c r="I570" t="s">
        <v>2839</v>
      </c>
      <c r="J570" s="2">
        <f t="shared" si="47"/>
        <v>2000000</v>
      </c>
      <c r="K570" t="s">
        <v>128</v>
      </c>
      <c r="L570">
        <f t="shared" si="48"/>
        <v>0.16666666666666666</v>
      </c>
      <c r="M570" s="5">
        <v>0.16666666666666666</v>
      </c>
      <c r="N570" t="s">
        <v>18</v>
      </c>
      <c r="P570" t="s">
        <v>2095</v>
      </c>
      <c r="R570" s="3">
        <f t="shared" si="44"/>
        <v>4</v>
      </c>
    </row>
    <row r="571" spans="1:18" hidden="1" x14ac:dyDescent="0.25">
      <c r="A571" t="s">
        <v>4959</v>
      </c>
      <c r="B571" t="s">
        <v>4806</v>
      </c>
      <c r="C571" t="s">
        <v>4805</v>
      </c>
      <c r="D571" s="3">
        <f t="shared" si="45"/>
        <v>8.75</v>
      </c>
      <c r="E571" t="s">
        <v>1404</v>
      </c>
      <c r="F571" t="s">
        <v>34</v>
      </c>
      <c r="G571" t="str">
        <f t="shared" si="46"/>
        <v/>
      </c>
      <c r="H571" t="s">
        <v>14</v>
      </c>
      <c r="I571" t="s">
        <v>4960</v>
      </c>
      <c r="J571" s="2">
        <f t="shared" si="47"/>
        <v>1600000</v>
      </c>
      <c r="K571" t="s">
        <v>95</v>
      </c>
      <c r="L571">
        <f t="shared" si="48"/>
        <v>0</v>
      </c>
      <c r="N571" t="s">
        <v>37</v>
      </c>
      <c r="R571" s="3">
        <f t="shared" si="44"/>
        <v>0</v>
      </c>
    </row>
    <row r="572" spans="1:18" hidden="1" x14ac:dyDescent="0.25">
      <c r="A572" t="s">
        <v>32</v>
      </c>
      <c r="B572" t="s">
        <v>20</v>
      </c>
      <c r="C572" t="s">
        <v>38</v>
      </c>
      <c r="D572" s="3">
        <f t="shared" si="45"/>
        <v>12</v>
      </c>
      <c r="E572" t="s">
        <v>33</v>
      </c>
      <c r="F572" t="s">
        <v>34</v>
      </c>
      <c r="G572" t="str">
        <f t="shared" si="46"/>
        <v/>
      </c>
      <c r="H572" t="s">
        <v>14</v>
      </c>
      <c r="I572" t="s">
        <v>35</v>
      </c>
      <c r="J572" s="2">
        <f t="shared" si="47"/>
        <v>1200000</v>
      </c>
      <c r="K572" t="s">
        <v>36</v>
      </c>
      <c r="L572">
        <f t="shared" si="48"/>
        <v>0</v>
      </c>
      <c r="N572" t="s">
        <v>37</v>
      </c>
      <c r="R572" s="3">
        <f t="shared" si="44"/>
        <v>0</v>
      </c>
    </row>
    <row r="573" spans="1:18" hidden="1" x14ac:dyDescent="0.25">
      <c r="A573" t="s">
        <v>3887</v>
      </c>
      <c r="B573" t="s">
        <v>3746</v>
      </c>
      <c r="C573" t="s">
        <v>3889</v>
      </c>
      <c r="D573" s="3">
        <f t="shared" si="45"/>
        <v>12</v>
      </c>
      <c r="E573" t="s">
        <v>33</v>
      </c>
      <c r="F573" t="s">
        <v>13</v>
      </c>
      <c r="G573" t="str">
        <f t="shared" si="46"/>
        <v/>
      </c>
      <c r="H573" t="s">
        <v>14</v>
      </c>
      <c r="I573" t="s">
        <v>3888</v>
      </c>
      <c r="J573" s="2">
        <f t="shared" si="47"/>
        <v>850000</v>
      </c>
      <c r="K573" t="s">
        <v>185</v>
      </c>
      <c r="L573">
        <f t="shared" si="48"/>
        <v>0.20833333333333334</v>
      </c>
      <c r="M573" s="5">
        <v>0.20833333333333334</v>
      </c>
      <c r="N573" t="s">
        <v>43</v>
      </c>
      <c r="R573" s="3">
        <f t="shared" si="44"/>
        <v>5</v>
      </c>
    </row>
    <row r="574" spans="1:18" x14ac:dyDescent="0.25">
      <c r="A574" t="s">
        <v>900</v>
      </c>
      <c r="B574" t="s">
        <v>640</v>
      </c>
      <c r="C574" t="s">
        <v>643</v>
      </c>
      <c r="D574" s="3">
        <f t="shared" si="45"/>
        <v>9</v>
      </c>
      <c r="E574" t="s">
        <v>12</v>
      </c>
      <c r="F574" t="s">
        <v>13</v>
      </c>
      <c r="G574" t="str">
        <f t="shared" si="46"/>
        <v/>
      </c>
      <c r="H574" t="s">
        <v>14</v>
      </c>
      <c r="I574" t="s">
        <v>901</v>
      </c>
      <c r="J574" s="2">
        <f t="shared" si="47"/>
        <v>1200000</v>
      </c>
      <c r="K574" t="s">
        <v>36</v>
      </c>
      <c r="L574">
        <f t="shared" si="48"/>
        <v>0.17013888888888887</v>
      </c>
      <c r="M574" s="5">
        <v>0.17013888888888887</v>
      </c>
      <c r="N574" t="s">
        <v>43</v>
      </c>
      <c r="P574" t="s">
        <v>669</v>
      </c>
      <c r="R574" s="3">
        <f t="shared" si="44"/>
        <v>4.083333333333333</v>
      </c>
    </row>
    <row r="575" spans="1:18" x14ac:dyDescent="0.25">
      <c r="A575" t="s">
        <v>1152</v>
      </c>
      <c r="B575" t="s">
        <v>640</v>
      </c>
      <c r="C575" t="s">
        <v>657</v>
      </c>
      <c r="D575" s="3">
        <f t="shared" si="45"/>
        <v>9</v>
      </c>
      <c r="E575" t="s">
        <v>12</v>
      </c>
      <c r="F575" t="s">
        <v>13</v>
      </c>
      <c r="G575" t="str">
        <f t="shared" si="46"/>
        <v/>
      </c>
      <c r="H575" t="s">
        <v>14</v>
      </c>
      <c r="I575" t="s">
        <v>1153</v>
      </c>
      <c r="J575" s="2">
        <f t="shared" si="47"/>
        <v>1200000</v>
      </c>
      <c r="K575" t="s">
        <v>36</v>
      </c>
      <c r="L575">
        <f t="shared" si="48"/>
        <v>0</v>
      </c>
      <c r="N575" t="s">
        <v>18</v>
      </c>
      <c r="R575" s="3">
        <f t="shared" si="44"/>
        <v>0</v>
      </c>
    </row>
    <row r="576" spans="1:18" hidden="1" x14ac:dyDescent="0.25">
      <c r="A576" t="s">
        <v>3368</v>
      </c>
      <c r="B576" t="s">
        <v>3233</v>
      </c>
      <c r="C576" t="s">
        <v>3248</v>
      </c>
      <c r="D576" s="3">
        <f t="shared" si="45"/>
        <v>8.5</v>
      </c>
      <c r="E576" t="s">
        <v>3117</v>
      </c>
      <c r="F576" t="s">
        <v>13</v>
      </c>
      <c r="G576" t="str">
        <f t="shared" si="46"/>
        <v/>
      </c>
      <c r="H576" t="s">
        <v>14</v>
      </c>
      <c r="I576" t="s">
        <v>3369</v>
      </c>
      <c r="J576" s="2">
        <f t="shared" si="47"/>
        <v>2300000</v>
      </c>
      <c r="K576" t="s">
        <v>820</v>
      </c>
      <c r="L576">
        <f t="shared" si="48"/>
        <v>0.17013888888888887</v>
      </c>
      <c r="M576" s="5">
        <v>0.17013888888888887</v>
      </c>
      <c r="N576" t="s">
        <v>43</v>
      </c>
      <c r="P576" t="s">
        <v>840</v>
      </c>
      <c r="R576" s="3">
        <f t="shared" si="44"/>
        <v>4.083333333333333</v>
      </c>
    </row>
    <row r="577" spans="1:18" x14ac:dyDescent="0.25">
      <c r="A577" t="s">
        <v>4032</v>
      </c>
      <c r="B577" t="s">
        <v>3746</v>
      </c>
      <c r="C577" t="s">
        <v>3746</v>
      </c>
      <c r="D577" s="3">
        <f t="shared" si="45"/>
        <v>12</v>
      </c>
      <c r="E577" t="s">
        <v>33</v>
      </c>
      <c r="F577" t="s">
        <v>13</v>
      </c>
      <c r="G577" t="str">
        <f t="shared" si="46"/>
        <v/>
      </c>
      <c r="H577" t="s">
        <v>14</v>
      </c>
      <c r="I577" t="s">
        <v>4033</v>
      </c>
      <c r="J577" s="2">
        <f t="shared" si="47"/>
        <v>1200000</v>
      </c>
      <c r="K577" t="s">
        <v>36</v>
      </c>
      <c r="L577">
        <f t="shared" si="48"/>
        <v>0</v>
      </c>
      <c r="N577" t="s">
        <v>43</v>
      </c>
      <c r="R577" s="3">
        <f t="shared" si="44"/>
        <v>0</v>
      </c>
    </row>
    <row r="578" spans="1:18" hidden="1" x14ac:dyDescent="0.25">
      <c r="A578" t="s">
        <v>622</v>
      </c>
      <c r="B578" t="s">
        <v>20</v>
      </c>
      <c r="C578" t="s">
        <v>19</v>
      </c>
      <c r="D578" s="3">
        <f t="shared" si="45"/>
        <v>12</v>
      </c>
      <c r="E578" t="s">
        <v>33</v>
      </c>
      <c r="F578" t="s">
        <v>13</v>
      </c>
      <c r="G578" t="str">
        <f t="shared" si="46"/>
        <v/>
      </c>
      <c r="H578" t="s">
        <v>14</v>
      </c>
      <c r="I578" t="s">
        <v>623</v>
      </c>
      <c r="J578" s="2">
        <f t="shared" si="47"/>
        <v>1650000</v>
      </c>
      <c r="K578" t="s">
        <v>90</v>
      </c>
      <c r="L578">
        <f t="shared" si="48"/>
        <v>0</v>
      </c>
      <c r="N578" t="s">
        <v>43</v>
      </c>
      <c r="R578" s="3">
        <f t="shared" ref="R578:R641" si="49">24*L578</f>
        <v>0</v>
      </c>
    </row>
    <row r="579" spans="1:18" hidden="1" x14ac:dyDescent="0.25">
      <c r="A579" t="s">
        <v>2571</v>
      </c>
      <c r="B579" t="s">
        <v>2596</v>
      </c>
      <c r="C579" t="s">
        <v>1999</v>
      </c>
      <c r="D579" s="3">
        <f t="shared" si="45"/>
        <v>9</v>
      </c>
      <c r="E579" t="s">
        <v>12</v>
      </c>
      <c r="F579" t="s">
        <v>13</v>
      </c>
      <c r="G579" t="str">
        <f t="shared" si="46"/>
        <v/>
      </c>
      <c r="H579" t="s">
        <v>14</v>
      </c>
      <c r="I579" t="s">
        <v>2572</v>
      </c>
      <c r="J579" s="2">
        <f t="shared" si="47"/>
        <v>1150000</v>
      </c>
      <c r="K579" t="s">
        <v>700</v>
      </c>
      <c r="L579">
        <f t="shared" si="48"/>
        <v>0.20833333333333334</v>
      </c>
      <c r="M579" s="5">
        <v>0.20833333333333334</v>
      </c>
      <c r="N579" t="s">
        <v>43</v>
      </c>
      <c r="R579" s="3">
        <f t="shared" si="49"/>
        <v>5</v>
      </c>
    </row>
    <row r="580" spans="1:18" x14ac:dyDescent="0.25">
      <c r="A580" t="s">
        <v>5401</v>
      </c>
      <c r="B580" t="s">
        <v>5848</v>
      </c>
      <c r="C580" t="s">
        <v>5402</v>
      </c>
      <c r="D580" s="3" t="e">
        <f t="shared" si="45"/>
        <v>#VALUE!</v>
      </c>
      <c r="E580" t="s">
        <v>14</v>
      </c>
      <c r="F580" t="s">
        <v>14</v>
      </c>
      <c r="G580" t="str">
        <f t="shared" si="46"/>
        <v/>
      </c>
      <c r="H580" t="s">
        <v>14</v>
      </c>
      <c r="I580" t="s">
        <v>110</v>
      </c>
      <c r="J580" s="2">
        <f t="shared" si="47"/>
        <v>1200000</v>
      </c>
      <c r="K580" t="s">
        <v>36</v>
      </c>
      <c r="L580">
        <f t="shared" si="48"/>
        <v>0</v>
      </c>
      <c r="N580" t="s">
        <v>18</v>
      </c>
      <c r="R580" s="3">
        <f t="shared" si="49"/>
        <v>0</v>
      </c>
    </row>
    <row r="581" spans="1:18" hidden="1" x14ac:dyDescent="0.25">
      <c r="A581" t="s">
        <v>592</v>
      </c>
      <c r="B581" t="s">
        <v>20</v>
      </c>
      <c r="C581" t="s">
        <v>594</v>
      </c>
      <c r="D581" s="3">
        <f t="shared" si="45"/>
        <v>9</v>
      </c>
      <c r="E581" t="s">
        <v>12</v>
      </c>
      <c r="F581" t="s">
        <v>13</v>
      </c>
      <c r="G581" t="str">
        <f t="shared" si="46"/>
        <v/>
      </c>
      <c r="H581" t="s">
        <v>14</v>
      </c>
      <c r="I581" t="s">
        <v>593</v>
      </c>
      <c r="J581" s="2">
        <f t="shared" si="47"/>
        <v>1200000</v>
      </c>
      <c r="K581" t="s">
        <v>36</v>
      </c>
      <c r="L581">
        <f t="shared" si="48"/>
        <v>0</v>
      </c>
      <c r="N581" t="s">
        <v>43</v>
      </c>
      <c r="R581" s="3">
        <f t="shared" si="49"/>
        <v>0</v>
      </c>
    </row>
    <row r="582" spans="1:18" x14ac:dyDescent="0.25">
      <c r="A582" t="s">
        <v>3778</v>
      </c>
      <c r="B582" t="s">
        <v>3746</v>
      </c>
      <c r="C582" t="s">
        <v>3780</v>
      </c>
      <c r="D582" s="3">
        <f t="shared" si="45"/>
        <v>20</v>
      </c>
      <c r="E582" t="s">
        <v>159</v>
      </c>
      <c r="F582" t="s">
        <v>34</v>
      </c>
      <c r="G582" t="str">
        <f t="shared" si="46"/>
        <v/>
      </c>
      <c r="H582" t="s">
        <v>14</v>
      </c>
      <c r="I582" t="s">
        <v>3779</v>
      </c>
      <c r="J582" s="2">
        <f t="shared" si="47"/>
        <v>1200000</v>
      </c>
      <c r="K582" t="s">
        <v>36</v>
      </c>
      <c r="L582">
        <f t="shared" si="48"/>
        <v>0</v>
      </c>
      <c r="N582" t="s">
        <v>18</v>
      </c>
      <c r="R582" s="3">
        <f t="shared" si="49"/>
        <v>0</v>
      </c>
    </row>
    <row r="583" spans="1:18" hidden="1" x14ac:dyDescent="0.25">
      <c r="A583" t="s">
        <v>21</v>
      </c>
      <c r="B583" t="s">
        <v>20</v>
      </c>
      <c r="C583" t="s">
        <v>24</v>
      </c>
      <c r="D583" s="3">
        <f t="shared" si="45"/>
        <v>9</v>
      </c>
      <c r="E583" t="s">
        <v>12</v>
      </c>
      <c r="F583" t="s">
        <v>13</v>
      </c>
      <c r="G583" t="str">
        <f t="shared" si="46"/>
        <v/>
      </c>
      <c r="H583" t="s">
        <v>14</v>
      </c>
      <c r="I583" t="s">
        <v>22</v>
      </c>
      <c r="J583" s="2">
        <f t="shared" si="47"/>
        <v>1700000</v>
      </c>
      <c r="K583" t="s">
        <v>23</v>
      </c>
      <c r="L583">
        <f t="shared" si="48"/>
        <v>0</v>
      </c>
      <c r="N583" t="s">
        <v>18</v>
      </c>
      <c r="R583" s="3">
        <f t="shared" si="49"/>
        <v>0</v>
      </c>
    </row>
    <row r="584" spans="1:18" hidden="1" x14ac:dyDescent="0.25">
      <c r="A584" t="s">
        <v>4251</v>
      </c>
      <c r="B584" t="s">
        <v>3746</v>
      </c>
      <c r="C584" t="s">
        <v>3773</v>
      </c>
      <c r="D584" s="3">
        <f t="shared" si="45"/>
        <v>28</v>
      </c>
      <c r="E584" t="s">
        <v>1702</v>
      </c>
      <c r="F584" t="s">
        <v>13</v>
      </c>
      <c r="G584" t="str">
        <f t="shared" si="46"/>
        <v/>
      </c>
      <c r="H584" t="s">
        <v>14</v>
      </c>
      <c r="I584" t="s">
        <v>4252</v>
      </c>
      <c r="J584" s="2">
        <f t="shared" si="47"/>
        <v>2500000</v>
      </c>
      <c r="K584" t="s">
        <v>272</v>
      </c>
      <c r="L584">
        <f t="shared" si="48"/>
        <v>0</v>
      </c>
      <c r="N584" t="s">
        <v>43</v>
      </c>
      <c r="R584" s="3">
        <f t="shared" si="49"/>
        <v>0</v>
      </c>
    </row>
    <row r="585" spans="1:18" hidden="1" x14ac:dyDescent="0.25">
      <c r="A585" t="s">
        <v>3428</v>
      </c>
      <c r="B585" t="s">
        <v>3233</v>
      </c>
      <c r="C585" t="s">
        <v>3237</v>
      </c>
      <c r="D585" s="3">
        <f t="shared" si="45"/>
        <v>12</v>
      </c>
      <c r="E585" t="s">
        <v>33</v>
      </c>
      <c r="F585" t="s">
        <v>13</v>
      </c>
      <c r="G585" t="str">
        <f t="shared" si="46"/>
        <v/>
      </c>
      <c r="H585" t="s">
        <v>14</v>
      </c>
      <c r="I585" t="s">
        <v>3429</v>
      </c>
      <c r="J585" s="2">
        <f t="shared" si="47"/>
        <v>1200000</v>
      </c>
      <c r="K585" t="s">
        <v>36</v>
      </c>
      <c r="L585">
        <f t="shared" si="48"/>
        <v>0</v>
      </c>
      <c r="N585" t="s">
        <v>43</v>
      </c>
      <c r="R585" s="3">
        <f t="shared" si="49"/>
        <v>0</v>
      </c>
    </row>
    <row r="586" spans="1:18" hidden="1" x14ac:dyDescent="0.25">
      <c r="A586" t="s">
        <v>1014</v>
      </c>
      <c r="B586" t="s">
        <v>640</v>
      </c>
      <c r="C586" t="s">
        <v>1016</v>
      </c>
      <c r="D586" s="3">
        <f t="shared" si="45"/>
        <v>24</v>
      </c>
      <c r="E586" t="s">
        <v>601</v>
      </c>
      <c r="F586" t="s">
        <v>34</v>
      </c>
      <c r="G586" t="str">
        <f t="shared" si="46"/>
        <v/>
      </c>
      <c r="H586" t="s">
        <v>14</v>
      </c>
      <c r="I586" t="s">
        <v>1015</v>
      </c>
      <c r="J586" s="2">
        <f t="shared" si="47"/>
        <v>1500000</v>
      </c>
      <c r="K586" t="s">
        <v>66</v>
      </c>
      <c r="L586">
        <f t="shared" si="48"/>
        <v>0</v>
      </c>
      <c r="N586" t="s">
        <v>43</v>
      </c>
      <c r="R586" s="3">
        <f t="shared" si="49"/>
        <v>0</v>
      </c>
    </row>
    <row r="587" spans="1:18" hidden="1" x14ac:dyDescent="0.25">
      <c r="A587" t="s">
        <v>1768</v>
      </c>
      <c r="B587" t="s">
        <v>1303</v>
      </c>
      <c r="C587" t="s">
        <v>1770</v>
      </c>
      <c r="D587" s="3">
        <f t="shared" ref="D587:D650" si="50">VALUE(LEFT(E587,SEARCH(" x ",E587)-1))*VALUE(MID(E587,SEARCH(" x ",E587)+3,SEARCH(" meter",E587)-SEARCH(" x ",E587)-3))</f>
        <v>10.5</v>
      </c>
      <c r="E587" t="s">
        <v>653</v>
      </c>
      <c r="F587" t="s">
        <v>13</v>
      </c>
      <c r="G587" t="str">
        <f t="shared" ref="G587:G650" si="51">IF(H587="N/A","",VALUE(SUBSTITUTE(SUBSTITUTE(H587,"Rp",""),".","")))</f>
        <v/>
      </c>
      <c r="H587" t="s">
        <v>14</v>
      </c>
      <c r="I587" t="s">
        <v>1769</v>
      </c>
      <c r="J587" s="2">
        <f t="shared" ref="J587:J650" si="52">VALUE(SUBSTITUTE(SUBSTITUTE(K587,"Rp",""),".",""))</f>
        <v>2250000</v>
      </c>
      <c r="K587" t="s">
        <v>448</v>
      </c>
      <c r="L587">
        <f t="shared" ref="L587:L650" si="53">M587:M2927</f>
        <v>0</v>
      </c>
      <c r="N587" t="s">
        <v>43</v>
      </c>
      <c r="R587" s="3">
        <f t="shared" si="49"/>
        <v>0</v>
      </c>
    </row>
    <row r="588" spans="1:18" hidden="1" x14ac:dyDescent="0.25">
      <c r="A588" t="s">
        <v>5280</v>
      </c>
      <c r="B588" t="s">
        <v>4806</v>
      </c>
      <c r="C588" t="s">
        <v>4805</v>
      </c>
      <c r="D588" s="3">
        <f t="shared" si="50"/>
        <v>9</v>
      </c>
      <c r="E588" t="s">
        <v>12</v>
      </c>
      <c r="F588" t="s">
        <v>34</v>
      </c>
      <c r="G588" t="str">
        <f t="shared" si="51"/>
        <v/>
      </c>
      <c r="H588" t="s">
        <v>14</v>
      </c>
      <c r="I588" t="s">
        <v>5281</v>
      </c>
      <c r="J588" s="2">
        <f t="shared" si="52"/>
        <v>500000</v>
      </c>
      <c r="K588" t="s">
        <v>16</v>
      </c>
      <c r="L588">
        <f t="shared" si="53"/>
        <v>0</v>
      </c>
      <c r="N588" t="s">
        <v>43</v>
      </c>
      <c r="R588" s="3">
        <f t="shared" si="49"/>
        <v>0</v>
      </c>
    </row>
    <row r="589" spans="1:18" hidden="1" x14ac:dyDescent="0.25">
      <c r="A589" t="s">
        <v>2117</v>
      </c>
      <c r="B589" t="s">
        <v>2596</v>
      </c>
      <c r="C589" t="s">
        <v>2036</v>
      </c>
      <c r="D589" s="3">
        <f t="shared" si="50"/>
        <v>9</v>
      </c>
      <c r="E589" t="s">
        <v>12</v>
      </c>
      <c r="F589" t="s">
        <v>34</v>
      </c>
      <c r="G589" t="str">
        <f t="shared" si="51"/>
        <v/>
      </c>
      <c r="H589" t="s">
        <v>14</v>
      </c>
      <c r="I589" t="s">
        <v>2118</v>
      </c>
      <c r="J589" s="2">
        <f t="shared" si="52"/>
        <v>2650000</v>
      </c>
      <c r="K589" t="s">
        <v>1325</v>
      </c>
      <c r="L589">
        <f t="shared" si="53"/>
        <v>0.17083333333333331</v>
      </c>
      <c r="M589" s="5">
        <v>0.17083333333333331</v>
      </c>
      <c r="N589" t="s">
        <v>43</v>
      </c>
      <c r="R589" s="3">
        <f t="shared" si="49"/>
        <v>4.0999999999999996</v>
      </c>
    </row>
    <row r="590" spans="1:18" hidden="1" x14ac:dyDescent="0.25">
      <c r="A590" t="s">
        <v>1836</v>
      </c>
      <c r="B590" t="s">
        <v>1303</v>
      </c>
      <c r="C590" t="s">
        <v>1312</v>
      </c>
      <c r="D590" s="3">
        <f t="shared" si="50"/>
        <v>16</v>
      </c>
      <c r="E590" t="s">
        <v>79</v>
      </c>
      <c r="F590" t="s">
        <v>34</v>
      </c>
      <c r="G590" t="str">
        <f t="shared" si="51"/>
        <v/>
      </c>
      <c r="H590" t="s">
        <v>14</v>
      </c>
      <c r="I590" t="s">
        <v>1837</v>
      </c>
      <c r="J590" s="2">
        <f t="shared" si="52"/>
        <v>1900000</v>
      </c>
      <c r="K590" t="s">
        <v>352</v>
      </c>
      <c r="L590">
        <f t="shared" si="53"/>
        <v>0.17291666666666669</v>
      </c>
      <c r="M590" s="5">
        <v>0.17291666666666669</v>
      </c>
      <c r="N590" t="s">
        <v>43</v>
      </c>
      <c r="P590" t="s">
        <v>673</v>
      </c>
      <c r="R590" s="3">
        <f t="shared" si="49"/>
        <v>4.1500000000000004</v>
      </c>
    </row>
    <row r="591" spans="1:18" hidden="1" x14ac:dyDescent="0.25">
      <c r="A591" t="s">
        <v>5291</v>
      </c>
      <c r="B591" t="s">
        <v>4806</v>
      </c>
      <c r="C591" t="s">
        <v>4825</v>
      </c>
      <c r="D591" s="3">
        <f t="shared" si="50"/>
        <v>12</v>
      </c>
      <c r="E591" t="s">
        <v>33</v>
      </c>
      <c r="F591" t="s">
        <v>13</v>
      </c>
      <c r="G591" t="str">
        <f t="shared" si="51"/>
        <v/>
      </c>
      <c r="H591" t="s">
        <v>14</v>
      </c>
      <c r="I591" t="s">
        <v>5292</v>
      </c>
      <c r="J591" s="2">
        <f t="shared" si="52"/>
        <v>1500000</v>
      </c>
      <c r="K591" t="s">
        <v>66</v>
      </c>
      <c r="L591">
        <f t="shared" si="53"/>
        <v>0</v>
      </c>
      <c r="N591" t="s">
        <v>43</v>
      </c>
      <c r="R591" s="3">
        <f t="shared" si="49"/>
        <v>0</v>
      </c>
    </row>
    <row r="592" spans="1:18" hidden="1" x14ac:dyDescent="0.25">
      <c r="A592" t="s">
        <v>5291</v>
      </c>
      <c r="B592" t="s">
        <v>4806</v>
      </c>
      <c r="C592" t="s">
        <v>4825</v>
      </c>
      <c r="D592" s="3">
        <f t="shared" si="50"/>
        <v>12</v>
      </c>
      <c r="E592" t="s">
        <v>33</v>
      </c>
      <c r="F592" t="s">
        <v>13</v>
      </c>
      <c r="G592" t="str">
        <f t="shared" si="51"/>
        <v/>
      </c>
      <c r="H592" t="s">
        <v>14</v>
      </c>
      <c r="I592" t="s">
        <v>5319</v>
      </c>
      <c r="J592" s="2">
        <f t="shared" si="52"/>
        <v>1500000</v>
      </c>
      <c r="K592" t="s">
        <v>66</v>
      </c>
      <c r="L592">
        <f t="shared" si="53"/>
        <v>0</v>
      </c>
      <c r="N592" t="s">
        <v>43</v>
      </c>
      <c r="R592" s="3">
        <f t="shared" si="49"/>
        <v>0</v>
      </c>
    </row>
    <row r="593" spans="1:18" hidden="1" x14ac:dyDescent="0.25">
      <c r="A593" t="s">
        <v>5009</v>
      </c>
      <c r="B593" t="s">
        <v>4806</v>
      </c>
      <c r="C593" t="s">
        <v>4825</v>
      </c>
      <c r="D593" s="3">
        <f t="shared" si="50"/>
        <v>15</v>
      </c>
      <c r="E593" t="s">
        <v>71</v>
      </c>
      <c r="F593" t="s">
        <v>13</v>
      </c>
      <c r="G593" t="str">
        <f t="shared" si="51"/>
        <v/>
      </c>
      <c r="H593" t="s">
        <v>14</v>
      </c>
      <c r="I593" t="s">
        <v>5010</v>
      </c>
      <c r="J593" s="2">
        <f t="shared" si="52"/>
        <v>1400000</v>
      </c>
      <c r="K593" t="s">
        <v>81</v>
      </c>
      <c r="L593">
        <f t="shared" si="53"/>
        <v>0</v>
      </c>
      <c r="N593" t="s">
        <v>43</v>
      </c>
      <c r="R593" s="3">
        <f t="shared" si="49"/>
        <v>0</v>
      </c>
    </row>
    <row r="594" spans="1:18" hidden="1" x14ac:dyDescent="0.25">
      <c r="A594" t="s">
        <v>4127</v>
      </c>
      <c r="B594" t="s">
        <v>3746</v>
      </c>
      <c r="C594" t="s">
        <v>3894</v>
      </c>
      <c r="D594" s="3">
        <f t="shared" si="50"/>
        <v>12</v>
      </c>
      <c r="E594" t="s">
        <v>33</v>
      </c>
      <c r="F594" t="s">
        <v>13</v>
      </c>
      <c r="G594" t="str">
        <f t="shared" si="51"/>
        <v/>
      </c>
      <c r="H594" t="s">
        <v>14</v>
      </c>
      <c r="I594" t="s">
        <v>4128</v>
      </c>
      <c r="J594" s="2">
        <f t="shared" si="52"/>
        <v>1300000</v>
      </c>
      <c r="K594" t="s">
        <v>17</v>
      </c>
      <c r="L594">
        <f t="shared" si="53"/>
        <v>0.17222222222222225</v>
      </c>
      <c r="M594" s="5">
        <v>0.17222222222222225</v>
      </c>
      <c r="N594" t="s">
        <v>18</v>
      </c>
      <c r="P594" t="s">
        <v>134</v>
      </c>
      <c r="R594" s="3">
        <f t="shared" si="49"/>
        <v>4.1333333333333337</v>
      </c>
    </row>
    <row r="595" spans="1:18" hidden="1" x14ac:dyDescent="0.25">
      <c r="A595" t="s">
        <v>4185</v>
      </c>
      <c r="B595" t="s">
        <v>3746</v>
      </c>
      <c r="C595" t="s">
        <v>3749</v>
      </c>
      <c r="D595" s="3">
        <f t="shared" si="50"/>
        <v>12</v>
      </c>
      <c r="E595" t="s">
        <v>33</v>
      </c>
      <c r="F595" t="s">
        <v>13</v>
      </c>
      <c r="G595" t="str">
        <f t="shared" si="51"/>
        <v/>
      </c>
      <c r="H595" t="s">
        <v>14</v>
      </c>
      <c r="I595" t="s">
        <v>4186</v>
      </c>
      <c r="J595" s="2">
        <f t="shared" si="52"/>
        <v>1400000</v>
      </c>
      <c r="K595" t="s">
        <v>81</v>
      </c>
      <c r="L595">
        <f t="shared" si="53"/>
        <v>0.17291666666666669</v>
      </c>
      <c r="M595" s="5">
        <v>0.17291666666666669</v>
      </c>
      <c r="N595" t="s">
        <v>18</v>
      </c>
      <c r="R595" s="3">
        <f t="shared" si="49"/>
        <v>4.1500000000000004</v>
      </c>
    </row>
    <row r="596" spans="1:18" x14ac:dyDescent="0.25">
      <c r="A596" t="s">
        <v>4732</v>
      </c>
      <c r="B596" t="s">
        <v>4272</v>
      </c>
      <c r="C596" t="s">
        <v>4334</v>
      </c>
      <c r="D596" s="3">
        <f t="shared" si="50"/>
        <v>12</v>
      </c>
      <c r="E596" t="s">
        <v>33</v>
      </c>
      <c r="F596" t="s">
        <v>13</v>
      </c>
      <c r="G596" t="str">
        <f t="shared" si="51"/>
        <v/>
      </c>
      <c r="H596" t="s">
        <v>14</v>
      </c>
      <c r="I596" t="s">
        <v>4733</v>
      </c>
      <c r="J596" s="2">
        <f t="shared" si="52"/>
        <v>1200000</v>
      </c>
      <c r="K596" t="s">
        <v>36</v>
      </c>
      <c r="L596">
        <f t="shared" si="53"/>
        <v>0</v>
      </c>
      <c r="N596" t="s">
        <v>43</v>
      </c>
      <c r="R596" s="3">
        <f t="shared" si="49"/>
        <v>0</v>
      </c>
    </row>
    <row r="597" spans="1:18" hidden="1" x14ac:dyDescent="0.25">
      <c r="A597" t="s">
        <v>1275</v>
      </c>
      <c r="B597" t="s">
        <v>640</v>
      </c>
      <c r="C597" t="s">
        <v>643</v>
      </c>
      <c r="D597" s="3">
        <f t="shared" si="50"/>
        <v>10.8</v>
      </c>
      <c r="E597" t="s">
        <v>1276</v>
      </c>
      <c r="F597" t="s">
        <v>34</v>
      </c>
      <c r="G597" t="str">
        <f t="shared" si="51"/>
        <v/>
      </c>
      <c r="H597" t="s">
        <v>14</v>
      </c>
      <c r="I597" t="s">
        <v>1277</v>
      </c>
      <c r="J597" s="2">
        <f t="shared" si="52"/>
        <v>1500000</v>
      </c>
      <c r="K597" t="s">
        <v>66</v>
      </c>
      <c r="L597">
        <f t="shared" si="53"/>
        <v>0.17291666666666669</v>
      </c>
      <c r="M597" s="5">
        <v>0.17291666666666669</v>
      </c>
      <c r="N597" t="s">
        <v>18</v>
      </c>
      <c r="P597" t="s">
        <v>673</v>
      </c>
      <c r="R597" s="3">
        <f t="shared" si="49"/>
        <v>4.1500000000000004</v>
      </c>
    </row>
    <row r="598" spans="1:18" x14ac:dyDescent="0.25">
      <c r="A598" t="s">
        <v>4679</v>
      </c>
      <c r="B598" t="s">
        <v>4272</v>
      </c>
      <c r="C598" t="s">
        <v>4281</v>
      </c>
      <c r="D598" s="3">
        <f t="shared" si="50"/>
        <v>9</v>
      </c>
      <c r="E598" t="s">
        <v>12</v>
      </c>
      <c r="F598" t="s">
        <v>13</v>
      </c>
      <c r="G598" t="str">
        <f t="shared" si="51"/>
        <v/>
      </c>
      <c r="H598" t="s">
        <v>14</v>
      </c>
      <c r="I598" t="s">
        <v>4680</v>
      </c>
      <c r="J598" s="2">
        <f t="shared" si="52"/>
        <v>1200000</v>
      </c>
      <c r="K598" t="s">
        <v>36</v>
      </c>
      <c r="L598">
        <f t="shared" si="53"/>
        <v>0.17222222222222225</v>
      </c>
      <c r="M598" s="5">
        <v>0.17222222222222225</v>
      </c>
      <c r="N598" t="s">
        <v>18</v>
      </c>
      <c r="R598" s="3">
        <f t="shared" si="49"/>
        <v>4.1333333333333337</v>
      </c>
    </row>
    <row r="599" spans="1:18" hidden="1" x14ac:dyDescent="0.25">
      <c r="A599" t="s">
        <v>3898</v>
      </c>
      <c r="B599" t="s">
        <v>3746</v>
      </c>
      <c r="C599" t="s">
        <v>3900</v>
      </c>
      <c r="D599" s="3">
        <f t="shared" si="50"/>
        <v>9</v>
      </c>
      <c r="E599" t="s">
        <v>12</v>
      </c>
      <c r="F599" t="s">
        <v>13</v>
      </c>
      <c r="G599" t="str">
        <f t="shared" si="51"/>
        <v/>
      </c>
      <c r="H599" t="s">
        <v>14</v>
      </c>
      <c r="I599" t="s">
        <v>3899</v>
      </c>
      <c r="J599" s="2">
        <f t="shared" si="52"/>
        <v>800000</v>
      </c>
      <c r="K599" t="s">
        <v>109</v>
      </c>
      <c r="L599">
        <f t="shared" si="53"/>
        <v>0</v>
      </c>
      <c r="N599" t="s">
        <v>43</v>
      </c>
      <c r="R599" s="3">
        <f t="shared" si="49"/>
        <v>0</v>
      </c>
    </row>
    <row r="600" spans="1:18" hidden="1" x14ac:dyDescent="0.25">
      <c r="A600" t="s">
        <v>5305</v>
      </c>
      <c r="B600" t="s">
        <v>4806</v>
      </c>
      <c r="C600" t="s">
        <v>4825</v>
      </c>
      <c r="D600" s="3">
        <f t="shared" si="50"/>
        <v>9</v>
      </c>
      <c r="E600" t="s">
        <v>12</v>
      </c>
      <c r="F600" t="s">
        <v>13</v>
      </c>
      <c r="G600" t="str">
        <f t="shared" si="51"/>
        <v/>
      </c>
      <c r="H600" t="s">
        <v>14</v>
      </c>
      <c r="I600" t="s">
        <v>5306</v>
      </c>
      <c r="J600" s="2">
        <f t="shared" si="52"/>
        <v>1300000</v>
      </c>
      <c r="K600" t="s">
        <v>17</v>
      </c>
      <c r="L600">
        <f t="shared" si="53"/>
        <v>0</v>
      </c>
      <c r="N600" t="s">
        <v>18</v>
      </c>
      <c r="R600" s="3">
        <f t="shared" si="49"/>
        <v>0</v>
      </c>
    </row>
    <row r="601" spans="1:18" hidden="1" x14ac:dyDescent="0.25">
      <c r="A601" t="s">
        <v>5305</v>
      </c>
      <c r="B601" t="s">
        <v>4806</v>
      </c>
      <c r="C601" t="s">
        <v>4825</v>
      </c>
      <c r="D601" s="3">
        <f t="shared" si="50"/>
        <v>9</v>
      </c>
      <c r="E601" t="s">
        <v>12</v>
      </c>
      <c r="F601" t="s">
        <v>13</v>
      </c>
      <c r="G601" t="str">
        <f t="shared" si="51"/>
        <v/>
      </c>
      <c r="H601" t="s">
        <v>14</v>
      </c>
      <c r="I601" t="s">
        <v>5310</v>
      </c>
      <c r="J601" s="2">
        <f t="shared" si="52"/>
        <v>1300000</v>
      </c>
      <c r="K601" t="s">
        <v>17</v>
      </c>
      <c r="L601">
        <f t="shared" si="53"/>
        <v>0</v>
      </c>
      <c r="N601" t="s">
        <v>18</v>
      </c>
      <c r="R601" s="3">
        <f t="shared" si="49"/>
        <v>0</v>
      </c>
    </row>
    <row r="602" spans="1:18" hidden="1" x14ac:dyDescent="0.25">
      <c r="A602" t="s">
        <v>5305</v>
      </c>
      <c r="B602" t="s">
        <v>4806</v>
      </c>
      <c r="C602" t="s">
        <v>4825</v>
      </c>
      <c r="D602" s="3">
        <f t="shared" si="50"/>
        <v>9</v>
      </c>
      <c r="E602" t="s">
        <v>12</v>
      </c>
      <c r="F602" t="s">
        <v>13</v>
      </c>
      <c r="G602" t="str">
        <f t="shared" si="51"/>
        <v/>
      </c>
      <c r="H602" t="s">
        <v>14</v>
      </c>
      <c r="I602" t="s">
        <v>5326</v>
      </c>
      <c r="J602" s="2">
        <f t="shared" si="52"/>
        <v>1300000</v>
      </c>
      <c r="K602" t="s">
        <v>17</v>
      </c>
      <c r="L602">
        <f t="shared" si="53"/>
        <v>0</v>
      </c>
      <c r="N602" t="s">
        <v>18</v>
      </c>
      <c r="R602" s="3">
        <f t="shared" si="49"/>
        <v>0</v>
      </c>
    </row>
    <row r="603" spans="1:18" hidden="1" x14ac:dyDescent="0.25">
      <c r="A603" t="s">
        <v>5305</v>
      </c>
      <c r="B603" t="s">
        <v>4806</v>
      </c>
      <c r="C603" t="s">
        <v>4825</v>
      </c>
      <c r="D603" s="3">
        <f t="shared" si="50"/>
        <v>9</v>
      </c>
      <c r="E603" t="s">
        <v>12</v>
      </c>
      <c r="F603" t="s">
        <v>13</v>
      </c>
      <c r="G603" t="str">
        <f t="shared" si="51"/>
        <v/>
      </c>
      <c r="H603" t="s">
        <v>14</v>
      </c>
      <c r="I603" t="s">
        <v>5328</v>
      </c>
      <c r="J603" s="2">
        <f t="shared" si="52"/>
        <v>1300000</v>
      </c>
      <c r="K603" t="s">
        <v>17</v>
      </c>
      <c r="L603">
        <f t="shared" si="53"/>
        <v>0</v>
      </c>
      <c r="N603" t="s">
        <v>18</v>
      </c>
      <c r="R603" s="3">
        <f t="shared" si="49"/>
        <v>0</v>
      </c>
    </row>
    <row r="604" spans="1:18" hidden="1" x14ac:dyDescent="0.25">
      <c r="A604" t="s">
        <v>5103</v>
      </c>
      <c r="B604" t="s">
        <v>4806</v>
      </c>
      <c r="C604" t="s">
        <v>4939</v>
      </c>
      <c r="D604" s="3">
        <f t="shared" si="50"/>
        <v>9</v>
      </c>
      <c r="E604" t="s">
        <v>12</v>
      </c>
      <c r="F604" t="s">
        <v>13</v>
      </c>
      <c r="G604" t="str">
        <f t="shared" si="51"/>
        <v/>
      </c>
      <c r="H604" t="s">
        <v>14</v>
      </c>
      <c r="I604" t="s">
        <v>5104</v>
      </c>
      <c r="J604" s="2">
        <f t="shared" si="52"/>
        <v>780000</v>
      </c>
      <c r="K604" t="s">
        <v>5105</v>
      </c>
      <c r="L604">
        <f t="shared" si="53"/>
        <v>0.1673611111111111</v>
      </c>
      <c r="M604" s="5">
        <v>0.1673611111111111</v>
      </c>
      <c r="N604" t="s">
        <v>18</v>
      </c>
      <c r="R604" s="3">
        <f t="shared" si="49"/>
        <v>4.0166666666666666</v>
      </c>
    </row>
    <row r="605" spans="1:18" x14ac:dyDescent="0.25">
      <c r="A605" t="s">
        <v>5148</v>
      </c>
      <c r="B605" t="s">
        <v>4806</v>
      </c>
      <c r="C605" t="s">
        <v>4939</v>
      </c>
      <c r="D605" s="3">
        <f t="shared" si="50"/>
        <v>12</v>
      </c>
      <c r="E605" t="s">
        <v>33</v>
      </c>
      <c r="F605" t="s">
        <v>13</v>
      </c>
      <c r="G605" t="str">
        <f t="shared" si="51"/>
        <v/>
      </c>
      <c r="H605" t="s">
        <v>14</v>
      </c>
      <c r="I605" t="s">
        <v>5149</v>
      </c>
      <c r="J605" s="2">
        <f t="shared" si="52"/>
        <v>1200000</v>
      </c>
      <c r="K605" t="s">
        <v>36</v>
      </c>
      <c r="L605">
        <f t="shared" si="53"/>
        <v>0.17083333333333331</v>
      </c>
      <c r="M605" s="5">
        <v>0.17083333333333331</v>
      </c>
      <c r="N605" t="s">
        <v>43</v>
      </c>
      <c r="R605" s="3">
        <f t="shared" si="49"/>
        <v>4.0999999999999996</v>
      </c>
    </row>
    <row r="606" spans="1:18" hidden="1" x14ac:dyDescent="0.25">
      <c r="A606" t="s">
        <v>624</v>
      </c>
      <c r="B606" t="s">
        <v>20</v>
      </c>
      <c r="C606" t="s">
        <v>102</v>
      </c>
      <c r="D606" s="3">
        <f t="shared" si="50"/>
        <v>15</v>
      </c>
      <c r="E606" t="s">
        <v>504</v>
      </c>
      <c r="F606" t="s">
        <v>13</v>
      </c>
      <c r="G606" t="str">
        <f t="shared" si="51"/>
        <v/>
      </c>
      <c r="H606" t="s">
        <v>14</v>
      </c>
      <c r="I606" t="s">
        <v>625</v>
      </c>
      <c r="J606" s="2">
        <f t="shared" si="52"/>
        <v>500000</v>
      </c>
      <c r="K606" t="s">
        <v>16</v>
      </c>
      <c r="L606">
        <f t="shared" si="53"/>
        <v>0</v>
      </c>
      <c r="N606" t="s">
        <v>43</v>
      </c>
      <c r="R606" s="3">
        <f t="shared" si="49"/>
        <v>0</v>
      </c>
    </row>
    <row r="607" spans="1:18" hidden="1" x14ac:dyDescent="0.25">
      <c r="A607" t="s">
        <v>4145</v>
      </c>
      <c r="B607" t="s">
        <v>3746</v>
      </c>
      <c r="C607" t="s">
        <v>3833</v>
      </c>
      <c r="D607" s="3">
        <f t="shared" si="50"/>
        <v>12</v>
      </c>
      <c r="E607" t="s">
        <v>33</v>
      </c>
      <c r="F607" t="s">
        <v>13</v>
      </c>
      <c r="G607" t="str">
        <f t="shared" si="51"/>
        <v/>
      </c>
      <c r="H607" t="s">
        <v>14</v>
      </c>
      <c r="I607" t="s">
        <v>4146</v>
      </c>
      <c r="J607" s="2">
        <f t="shared" si="52"/>
        <v>1100000</v>
      </c>
      <c r="K607" t="s">
        <v>42</v>
      </c>
      <c r="L607">
        <f t="shared" si="53"/>
        <v>0</v>
      </c>
      <c r="N607" t="s">
        <v>43</v>
      </c>
      <c r="R607" s="3">
        <f t="shared" si="49"/>
        <v>0</v>
      </c>
    </row>
    <row r="608" spans="1:18" hidden="1" x14ac:dyDescent="0.25">
      <c r="A608" t="s">
        <v>4263</v>
      </c>
      <c r="B608" t="s">
        <v>3746</v>
      </c>
      <c r="C608" t="s">
        <v>3833</v>
      </c>
      <c r="D608" s="3">
        <f t="shared" si="50"/>
        <v>15</v>
      </c>
      <c r="E608" t="s">
        <v>71</v>
      </c>
      <c r="F608" t="s">
        <v>13</v>
      </c>
      <c r="G608" t="str">
        <f t="shared" si="51"/>
        <v/>
      </c>
      <c r="H608" t="s">
        <v>14</v>
      </c>
      <c r="I608" t="s">
        <v>4264</v>
      </c>
      <c r="J608" s="2">
        <f t="shared" si="52"/>
        <v>1300000</v>
      </c>
      <c r="K608" t="s">
        <v>17</v>
      </c>
      <c r="L608">
        <f t="shared" si="53"/>
        <v>0</v>
      </c>
      <c r="N608" t="s">
        <v>43</v>
      </c>
      <c r="R608" s="3">
        <f t="shared" si="49"/>
        <v>0</v>
      </c>
    </row>
    <row r="609" spans="1:18" hidden="1" x14ac:dyDescent="0.25">
      <c r="A609" t="s">
        <v>5184</v>
      </c>
      <c r="B609" t="s">
        <v>4806</v>
      </c>
      <c r="C609" t="s">
        <v>4830</v>
      </c>
      <c r="D609" s="3">
        <f t="shared" si="50"/>
        <v>12.5</v>
      </c>
      <c r="E609" t="s">
        <v>1250</v>
      </c>
      <c r="F609" t="s">
        <v>13</v>
      </c>
      <c r="G609" t="str">
        <f t="shared" si="51"/>
        <v/>
      </c>
      <c r="H609" t="s">
        <v>14</v>
      </c>
      <c r="I609" t="s">
        <v>5185</v>
      </c>
      <c r="J609" s="2">
        <f t="shared" si="52"/>
        <v>800000</v>
      </c>
      <c r="K609" t="s">
        <v>109</v>
      </c>
      <c r="L609">
        <f t="shared" si="53"/>
        <v>0</v>
      </c>
      <c r="N609" t="s">
        <v>18</v>
      </c>
      <c r="R609" s="3">
        <f t="shared" si="49"/>
        <v>0</v>
      </c>
    </row>
    <row r="610" spans="1:18" hidden="1" x14ac:dyDescent="0.25">
      <c r="A610" t="s">
        <v>5509</v>
      </c>
      <c r="B610" t="s">
        <v>5848</v>
      </c>
      <c r="C610" t="s">
        <v>5402</v>
      </c>
      <c r="D610" s="3">
        <f t="shared" si="50"/>
        <v>9</v>
      </c>
      <c r="E610" t="s">
        <v>12</v>
      </c>
      <c r="F610" t="s">
        <v>13</v>
      </c>
      <c r="G610" t="str">
        <f t="shared" si="51"/>
        <v/>
      </c>
      <c r="H610" t="s">
        <v>14</v>
      </c>
      <c r="I610" t="s">
        <v>5510</v>
      </c>
      <c r="J610" s="2">
        <f t="shared" si="52"/>
        <v>1700000</v>
      </c>
      <c r="K610" t="s">
        <v>23</v>
      </c>
      <c r="L610">
        <f t="shared" si="53"/>
        <v>0.20833333333333334</v>
      </c>
      <c r="M610" s="5">
        <v>0.20833333333333334</v>
      </c>
      <c r="N610" t="s">
        <v>43</v>
      </c>
      <c r="R610" s="3">
        <f t="shared" si="49"/>
        <v>5</v>
      </c>
    </row>
    <row r="611" spans="1:18" hidden="1" x14ac:dyDescent="0.25">
      <c r="A611" t="s">
        <v>4189</v>
      </c>
      <c r="B611" t="s">
        <v>3746</v>
      </c>
      <c r="C611" t="s">
        <v>4038</v>
      </c>
      <c r="D611" s="3">
        <f t="shared" si="50"/>
        <v>12</v>
      </c>
      <c r="E611" t="s">
        <v>33</v>
      </c>
      <c r="F611" t="s">
        <v>13</v>
      </c>
      <c r="G611" t="str">
        <f t="shared" si="51"/>
        <v/>
      </c>
      <c r="H611" t="s">
        <v>14</v>
      </c>
      <c r="I611" t="s">
        <v>4190</v>
      </c>
      <c r="J611" s="2">
        <f t="shared" si="52"/>
        <v>700000</v>
      </c>
      <c r="K611" t="s">
        <v>157</v>
      </c>
      <c r="L611">
        <f t="shared" si="53"/>
        <v>0</v>
      </c>
      <c r="N611" t="s">
        <v>18</v>
      </c>
      <c r="R611" s="3">
        <f t="shared" si="49"/>
        <v>0</v>
      </c>
    </row>
    <row r="612" spans="1:18" hidden="1" x14ac:dyDescent="0.25">
      <c r="A612" t="s">
        <v>5634</v>
      </c>
      <c r="B612" t="s">
        <v>5848</v>
      </c>
      <c r="C612" t="s">
        <v>5409</v>
      </c>
      <c r="D612" s="3">
        <f t="shared" si="50"/>
        <v>9</v>
      </c>
      <c r="E612" t="s">
        <v>12</v>
      </c>
      <c r="F612" t="s">
        <v>34</v>
      </c>
      <c r="G612" t="str">
        <f t="shared" si="51"/>
        <v/>
      </c>
      <c r="H612" t="s">
        <v>14</v>
      </c>
      <c r="I612" t="s">
        <v>5635</v>
      </c>
      <c r="J612" s="2">
        <f t="shared" si="52"/>
        <v>900000</v>
      </c>
      <c r="K612" t="s">
        <v>101</v>
      </c>
      <c r="L612">
        <f t="shared" si="53"/>
        <v>0</v>
      </c>
      <c r="N612" t="s">
        <v>43</v>
      </c>
      <c r="R612" s="3">
        <f t="shared" si="49"/>
        <v>0</v>
      </c>
    </row>
    <row r="613" spans="1:18" hidden="1" x14ac:dyDescent="0.25">
      <c r="A613" t="s">
        <v>5022</v>
      </c>
      <c r="B613" t="s">
        <v>4806</v>
      </c>
      <c r="C613" t="s">
        <v>4825</v>
      </c>
      <c r="D613" s="3">
        <f t="shared" si="50"/>
        <v>9</v>
      </c>
      <c r="E613" t="s">
        <v>12</v>
      </c>
      <c r="F613" t="s">
        <v>13</v>
      </c>
      <c r="G613" t="str">
        <f t="shared" si="51"/>
        <v/>
      </c>
      <c r="H613" t="s">
        <v>14</v>
      </c>
      <c r="I613" t="s">
        <v>5023</v>
      </c>
      <c r="J613" s="2">
        <f t="shared" si="52"/>
        <v>1200000</v>
      </c>
      <c r="K613" t="s">
        <v>36</v>
      </c>
      <c r="L613">
        <f t="shared" si="53"/>
        <v>0</v>
      </c>
      <c r="N613" t="s">
        <v>18</v>
      </c>
      <c r="R613" s="3">
        <f t="shared" si="49"/>
        <v>0</v>
      </c>
    </row>
    <row r="614" spans="1:18" hidden="1" x14ac:dyDescent="0.25">
      <c r="A614" t="s">
        <v>388</v>
      </c>
      <c r="B614" t="s">
        <v>20</v>
      </c>
      <c r="C614" t="s">
        <v>19</v>
      </c>
      <c r="D614" s="3">
        <f t="shared" si="50"/>
        <v>12</v>
      </c>
      <c r="E614" t="s">
        <v>33</v>
      </c>
      <c r="F614" t="s">
        <v>13</v>
      </c>
      <c r="G614" t="str">
        <f t="shared" si="51"/>
        <v/>
      </c>
      <c r="H614" t="s">
        <v>14</v>
      </c>
      <c r="I614" t="s">
        <v>389</v>
      </c>
      <c r="J614" s="2">
        <f t="shared" si="52"/>
        <v>600000</v>
      </c>
      <c r="K614" t="s">
        <v>173</v>
      </c>
      <c r="L614">
        <f t="shared" si="53"/>
        <v>0</v>
      </c>
      <c r="N614" t="s">
        <v>37</v>
      </c>
      <c r="R614" s="3">
        <f t="shared" si="49"/>
        <v>0</v>
      </c>
    </row>
    <row r="615" spans="1:18" hidden="1" x14ac:dyDescent="0.25">
      <c r="A615" t="s">
        <v>514</v>
      </c>
      <c r="B615" t="s">
        <v>20</v>
      </c>
      <c r="C615" t="s">
        <v>19</v>
      </c>
      <c r="D615" s="3">
        <f t="shared" si="50"/>
        <v>12</v>
      </c>
      <c r="E615" t="s">
        <v>33</v>
      </c>
      <c r="F615" t="s">
        <v>13</v>
      </c>
      <c r="G615" t="str">
        <f t="shared" si="51"/>
        <v/>
      </c>
      <c r="H615" t="s">
        <v>14</v>
      </c>
      <c r="I615" t="s">
        <v>515</v>
      </c>
      <c r="J615" s="2">
        <f t="shared" si="52"/>
        <v>800000</v>
      </c>
      <c r="K615" t="s">
        <v>109</v>
      </c>
      <c r="L615">
        <f t="shared" si="53"/>
        <v>0.20833333333333334</v>
      </c>
      <c r="M615" s="5">
        <v>0.20833333333333334</v>
      </c>
      <c r="N615" t="s">
        <v>43</v>
      </c>
      <c r="R615" s="3">
        <f t="shared" si="49"/>
        <v>5</v>
      </c>
    </row>
    <row r="616" spans="1:18" x14ac:dyDescent="0.25">
      <c r="A616" t="s">
        <v>334</v>
      </c>
      <c r="B616" t="s">
        <v>20</v>
      </c>
      <c r="C616" t="s">
        <v>218</v>
      </c>
      <c r="D616" s="3">
        <f t="shared" si="50"/>
        <v>12</v>
      </c>
      <c r="E616" t="s">
        <v>33</v>
      </c>
      <c r="F616" t="s">
        <v>13</v>
      </c>
      <c r="G616" t="str">
        <f t="shared" si="51"/>
        <v/>
      </c>
      <c r="H616" t="s">
        <v>14</v>
      </c>
      <c r="I616" t="s">
        <v>335</v>
      </c>
      <c r="J616" s="2">
        <f t="shared" si="52"/>
        <v>1200000</v>
      </c>
      <c r="K616" t="s">
        <v>36</v>
      </c>
      <c r="L616">
        <f t="shared" si="53"/>
        <v>0.12569444444444444</v>
      </c>
      <c r="M616" s="5">
        <v>0.12569444444444444</v>
      </c>
      <c r="N616" t="s">
        <v>43</v>
      </c>
      <c r="R616" s="3">
        <f t="shared" si="49"/>
        <v>3.0166666666666666</v>
      </c>
    </row>
    <row r="617" spans="1:18" hidden="1" x14ac:dyDescent="0.25">
      <c r="A617" t="s">
        <v>3801</v>
      </c>
      <c r="B617" t="s">
        <v>3746</v>
      </c>
      <c r="C617" t="s">
        <v>3753</v>
      </c>
      <c r="D617" s="3">
        <f t="shared" si="50"/>
        <v>12</v>
      </c>
      <c r="E617" t="s">
        <v>33</v>
      </c>
      <c r="F617" t="s">
        <v>34</v>
      </c>
      <c r="G617" t="str">
        <f t="shared" si="51"/>
        <v/>
      </c>
      <c r="H617" t="s">
        <v>14</v>
      </c>
      <c r="I617" t="s">
        <v>3802</v>
      </c>
      <c r="J617" s="2">
        <f t="shared" si="52"/>
        <v>1200000</v>
      </c>
      <c r="K617" t="s">
        <v>36</v>
      </c>
      <c r="L617">
        <f t="shared" si="53"/>
        <v>0.17291666666666669</v>
      </c>
      <c r="M617" s="5">
        <v>0.17291666666666669</v>
      </c>
      <c r="N617" t="s">
        <v>18</v>
      </c>
      <c r="R617" s="3">
        <f t="shared" si="49"/>
        <v>4.1500000000000004</v>
      </c>
    </row>
    <row r="618" spans="1:18" hidden="1" x14ac:dyDescent="0.25">
      <c r="A618" t="s">
        <v>1634</v>
      </c>
      <c r="B618" t="s">
        <v>1303</v>
      </c>
      <c r="C618" t="s">
        <v>1316</v>
      </c>
      <c r="D618" s="3">
        <f t="shared" si="50"/>
        <v>12</v>
      </c>
      <c r="E618" t="s">
        <v>33</v>
      </c>
      <c r="F618" t="s">
        <v>13</v>
      </c>
      <c r="G618" t="str">
        <f t="shared" si="51"/>
        <v/>
      </c>
      <c r="H618" t="s">
        <v>14</v>
      </c>
      <c r="I618" t="s">
        <v>1635</v>
      </c>
      <c r="J618" s="2">
        <f t="shared" si="52"/>
        <v>3000000</v>
      </c>
      <c r="K618" t="s">
        <v>1513</v>
      </c>
      <c r="L618">
        <f t="shared" si="53"/>
        <v>0.17291666666666669</v>
      </c>
      <c r="M618" s="5">
        <v>0.17291666666666669</v>
      </c>
      <c r="N618" t="s">
        <v>43</v>
      </c>
      <c r="R618" s="3">
        <f t="shared" si="49"/>
        <v>4.1500000000000004</v>
      </c>
    </row>
    <row r="619" spans="1:18" hidden="1" x14ac:dyDescent="0.25">
      <c r="A619" t="s">
        <v>5080</v>
      </c>
      <c r="B619" t="s">
        <v>4806</v>
      </c>
      <c r="C619" t="s">
        <v>5015</v>
      </c>
      <c r="D619" s="3">
        <f t="shared" si="50"/>
        <v>9</v>
      </c>
      <c r="E619" t="s">
        <v>12</v>
      </c>
      <c r="F619" t="s">
        <v>13</v>
      </c>
      <c r="G619" t="str">
        <f t="shared" si="51"/>
        <v/>
      </c>
      <c r="H619" t="s">
        <v>14</v>
      </c>
      <c r="I619" t="s">
        <v>5081</v>
      </c>
      <c r="J619" s="2">
        <f t="shared" si="52"/>
        <v>850000</v>
      </c>
      <c r="K619" t="s">
        <v>185</v>
      </c>
      <c r="L619">
        <f t="shared" si="53"/>
        <v>0</v>
      </c>
      <c r="N619" t="s">
        <v>18</v>
      </c>
      <c r="R619" s="3">
        <f t="shared" si="49"/>
        <v>0</v>
      </c>
    </row>
    <row r="620" spans="1:18" hidden="1" x14ac:dyDescent="0.25">
      <c r="A620" t="s">
        <v>280</v>
      </c>
      <c r="B620" t="s">
        <v>20</v>
      </c>
      <c r="C620" t="s">
        <v>84</v>
      </c>
      <c r="D620" s="3">
        <f t="shared" si="50"/>
        <v>9</v>
      </c>
      <c r="E620" t="s">
        <v>12</v>
      </c>
      <c r="F620" t="s">
        <v>34</v>
      </c>
      <c r="G620" t="str">
        <f t="shared" si="51"/>
        <v/>
      </c>
      <c r="H620" t="s">
        <v>14</v>
      </c>
      <c r="I620" t="s">
        <v>281</v>
      </c>
      <c r="J620" s="2">
        <f t="shared" si="52"/>
        <v>600000</v>
      </c>
      <c r="K620" t="s">
        <v>173</v>
      </c>
      <c r="L620">
        <f t="shared" si="53"/>
        <v>0.20833333333333334</v>
      </c>
      <c r="M620" s="5">
        <v>0.20833333333333334</v>
      </c>
      <c r="N620" t="s">
        <v>18</v>
      </c>
      <c r="R620" s="3">
        <f t="shared" si="49"/>
        <v>5</v>
      </c>
    </row>
    <row r="621" spans="1:18" hidden="1" x14ac:dyDescent="0.25">
      <c r="A621" t="s">
        <v>3914</v>
      </c>
      <c r="B621" t="s">
        <v>3746</v>
      </c>
      <c r="C621" t="s">
        <v>3897</v>
      </c>
      <c r="D621" s="3">
        <f t="shared" si="50"/>
        <v>16</v>
      </c>
      <c r="E621" t="s">
        <v>79</v>
      </c>
      <c r="F621" t="s">
        <v>13</v>
      </c>
      <c r="G621" t="str">
        <f t="shared" si="51"/>
        <v/>
      </c>
      <c r="H621" t="s">
        <v>14</v>
      </c>
      <c r="I621" t="s">
        <v>3915</v>
      </c>
      <c r="J621" s="2">
        <f t="shared" si="52"/>
        <v>1900000</v>
      </c>
      <c r="K621" t="s">
        <v>352</v>
      </c>
      <c r="L621">
        <f t="shared" si="53"/>
        <v>0.17083333333333331</v>
      </c>
      <c r="M621" s="5">
        <v>0.17083333333333331</v>
      </c>
      <c r="N621" t="s">
        <v>43</v>
      </c>
      <c r="P621" t="s">
        <v>1171</v>
      </c>
      <c r="R621" s="3">
        <f t="shared" si="49"/>
        <v>4.0999999999999996</v>
      </c>
    </row>
    <row r="622" spans="1:18" hidden="1" x14ac:dyDescent="0.25">
      <c r="A622" t="s">
        <v>608</v>
      </c>
      <c r="B622" t="s">
        <v>20</v>
      </c>
      <c r="C622" t="s">
        <v>610</v>
      </c>
      <c r="D622" s="3">
        <f t="shared" si="50"/>
        <v>15</v>
      </c>
      <c r="E622" t="s">
        <v>71</v>
      </c>
      <c r="F622" t="s">
        <v>34</v>
      </c>
      <c r="G622" t="str">
        <f t="shared" si="51"/>
        <v/>
      </c>
      <c r="H622" t="s">
        <v>14</v>
      </c>
      <c r="I622" t="s">
        <v>609</v>
      </c>
      <c r="J622" s="2">
        <f t="shared" si="52"/>
        <v>800000</v>
      </c>
      <c r="K622" t="s">
        <v>109</v>
      </c>
      <c r="L622">
        <f t="shared" si="53"/>
        <v>0</v>
      </c>
      <c r="N622" t="s">
        <v>18</v>
      </c>
      <c r="R622" s="3">
        <f t="shared" si="49"/>
        <v>0</v>
      </c>
    </row>
    <row r="623" spans="1:18" hidden="1" x14ac:dyDescent="0.25">
      <c r="A623" t="s">
        <v>3859</v>
      </c>
      <c r="B623" t="s">
        <v>3746</v>
      </c>
      <c r="C623" t="s">
        <v>3861</v>
      </c>
      <c r="D623" s="3">
        <f t="shared" si="50"/>
        <v>9</v>
      </c>
      <c r="E623" t="s">
        <v>12</v>
      </c>
      <c r="F623" t="s">
        <v>13</v>
      </c>
      <c r="G623" t="str">
        <f t="shared" si="51"/>
        <v/>
      </c>
      <c r="H623" t="s">
        <v>14</v>
      </c>
      <c r="I623" t="s">
        <v>3860</v>
      </c>
      <c r="J623" s="2">
        <f t="shared" si="52"/>
        <v>600000</v>
      </c>
      <c r="K623" t="s">
        <v>173</v>
      </c>
      <c r="L623">
        <f t="shared" si="53"/>
        <v>0.17222222222222225</v>
      </c>
      <c r="M623" s="5">
        <v>0.17222222222222225</v>
      </c>
      <c r="N623" t="s">
        <v>18</v>
      </c>
      <c r="R623" s="3">
        <f t="shared" si="49"/>
        <v>4.1333333333333337</v>
      </c>
    </row>
    <row r="624" spans="1:18" hidden="1" x14ac:dyDescent="0.25">
      <c r="A624" t="s">
        <v>5531</v>
      </c>
      <c r="B624" t="s">
        <v>5848</v>
      </c>
      <c r="C624" t="s">
        <v>5402</v>
      </c>
      <c r="D624" s="3">
        <f t="shared" si="50"/>
        <v>21</v>
      </c>
      <c r="E624" t="s">
        <v>2283</v>
      </c>
      <c r="F624" t="s">
        <v>13</v>
      </c>
      <c r="G624" t="str">
        <f t="shared" si="51"/>
        <v/>
      </c>
      <c r="H624" t="s">
        <v>14</v>
      </c>
      <c r="I624" t="s">
        <v>5532</v>
      </c>
      <c r="J624" s="2">
        <f t="shared" si="52"/>
        <v>2100000</v>
      </c>
      <c r="K624" t="s">
        <v>451</v>
      </c>
      <c r="L624">
        <f t="shared" si="53"/>
        <v>0.17013888888888887</v>
      </c>
      <c r="M624" s="5">
        <v>0.17013888888888887</v>
      </c>
      <c r="N624" t="s">
        <v>43</v>
      </c>
      <c r="R624" s="3">
        <f t="shared" si="49"/>
        <v>4.083333333333333</v>
      </c>
    </row>
    <row r="625" spans="1:18" x14ac:dyDescent="0.25">
      <c r="A625" t="s">
        <v>1103</v>
      </c>
      <c r="B625" t="s">
        <v>640</v>
      </c>
      <c r="C625" t="s">
        <v>643</v>
      </c>
      <c r="D625" s="3">
        <f t="shared" si="50"/>
        <v>9.4500000000000011</v>
      </c>
      <c r="E625" t="s">
        <v>1104</v>
      </c>
      <c r="F625" t="s">
        <v>13</v>
      </c>
      <c r="G625" t="str">
        <f t="shared" si="51"/>
        <v/>
      </c>
      <c r="H625" t="s">
        <v>14</v>
      </c>
      <c r="I625" t="s">
        <v>1105</v>
      </c>
      <c r="J625" s="2">
        <f t="shared" si="52"/>
        <v>1200000</v>
      </c>
      <c r="K625" t="s">
        <v>36</v>
      </c>
      <c r="L625">
        <f t="shared" si="53"/>
        <v>0.17083333333333331</v>
      </c>
      <c r="M625" s="5">
        <v>0.17083333333333331</v>
      </c>
      <c r="N625" t="s">
        <v>37</v>
      </c>
      <c r="P625" t="s">
        <v>727</v>
      </c>
      <c r="R625" s="3">
        <f t="shared" si="49"/>
        <v>4.0999999999999996</v>
      </c>
    </row>
    <row r="626" spans="1:18" hidden="1" x14ac:dyDescent="0.25">
      <c r="A626" t="s">
        <v>5414</v>
      </c>
      <c r="B626" t="s">
        <v>5848</v>
      </c>
      <c r="C626" t="s">
        <v>5339</v>
      </c>
      <c r="D626" s="3">
        <f t="shared" si="50"/>
        <v>12</v>
      </c>
      <c r="E626" t="s">
        <v>33</v>
      </c>
      <c r="F626" t="s">
        <v>13</v>
      </c>
      <c r="G626" t="str">
        <f t="shared" si="51"/>
        <v/>
      </c>
      <c r="H626" t="s">
        <v>14</v>
      </c>
      <c r="I626" t="s">
        <v>5415</v>
      </c>
      <c r="J626" s="2">
        <f t="shared" si="52"/>
        <v>1100000</v>
      </c>
      <c r="K626" t="s">
        <v>42</v>
      </c>
      <c r="L626">
        <f t="shared" si="53"/>
        <v>0.20833333333333334</v>
      </c>
      <c r="M626" s="5">
        <v>0.20833333333333334</v>
      </c>
      <c r="N626" t="s">
        <v>43</v>
      </c>
      <c r="R626" s="3">
        <f t="shared" si="49"/>
        <v>5</v>
      </c>
    </row>
    <row r="627" spans="1:18" hidden="1" x14ac:dyDescent="0.25">
      <c r="A627" t="s">
        <v>5226</v>
      </c>
      <c r="B627" t="s">
        <v>4806</v>
      </c>
      <c r="C627" t="s">
        <v>5173</v>
      </c>
      <c r="D627" s="3">
        <f t="shared" si="50"/>
        <v>12</v>
      </c>
      <c r="E627" t="s">
        <v>33</v>
      </c>
      <c r="F627" t="s">
        <v>13</v>
      </c>
      <c r="G627" t="str">
        <f t="shared" si="51"/>
        <v/>
      </c>
      <c r="H627" t="s">
        <v>14</v>
      </c>
      <c r="I627" t="s">
        <v>5227</v>
      </c>
      <c r="J627" s="2">
        <f t="shared" si="52"/>
        <v>750000</v>
      </c>
      <c r="K627" t="s">
        <v>76</v>
      </c>
      <c r="L627">
        <f t="shared" si="53"/>
        <v>0.20833333333333334</v>
      </c>
      <c r="M627" s="5">
        <v>0.20833333333333334</v>
      </c>
      <c r="N627" t="s">
        <v>37</v>
      </c>
      <c r="R627" s="3">
        <f t="shared" si="49"/>
        <v>5</v>
      </c>
    </row>
    <row r="628" spans="1:18" hidden="1" x14ac:dyDescent="0.25">
      <c r="A628" t="s">
        <v>1855</v>
      </c>
      <c r="B628" t="s">
        <v>1303</v>
      </c>
      <c r="C628" t="s">
        <v>1316</v>
      </c>
      <c r="D628" s="3">
        <f t="shared" si="50"/>
        <v>9</v>
      </c>
      <c r="E628" t="s">
        <v>12</v>
      </c>
      <c r="F628" t="s">
        <v>34</v>
      </c>
      <c r="G628" t="str">
        <f t="shared" si="51"/>
        <v/>
      </c>
      <c r="H628" t="s">
        <v>14</v>
      </c>
      <c r="I628" t="s">
        <v>1856</v>
      </c>
      <c r="J628" s="2">
        <f t="shared" si="52"/>
        <v>900000</v>
      </c>
      <c r="K628" t="s">
        <v>101</v>
      </c>
      <c r="L628">
        <f t="shared" si="53"/>
        <v>0</v>
      </c>
      <c r="N628" t="s">
        <v>43</v>
      </c>
      <c r="R628" s="3">
        <f t="shared" si="49"/>
        <v>0</v>
      </c>
    </row>
    <row r="629" spans="1:18" hidden="1" x14ac:dyDescent="0.25">
      <c r="A629" t="s">
        <v>4644</v>
      </c>
      <c r="B629" t="s">
        <v>4272</v>
      </c>
      <c r="C629" t="s">
        <v>4374</v>
      </c>
      <c r="D629" s="3">
        <f t="shared" si="50"/>
        <v>12</v>
      </c>
      <c r="E629" t="s">
        <v>33</v>
      </c>
      <c r="F629" t="s">
        <v>13</v>
      </c>
      <c r="G629" t="str">
        <f t="shared" si="51"/>
        <v/>
      </c>
      <c r="H629" t="s">
        <v>14</v>
      </c>
      <c r="I629" t="s">
        <v>4645</v>
      </c>
      <c r="J629" s="2">
        <f t="shared" si="52"/>
        <v>1004999</v>
      </c>
      <c r="K629" t="s">
        <v>4646</v>
      </c>
      <c r="L629">
        <f t="shared" si="53"/>
        <v>0</v>
      </c>
      <c r="N629" t="s">
        <v>43</v>
      </c>
      <c r="R629" s="3">
        <f t="shared" si="49"/>
        <v>0</v>
      </c>
    </row>
    <row r="630" spans="1:18" hidden="1" x14ac:dyDescent="0.25">
      <c r="A630" t="s">
        <v>4590</v>
      </c>
      <c r="B630" t="s">
        <v>4272</v>
      </c>
      <c r="C630" t="s">
        <v>4295</v>
      </c>
      <c r="D630" s="3">
        <f t="shared" si="50"/>
        <v>12</v>
      </c>
      <c r="E630" t="s">
        <v>33</v>
      </c>
      <c r="F630" t="s">
        <v>13</v>
      </c>
      <c r="G630" t="str">
        <f t="shared" si="51"/>
        <v/>
      </c>
      <c r="H630" t="s">
        <v>14</v>
      </c>
      <c r="I630" t="s">
        <v>4591</v>
      </c>
      <c r="J630" s="2">
        <f t="shared" si="52"/>
        <v>1200000</v>
      </c>
      <c r="K630" t="s">
        <v>36</v>
      </c>
      <c r="L630">
        <f t="shared" si="53"/>
        <v>0</v>
      </c>
      <c r="N630" t="s">
        <v>43</v>
      </c>
      <c r="R630" s="3">
        <f t="shared" si="49"/>
        <v>0</v>
      </c>
    </row>
    <row r="631" spans="1:18" hidden="1" x14ac:dyDescent="0.25">
      <c r="A631" t="s">
        <v>3500</v>
      </c>
      <c r="B631" t="s">
        <v>3233</v>
      </c>
      <c r="C631" t="s">
        <v>3232</v>
      </c>
      <c r="D631" s="3">
        <f t="shared" si="50"/>
        <v>16</v>
      </c>
      <c r="E631" t="s">
        <v>79</v>
      </c>
      <c r="F631" t="s">
        <v>34</v>
      </c>
      <c r="G631" t="str">
        <f t="shared" si="51"/>
        <v/>
      </c>
      <c r="H631" t="s">
        <v>14</v>
      </c>
      <c r="I631" t="s">
        <v>3501</v>
      </c>
      <c r="J631" s="2">
        <f t="shared" si="52"/>
        <v>3001500</v>
      </c>
      <c r="K631" t="s">
        <v>3502</v>
      </c>
      <c r="L631">
        <f t="shared" si="53"/>
        <v>0</v>
      </c>
      <c r="N631" t="s">
        <v>43</v>
      </c>
      <c r="R631" s="3">
        <f t="shared" si="49"/>
        <v>0</v>
      </c>
    </row>
    <row r="632" spans="1:18" hidden="1" x14ac:dyDescent="0.25">
      <c r="A632" t="s">
        <v>5455</v>
      </c>
      <c r="B632" t="s">
        <v>5848</v>
      </c>
      <c r="C632" t="s">
        <v>5369</v>
      </c>
      <c r="D632" s="3">
        <f t="shared" si="50"/>
        <v>12</v>
      </c>
      <c r="E632" t="s">
        <v>33</v>
      </c>
      <c r="F632" t="s">
        <v>34</v>
      </c>
      <c r="G632" t="str">
        <f t="shared" si="51"/>
        <v/>
      </c>
      <c r="H632" t="s">
        <v>14</v>
      </c>
      <c r="I632" t="s">
        <v>5456</v>
      </c>
      <c r="J632" s="2">
        <f t="shared" si="52"/>
        <v>1300000</v>
      </c>
      <c r="K632" t="s">
        <v>17</v>
      </c>
      <c r="L632">
        <f t="shared" si="53"/>
        <v>0.20833333333333334</v>
      </c>
      <c r="M632" s="5">
        <v>0.20833333333333334</v>
      </c>
      <c r="N632" t="s">
        <v>18</v>
      </c>
      <c r="P632" t="s">
        <v>2166</v>
      </c>
      <c r="R632" s="3">
        <f t="shared" si="49"/>
        <v>5</v>
      </c>
    </row>
    <row r="633" spans="1:18" x14ac:dyDescent="0.25">
      <c r="A633" t="s">
        <v>728</v>
      </c>
      <c r="B633" t="s">
        <v>640</v>
      </c>
      <c r="C633" t="s">
        <v>657</v>
      </c>
      <c r="D633" s="3">
        <f t="shared" si="50"/>
        <v>8.3999999999999986</v>
      </c>
      <c r="E633" t="s">
        <v>729</v>
      </c>
      <c r="F633" t="s">
        <v>13</v>
      </c>
      <c r="G633" t="str">
        <f t="shared" si="51"/>
        <v/>
      </c>
      <c r="H633" t="s">
        <v>14</v>
      </c>
      <c r="I633" t="s">
        <v>730</v>
      </c>
      <c r="J633" s="2">
        <f t="shared" si="52"/>
        <v>1200000</v>
      </c>
      <c r="K633" t="s">
        <v>36</v>
      </c>
      <c r="L633">
        <f t="shared" si="53"/>
        <v>0.17083333333333331</v>
      </c>
      <c r="M633" s="5">
        <v>0.17083333333333331</v>
      </c>
      <c r="N633" t="s">
        <v>43</v>
      </c>
      <c r="R633" s="3">
        <f t="shared" si="49"/>
        <v>4.0999999999999996</v>
      </c>
    </row>
    <row r="634" spans="1:18" hidden="1" x14ac:dyDescent="0.25">
      <c r="A634" t="s">
        <v>2798</v>
      </c>
      <c r="B634" t="s">
        <v>3206</v>
      </c>
      <c r="C634" t="s">
        <v>2640</v>
      </c>
      <c r="D634" s="3">
        <f t="shared" si="50"/>
        <v>12</v>
      </c>
      <c r="E634" t="s">
        <v>33</v>
      </c>
      <c r="F634" t="s">
        <v>34</v>
      </c>
      <c r="G634" t="str">
        <f t="shared" si="51"/>
        <v/>
      </c>
      <c r="H634" t="s">
        <v>14</v>
      </c>
      <c r="I634" t="s">
        <v>2799</v>
      </c>
      <c r="J634" s="2">
        <f t="shared" si="52"/>
        <v>1000000</v>
      </c>
      <c r="K634" t="s">
        <v>52</v>
      </c>
      <c r="L634">
        <f t="shared" si="53"/>
        <v>0</v>
      </c>
      <c r="N634" t="s">
        <v>43</v>
      </c>
      <c r="R634" s="3">
        <f t="shared" si="49"/>
        <v>0</v>
      </c>
    </row>
    <row r="635" spans="1:18" hidden="1" x14ac:dyDescent="0.25">
      <c r="A635" t="s">
        <v>5313</v>
      </c>
      <c r="B635" t="s">
        <v>4806</v>
      </c>
      <c r="C635" t="s">
        <v>4830</v>
      </c>
      <c r="D635" s="3">
        <f t="shared" si="50"/>
        <v>21.6</v>
      </c>
      <c r="E635" t="s">
        <v>5314</v>
      </c>
      <c r="F635" t="s">
        <v>34</v>
      </c>
      <c r="G635" t="str">
        <f t="shared" si="51"/>
        <v/>
      </c>
      <c r="H635" t="s">
        <v>14</v>
      </c>
      <c r="I635" t="s">
        <v>5315</v>
      </c>
      <c r="J635" s="2">
        <f t="shared" si="52"/>
        <v>1300000</v>
      </c>
      <c r="K635" t="s">
        <v>17</v>
      </c>
      <c r="L635">
        <f t="shared" si="53"/>
        <v>0</v>
      </c>
      <c r="N635" t="s">
        <v>37</v>
      </c>
      <c r="R635" s="3">
        <f t="shared" si="49"/>
        <v>0</v>
      </c>
    </row>
    <row r="636" spans="1:18" hidden="1" x14ac:dyDescent="0.25">
      <c r="A636" t="s">
        <v>5212</v>
      </c>
      <c r="B636" t="s">
        <v>4806</v>
      </c>
      <c r="C636" t="s">
        <v>4805</v>
      </c>
      <c r="D636" s="3">
        <f t="shared" si="50"/>
        <v>9</v>
      </c>
      <c r="E636" t="s">
        <v>12</v>
      </c>
      <c r="F636" t="s">
        <v>13</v>
      </c>
      <c r="G636" t="str">
        <f t="shared" si="51"/>
        <v/>
      </c>
      <c r="H636" t="s">
        <v>14</v>
      </c>
      <c r="I636" t="s">
        <v>5213</v>
      </c>
      <c r="J636" s="2">
        <f t="shared" si="52"/>
        <v>1500000</v>
      </c>
      <c r="K636" t="s">
        <v>66</v>
      </c>
      <c r="L636">
        <f t="shared" si="53"/>
        <v>0.17222222222222225</v>
      </c>
      <c r="M636" s="5">
        <v>0.17222222222222225</v>
      </c>
      <c r="N636" t="s">
        <v>43</v>
      </c>
      <c r="R636" s="3">
        <f t="shared" si="49"/>
        <v>4.1333333333333337</v>
      </c>
    </row>
    <row r="637" spans="1:18" hidden="1" x14ac:dyDescent="0.25">
      <c r="A637" t="s">
        <v>3943</v>
      </c>
      <c r="B637" t="s">
        <v>3746</v>
      </c>
      <c r="C637" t="s">
        <v>3775</v>
      </c>
      <c r="D637" s="3">
        <f t="shared" si="50"/>
        <v>12</v>
      </c>
      <c r="E637" t="s">
        <v>33</v>
      </c>
      <c r="F637" t="s">
        <v>13</v>
      </c>
      <c r="G637" t="str">
        <f t="shared" si="51"/>
        <v/>
      </c>
      <c r="H637" t="s">
        <v>14</v>
      </c>
      <c r="I637" t="s">
        <v>3944</v>
      </c>
      <c r="J637" s="2">
        <f t="shared" si="52"/>
        <v>2400000</v>
      </c>
      <c r="K637" t="s">
        <v>133</v>
      </c>
      <c r="L637">
        <f t="shared" si="53"/>
        <v>0</v>
      </c>
      <c r="N637" t="s">
        <v>43</v>
      </c>
      <c r="R637" s="3">
        <f t="shared" si="49"/>
        <v>0</v>
      </c>
    </row>
    <row r="638" spans="1:18" hidden="1" x14ac:dyDescent="0.25">
      <c r="A638" t="s">
        <v>4234</v>
      </c>
      <c r="B638" t="s">
        <v>3746</v>
      </c>
      <c r="C638" t="s">
        <v>3775</v>
      </c>
      <c r="D638" s="3">
        <f t="shared" si="50"/>
        <v>8</v>
      </c>
      <c r="E638" t="s">
        <v>1740</v>
      </c>
      <c r="F638" t="s">
        <v>13</v>
      </c>
      <c r="G638" t="str">
        <f t="shared" si="51"/>
        <v/>
      </c>
      <c r="H638" t="s">
        <v>14</v>
      </c>
      <c r="I638" t="s">
        <v>4235</v>
      </c>
      <c r="J638" s="2">
        <f t="shared" si="52"/>
        <v>2300000</v>
      </c>
      <c r="K638" t="s">
        <v>820</v>
      </c>
      <c r="L638">
        <f t="shared" si="53"/>
        <v>0.16666666666666666</v>
      </c>
      <c r="M638" s="5">
        <v>0.16666666666666666</v>
      </c>
      <c r="N638" t="s">
        <v>43</v>
      </c>
      <c r="R638" s="3">
        <f t="shared" si="49"/>
        <v>4</v>
      </c>
    </row>
    <row r="639" spans="1:18" hidden="1" x14ac:dyDescent="0.25">
      <c r="A639" t="s">
        <v>4010</v>
      </c>
      <c r="B639" t="s">
        <v>3746</v>
      </c>
      <c r="C639" t="s">
        <v>3775</v>
      </c>
      <c r="D639" s="3">
        <f t="shared" si="50"/>
        <v>18</v>
      </c>
      <c r="E639" t="s">
        <v>126</v>
      </c>
      <c r="F639" t="s">
        <v>13</v>
      </c>
      <c r="G639" t="str">
        <f t="shared" si="51"/>
        <v/>
      </c>
      <c r="H639" t="s">
        <v>14</v>
      </c>
      <c r="I639" t="s">
        <v>4011</v>
      </c>
      <c r="J639" s="2">
        <f t="shared" si="52"/>
        <v>3500000</v>
      </c>
      <c r="K639" t="s">
        <v>143</v>
      </c>
      <c r="L639">
        <f t="shared" si="53"/>
        <v>0</v>
      </c>
      <c r="N639" t="s">
        <v>43</v>
      </c>
      <c r="R639" s="3">
        <f t="shared" si="49"/>
        <v>0</v>
      </c>
    </row>
    <row r="640" spans="1:18" hidden="1" x14ac:dyDescent="0.25">
      <c r="A640" t="s">
        <v>1004</v>
      </c>
      <c r="B640" t="s">
        <v>640</v>
      </c>
      <c r="C640" t="s">
        <v>639</v>
      </c>
      <c r="D640" s="3">
        <f t="shared" si="50"/>
        <v>16</v>
      </c>
      <c r="E640" t="s">
        <v>79</v>
      </c>
      <c r="F640" t="s">
        <v>13</v>
      </c>
      <c r="G640" t="str">
        <f t="shared" si="51"/>
        <v/>
      </c>
      <c r="H640" t="s">
        <v>14</v>
      </c>
      <c r="I640" t="s">
        <v>1005</v>
      </c>
      <c r="J640" s="2">
        <f t="shared" si="52"/>
        <v>2399000</v>
      </c>
      <c r="K640" t="s">
        <v>1006</v>
      </c>
      <c r="L640">
        <f t="shared" si="53"/>
        <v>0</v>
      </c>
      <c r="N640" t="s">
        <v>43</v>
      </c>
      <c r="R640" s="3">
        <f t="shared" si="49"/>
        <v>0</v>
      </c>
    </row>
    <row r="641" spans="1:18" hidden="1" x14ac:dyDescent="0.25">
      <c r="A641" t="s">
        <v>636</v>
      </c>
      <c r="B641" t="s">
        <v>640</v>
      </c>
      <c r="C641" t="s">
        <v>639</v>
      </c>
      <c r="D641" s="3">
        <f t="shared" si="50"/>
        <v>9</v>
      </c>
      <c r="E641" t="s">
        <v>12</v>
      </c>
      <c r="F641" t="s">
        <v>13</v>
      </c>
      <c r="G641" t="str">
        <f t="shared" si="51"/>
        <v/>
      </c>
      <c r="H641" t="s">
        <v>14</v>
      </c>
      <c r="I641" t="s">
        <v>637</v>
      </c>
      <c r="J641" s="2">
        <f t="shared" si="52"/>
        <v>1699000</v>
      </c>
      <c r="K641" t="s">
        <v>638</v>
      </c>
      <c r="L641">
        <f t="shared" si="53"/>
        <v>0.17291666666666669</v>
      </c>
      <c r="M641" s="5">
        <v>0.17291666666666669</v>
      </c>
      <c r="N641" t="s">
        <v>43</v>
      </c>
      <c r="P641" t="s">
        <v>199</v>
      </c>
      <c r="R641" s="3">
        <f t="shared" si="49"/>
        <v>4.1500000000000004</v>
      </c>
    </row>
    <row r="642" spans="1:18" hidden="1" x14ac:dyDescent="0.25">
      <c r="A642" t="s">
        <v>3736</v>
      </c>
      <c r="B642" t="s">
        <v>3233</v>
      </c>
      <c r="C642" t="s">
        <v>3248</v>
      </c>
      <c r="D642" s="3">
        <f t="shared" si="50"/>
        <v>12</v>
      </c>
      <c r="E642" t="s">
        <v>33</v>
      </c>
      <c r="F642" t="s">
        <v>13</v>
      </c>
      <c r="G642" t="str">
        <f t="shared" si="51"/>
        <v/>
      </c>
      <c r="H642" t="s">
        <v>14</v>
      </c>
      <c r="I642" t="s">
        <v>3737</v>
      </c>
      <c r="J642" s="2">
        <f t="shared" si="52"/>
        <v>1900000</v>
      </c>
      <c r="K642" t="s">
        <v>352</v>
      </c>
      <c r="L642">
        <f t="shared" si="53"/>
        <v>0.16666666666666666</v>
      </c>
      <c r="M642" s="5">
        <v>0.16666666666666666</v>
      </c>
      <c r="N642" t="s">
        <v>43</v>
      </c>
      <c r="R642" s="3">
        <f t="shared" ref="R642:R705" si="54">24*L642</f>
        <v>4</v>
      </c>
    </row>
    <row r="643" spans="1:18" hidden="1" x14ac:dyDescent="0.25">
      <c r="A643" t="s">
        <v>2474</v>
      </c>
      <c r="B643" t="s">
        <v>2596</v>
      </c>
      <c r="C643" t="s">
        <v>2193</v>
      </c>
      <c r="D643" s="3">
        <f t="shared" si="50"/>
        <v>20</v>
      </c>
      <c r="E643" t="s">
        <v>159</v>
      </c>
      <c r="F643" t="s">
        <v>13</v>
      </c>
      <c r="G643" t="str">
        <f t="shared" si="51"/>
        <v/>
      </c>
      <c r="H643" t="s">
        <v>14</v>
      </c>
      <c r="I643" t="s">
        <v>2475</v>
      </c>
      <c r="J643" s="2">
        <f t="shared" si="52"/>
        <v>2300000</v>
      </c>
      <c r="K643" t="s">
        <v>820</v>
      </c>
      <c r="L643">
        <f t="shared" si="53"/>
        <v>0.17083333333333331</v>
      </c>
      <c r="M643" s="5">
        <v>0.17083333333333331</v>
      </c>
      <c r="N643" t="s">
        <v>43</v>
      </c>
      <c r="P643" t="s">
        <v>752</v>
      </c>
      <c r="R643" s="3">
        <f t="shared" si="54"/>
        <v>4.0999999999999996</v>
      </c>
    </row>
    <row r="644" spans="1:18" hidden="1" x14ac:dyDescent="0.25">
      <c r="A644" t="s">
        <v>4098</v>
      </c>
      <c r="B644" t="s">
        <v>3746</v>
      </c>
      <c r="C644" t="s">
        <v>3808</v>
      </c>
      <c r="D644" s="3">
        <f t="shared" si="50"/>
        <v>16</v>
      </c>
      <c r="E644" t="s">
        <v>79</v>
      </c>
      <c r="F644" t="s">
        <v>13</v>
      </c>
      <c r="G644" t="str">
        <f t="shared" si="51"/>
        <v/>
      </c>
      <c r="H644" t="s">
        <v>14</v>
      </c>
      <c r="I644" t="s">
        <v>1318</v>
      </c>
      <c r="J644" s="2">
        <f t="shared" si="52"/>
        <v>1500000</v>
      </c>
      <c r="K644" t="s">
        <v>66</v>
      </c>
      <c r="L644">
        <f t="shared" si="53"/>
        <v>0.20833333333333334</v>
      </c>
      <c r="M644" s="5">
        <v>0.20833333333333334</v>
      </c>
      <c r="N644" t="s">
        <v>43</v>
      </c>
      <c r="R644" s="3">
        <f t="shared" si="54"/>
        <v>5</v>
      </c>
    </row>
    <row r="645" spans="1:18" hidden="1" x14ac:dyDescent="0.25">
      <c r="A645" t="s">
        <v>1326</v>
      </c>
      <c r="B645" t="s">
        <v>1303</v>
      </c>
      <c r="C645" t="s">
        <v>1322</v>
      </c>
      <c r="D645" s="3">
        <f t="shared" si="50"/>
        <v>9</v>
      </c>
      <c r="E645" t="s">
        <v>12</v>
      </c>
      <c r="F645" t="s">
        <v>13</v>
      </c>
      <c r="G645" t="str">
        <f t="shared" si="51"/>
        <v/>
      </c>
      <c r="H645" t="s">
        <v>14</v>
      </c>
      <c r="I645" t="s">
        <v>1327</v>
      </c>
      <c r="J645" s="2">
        <f t="shared" si="52"/>
        <v>2500000</v>
      </c>
      <c r="K645" t="s">
        <v>272</v>
      </c>
      <c r="L645">
        <f t="shared" si="53"/>
        <v>0.17083333333333331</v>
      </c>
      <c r="M645" s="5">
        <v>0.17083333333333331</v>
      </c>
      <c r="N645" t="s">
        <v>43</v>
      </c>
      <c r="P645" t="s">
        <v>1328</v>
      </c>
      <c r="R645" s="3">
        <f t="shared" si="54"/>
        <v>4.0999999999999996</v>
      </c>
    </row>
    <row r="646" spans="1:18" hidden="1" x14ac:dyDescent="0.25">
      <c r="A646" t="s">
        <v>5097</v>
      </c>
      <c r="B646" t="s">
        <v>4806</v>
      </c>
      <c r="C646" t="s">
        <v>4805</v>
      </c>
      <c r="D646" s="3">
        <f t="shared" si="50"/>
        <v>7.5</v>
      </c>
      <c r="E646" t="s">
        <v>614</v>
      </c>
      <c r="F646" t="s">
        <v>13</v>
      </c>
      <c r="G646" t="str">
        <f t="shared" si="51"/>
        <v/>
      </c>
      <c r="H646" t="s">
        <v>14</v>
      </c>
      <c r="I646" t="s">
        <v>5098</v>
      </c>
      <c r="J646" s="2">
        <f t="shared" si="52"/>
        <v>1200000</v>
      </c>
      <c r="K646" t="s">
        <v>36</v>
      </c>
      <c r="L646">
        <f t="shared" si="53"/>
        <v>0</v>
      </c>
      <c r="N646" t="s">
        <v>43</v>
      </c>
      <c r="R646" s="3">
        <f t="shared" si="54"/>
        <v>0</v>
      </c>
    </row>
    <row r="647" spans="1:18" hidden="1" x14ac:dyDescent="0.25">
      <c r="A647" t="s">
        <v>5580</v>
      </c>
      <c r="B647" t="s">
        <v>5848</v>
      </c>
      <c r="C647" t="s">
        <v>5339</v>
      </c>
      <c r="D647" s="3">
        <f t="shared" si="50"/>
        <v>10.5</v>
      </c>
      <c r="E647" t="s">
        <v>1051</v>
      </c>
      <c r="F647" t="s">
        <v>34</v>
      </c>
      <c r="G647" t="str">
        <f t="shared" si="51"/>
        <v/>
      </c>
      <c r="H647" t="s">
        <v>14</v>
      </c>
      <c r="I647" t="s">
        <v>5581</v>
      </c>
      <c r="J647" s="2">
        <f t="shared" si="52"/>
        <v>700000</v>
      </c>
      <c r="K647" t="s">
        <v>157</v>
      </c>
      <c r="L647">
        <f t="shared" si="53"/>
        <v>0.13125000000000001</v>
      </c>
      <c r="M647" s="5">
        <v>0.13125000000000001</v>
      </c>
      <c r="N647" t="s">
        <v>37</v>
      </c>
      <c r="P647" t="s">
        <v>2079</v>
      </c>
      <c r="R647" s="3">
        <f t="shared" si="54"/>
        <v>3.1500000000000004</v>
      </c>
    </row>
    <row r="648" spans="1:18" x14ac:dyDescent="0.25">
      <c r="A648" t="s">
        <v>782</v>
      </c>
      <c r="B648" t="s">
        <v>640</v>
      </c>
      <c r="C648" t="s">
        <v>657</v>
      </c>
      <c r="D648" s="3">
        <f t="shared" si="50"/>
        <v>24</v>
      </c>
      <c r="E648" t="s">
        <v>598</v>
      </c>
      <c r="F648" t="s">
        <v>13</v>
      </c>
      <c r="G648" t="str">
        <f t="shared" si="51"/>
        <v/>
      </c>
      <c r="H648" t="s">
        <v>14</v>
      </c>
      <c r="I648" t="s">
        <v>783</v>
      </c>
      <c r="J648" s="2">
        <f t="shared" si="52"/>
        <v>1200000</v>
      </c>
      <c r="K648" t="s">
        <v>36</v>
      </c>
      <c r="L648">
        <f t="shared" si="53"/>
        <v>0.16874999999999998</v>
      </c>
      <c r="M648" s="5">
        <v>0.16874999999999998</v>
      </c>
      <c r="N648" t="s">
        <v>37</v>
      </c>
      <c r="R648" s="3">
        <f t="shared" si="54"/>
        <v>4.05</v>
      </c>
    </row>
    <row r="649" spans="1:18" hidden="1" x14ac:dyDescent="0.25">
      <c r="A649" t="s">
        <v>5675</v>
      </c>
      <c r="B649" t="s">
        <v>5848</v>
      </c>
      <c r="C649" t="s">
        <v>5363</v>
      </c>
      <c r="D649" s="3">
        <f t="shared" si="50"/>
        <v>18</v>
      </c>
      <c r="E649" t="s">
        <v>126</v>
      </c>
      <c r="F649" t="s">
        <v>13</v>
      </c>
      <c r="G649" t="str">
        <f t="shared" si="51"/>
        <v/>
      </c>
      <c r="H649" t="s">
        <v>14</v>
      </c>
      <c r="I649" t="s">
        <v>5676</v>
      </c>
      <c r="J649" s="2">
        <f t="shared" si="52"/>
        <v>3500000</v>
      </c>
      <c r="K649" t="s">
        <v>143</v>
      </c>
      <c r="L649">
        <f t="shared" si="53"/>
        <v>0</v>
      </c>
      <c r="N649" t="s">
        <v>43</v>
      </c>
      <c r="R649" s="3">
        <f t="shared" si="54"/>
        <v>0</v>
      </c>
    </row>
    <row r="650" spans="1:18" x14ac:dyDescent="0.25">
      <c r="A650" t="s">
        <v>4651</v>
      </c>
      <c r="B650" t="s">
        <v>4272</v>
      </c>
      <c r="C650" t="s">
        <v>4285</v>
      </c>
      <c r="D650" s="3">
        <f t="shared" si="50"/>
        <v>9.3000000000000007</v>
      </c>
      <c r="E650" t="s">
        <v>4652</v>
      </c>
      <c r="F650" t="s">
        <v>13</v>
      </c>
      <c r="G650">
        <f t="shared" si="51"/>
        <v>1275000</v>
      </c>
      <c r="H650" t="s">
        <v>698</v>
      </c>
      <c r="I650" t="s">
        <v>4653</v>
      </c>
      <c r="J650" s="2">
        <f t="shared" si="52"/>
        <v>1212500</v>
      </c>
      <c r="K650" t="s">
        <v>1935</v>
      </c>
      <c r="L650">
        <f t="shared" si="53"/>
        <v>0.12708333333333333</v>
      </c>
      <c r="M650" s="5">
        <v>0.12708333333333333</v>
      </c>
      <c r="N650" t="s">
        <v>43</v>
      </c>
      <c r="P650" t="s">
        <v>1774</v>
      </c>
      <c r="R650" s="3">
        <f t="shared" si="54"/>
        <v>3.05</v>
      </c>
    </row>
    <row r="651" spans="1:18" hidden="1" x14ac:dyDescent="0.25">
      <c r="A651" t="s">
        <v>266</v>
      </c>
      <c r="B651" t="s">
        <v>20</v>
      </c>
      <c r="C651" t="s">
        <v>102</v>
      </c>
      <c r="D651" s="3">
        <f t="shared" ref="D651:D714" si="55">VALUE(LEFT(E651,SEARCH(" x ",E651)-1))*VALUE(MID(E651,SEARCH(" x ",E651)+3,SEARCH(" meter",E651)-SEARCH(" x ",E651)-3))</f>
        <v>9</v>
      </c>
      <c r="E651" t="s">
        <v>12</v>
      </c>
      <c r="F651" t="s">
        <v>13</v>
      </c>
      <c r="G651" t="str">
        <f t="shared" ref="G651:G714" si="56">IF(H651="N/A","",VALUE(SUBSTITUTE(SUBSTITUTE(H651,"Rp",""),".","")))</f>
        <v/>
      </c>
      <c r="H651" t="s">
        <v>14</v>
      </c>
      <c r="I651" t="s">
        <v>267</v>
      </c>
      <c r="J651" s="2">
        <f t="shared" ref="J651:J714" si="57">VALUE(SUBSTITUTE(SUBSTITUTE(K651,"Rp",""),".",""))</f>
        <v>1000000</v>
      </c>
      <c r="K651" t="s">
        <v>52</v>
      </c>
      <c r="L651">
        <f t="shared" ref="L651:L714" si="58">M651:M2991</f>
        <v>0</v>
      </c>
      <c r="N651" t="s">
        <v>18</v>
      </c>
      <c r="R651" s="3">
        <f t="shared" si="54"/>
        <v>0</v>
      </c>
    </row>
    <row r="652" spans="1:18" hidden="1" x14ac:dyDescent="0.25">
      <c r="A652" t="s">
        <v>4474</v>
      </c>
      <c r="B652" t="s">
        <v>4272</v>
      </c>
      <c r="C652" t="s">
        <v>4435</v>
      </c>
      <c r="D652" s="3">
        <f t="shared" si="55"/>
        <v>12</v>
      </c>
      <c r="E652" t="s">
        <v>33</v>
      </c>
      <c r="F652" t="s">
        <v>13</v>
      </c>
      <c r="G652" t="str">
        <f t="shared" si="56"/>
        <v/>
      </c>
      <c r="H652" t="s">
        <v>14</v>
      </c>
      <c r="I652" t="s">
        <v>4475</v>
      </c>
      <c r="J652" s="2">
        <f t="shared" si="57"/>
        <v>1200000</v>
      </c>
      <c r="K652" t="s">
        <v>36</v>
      </c>
      <c r="L652">
        <f t="shared" si="58"/>
        <v>0</v>
      </c>
      <c r="N652" t="s">
        <v>18</v>
      </c>
      <c r="R652" s="3">
        <f t="shared" si="54"/>
        <v>0</v>
      </c>
    </row>
    <row r="653" spans="1:18" hidden="1" x14ac:dyDescent="0.25">
      <c r="A653" t="s">
        <v>5716</v>
      </c>
      <c r="B653" t="s">
        <v>5848</v>
      </c>
      <c r="C653" t="s">
        <v>5360</v>
      </c>
      <c r="D653" s="3">
        <f t="shared" si="55"/>
        <v>12</v>
      </c>
      <c r="E653" t="s">
        <v>33</v>
      </c>
      <c r="F653" t="s">
        <v>13</v>
      </c>
      <c r="G653" t="str">
        <f t="shared" si="56"/>
        <v/>
      </c>
      <c r="H653" t="s">
        <v>14</v>
      </c>
      <c r="I653" t="s">
        <v>5717</v>
      </c>
      <c r="J653" s="2">
        <f t="shared" si="57"/>
        <v>700000</v>
      </c>
      <c r="K653" t="s">
        <v>157</v>
      </c>
      <c r="L653">
        <f t="shared" si="58"/>
        <v>0</v>
      </c>
      <c r="N653" t="s">
        <v>43</v>
      </c>
      <c r="R653" s="3">
        <f t="shared" si="54"/>
        <v>0</v>
      </c>
    </row>
    <row r="654" spans="1:18" hidden="1" x14ac:dyDescent="0.25">
      <c r="A654" t="s">
        <v>4216</v>
      </c>
      <c r="B654" t="s">
        <v>3746</v>
      </c>
      <c r="C654" t="s">
        <v>3897</v>
      </c>
      <c r="D654" s="3">
        <f t="shared" si="55"/>
        <v>12</v>
      </c>
      <c r="E654" t="s">
        <v>33</v>
      </c>
      <c r="F654" t="s">
        <v>13</v>
      </c>
      <c r="G654" t="str">
        <f t="shared" si="56"/>
        <v/>
      </c>
      <c r="H654" t="s">
        <v>14</v>
      </c>
      <c r="I654" t="s">
        <v>4217</v>
      </c>
      <c r="J654" s="2">
        <f t="shared" si="57"/>
        <v>2200000</v>
      </c>
      <c r="K654" t="s">
        <v>849</v>
      </c>
      <c r="L654">
        <f t="shared" si="58"/>
        <v>0</v>
      </c>
      <c r="N654" t="s">
        <v>43</v>
      </c>
      <c r="R654" s="3">
        <f t="shared" si="54"/>
        <v>0</v>
      </c>
    </row>
    <row r="655" spans="1:18" x14ac:dyDescent="0.25">
      <c r="A655" t="s">
        <v>4397</v>
      </c>
      <c r="B655" t="s">
        <v>4272</v>
      </c>
      <c r="C655" t="s">
        <v>4281</v>
      </c>
      <c r="D655" s="3">
        <f t="shared" si="55"/>
        <v>7.5</v>
      </c>
      <c r="E655" t="s">
        <v>178</v>
      </c>
      <c r="F655" t="s">
        <v>13</v>
      </c>
      <c r="G655">
        <f t="shared" si="56"/>
        <v>1325000</v>
      </c>
      <c r="H655" t="s">
        <v>683</v>
      </c>
      <c r="I655" t="s">
        <v>4398</v>
      </c>
      <c r="J655" s="2">
        <f t="shared" si="57"/>
        <v>1221000</v>
      </c>
      <c r="K655" t="s">
        <v>3236</v>
      </c>
      <c r="L655">
        <f t="shared" si="58"/>
        <v>0.17013888888888887</v>
      </c>
      <c r="M655" s="5">
        <v>0.17013888888888887</v>
      </c>
      <c r="N655" t="s">
        <v>43</v>
      </c>
      <c r="P655" t="s">
        <v>2095</v>
      </c>
      <c r="R655" s="3">
        <f t="shared" si="54"/>
        <v>4.083333333333333</v>
      </c>
    </row>
    <row r="656" spans="1:18" x14ac:dyDescent="0.25">
      <c r="A656" t="s">
        <v>4594</v>
      </c>
      <c r="B656" t="s">
        <v>4272</v>
      </c>
      <c r="C656" t="s">
        <v>4281</v>
      </c>
      <c r="D656" s="3">
        <f t="shared" si="55"/>
        <v>9</v>
      </c>
      <c r="E656" t="s">
        <v>12</v>
      </c>
      <c r="F656" t="s">
        <v>13</v>
      </c>
      <c r="G656">
        <f t="shared" si="56"/>
        <v>1325000</v>
      </c>
      <c r="H656" t="s">
        <v>683</v>
      </c>
      <c r="I656" t="s">
        <v>4595</v>
      </c>
      <c r="J656" s="2">
        <f t="shared" si="57"/>
        <v>1221000</v>
      </c>
      <c r="K656" t="s">
        <v>3236</v>
      </c>
      <c r="L656">
        <f t="shared" si="58"/>
        <v>0.20833333333333334</v>
      </c>
      <c r="M656" s="5">
        <v>0.20833333333333334</v>
      </c>
      <c r="N656" t="s">
        <v>18</v>
      </c>
      <c r="P656" t="s">
        <v>2095</v>
      </c>
      <c r="R656" s="3">
        <f t="shared" si="54"/>
        <v>5</v>
      </c>
    </row>
    <row r="657" spans="1:18" hidden="1" x14ac:dyDescent="0.25">
      <c r="A657" t="s">
        <v>5127</v>
      </c>
      <c r="B657" t="s">
        <v>4806</v>
      </c>
      <c r="C657" t="s">
        <v>4825</v>
      </c>
      <c r="D657" s="3">
        <f t="shared" si="55"/>
        <v>9</v>
      </c>
      <c r="E657" t="s">
        <v>12</v>
      </c>
      <c r="F657" t="s">
        <v>34</v>
      </c>
      <c r="G657" t="str">
        <f t="shared" si="56"/>
        <v/>
      </c>
      <c r="H657" t="s">
        <v>14</v>
      </c>
      <c r="I657" t="s">
        <v>5128</v>
      </c>
      <c r="J657" s="2">
        <f t="shared" si="57"/>
        <v>650000</v>
      </c>
      <c r="K657" t="s">
        <v>105</v>
      </c>
      <c r="L657">
        <f t="shared" si="58"/>
        <v>0</v>
      </c>
      <c r="N657" t="s">
        <v>37</v>
      </c>
      <c r="R657" s="3">
        <f t="shared" si="54"/>
        <v>0</v>
      </c>
    </row>
    <row r="658" spans="1:18" x14ac:dyDescent="0.25">
      <c r="A658" t="s">
        <v>811</v>
      </c>
      <c r="B658" t="s">
        <v>640</v>
      </c>
      <c r="C658" t="s">
        <v>643</v>
      </c>
      <c r="D658" s="3">
        <f t="shared" si="55"/>
        <v>12</v>
      </c>
      <c r="E658" t="s">
        <v>33</v>
      </c>
      <c r="F658" t="s">
        <v>13</v>
      </c>
      <c r="G658">
        <f t="shared" si="56"/>
        <v>1375000</v>
      </c>
      <c r="H658" t="s">
        <v>812</v>
      </c>
      <c r="I658" t="s">
        <v>813</v>
      </c>
      <c r="J658" s="2">
        <f t="shared" si="57"/>
        <v>1240000</v>
      </c>
      <c r="K658" t="s">
        <v>814</v>
      </c>
      <c r="L658">
        <f t="shared" si="58"/>
        <v>0.17222222222222225</v>
      </c>
      <c r="M658" s="5">
        <v>0.17222222222222225</v>
      </c>
      <c r="N658" t="s">
        <v>18</v>
      </c>
      <c r="P658" t="s">
        <v>815</v>
      </c>
      <c r="R658" s="3">
        <f t="shared" si="54"/>
        <v>4.1333333333333337</v>
      </c>
    </row>
    <row r="659" spans="1:18" hidden="1" x14ac:dyDescent="0.25">
      <c r="A659" t="s">
        <v>3606</v>
      </c>
      <c r="B659" t="s">
        <v>3233</v>
      </c>
      <c r="C659" t="s">
        <v>3326</v>
      </c>
      <c r="D659" s="3">
        <f t="shared" si="55"/>
        <v>12</v>
      </c>
      <c r="E659" t="s">
        <v>33</v>
      </c>
      <c r="F659" t="s">
        <v>13</v>
      </c>
      <c r="G659" t="str">
        <f t="shared" si="56"/>
        <v/>
      </c>
      <c r="H659" t="s">
        <v>14</v>
      </c>
      <c r="I659" t="s">
        <v>3607</v>
      </c>
      <c r="J659" s="2">
        <f t="shared" si="57"/>
        <v>1500000</v>
      </c>
      <c r="K659" t="s">
        <v>66</v>
      </c>
      <c r="L659">
        <f t="shared" si="58"/>
        <v>0</v>
      </c>
      <c r="N659" t="s">
        <v>43</v>
      </c>
      <c r="R659" s="3">
        <f t="shared" si="54"/>
        <v>0</v>
      </c>
    </row>
    <row r="660" spans="1:18" hidden="1" x14ac:dyDescent="0.25">
      <c r="A660" t="s">
        <v>5827</v>
      </c>
      <c r="B660" t="s">
        <v>5848</v>
      </c>
      <c r="C660" t="s">
        <v>5631</v>
      </c>
      <c r="D660" s="3">
        <f t="shared" si="55"/>
        <v>30</v>
      </c>
      <c r="E660" t="s">
        <v>2626</v>
      </c>
      <c r="F660" t="s">
        <v>13</v>
      </c>
      <c r="G660" t="str">
        <f t="shared" si="56"/>
        <v/>
      </c>
      <c r="H660" t="s">
        <v>14</v>
      </c>
      <c r="I660" t="s">
        <v>5828</v>
      </c>
      <c r="J660" s="2">
        <f t="shared" si="57"/>
        <v>3500000</v>
      </c>
      <c r="K660" t="s">
        <v>143</v>
      </c>
      <c r="L660">
        <f t="shared" si="58"/>
        <v>0.17291666666666669</v>
      </c>
      <c r="M660" s="5">
        <v>0.17291666666666669</v>
      </c>
      <c r="N660" t="s">
        <v>43</v>
      </c>
      <c r="P660" t="s">
        <v>2826</v>
      </c>
      <c r="R660" s="3">
        <f t="shared" si="54"/>
        <v>4.1500000000000004</v>
      </c>
    </row>
    <row r="661" spans="1:18" hidden="1" x14ac:dyDescent="0.25">
      <c r="A661" t="s">
        <v>5827</v>
      </c>
      <c r="B661" t="s">
        <v>5848</v>
      </c>
      <c r="C661" t="s">
        <v>5631</v>
      </c>
      <c r="D661" s="3">
        <f t="shared" si="55"/>
        <v>30</v>
      </c>
      <c r="E661" t="s">
        <v>2626</v>
      </c>
      <c r="F661" t="s">
        <v>13</v>
      </c>
      <c r="G661" t="str">
        <f t="shared" si="56"/>
        <v/>
      </c>
      <c r="H661" t="s">
        <v>14</v>
      </c>
      <c r="I661" t="s">
        <v>5828</v>
      </c>
      <c r="J661" s="2">
        <f t="shared" si="57"/>
        <v>3500000</v>
      </c>
      <c r="K661" t="s">
        <v>143</v>
      </c>
      <c r="L661">
        <f t="shared" si="58"/>
        <v>0.17222222222222225</v>
      </c>
      <c r="M661" s="5">
        <v>0.17222222222222225</v>
      </c>
      <c r="N661" t="s">
        <v>43</v>
      </c>
      <c r="P661" t="s">
        <v>2826</v>
      </c>
      <c r="R661" s="3">
        <f t="shared" si="54"/>
        <v>4.1333333333333337</v>
      </c>
    </row>
    <row r="662" spans="1:18" hidden="1" x14ac:dyDescent="0.25">
      <c r="A662" t="s">
        <v>5154</v>
      </c>
      <c r="B662" t="s">
        <v>4806</v>
      </c>
      <c r="C662" t="s">
        <v>4825</v>
      </c>
      <c r="D662" s="3">
        <f t="shared" si="55"/>
        <v>9</v>
      </c>
      <c r="E662" t="s">
        <v>12</v>
      </c>
      <c r="F662" t="s">
        <v>13</v>
      </c>
      <c r="G662" t="str">
        <f t="shared" si="56"/>
        <v/>
      </c>
      <c r="H662" t="s">
        <v>14</v>
      </c>
      <c r="I662" t="s">
        <v>5155</v>
      </c>
      <c r="J662" s="2">
        <f t="shared" si="57"/>
        <v>1700000</v>
      </c>
      <c r="K662" t="s">
        <v>23</v>
      </c>
      <c r="L662">
        <f t="shared" si="58"/>
        <v>0</v>
      </c>
      <c r="N662" t="s">
        <v>18</v>
      </c>
      <c r="R662" s="3">
        <f t="shared" si="54"/>
        <v>0</v>
      </c>
    </row>
    <row r="663" spans="1:18" hidden="1" x14ac:dyDescent="0.25">
      <c r="A663" t="s">
        <v>478</v>
      </c>
      <c r="B663" t="s">
        <v>20</v>
      </c>
      <c r="C663" t="s">
        <v>67</v>
      </c>
      <c r="D663" s="3">
        <f t="shared" si="55"/>
        <v>20</v>
      </c>
      <c r="E663" t="s">
        <v>159</v>
      </c>
      <c r="F663" t="s">
        <v>34</v>
      </c>
      <c r="G663" t="str">
        <f t="shared" si="56"/>
        <v/>
      </c>
      <c r="H663" t="s">
        <v>14</v>
      </c>
      <c r="I663" t="s">
        <v>479</v>
      </c>
      <c r="J663" s="2">
        <f t="shared" si="57"/>
        <v>1700000</v>
      </c>
      <c r="K663" t="s">
        <v>23</v>
      </c>
      <c r="L663">
        <f t="shared" si="58"/>
        <v>0.20833333333333334</v>
      </c>
      <c r="M663" s="5">
        <v>0.20833333333333334</v>
      </c>
      <c r="N663" t="s">
        <v>18</v>
      </c>
      <c r="R663" s="3">
        <f t="shared" si="54"/>
        <v>5</v>
      </c>
    </row>
    <row r="664" spans="1:18" hidden="1" x14ac:dyDescent="0.25">
      <c r="A664" t="s">
        <v>468</v>
      </c>
      <c r="B664" t="s">
        <v>20</v>
      </c>
      <c r="C664" t="s">
        <v>293</v>
      </c>
      <c r="D664" s="3">
        <f t="shared" si="55"/>
        <v>9</v>
      </c>
      <c r="E664" t="s">
        <v>12</v>
      </c>
      <c r="F664" t="s">
        <v>34</v>
      </c>
      <c r="G664" t="str">
        <f t="shared" si="56"/>
        <v/>
      </c>
      <c r="H664" t="s">
        <v>14</v>
      </c>
      <c r="I664" t="s">
        <v>469</v>
      </c>
      <c r="J664" s="2">
        <f t="shared" si="57"/>
        <v>1650000</v>
      </c>
      <c r="K664" t="s">
        <v>90</v>
      </c>
      <c r="L664">
        <f t="shared" si="58"/>
        <v>0.17291666666666669</v>
      </c>
      <c r="M664" s="5">
        <v>0.17291666666666669</v>
      </c>
      <c r="N664" t="s">
        <v>43</v>
      </c>
      <c r="R664" s="3">
        <f t="shared" si="54"/>
        <v>4.1500000000000004</v>
      </c>
    </row>
    <row r="665" spans="1:18" hidden="1" x14ac:dyDescent="0.25">
      <c r="A665" t="s">
        <v>539</v>
      </c>
      <c r="B665" t="s">
        <v>20</v>
      </c>
      <c r="C665" t="s">
        <v>293</v>
      </c>
      <c r="D665" s="3">
        <f t="shared" si="55"/>
        <v>12</v>
      </c>
      <c r="E665" t="s">
        <v>33</v>
      </c>
      <c r="F665" t="s">
        <v>13</v>
      </c>
      <c r="G665" t="str">
        <f t="shared" si="56"/>
        <v/>
      </c>
      <c r="H665" t="s">
        <v>14</v>
      </c>
      <c r="I665" t="s">
        <v>540</v>
      </c>
      <c r="J665" s="2">
        <f t="shared" si="57"/>
        <v>2250000</v>
      </c>
      <c r="K665" t="s">
        <v>448</v>
      </c>
      <c r="L665">
        <f t="shared" si="58"/>
        <v>0</v>
      </c>
      <c r="N665" t="s">
        <v>43</v>
      </c>
      <c r="R665" s="3">
        <f t="shared" si="54"/>
        <v>0</v>
      </c>
    </row>
    <row r="666" spans="1:18" hidden="1" x14ac:dyDescent="0.25">
      <c r="A666" t="s">
        <v>4043</v>
      </c>
      <c r="B666" t="s">
        <v>3746</v>
      </c>
      <c r="C666" t="s">
        <v>4045</v>
      </c>
      <c r="D666" s="3">
        <f t="shared" si="55"/>
        <v>12</v>
      </c>
      <c r="E666" t="s">
        <v>33</v>
      </c>
      <c r="F666" t="s">
        <v>13</v>
      </c>
      <c r="G666" t="str">
        <f t="shared" si="56"/>
        <v/>
      </c>
      <c r="H666" t="s">
        <v>14</v>
      </c>
      <c r="I666" t="s">
        <v>4044</v>
      </c>
      <c r="J666" s="2">
        <f t="shared" si="57"/>
        <v>975000</v>
      </c>
      <c r="K666" t="s">
        <v>544</v>
      </c>
      <c r="L666">
        <f t="shared" si="58"/>
        <v>0</v>
      </c>
      <c r="N666" t="s">
        <v>37</v>
      </c>
      <c r="R666" s="3">
        <f t="shared" si="54"/>
        <v>0</v>
      </c>
    </row>
    <row r="667" spans="1:18" hidden="1" x14ac:dyDescent="0.25">
      <c r="A667" t="s">
        <v>1278</v>
      </c>
      <c r="B667" t="s">
        <v>640</v>
      </c>
      <c r="C667" t="s">
        <v>643</v>
      </c>
      <c r="D667" s="3">
        <f t="shared" si="55"/>
        <v>12</v>
      </c>
      <c r="E667" t="s">
        <v>33</v>
      </c>
      <c r="F667" t="s">
        <v>34</v>
      </c>
      <c r="G667" t="str">
        <f t="shared" si="56"/>
        <v/>
      </c>
      <c r="H667" t="s">
        <v>14</v>
      </c>
      <c r="I667" t="s">
        <v>1279</v>
      </c>
      <c r="J667" s="2">
        <f t="shared" si="57"/>
        <v>900000</v>
      </c>
      <c r="K667" t="s">
        <v>101</v>
      </c>
      <c r="L667">
        <f t="shared" si="58"/>
        <v>0.17291666666666669</v>
      </c>
      <c r="M667" s="5">
        <v>0.17291666666666669</v>
      </c>
      <c r="N667" t="s">
        <v>18</v>
      </c>
      <c r="P667" t="s">
        <v>199</v>
      </c>
      <c r="R667" s="3">
        <f t="shared" si="54"/>
        <v>4.1500000000000004</v>
      </c>
    </row>
    <row r="668" spans="1:18" hidden="1" x14ac:dyDescent="0.25">
      <c r="A668" t="s">
        <v>1278</v>
      </c>
      <c r="B668" t="s">
        <v>640</v>
      </c>
      <c r="C668" t="s">
        <v>643</v>
      </c>
      <c r="D668" s="3">
        <f t="shared" si="55"/>
        <v>12</v>
      </c>
      <c r="E668" t="s">
        <v>33</v>
      </c>
      <c r="F668" t="s">
        <v>34</v>
      </c>
      <c r="G668" t="str">
        <f t="shared" si="56"/>
        <v/>
      </c>
      <c r="H668" t="s">
        <v>14</v>
      </c>
      <c r="I668" t="s">
        <v>1279</v>
      </c>
      <c r="J668" s="2">
        <f t="shared" si="57"/>
        <v>900000</v>
      </c>
      <c r="K668" t="s">
        <v>101</v>
      </c>
      <c r="L668">
        <f t="shared" si="58"/>
        <v>0.17083333333333331</v>
      </c>
      <c r="M668" s="5">
        <v>0.17083333333333331</v>
      </c>
      <c r="N668" t="s">
        <v>18</v>
      </c>
      <c r="P668" t="s">
        <v>199</v>
      </c>
      <c r="R668" s="3">
        <f t="shared" si="54"/>
        <v>4.0999999999999996</v>
      </c>
    </row>
    <row r="669" spans="1:18" hidden="1" x14ac:dyDescent="0.25">
      <c r="A669" t="s">
        <v>4693</v>
      </c>
      <c r="B669" t="s">
        <v>4272</v>
      </c>
      <c r="C669" t="s">
        <v>4311</v>
      </c>
      <c r="D669" s="3">
        <f t="shared" si="55"/>
        <v>9</v>
      </c>
      <c r="E669" t="s">
        <v>12</v>
      </c>
      <c r="F669" t="s">
        <v>13</v>
      </c>
      <c r="G669" t="str">
        <f t="shared" si="56"/>
        <v/>
      </c>
      <c r="H669" t="s">
        <v>14</v>
      </c>
      <c r="I669" t="s">
        <v>4694</v>
      </c>
      <c r="J669" s="2">
        <f t="shared" si="57"/>
        <v>1500000</v>
      </c>
      <c r="K669" t="s">
        <v>66</v>
      </c>
      <c r="L669">
        <f t="shared" si="58"/>
        <v>0.17291666666666669</v>
      </c>
      <c r="M669" s="5">
        <v>0.17291666666666669</v>
      </c>
      <c r="N669" t="s">
        <v>18</v>
      </c>
      <c r="P669" t="s">
        <v>31</v>
      </c>
      <c r="R669" s="3">
        <f t="shared" si="54"/>
        <v>4.1500000000000004</v>
      </c>
    </row>
    <row r="670" spans="1:18" hidden="1" x14ac:dyDescent="0.25">
      <c r="A670" t="s">
        <v>4028</v>
      </c>
      <c r="B670" t="s">
        <v>3746</v>
      </c>
      <c r="C670" t="s">
        <v>2600</v>
      </c>
      <c r="D670" s="3">
        <f t="shared" si="55"/>
        <v>9</v>
      </c>
      <c r="E670" t="s">
        <v>12</v>
      </c>
      <c r="F670" t="s">
        <v>13</v>
      </c>
      <c r="G670" t="str">
        <f t="shared" si="56"/>
        <v/>
      </c>
      <c r="H670" t="s">
        <v>14</v>
      </c>
      <c r="I670" t="s">
        <v>4029</v>
      </c>
      <c r="J670" s="2">
        <f t="shared" si="57"/>
        <v>1600000</v>
      </c>
      <c r="K670" t="s">
        <v>95</v>
      </c>
      <c r="L670">
        <f t="shared" si="58"/>
        <v>0.17013888888888887</v>
      </c>
      <c r="M670" s="5">
        <v>0.17013888888888887</v>
      </c>
      <c r="N670" t="s">
        <v>43</v>
      </c>
      <c r="R670" s="3">
        <f t="shared" si="54"/>
        <v>4.083333333333333</v>
      </c>
    </row>
    <row r="671" spans="1:18" hidden="1" x14ac:dyDescent="0.25">
      <c r="A671" t="s">
        <v>4139</v>
      </c>
      <c r="B671" t="s">
        <v>3746</v>
      </c>
      <c r="C671" t="s">
        <v>3894</v>
      </c>
      <c r="D671" s="3">
        <f t="shared" si="55"/>
        <v>9</v>
      </c>
      <c r="E671" t="s">
        <v>12</v>
      </c>
      <c r="F671" t="s">
        <v>13</v>
      </c>
      <c r="G671" t="str">
        <f t="shared" si="56"/>
        <v/>
      </c>
      <c r="H671" t="s">
        <v>14</v>
      </c>
      <c r="I671" t="s">
        <v>4140</v>
      </c>
      <c r="J671" s="2">
        <f t="shared" si="57"/>
        <v>650000</v>
      </c>
      <c r="K671" t="s">
        <v>105</v>
      </c>
      <c r="L671">
        <f t="shared" si="58"/>
        <v>0</v>
      </c>
      <c r="N671" t="s">
        <v>18</v>
      </c>
      <c r="R671" s="3">
        <f t="shared" si="54"/>
        <v>0</v>
      </c>
    </row>
    <row r="672" spans="1:18" hidden="1" x14ac:dyDescent="0.25">
      <c r="A672" t="s">
        <v>4826</v>
      </c>
      <c r="B672" t="s">
        <v>4806</v>
      </c>
      <c r="C672" t="s">
        <v>4820</v>
      </c>
      <c r="D672" s="3">
        <f t="shared" si="55"/>
        <v>12</v>
      </c>
      <c r="E672" t="s">
        <v>33</v>
      </c>
      <c r="F672" t="s">
        <v>13</v>
      </c>
      <c r="G672" t="str">
        <f t="shared" si="56"/>
        <v/>
      </c>
      <c r="H672" t="s">
        <v>14</v>
      </c>
      <c r="I672" t="s">
        <v>4827</v>
      </c>
      <c r="J672" s="2">
        <f t="shared" si="57"/>
        <v>1200000</v>
      </c>
      <c r="K672" t="s">
        <v>36</v>
      </c>
      <c r="L672">
        <f t="shared" si="58"/>
        <v>0.16666666666666666</v>
      </c>
      <c r="M672" s="5">
        <v>0.16666666666666666</v>
      </c>
      <c r="N672" t="s">
        <v>43</v>
      </c>
      <c r="R672" s="3">
        <f t="shared" si="54"/>
        <v>4</v>
      </c>
    </row>
    <row r="673" spans="1:18" hidden="1" x14ac:dyDescent="0.25">
      <c r="A673" t="s">
        <v>3711</v>
      </c>
      <c r="B673" t="s">
        <v>3233</v>
      </c>
      <c r="C673" t="s">
        <v>3232</v>
      </c>
      <c r="D673" s="3">
        <f t="shared" si="55"/>
        <v>6</v>
      </c>
      <c r="E673" t="s">
        <v>64</v>
      </c>
      <c r="F673" t="s">
        <v>34</v>
      </c>
      <c r="G673" t="str">
        <f t="shared" si="56"/>
        <v/>
      </c>
      <c r="H673" t="s">
        <v>14</v>
      </c>
      <c r="I673" t="s">
        <v>3712</v>
      </c>
      <c r="J673" s="2">
        <f t="shared" si="57"/>
        <v>1550000</v>
      </c>
      <c r="K673" t="s">
        <v>137</v>
      </c>
      <c r="L673">
        <f t="shared" si="58"/>
        <v>0.17291666666666669</v>
      </c>
      <c r="M673" s="5">
        <v>0.17291666666666669</v>
      </c>
      <c r="N673" t="s">
        <v>18</v>
      </c>
      <c r="R673" s="3">
        <f t="shared" si="54"/>
        <v>4.1500000000000004</v>
      </c>
    </row>
    <row r="674" spans="1:18" x14ac:dyDescent="0.25">
      <c r="A674" t="s">
        <v>4588</v>
      </c>
      <c r="B674" t="s">
        <v>4272</v>
      </c>
      <c r="C674" t="s">
        <v>4417</v>
      </c>
      <c r="D674" s="3">
        <f t="shared" si="55"/>
        <v>16</v>
      </c>
      <c r="E674" t="s">
        <v>79</v>
      </c>
      <c r="F674" t="s">
        <v>34</v>
      </c>
      <c r="G674" t="str">
        <f t="shared" si="56"/>
        <v/>
      </c>
      <c r="H674" t="s">
        <v>14</v>
      </c>
      <c r="I674" t="s">
        <v>4589</v>
      </c>
      <c r="J674" s="2">
        <f t="shared" si="57"/>
        <v>1250000</v>
      </c>
      <c r="K674" t="s">
        <v>202</v>
      </c>
      <c r="L674">
        <f t="shared" si="58"/>
        <v>0</v>
      </c>
      <c r="N674" t="s">
        <v>18</v>
      </c>
      <c r="R674" s="3">
        <f t="shared" si="54"/>
        <v>0</v>
      </c>
    </row>
    <row r="675" spans="1:18" x14ac:dyDescent="0.25">
      <c r="A675" t="s">
        <v>5769</v>
      </c>
      <c r="B675" t="s">
        <v>5848</v>
      </c>
      <c r="C675" t="s">
        <v>5335</v>
      </c>
      <c r="D675" s="3">
        <f t="shared" si="55"/>
        <v>10.240000000000002</v>
      </c>
      <c r="E675" t="s">
        <v>941</v>
      </c>
      <c r="F675" t="s">
        <v>13</v>
      </c>
      <c r="G675">
        <f t="shared" si="56"/>
        <v>1375000</v>
      </c>
      <c r="H675" t="s">
        <v>812</v>
      </c>
      <c r="I675" t="s">
        <v>5770</v>
      </c>
      <c r="J675" s="2">
        <f t="shared" si="57"/>
        <v>1267000</v>
      </c>
      <c r="K675" t="s">
        <v>3568</v>
      </c>
      <c r="L675">
        <f t="shared" si="58"/>
        <v>0.20833333333333334</v>
      </c>
      <c r="M675" s="5">
        <v>0.20833333333333334</v>
      </c>
      <c r="N675" t="s">
        <v>43</v>
      </c>
      <c r="P675" t="s">
        <v>2143</v>
      </c>
      <c r="R675" s="3">
        <f t="shared" si="54"/>
        <v>5</v>
      </c>
    </row>
    <row r="676" spans="1:18" x14ac:dyDescent="0.25">
      <c r="A676" t="s">
        <v>3566</v>
      </c>
      <c r="B676" t="s">
        <v>3233</v>
      </c>
      <c r="C676" t="s">
        <v>3248</v>
      </c>
      <c r="D676" s="3">
        <f t="shared" si="55"/>
        <v>6</v>
      </c>
      <c r="E676" t="s">
        <v>285</v>
      </c>
      <c r="F676" t="s">
        <v>13</v>
      </c>
      <c r="G676">
        <f t="shared" si="56"/>
        <v>1375000</v>
      </c>
      <c r="H676" t="s">
        <v>812</v>
      </c>
      <c r="I676" t="s">
        <v>3567</v>
      </c>
      <c r="J676" s="2">
        <f t="shared" si="57"/>
        <v>1267000</v>
      </c>
      <c r="K676" t="s">
        <v>3568</v>
      </c>
      <c r="L676">
        <f t="shared" si="58"/>
        <v>0.20833333333333334</v>
      </c>
      <c r="M676" s="5">
        <v>0.20833333333333334</v>
      </c>
      <c r="N676" t="s">
        <v>43</v>
      </c>
      <c r="P676" t="s">
        <v>2143</v>
      </c>
      <c r="R676" s="3">
        <f t="shared" si="54"/>
        <v>5</v>
      </c>
    </row>
    <row r="677" spans="1:18" x14ac:dyDescent="0.25">
      <c r="A677" t="s">
        <v>2690</v>
      </c>
      <c r="B677" t="s">
        <v>3206</v>
      </c>
      <c r="C677" t="s">
        <v>2671</v>
      </c>
      <c r="D677" s="3">
        <f t="shared" si="55"/>
        <v>11.2</v>
      </c>
      <c r="E677" t="s">
        <v>2669</v>
      </c>
      <c r="F677" t="s">
        <v>13</v>
      </c>
      <c r="G677" t="str">
        <f t="shared" si="56"/>
        <v/>
      </c>
      <c r="H677" t="s">
        <v>14</v>
      </c>
      <c r="I677" t="s">
        <v>2691</v>
      </c>
      <c r="J677" s="2">
        <f t="shared" si="57"/>
        <v>1275000</v>
      </c>
      <c r="K677" t="s">
        <v>698</v>
      </c>
      <c r="L677">
        <f t="shared" si="58"/>
        <v>0.17291666666666669</v>
      </c>
      <c r="M677" s="5">
        <v>0.17291666666666669</v>
      </c>
      <c r="N677" t="s">
        <v>18</v>
      </c>
      <c r="P677" t="s">
        <v>840</v>
      </c>
      <c r="R677" s="3">
        <f t="shared" si="54"/>
        <v>4.1500000000000004</v>
      </c>
    </row>
    <row r="678" spans="1:18" x14ac:dyDescent="0.25">
      <c r="A678" t="s">
        <v>1556</v>
      </c>
      <c r="B678" t="s">
        <v>1303</v>
      </c>
      <c r="C678" t="s">
        <v>1342</v>
      </c>
      <c r="D678" s="3">
        <f t="shared" si="55"/>
        <v>9</v>
      </c>
      <c r="E678" t="s">
        <v>12</v>
      </c>
      <c r="F678" t="s">
        <v>13</v>
      </c>
      <c r="G678">
        <f t="shared" si="56"/>
        <v>1345000</v>
      </c>
      <c r="H678" t="s">
        <v>1430</v>
      </c>
      <c r="I678" t="s">
        <v>1557</v>
      </c>
      <c r="J678" s="2">
        <f t="shared" si="57"/>
        <v>1279000</v>
      </c>
      <c r="K678" t="s">
        <v>1558</v>
      </c>
      <c r="L678">
        <f t="shared" si="58"/>
        <v>0.17222222222222225</v>
      </c>
      <c r="M678" s="5">
        <v>0.17222222222222225</v>
      </c>
      <c r="N678" t="s">
        <v>43</v>
      </c>
      <c r="P678" t="s">
        <v>1559</v>
      </c>
      <c r="R678" s="3">
        <f t="shared" si="54"/>
        <v>4.1333333333333337</v>
      </c>
    </row>
    <row r="679" spans="1:18" hidden="1" x14ac:dyDescent="0.25">
      <c r="A679" t="s">
        <v>3994</v>
      </c>
      <c r="B679" t="s">
        <v>3746</v>
      </c>
      <c r="C679" t="s">
        <v>3847</v>
      </c>
      <c r="D679" s="3">
        <f t="shared" si="55"/>
        <v>9</v>
      </c>
      <c r="E679" t="s">
        <v>12</v>
      </c>
      <c r="F679" t="s">
        <v>13</v>
      </c>
      <c r="G679" t="str">
        <f t="shared" si="56"/>
        <v/>
      </c>
      <c r="H679" t="s">
        <v>14</v>
      </c>
      <c r="I679" t="s">
        <v>3995</v>
      </c>
      <c r="J679" s="2">
        <f t="shared" si="57"/>
        <v>1500000</v>
      </c>
      <c r="K679" t="s">
        <v>66</v>
      </c>
      <c r="L679">
        <f t="shared" si="58"/>
        <v>0</v>
      </c>
      <c r="N679" t="s">
        <v>18</v>
      </c>
      <c r="R679" s="3">
        <f t="shared" si="54"/>
        <v>0</v>
      </c>
    </row>
    <row r="680" spans="1:18" hidden="1" x14ac:dyDescent="0.25">
      <c r="A680" t="s">
        <v>3931</v>
      </c>
      <c r="B680" t="s">
        <v>3746</v>
      </c>
      <c r="C680" t="s">
        <v>3900</v>
      </c>
      <c r="D680" s="3">
        <f t="shared" si="55"/>
        <v>18</v>
      </c>
      <c r="E680" t="s">
        <v>126</v>
      </c>
      <c r="F680" t="s">
        <v>13</v>
      </c>
      <c r="G680" t="str">
        <f t="shared" si="56"/>
        <v/>
      </c>
      <c r="H680" t="s">
        <v>14</v>
      </c>
      <c r="I680" t="s">
        <v>3932</v>
      </c>
      <c r="J680" s="2">
        <f t="shared" si="57"/>
        <v>2300000</v>
      </c>
      <c r="K680" t="s">
        <v>820</v>
      </c>
      <c r="L680">
        <f t="shared" si="58"/>
        <v>0</v>
      </c>
      <c r="N680" t="s">
        <v>43</v>
      </c>
      <c r="R680" s="3">
        <f t="shared" si="54"/>
        <v>0</v>
      </c>
    </row>
    <row r="681" spans="1:18" hidden="1" x14ac:dyDescent="0.25">
      <c r="A681" t="s">
        <v>4455</v>
      </c>
      <c r="B681" t="s">
        <v>4272</v>
      </c>
      <c r="C681" t="s">
        <v>4337</v>
      </c>
      <c r="D681" s="3">
        <f t="shared" si="55"/>
        <v>9</v>
      </c>
      <c r="E681" t="s">
        <v>12</v>
      </c>
      <c r="F681" t="s">
        <v>13</v>
      </c>
      <c r="G681" t="str">
        <f t="shared" si="56"/>
        <v/>
      </c>
      <c r="H681" t="s">
        <v>14</v>
      </c>
      <c r="I681" t="s">
        <v>4456</v>
      </c>
      <c r="J681" s="2">
        <f t="shared" si="57"/>
        <v>1500000</v>
      </c>
      <c r="K681" t="s">
        <v>66</v>
      </c>
      <c r="L681">
        <f t="shared" si="58"/>
        <v>0.20833333333333334</v>
      </c>
      <c r="M681" s="5">
        <v>0.20833333333333334</v>
      </c>
      <c r="N681" t="s">
        <v>43</v>
      </c>
      <c r="R681" s="3">
        <f t="shared" si="54"/>
        <v>5</v>
      </c>
    </row>
    <row r="682" spans="1:18" hidden="1" x14ac:dyDescent="0.25">
      <c r="A682" t="s">
        <v>5210</v>
      </c>
      <c r="B682" t="s">
        <v>4806</v>
      </c>
      <c r="C682" t="s">
        <v>5015</v>
      </c>
      <c r="D682" s="3">
        <f t="shared" si="55"/>
        <v>12</v>
      </c>
      <c r="E682" t="s">
        <v>33</v>
      </c>
      <c r="F682" t="s">
        <v>13</v>
      </c>
      <c r="G682" t="str">
        <f t="shared" si="56"/>
        <v/>
      </c>
      <c r="H682" t="s">
        <v>14</v>
      </c>
      <c r="I682" t="s">
        <v>5211</v>
      </c>
      <c r="J682" s="2">
        <f t="shared" si="57"/>
        <v>1200000</v>
      </c>
      <c r="K682" t="s">
        <v>36</v>
      </c>
      <c r="L682">
        <f t="shared" si="58"/>
        <v>0</v>
      </c>
      <c r="N682" t="s">
        <v>43</v>
      </c>
      <c r="R682" s="3">
        <f t="shared" si="54"/>
        <v>0</v>
      </c>
    </row>
    <row r="683" spans="1:18" hidden="1" x14ac:dyDescent="0.25">
      <c r="A683" t="s">
        <v>4261</v>
      </c>
      <c r="B683" t="s">
        <v>3746</v>
      </c>
      <c r="C683" t="s">
        <v>4038</v>
      </c>
      <c r="D683" s="3">
        <f t="shared" si="55"/>
        <v>8.75</v>
      </c>
      <c r="E683" t="s">
        <v>775</v>
      </c>
      <c r="F683" t="s">
        <v>13</v>
      </c>
      <c r="G683" t="str">
        <f t="shared" si="56"/>
        <v/>
      </c>
      <c r="H683" t="s">
        <v>14</v>
      </c>
      <c r="I683" t="s">
        <v>4262</v>
      </c>
      <c r="J683" s="2">
        <f t="shared" si="57"/>
        <v>1050000</v>
      </c>
      <c r="K683" t="s">
        <v>477</v>
      </c>
      <c r="L683">
        <f t="shared" si="58"/>
        <v>0.17291666666666669</v>
      </c>
      <c r="M683" s="5">
        <v>0.17291666666666669</v>
      </c>
      <c r="N683" t="s">
        <v>18</v>
      </c>
      <c r="R683" s="3">
        <f t="shared" si="54"/>
        <v>4.1500000000000004</v>
      </c>
    </row>
    <row r="684" spans="1:18" x14ac:dyDescent="0.25">
      <c r="A684" t="s">
        <v>976</v>
      </c>
      <c r="B684" t="s">
        <v>640</v>
      </c>
      <c r="C684" t="s">
        <v>643</v>
      </c>
      <c r="D684" s="3">
        <f t="shared" si="55"/>
        <v>9</v>
      </c>
      <c r="E684" t="s">
        <v>12</v>
      </c>
      <c r="F684" t="s">
        <v>13</v>
      </c>
      <c r="G684">
        <f t="shared" si="56"/>
        <v>1400000</v>
      </c>
      <c r="H684" t="s">
        <v>81</v>
      </c>
      <c r="I684" t="s">
        <v>977</v>
      </c>
      <c r="J684" s="2">
        <f t="shared" si="57"/>
        <v>1288000</v>
      </c>
      <c r="K684" t="s">
        <v>978</v>
      </c>
      <c r="L684">
        <f t="shared" si="58"/>
        <v>0.17013888888888887</v>
      </c>
      <c r="M684" s="5">
        <v>0.17013888888888887</v>
      </c>
      <c r="N684" t="s">
        <v>43</v>
      </c>
      <c r="P684" t="s">
        <v>979</v>
      </c>
      <c r="R684" s="3">
        <f t="shared" si="54"/>
        <v>4.083333333333333</v>
      </c>
    </row>
    <row r="685" spans="1:18" hidden="1" x14ac:dyDescent="0.25">
      <c r="A685" t="s">
        <v>4965</v>
      </c>
      <c r="B685" t="s">
        <v>4806</v>
      </c>
      <c r="C685" t="s">
        <v>4805</v>
      </c>
      <c r="D685" s="3">
        <f t="shared" si="55"/>
        <v>12</v>
      </c>
      <c r="E685" t="s">
        <v>33</v>
      </c>
      <c r="F685" t="s">
        <v>13</v>
      </c>
      <c r="G685" t="str">
        <f t="shared" si="56"/>
        <v/>
      </c>
      <c r="H685" t="s">
        <v>14</v>
      </c>
      <c r="I685" t="s">
        <v>4966</v>
      </c>
      <c r="J685" s="2">
        <f t="shared" si="57"/>
        <v>1650000</v>
      </c>
      <c r="K685" t="s">
        <v>90</v>
      </c>
      <c r="L685">
        <f t="shared" si="58"/>
        <v>0.17222222222222225</v>
      </c>
      <c r="M685" s="5">
        <v>0.17222222222222225</v>
      </c>
      <c r="N685" t="s">
        <v>43</v>
      </c>
      <c r="R685" s="3">
        <f t="shared" si="54"/>
        <v>4.1333333333333337</v>
      </c>
    </row>
    <row r="686" spans="1:18" hidden="1" x14ac:dyDescent="0.25">
      <c r="A686" t="s">
        <v>3366</v>
      </c>
      <c r="B686" t="s">
        <v>3233</v>
      </c>
      <c r="C686" t="s">
        <v>3232</v>
      </c>
      <c r="D686" s="3">
        <f t="shared" si="55"/>
        <v>7.5</v>
      </c>
      <c r="E686" t="s">
        <v>178</v>
      </c>
      <c r="F686" t="s">
        <v>13</v>
      </c>
      <c r="G686" t="str">
        <f t="shared" si="56"/>
        <v/>
      </c>
      <c r="H686" t="s">
        <v>14</v>
      </c>
      <c r="I686" t="s">
        <v>3367</v>
      </c>
      <c r="J686" s="2">
        <f t="shared" si="57"/>
        <v>1400000</v>
      </c>
      <c r="K686" t="s">
        <v>81</v>
      </c>
      <c r="L686">
        <f t="shared" si="58"/>
        <v>0</v>
      </c>
      <c r="N686" t="s">
        <v>43</v>
      </c>
      <c r="R686" s="3">
        <f t="shared" si="54"/>
        <v>0</v>
      </c>
    </row>
    <row r="687" spans="1:18" hidden="1" x14ac:dyDescent="0.25">
      <c r="A687" t="s">
        <v>3370</v>
      </c>
      <c r="B687" t="s">
        <v>3233</v>
      </c>
      <c r="C687" t="s">
        <v>3232</v>
      </c>
      <c r="D687" s="3">
        <f t="shared" si="55"/>
        <v>10.240000000000002</v>
      </c>
      <c r="E687" t="s">
        <v>941</v>
      </c>
      <c r="F687" t="s">
        <v>13</v>
      </c>
      <c r="G687" t="str">
        <f t="shared" si="56"/>
        <v/>
      </c>
      <c r="H687" t="s">
        <v>14</v>
      </c>
      <c r="I687" t="s">
        <v>3371</v>
      </c>
      <c r="J687" s="2">
        <f t="shared" si="57"/>
        <v>2900000</v>
      </c>
      <c r="K687" t="s">
        <v>1738</v>
      </c>
      <c r="L687">
        <f t="shared" si="58"/>
        <v>0.17013888888888887</v>
      </c>
      <c r="M687" s="5">
        <v>0.17013888888888887</v>
      </c>
      <c r="N687" t="s">
        <v>43</v>
      </c>
      <c r="P687" t="s">
        <v>3372</v>
      </c>
      <c r="R687" s="3">
        <f t="shared" si="54"/>
        <v>4.083333333333333</v>
      </c>
    </row>
    <row r="688" spans="1:18" x14ac:dyDescent="0.25">
      <c r="A688" t="s">
        <v>1784</v>
      </c>
      <c r="B688" t="s">
        <v>1303</v>
      </c>
      <c r="C688" t="s">
        <v>1312</v>
      </c>
      <c r="D688" s="3">
        <f t="shared" si="55"/>
        <v>9</v>
      </c>
      <c r="E688" t="s">
        <v>12</v>
      </c>
      <c r="F688" t="s">
        <v>13</v>
      </c>
      <c r="G688" t="str">
        <f t="shared" si="56"/>
        <v/>
      </c>
      <c r="H688" t="s">
        <v>14</v>
      </c>
      <c r="I688" t="s">
        <v>1785</v>
      </c>
      <c r="J688" s="2">
        <f t="shared" si="57"/>
        <v>1300000</v>
      </c>
      <c r="K688" t="s">
        <v>17</v>
      </c>
      <c r="L688">
        <f t="shared" si="58"/>
        <v>0.20833333333333334</v>
      </c>
      <c r="M688" s="5">
        <v>0.20833333333333334</v>
      </c>
      <c r="N688" t="s">
        <v>43</v>
      </c>
      <c r="R688" s="3">
        <f t="shared" si="54"/>
        <v>5</v>
      </c>
    </row>
    <row r="689" spans="1:18" hidden="1" x14ac:dyDescent="0.25">
      <c r="A689" t="s">
        <v>3552</v>
      </c>
      <c r="B689" t="s">
        <v>3233</v>
      </c>
      <c r="C689" t="s">
        <v>3232</v>
      </c>
      <c r="D689" s="3">
        <f t="shared" si="55"/>
        <v>12</v>
      </c>
      <c r="E689" t="s">
        <v>33</v>
      </c>
      <c r="F689" t="s">
        <v>13</v>
      </c>
      <c r="G689" t="str">
        <f t="shared" si="56"/>
        <v/>
      </c>
      <c r="H689" t="s">
        <v>14</v>
      </c>
      <c r="I689" t="s">
        <v>3553</v>
      </c>
      <c r="J689" s="2">
        <f t="shared" si="57"/>
        <v>2100000</v>
      </c>
      <c r="K689" t="s">
        <v>451</v>
      </c>
      <c r="L689">
        <f t="shared" si="58"/>
        <v>0.20833333333333334</v>
      </c>
      <c r="M689" s="5">
        <v>0.20833333333333334</v>
      </c>
      <c r="N689" t="s">
        <v>18</v>
      </c>
      <c r="R689" s="3">
        <f t="shared" si="54"/>
        <v>5</v>
      </c>
    </row>
    <row r="690" spans="1:18" hidden="1" x14ac:dyDescent="0.25">
      <c r="A690" t="s">
        <v>3722</v>
      </c>
      <c r="B690" t="s">
        <v>3233</v>
      </c>
      <c r="C690" t="s">
        <v>3232</v>
      </c>
      <c r="D690" s="3">
        <f t="shared" si="55"/>
        <v>4</v>
      </c>
      <c r="E690" t="s">
        <v>313</v>
      </c>
      <c r="F690" t="s">
        <v>34</v>
      </c>
      <c r="G690" t="str">
        <f t="shared" si="56"/>
        <v/>
      </c>
      <c r="H690" t="s">
        <v>14</v>
      </c>
      <c r="I690" t="s">
        <v>3723</v>
      </c>
      <c r="J690" s="2">
        <f t="shared" si="57"/>
        <v>750000</v>
      </c>
      <c r="K690" t="s">
        <v>76</v>
      </c>
      <c r="L690">
        <f t="shared" si="58"/>
        <v>0.16874999999999998</v>
      </c>
      <c r="M690" s="5">
        <v>0.16874999999999998</v>
      </c>
      <c r="N690" t="s">
        <v>43</v>
      </c>
      <c r="R690" s="3">
        <f t="shared" si="54"/>
        <v>4.05</v>
      </c>
    </row>
    <row r="691" spans="1:18" hidden="1" x14ac:dyDescent="0.25">
      <c r="A691" t="s">
        <v>3722</v>
      </c>
      <c r="B691" t="s">
        <v>3233</v>
      </c>
      <c r="C691" t="s">
        <v>3232</v>
      </c>
      <c r="D691" s="3">
        <f t="shared" si="55"/>
        <v>4</v>
      </c>
      <c r="E691" t="s">
        <v>313</v>
      </c>
      <c r="F691" t="s">
        <v>34</v>
      </c>
      <c r="G691" t="str">
        <f t="shared" si="56"/>
        <v/>
      </c>
      <c r="H691" t="s">
        <v>14</v>
      </c>
      <c r="I691" t="s">
        <v>3723</v>
      </c>
      <c r="J691" s="2">
        <f t="shared" si="57"/>
        <v>750000</v>
      </c>
      <c r="K691" t="s">
        <v>76</v>
      </c>
      <c r="L691">
        <f t="shared" si="58"/>
        <v>0.17013888888888887</v>
      </c>
      <c r="M691" s="5">
        <v>0.17013888888888887</v>
      </c>
      <c r="N691" t="s">
        <v>43</v>
      </c>
      <c r="R691" s="3">
        <f t="shared" si="54"/>
        <v>4.083333333333333</v>
      </c>
    </row>
    <row r="692" spans="1:18" hidden="1" x14ac:dyDescent="0.25">
      <c r="A692" t="s">
        <v>3660</v>
      </c>
      <c r="B692" t="s">
        <v>3233</v>
      </c>
      <c r="C692" t="s">
        <v>3232</v>
      </c>
      <c r="D692" s="3">
        <f t="shared" si="55"/>
        <v>5</v>
      </c>
      <c r="E692" t="s">
        <v>819</v>
      </c>
      <c r="F692" t="s">
        <v>34</v>
      </c>
      <c r="G692" t="str">
        <f t="shared" si="56"/>
        <v/>
      </c>
      <c r="H692" t="s">
        <v>14</v>
      </c>
      <c r="I692" t="s">
        <v>3661</v>
      </c>
      <c r="J692" s="2">
        <f t="shared" si="57"/>
        <v>950000</v>
      </c>
      <c r="K692" t="s">
        <v>355</v>
      </c>
      <c r="L692">
        <f t="shared" si="58"/>
        <v>0</v>
      </c>
      <c r="N692" t="s">
        <v>43</v>
      </c>
      <c r="R692" s="3">
        <f t="shared" si="54"/>
        <v>0</v>
      </c>
    </row>
    <row r="693" spans="1:18" hidden="1" x14ac:dyDescent="0.25">
      <c r="A693" t="s">
        <v>3642</v>
      </c>
      <c r="B693" t="s">
        <v>3233</v>
      </c>
      <c r="C693" t="s">
        <v>3232</v>
      </c>
      <c r="D693" s="3">
        <f t="shared" si="55"/>
        <v>9</v>
      </c>
      <c r="E693" t="s">
        <v>12</v>
      </c>
      <c r="F693" t="s">
        <v>34</v>
      </c>
      <c r="G693" t="str">
        <f t="shared" si="56"/>
        <v/>
      </c>
      <c r="H693" t="s">
        <v>14</v>
      </c>
      <c r="I693" t="s">
        <v>3643</v>
      </c>
      <c r="J693" s="2">
        <f t="shared" si="57"/>
        <v>950000</v>
      </c>
      <c r="K693" t="s">
        <v>355</v>
      </c>
      <c r="L693">
        <f t="shared" si="58"/>
        <v>0.17083333333333331</v>
      </c>
      <c r="M693" s="5">
        <v>0.17083333333333331</v>
      </c>
      <c r="N693" t="s">
        <v>43</v>
      </c>
      <c r="P693" t="s">
        <v>1063</v>
      </c>
      <c r="R693" s="3">
        <f t="shared" si="54"/>
        <v>4.0999999999999996</v>
      </c>
    </row>
    <row r="694" spans="1:18" hidden="1" x14ac:dyDescent="0.25">
      <c r="A694" t="s">
        <v>1307</v>
      </c>
      <c r="B694" t="s">
        <v>1303</v>
      </c>
      <c r="C694" t="s">
        <v>1302</v>
      </c>
      <c r="D694" s="3">
        <f t="shared" si="55"/>
        <v>9</v>
      </c>
      <c r="E694" t="s">
        <v>12</v>
      </c>
      <c r="F694" t="s">
        <v>13</v>
      </c>
      <c r="G694" t="str">
        <f t="shared" si="56"/>
        <v/>
      </c>
      <c r="H694" t="s">
        <v>14</v>
      </c>
      <c r="I694" t="s">
        <v>1308</v>
      </c>
      <c r="J694" s="2">
        <f t="shared" si="57"/>
        <v>2300000</v>
      </c>
      <c r="K694" t="s">
        <v>820</v>
      </c>
      <c r="L694">
        <f t="shared" si="58"/>
        <v>0.20833333333333334</v>
      </c>
      <c r="M694" s="5">
        <v>0.20833333333333334</v>
      </c>
      <c r="N694" t="s">
        <v>43</v>
      </c>
      <c r="P694" t="s">
        <v>1309</v>
      </c>
      <c r="R694" s="3">
        <f t="shared" si="54"/>
        <v>5</v>
      </c>
    </row>
    <row r="695" spans="1:18" hidden="1" x14ac:dyDescent="0.25">
      <c r="A695" t="s">
        <v>804</v>
      </c>
      <c r="B695" t="s">
        <v>640</v>
      </c>
      <c r="C695" t="s">
        <v>803</v>
      </c>
      <c r="D695" s="3">
        <f t="shared" si="55"/>
        <v>12</v>
      </c>
      <c r="E695" t="s">
        <v>33</v>
      </c>
      <c r="F695" t="s">
        <v>13</v>
      </c>
      <c r="G695" t="str">
        <f t="shared" si="56"/>
        <v/>
      </c>
      <c r="H695" t="s">
        <v>14</v>
      </c>
      <c r="I695" t="s">
        <v>805</v>
      </c>
      <c r="J695" s="2">
        <f t="shared" si="57"/>
        <v>1550000</v>
      </c>
      <c r="K695" t="s">
        <v>137</v>
      </c>
      <c r="L695">
        <f t="shared" si="58"/>
        <v>0.20833333333333334</v>
      </c>
      <c r="M695" s="5">
        <v>0.20833333333333334</v>
      </c>
      <c r="N695" t="s">
        <v>43</v>
      </c>
      <c r="R695" s="3">
        <f t="shared" si="54"/>
        <v>5</v>
      </c>
    </row>
    <row r="696" spans="1:18" x14ac:dyDescent="0.25">
      <c r="A696" t="s">
        <v>4801</v>
      </c>
      <c r="B696" t="s">
        <v>4272</v>
      </c>
      <c r="C696" t="s">
        <v>4285</v>
      </c>
      <c r="D696" s="3">
        <f t="shared" si="55"/>
        <v>9</v>
      </c>
      <c r="E696" t="s">
        <v>12</v>
      </c>
      <c r="F696" t="s">
        <v>13</v>
      </c>
      <c r="G696" t="str">
        <f t="shared" si="56"/>
        <v/>
      </c>
      <c r="H696" t="s">
        <v>14</v>
      </c>
      <c r="I696" t="s">
        <v>4802</v>
      </c>
      <c r="J696" s="2">
        <f t="shared" si="57"/>
        <v>1300000</v>
      </c>
      <c r="K696" t="s">
        <v>17</v>
      </c>
      <c r="L696">
        <f t="shared" si="58"/>
        <v>0</v>
      </c>
      <c r="N696" t="s">
        <v>37</v>
      </c>
      <c r="R696" s="3">
        <f t="shared" si="54"/>
        <v>0</v>
      </c>
    </row>
    <row r="697" spans="1:18" hidden="1" x14ac:dyDescent="0.25">
      <c r="A697" t="s">
        <v>595</v>
      </c>
      <c r="B697" t="s">
        <v>20</v>
      </c>
      <c r="C697" t="s">
        <v>77</v>
      </c>
      <c r="D697" s="3">
        <f t="shared" si="55"/>
        <v>21</v>
      </c>
      <c r="E697" t="s">
        <v>121</v>
      </c>
      <c r="F697" t="s">
        <v>13</v>
      </c>
      <c r="G697" t="str">
        <f t="shared" si="56"/>
        <v/>
      </c>
      <c r="H697" t="s">
        <v>14</v>
      </c>
      <c r="I697" t="s">
        <v>596</v>
      </c>
      <c r="J697" s="2">
        <f t="shared" si="57"/>
        <v>750000</v>
      </c>
      <c r="K697" t="s">
        <v>76</v>
      </c>
      <c r="L697">
        <f t="shared" si="58"/>
        <v>0</v>
      </c>
      <c r="N697" t="s">
        <v>43</v>
      </c>
      <c r="R697" s="3">
        <f t="shared" si="54"/>
        <v>0</v>
      </c>
    </row>
    <row r="698" spans="1:18" x14ac:dyDescent="0.25">
      <c r="A698" t="s">
        <v>1132</v>
      </c>
      <c r="B698" t="s">
        <v>640</v>
      </c>
      <c r="C698" t="s">
        <v>643</v>
      </c>
      <c r="D698" s="3">
        <f t="shared" si="55"/>
        <v>12</v>
      </c>
      <c r="E698" t="s">
        <v>33</v>
      </c>
      <c r="F698" t="s">
        <v>13</v>
      </c>
      <c r="G698" t="str">
        <f t="shared" si="56"/>
        <v/>
      </c>
      <c r="H698" t="s">
        <v>14</v>
      </c>
      <c r="I698" t="s">
        <v>946</v>
      </c>
      <c r="J698" s="2">
        <f t="shared" si="57"/>
        <v>1300000</v>
      </c>
      <c r="K698" t="s">
        <v>17</v>
      </c>
      <c r="L698">
        <f t="shared" si="58"/>
        <v>0.16874999999999998</v>
      </c>
      <c r="M698" s="5">
        <v>0.16874999999999998</v>
      </c>
      <c r="N698" t="s">
        <v>37</v>
      </c>
      <c r="R698" s="3">
        <f t="shared" si="54"/>
        <v>4.05</v>
      </c>
    </row>
    <row r="699" spans="1:18" hidden="1" x14ac:dyDescent="0.25">
      <c r="A699" t="s">
        <v>1751</v>
      </c>
      <c r="B699" t="s">
        <v>1303</v>
      </c>
      <c r="C699" t="s">
        <v>1350</v>
      </c>
      <c r="D699" s="3">
        <f t="shared" si="55"/>
        <v>8.14</v>
      </c>
      <c r="E699" t="s">
        <v>1752</v>
      </c>
      <c r="F699" t="s">
        <v>13</v>
      </c>
      <c r="G699" t="str">
        <f t="shared" si="56"/>
        <v/>
      </c>
      <c r="H699" t="s">
        <v>14</v>
      </c>
      <c r="I699" t="s">
        <v>1753</v>
      </c>
      <c r="J699" s="2">
        <f t="shared" si="57"/>
        <v>1750000</v>
      </c>
      <c r="K699" t="s">
        <v>306</v>
      </c>
      <c r="L699">
        <f t="shared" si="58"/>
        <v>0.13055555555555556</v>
      </c>
      <c r="M699" s="5">
        <v>0.13055555555555556</v>
      </c>
      <c r="N699" t="s">
        <v>18</v>
      </c>
      <c r="R699" s="3">
        <f t="shared" si="54"/>
        <v>3.1333333333333337</v>
      </c>
    </row>
    <row r="700" spans="1:18" hidden="1" x14ac:dyDescent="0.25">
      <c r="A700" t="s">
        <v>264</v>
      </c>
      <c r="B700" t="s">
        <v>20</v>
      </c>
      <c r="C700" t="s">
        <v>24</v>
      </c>
      <c r="D700" s="3">
        <f t="shared" si="55"/>
        <v>6</v>
      </c>
      <c r="E700" t="s">
        <v>64</v>
      </c>
      <c r="F700" t="s">
        <v>13</v>
      </c>
      <c r="G700" t="str">
        <f t="shared" si="56"/>
        <v/>
      </c>
      <c r="H700" t="s">
        <v>14</v>
      </c>
      <c r="I700" t="s">
        <v>265</v>
      </c>
      <c r="J700" s="2">
        <f t="shared" si="57"/>
        <v>650000</v>
      </c>
      <c r="K700" t="s">
        <v>105</v>
      </c>
      <c r="L700">
        <f t="shared" si="58"/>
        <v>0.20833333333333334</v>
      </c>
      <c r="M700" s="5">
        <v>0.20833333333333334</v>
      </c>
      <c r="N700" t="s">
        <v>18</v>
      </c>
      <c r="R700" s="3">
        <f t="shared" si="54"/>
        <v>5</v>
      </c>
    </row>
    <row r="701" spans="1:18" x14ac:dyDescent="0.25">
      <c r="A701" t="s">
        <v>4978</v>
      </c>
      <c r="B701" t="s">
        <v>4806</v>
      </c>
      <c r="C701" t="s">
        <v>4805</v>
      </c>
      <c r="D701" s="3">
        <f t="shared" si="55"/>
        <v>9</v>
      </c>
      <c r="E701" t="s">
        <v>12</v>
      </c>
      <c r="F701" t="s">
        <v>34</v>
      </c>
      <c r="G701" t="str">
        <f t="shared" si="56"/>
        <v/>
      </c>
      <c r="H701" t="s">
        <v>14</v>
      </c>
      <c r="I701" t="s">
        <v>4979</v>
      </c>
      <c r="J701" s="2">
        <f t="shared" si="57"/>
        <v>1300000</v>
      </c>
      <c r="K701" t="s">
        <v>17</v>
      </c>
      <c r="L701">
        <f t="shared" si="58"/>
        <v>0.16944444444444443</v>
      </c>
      <c r="M701" s="5">
        <v>0.16944444444444443</v>
      </c>
      <c r="N701" t="s">
        <v>43</v>
      </c>
      <c r="R701" s="3">
        <f t="shared" si="54"/>
        <v>4.0666666666666664</v>
      </c>
    </row>
    <row r="702" spans="1:18" hidden="1" x14ac:dyDescent="0.25">
      <c r="A702" t="s">
        <v>1224</v>
      </c>
      <c r="B702" t="s">
        <v>640</v>
      </c>
      <c r="C702" t="s">
        <v>1226</v>
      </c>
      <c r="D702" s="3">
        <f t="shared" si="55"/>
        <v>18</v>
      </c>
      <c r="E702" t="s">
        <v>126</v>
      </c>
      <c r="F702" t="s">
        <v>13</v>
      </c>
      <c r="G702" t="str">
        <f t="shared" si="56"/>
        <v/>
      </c>
      <c r="H702" t="s">
        <v>14</v>
      </c>
      <c r="I702" t="s">
        <v>1225</v>
      </c>
      <c r="J702" s="2">
        <f t="shared" si="57"/>
        <v>650000</v>
      </c>
      <c r="K702" t="s">
        <v>105</v>
      </c>
      <c r="L702">
        <f t="shared" si="58"/>
        <v>0</v>
      </c>
      <c r="N702" t="s">
        <v>43</v>
      </c>
      <c r="R702" s="3">
        <f t="shared" si="54"/>
        <v>0</v>
      </c>
    </row>
    <row r="703" spans="1:18" hidden="1" x14ac:dyDescent="0.25">
      <c r="A703" t="s">
        <v>512</v>
      </c>
      <c r="B703" t="s">
        <v>20</v>
      </c>
      <c r="C703" t="s">
        <v>452</v>
      </c>
      <c r="D703" s="3">
        <f t="shared" si="55"/>
        <v>12</v>
      </c>
      <c r="E703" t="s">
        <v>33</v>
      </c>
      <c r="F703" t="s">
        <v>34</v>
      </c>
      <c r="G703" t="str">
        <f t="shared" si="56"/>
        <v/>
      </c>
      <c r="H703" t="s">
        <v>14</v>
      </c>
      <c r="I703" t="s">
        <v>513</v>
      </c>
      <c r="J703" s="2">
        <f t="shared" si="57"/>
        <v>500000</v>
      </c>
      <c r="K703" t="s">
        <v>16</v>
      </c>
      <c r="L703">
        <f t="shared" si="58"/>
        <v>0</v>
      </c>
      <c r="N703" t="s">
        <v>18</v>
      </c>
      <c r="R703" s="3">
        <f t="shared" si="54"/>
        <v>0</v>
      </c>
    </row>
    <row r="704" spans="1:18" hidden="1" x14ac:dyDescent="0.25">
      <c r="A704" t="s">
        <v>4946</v>
      </c>
      <c r="B704" t="s">
        <v>4806</v>
      </c>
      <c r="C704" t="s">
        <v>4805</v>
      </c>
      <c r="D704" s="3">
        <f t="shared" si="55"/>
        <v>9</v>
      </c>
      <c r="E704" t="s">
        <v>12</v>
      </c>
      <c r="F704" t="s">
        <v>13</v>
      </c>
      <c r="G704" t="str">
        <f t="shared" si="56"/>
        <v/>
      </c>
      <c r="H704" t="s">
        <v>14</v>
      </c>
      <c r="I704" t="s">
        <v>4947</v>
      </c>
      <c r="J704" s="2">
        <f t="shared" si="57"/>
        <v>1250000</v>
      </c>
      <c r="K704" t="s">
        <v>202</v>
      </c>
      <c r="L704">
        <f t="shared" si="58"/>
        <v>0</v>
      </c>
      <c r="N704" t="s">
        <v>37</v>
      </c>
      <c r="R704" s="3">
        <f t="shared" si="54"/>
        <v>0</v>
      </c>
    </row>
    <row r="705" spans="1:18" hidden="1" x14ac:dyDescent="0.25">
      <c r="A705" t="s">
        <v>3691</v>
      </c>
      <c r="B705" t="s">
        <v>3233</v>
      </c>
      <c r="C705" t="s">
        <v>3248</v>
      </c>
      <c r="D705" s="3">
        <f t="shared" si="55"/>
        <v>24</v>
      </c>
      <c r="E705" t="s">
        <v>3692</v>
      </c>
      <c r="F705" t="s">
        <v>13</v>
      </c>
      <c r="G705" t="str">
        <f t="shared" si="56"/>
        <v/>
      </c>
      <c r="H705" t="s">
        <v>14</v>
      </c>
      <c r="I705" t="s">
        <v>3693</v>
      </c>
      <c r="J705" s="2">
        <f t="shared" si="57"/>
        <v>2500000</v>
      </c>
      <c r="K705" t="s">
        <v>272</v>
      </c>
      <c r="L705">
        <f t="shared" si="58"/>
        <v>0</v>
      </c>
      <c r="N705" t="s">
        <v>43</v>
      </c>
      <c r="R705" s="3">
        <f t="shared" si="54"/>
        <v>0</v>
      </c>
    </row>
    <row r="706" spans="1:18" hidden="1" x14ac:dyDescent="0.25">
      <c r="A706" t="s">
        <v>3330</v>
      </c>
      <c r="B706" t="s">
        <v>3233</v>
      </c>
      <c r="C706" t="s">
        <v>3248</v>
      </c>
      <c r="D706" s="3">
        <f t="shared" si="55"/>
        <v>12</v>
      </c>
      <c r="E706" t="s">
        <v>33</v>
      </c>
      <c r="F706" t="s">
        <v>13</v>
      </c>
      <c r="G706" t="str">
        <f t="shared" si="56"/>
        <v/>
      </c>
      <c r="H706" t="s">
        <v>14</v>
      </c>
      <c r="I706" t="s">
        <v>3331</v>
      </c>
      <c r="J706" s="2">
        <f t="shared" si="57"/>
        <v>1950000</v>
      </c>
      <c r="K706" t="s">
        <v>748</v>
      </c>
      <c r="L706">
        <f t="shared" si="58"/>
        <v>0.16666666666666666</v>
      </c>
      <c r="M706" s="5">
        <v>0.16666666666666666</v>
      </c>
      <c r="N706" t="s">
        <v>43</v>
      </c>
      <c r="R706" s="3">
        <f t="shared" ref="R706:R769" si="59">24*L706</f>
        <v>4</v>
      </c>
    </row>
    <row r="707" spans="1:18" hidden="1" x14ac:dyDescent="0.25">
      <c r="A707" t="s">
        <v>3809</v>
      </c>
      <c r="B707" t="s">
        <v>3746</v>
      </c>
      <c r="C707" t="s">
        <v>3811</v>
      </c>
      <c r="D707" s="3">
        <f t="shared" si="55"/>
        <v>9</v>
      </c>
      <c r="E707" t="s">
        <v>12</v>
      </c>
      <c r="F707" t="s">
        <v>13</v>
      </c>
      <c r="G707" t="str">
        <f t="shared" si="56"/>
        <v/>
      </c>
      <c r="H707" t="s">
        <v>14</v>
      </c>
      <c r="I707" t="s">
        <v>3810</v>
      </c>
      <c r="J707" s="2">
        <f t="shared" si="57"/>
        <v>1200000</v>
      </c>
      <c r="K707" t="s">
        <v>36</v>
      </c>
      <c r="L707">
        <f t="shared" si="58"/>
        <v>0.16944444444444443</v>
      </c>
      <c r="M707" s="5">
        <v>0.16944444444444443</v>
      </c>
      <c r="N707" t="s">
        <v>37</v>
      </c>
      <c r="R707" s="3">
        <f t="shared" si="59"/>
        <v>4.0666666666666664</v>
      </c>
    </row>
    <row r="708" spans="1:18" x14ac:dyDescent="0.25">
      <c r="A708" t="s">
        <v>4143</v>
      </c>
      <c r="B708" t="s">
        <v>3746</v>
      </c>
      <c r="C708" t="s">
        <v>3889</v>
      </c>
      <c r="D708" s="3">
        <f t="shared" si="55"/>
        <v>9</v>
      </c>
      <c r="E708" t="s">
        <v>12</v>
      </c>
      <c r="F708" t="s">
        <v>13</v>
      </c>
      <c r="G708" t="str">
        <f t="shared" si="56"/>
        <v/>
      </c>
      <c r="H708" t="s">
        <v>14</v>
      </c>
      <c r="I708" t="s">
        <v>4144</v>
      </c>
      <c r="J708" s="2">
        <f t="shared" si="57"/>
        <v>1300000</v>
      </c>
      <c r="K708" t="s">
        <v>17</v>
      </c>
      <c r="L708">
        <f t="shared" si="58"/>
        <v>0.17013888888888887</v>
      </c>
      <c r="M708" s="5">
        <v>0.17013888888888887</v>
      </c>
      <c r="N708" t="s">
        <v>43</v>
      </c>
      <c r="R708" s="3">
        <f t="shared" si="59"/>
        <v>4.083333333333333</v>
      </c>
    </row>
    <row r="709" spans="1:18" x14ac:dyDescent="0.25">
      <c r="A709" t="s">
        <v>3910</v>
      </c>
      <c r="B709" t="s">
        <v>3746</v>
      </c>
      <c r="C709" t="s">
        <v>3889</v>
      </c>
      <c r="D709" s="3">
        <f t="shared" si="55"/>
        <v>9</v>
      </c>
      <c r="E709" t="s">
        <v>12</v>
      </c>
      <c r="F709" t="s">
        <v>13</v>
      </c>
      <c r="G709" t="str">
        <f t="shared" si="56"/>
        <v/>
      </c>
      <c r="H709" t="s">
        <v>14</v>
      </c>
      <c r="I709" t="s">
        <v>3911</v>
      </c>
      <c r="J709" s="2">
        <f t="shared" si="57"/>
        <v>1300000</v>
      </c>
      <c r="K709" t="s">
        <v>17</v>
      </c>
      <c r="L709">
        <f t="shared" si="58"/>
        <v>0.17013888888888887</v>
      </c>
      <c r="M709" s="5">
        <v>0.17013888888888887</v>
      </c>
      <c r="N709" t="s">
        <v>43</v>
      </c>
      <c r="R709" s="3">
        <f t="shared" si="59"/>
        <v>4.083333333333333</v>
      </c>
    </row>
    <row r="710" spans="1:18" hidden="1" x14ac:dyDescent="0.25">
      <c r="A710" t="s">
        <v>5084</v>
      </c>
      <c r="B710" t="s">
        <v>4806</v>
      </c>
      <c r="C710" t="s">
        <v>4820</v>
      </c>
      <c r="D710" s="3">
        <f t="shared" si="55"/>
        <v>12</v>
      </c>
      <c r="E710" t="s">
        <v>33</v>
      </c>
      <c r="F710" t="s">
        <v>13</v>
      </c>
      <c r="G710" t="str">
        <f t="shared" si="56"/>
        <v/>
      </c>
      <c r="H710" t="s">
        <v>14</v>
      </c>
      <c r="I710" t="s">
        <v>5085</v>
      </c>
      <c r="J710" s="2">
        <f t="shared" si="57"/>
        <v>1700000</v>
      </c>
      <c r="K710" t="s">
        <v>23</v>
      </c>
      <c r="L710">
        <f t="shared" si="58"/>
        <v>0</v>
      </c>
      <c r="N710" t="s">
        <v>18</v>
      </c>
      <c r="R710" s="3">
        <f t="shared" si="59"/>
        <v>0</v>
      </c>
    </row>
    <row r="711" spans="1:18" hidden="1" x14ac:dyDescent="0.25">
      <c r="A711" t="s">
        <v>4894</v>
      </c>
      <c r="B711" t="s">
        <v>4806</v>
      </c>
      <c r="C711" t="s">
        <v>4859</v>
      </c>
      <c r="D711" s="3">
        <f t="shared" si="55"/>
        <v>9</v>
      </c>
      <c r="E711" t="s">
        <v>12</v>
      </c>
      <c r="F711" t="s">
        <v>13</v>
      </c>
      <c r="G711" t="str">
        <f t="shared" si="56"/>
        <v/>
      </c>
      <c r="H711" t="s">
        <v>14</v>
      </c>
      <c r="I711" t="s">
        <v>4895</v>
      </c>
      <c r="J711" s="2">
        <f t="shared" si="57"/>
        <v>1500000</v>
      </c>
      <c r="K711" t="s">
        <v>66</v>
      </c>
      <c r="L711">
        <f t="shared" si="58"/>
        <v>0</v>
      </c>
      <c r="N711" t="s">
        <v>37</v>
      </c>
      <c r="R711" s="3">
        <f t="shared" si="59"/>
        <v>0</v>
      </c>
    </row>
    <row r="712" spans="1:18" hidden="1" x14ac:dyDescent="0.25">
      <c r="A712" t="s">
        <v>1516</v>
      </c>
      <c r="B712" t="s">
        <v>1303</v>
      </c>
      <c r="C712" t="s">
        <v>1392</v>
      </c>
      <c r="D712" s="3">
        <f t="shared" si="55"/>
        <v>15</v>
      </c>
      <c r="E712" t="s">
        <v>71</v>
      </c>
      <c r="F712" t="s">
        <v>13</v>
      </c>
      <c r="G712" t="str">
        <f t="shared" si="56"/>
        <v/>
      </c>
      <c r="H712" t="s">
        <v>14</v>
      </c>
      <c r="I712" t="s">
        <v>1517</v>
      </c>
      <c r="J712" s="2">
        <f t="shared" si="57"/>
        <v>3200000</v>
      </c>
      <c r="K712" t="s">
        <v>1518</v>
      </c>
      <c r="L712">
        <f t="shared" si="58"/>
        <v>0.20833333333333334</v>
      </c>
      <c r="M712" s="5">
        <v>0.20833333333333334</v>
      </c>
      <c r="N712" t="s">
        <v>43</v>
      </c>
      <c r="R712" s="3">
        <f t="shared" si="59"/>
        <v>5</v>
      </c>
    </row>
    <row r="713" spans="1:18" hidden="1" x14ac:dyDescent="0.25">
      <c r="A713" t="s">
        <v>5541</v>
      </c>
      <c r="B713" t="s">
        <v>5848</v>
      </c>
      <c r="C713" t="s">
        <v>1163</v>
      </c>
      <c r="D713" s="3">
        <f t="shared" si="55"/>
        <v>12</v>
      </c>
      <c r="E713" t="s">
        <v>33</v>
      </c>
      <c r="F713" t="s">
        <v>13</v>
      </c>
      <c r="G713" t="str">
        <f t="shared" si="56"/>
        <v/>
      </c>
      <c r="H713" t="s">
        <v>14</v>
      </c>
      <c r="I713" t="s">
        <v>5542</v>
      </c>
      <c r="J713" s="2">
        <f t="shared" si="57"/>
        <v>1500000</v>
      </c>
      <c r="K713" t="s">
        <v>66</v>
      </c>
      <c r="L713">
        <f t="shared" si="58"/>
        <v>0.17222222222222225</v>
      </c>
      <c r="M713" s="5">
        <v>0.17222222222222225</v>
      </c>
      <c r="N713" t="s">
        <v>43</v>
      </c>
      <c r="R713" s="3">
        <f t="shared" si="59"/>
        <v>4.1333333333333337</v>
      </c>
    </row>
    <row r="714" spans="1:18" hidden="1" x14ac:dyDescent="0.25">
      <c r="A714" t="s">
        <v>3506</v>
      </c>
      <c r="B714" t="s">
        <v>3233</v>
      </c>
      <c r="C714" t="s">
        <v>3264</v>
      </c>
      <c r="D714" s="3">
        <f t="shared" si="55"/>
        <v>6</v>
      </c>
      <c r="E714" t="s">
        <v>64</v>
      </c>
      <c r="F714" t="s">
        <v>13</v>
      </c>
      <c r="G714" t="str">
        <f t="shared" si="56"/>
        <v/>
      </c>
      <c r="H714" t="s">
        <v>14</v>
      </c>
      <c r="I714" t="s">
        <v>3507</v>
      </c>
      <c r="J714" s="2">
        <f t="shared" si="57"/>
        <v>1350000</v>
      </c>
      <c r="K714" t="s">
        <v>257</v>
      </c>
      <c r="L714">
        <f t="shared" si="58"/>
        <v>0.20833333333333334</v>
      </c>
      <c r="M714" s="5">
        <v>0.20833333333333334</v>
      </c>
      <c r="N714" t="s">
        <v>43</v>
      </c>
      <c r="R714" s="3">
        <f t="shared" si="59"/>
        <v>5</v>
      </c>
    </row>
    <row r="715" spans="1:18" hidden="1" x14ac:dyDescent="0.25">
      <c r="A715" t="s">
        <v>5106</v>
      </c>
      <c r="B715" t="s">
        <v>4806</v>
      </c>
      <c r="C715" t="s">
        <v>4805</v>
      </c>
      <c r="D715" s="3">
        <f t="shared" ref="D715:D778" si="60">VALUE(LEFT(E715,SEARCH(" x ",E715)-1))*VALUE(MID(E715,SEARCH(" x ",E715)+3,SEARCH(" meter",E715)-SEARCH(" x ",E715)-3))</f>
        <v>20</v>
      </c>
      <c r="E715" t="s">
        <v>159</v>
      </c>
      <c r="F715" t="s">
        <v>13</v>
      </c>
      <c r="G715" t="str">
        <f t="shared" ref="G715:G778" si="61">IF(H715="N/A","",VALUE(SUBSTITUTE(SUBSTITUTE(H715,"Rp",""),".","")))</f>
        <v/>
      </c>
      <c r="H715" t="s">
        <v>14</v>
      </c>
      <c r="I715" t="s">
        <v>5107</v>
      </c>
      <c r="J715" s="2">
        <f t="shared" ref="J715:J778" si="62">VALUE(SUBSTITUTE(SUBSTITUTE(K715,"Rp",""),".",""))</f>
        <v>3000000</v>
      </c>
      <c r="K715" t="s">
        <v>1513</v>
      </c>
      <c r="L715">
        <f t="shared" ref="L715:L778" si="63">M715:M3055</f>
        <v>0.17291666666666669</v>
      </c>
      <c r="M715" s="5">
        <v>0.17291666666666669</v>
      </c>
      <c r="N715" t="s">
        <v>43</v>
      </c>
      <c r="R715" s="3">
        <f t="shared" si="59"/>
        <v>4.1500000000000004</v>
      </c>
    </row>
    <row r="716" spans="1:18" hidden="1" x14ac:dyDescent="0.25">
      <c r="A716" t="s">
        <v>3724</v>
      </c>
      <c r="B716" t="s">
        <v>3233</v>
      </c>
      <c r="C716" t="s">
        <v>3237</v>
      </c>
      <c r="D716" s="3">
        <f t="shared" si="60"/>
        <v>7.5</v>
      </c>
      <c r="E716" t="s">
        <v>614</v>
      </c>
      <c r="F716" t="s">
        <v>13</v>
      </c>
      <c r="G716" t="str">
        <f t="shared" si="61"/>
        <v/>
      </c>
      <c r="H716" t="s">
        <v>14</v>
      </c>
      <c r="I716" t="s">
        <v>3725</v>
      </c>
      <c r="J716" s="2">
        <f t="shared" si="62"/>
        <v>1600000</v>
      </c>
      <c r="K716" t="s">
        <v>95</v>
      </c>
      <c r="L716">
        <f t="shared" si="63"/>
        <v>0.1673611111111111</v>
      </c>
      <c r="M716" s="5">
        <v>0.1673611111111111</v>
      </c>
      <c r="N716" t="s">
        <v>18</v>
      </c>
      <c r="R716" s="3">
        <f t="shared" si="59"/>
        <v>4.0166666666666666</v>
      </c>
    </row>
    <row r="717" spans="1:18" hidden="1" x14ac:dyDescent="0.25">
      <c r="A717" t="s">
        <v>3724</v>
      </c>
      <c r="B717" t="s">
        <v>3233</v>
      </c>
      <c r="C717" t="s">
        <v>3237</v>
      </c>
      <c r="D717" s="3">
        <f t="shared" si="60"/>
        <v>7.5</v>
      </c>
      <c r="E717" t="s">
        <v>614</v>
      </c>
      <c r="F717" t="s">
        <v>13</v>
      </c>
      <c r="G717" t="str">
        <f t="shared" si="61"/>
        <v/>
      </c>
      <c r="H717" t="s">
        <v>14</v>
      </c>
      <c r="I717" t="s">
        <v>3725</v>
      </c>
      <c r="J717" s="2">
        <f t="shared" si="62"/>
        <v>1600000</v>
      </c>
      <c r="K717" t="s">
        <v>95</v>
      </c>
      <c r="L717">
        <f t="shared" si="63"/>
        <v>0.20833333333333334</v>
      </c>
      <c r="M717" s="5">
        <v>0.20833333333333334</v>
      </c>
      <c r="N717" t="s">
        <v>18</v>
      </c>
      <c r="R717" s="3">
        <f t="shared" si="59"/>
        <v>5</v>
      </c>
    </row>
    <row r="718" spans="1:18" hidden="1" x14ac:dyDescent="0.25">
      <c r="A718" t="s">
        <v>1851</v>
      </c>
      <c r="B718" t="s">
        <v>1303</v>
      </c>
      <c r="C718" t="s">
        <v>1342</v>
      </c>
      <c r="D718" s="3">
        <f t="shared" si="60"/>
        <v>20</v>
      </c>
      <c r="E718" t="s">
        <v>159</v>
      </c>
      <c r="F718" t="s">
        <v>13</v>
      </c>
      <c r="G718" t="str">
        <f t="shared" si="61"/>
        <v/>
      </c>
      <c r="H718" t="s">
        <v>14</v>
      </c>
      <c r="I718" t="s">
        <v>1852</v>
      </c>
      <c r="J718" s="2">
        <f t="shared" si="62"/>
        <v>3500000</v>
      </c>
      <c r="K718" t="s">
        <v>143</v>
      </c>
      <c r="L718">
        <f t="shared" si="63"/>
        <v>0</v>
      </c>
      <c r="N718" t="s">
        <v>43</v>
      </c>
      <c r="R718" s="3">
        <f t="shared" si="59"/>
        <v>0</v>
      </c>
    </row>
    <row r="719" spans="1:18" x14ac:dyDescent="0.25">
      <c r="A719" t="s">
        <v>4109</v>
      </c>
      <c r="B719" t="s">
        <v>3746</v>
      </c>
      <c r="C719" t="s">
        <v>3746</v>
      </c>
      <c r="D719" s="3">
        <f t="shared" si="60"/>
        <v>4.5999999999999996</v>
      </c>
      <c r="E719" t="s">
        <v>4110</v>
      </c>
      <c r="F719" t="s">
        <v>13</v>
      </c>
      <c r="G719" t="str">
        <f t="shared" si="61"/>
        <v/>
      </c>
      <c r="H719" t="s">
        <v>14</v>
      </c>
      <c r="I719" t="s">
        <v>4111</v>
      </c>
      <c r="J719" s="2">
        <f t="shared" si="62"/>
        <v>1300000</v>
      </c>
      <c r="K719" t="s">
        <v>17</v>
      </c>
      <c r="L719">
        <f t="shared" si="63"/>
        <v>0.17083333333333331</v>
      </c>
      <c r="M719" s="5">
        <v>0.17083333333333331</v>
      </c>
      <c r="N719" t="s">
        <v>43</v>
      </c>
      <c r="P719" t="s">
        <v>979</v>
      </c>
      <c r="R719" s="3">
        <f t="shared" si="59"/>
        <v>4.0999999999999996</v>
      </c>
    </row>
    <row r="720" spans="1:18" hidden="1" x14ac:dyDescent="0.25">
      <c r="A720" t="s">
        <v>4816</v>
      </c>
      <c r="B720" t="s">
        <v>4806</v>
      </c>
      <c r="C720" t="s">
        <v>4809</v>
      </c>
      <c r="D720" s="3">
        <f t="shared" si="60"/>
        <v>12</v>
      </c>
      <c r="E720" t="s">
        <v>33</v>
      </c>
      <c r="F720" t="s">
        <v>13</v>
      </c>
      <c r="G720" t="str">
        <f t="shared" si="61"/>
        <v/>
      </c>
      <c r="H720" t="s">
        <v>14</v>
      </c>
      <c r="I720" t="s">
        <v>4817</v>
      </c>
      <c r="J720" s="2">
        <f t="shared" si="62"/>
        <v>1700000</v>
      </c>
      <c r="K720" t="s">
        <v>23</v>
      </c>
      <c r="L720">
        <f t="shared" si="63"/>
        <v>0</v>
      </c>
      <c r="N720" t="s">
        <v>18</v>
      </c>
      <c r="R720" s="3">
        <f t="shared" si="59"/>
        <v>0</v>
      </c>
    </row>
    <row r="721" spans="1:18" hidden="1" x14ac:dyDescent="0.25">
      <c r="A721" t="s">
        <v>910</v>
      </c>
      <c r="B721" t="s">
        <v>640</v>
      </c>
      <c r="C721" t="s">
        <v>718</v>
      </c>
      <c r="D721" s="3">
        <f t="shared" si="60"/>
        <v>15.75</v>
      </c>
      <c r="E721" t="s">
        <v>911</v>
      </c>
      <c r="F721" t="s">
        <v>13</v>
      </c>
      <c r="G721" t="str">
        <f t="shared" si="61"/>
        <v/>
      </c>
      <c r="H721" t="s">
        <v>14</v>
      </c>
      <c r="I721" t="s">
        <v>912</v>
      </c>
      <c r="J721" s="2">
        <f t="shared" si="62"/>
        <v>1150000</v>
      </c>
      <c r="K721" t="s">
        <v>700</v>
      </c>
      <c r="L721">
        <f t="shared" si="63"/>
        <v>0.17083333333333331</v>
      </c>
      <c r="M721" s="5">
        <v>0.17083333333333331</v>
      </c>
      <c r="N721" t="s">
        <v>18</v>
      </c>
      <c r="R721" s="3">
        <f t="shared" si="59"/>
        <v>4.0999999999999996</v>
      </c>
    </row>
    <row r="722" spans="1:18" hidden="1" x14ac:dyDescent="0.25">
      <c r="A722" t="s">
        <v>449</v>
      </c>
      <c r="B722" t="s">
        <v>20</v>
      </c>
      <c r="C722" t="s">
        <v>452</v>
      </c>
      <c r="D722" s="3">
        <f t="shared" si="60"/>
        <v>12</v>
      </c>
      <c r="E722" t="s">
        <v>33</v>
      </c>
      <c r="F722" t="s">
        <v>13</v>
      </c>
      <c r="G722" t="str">
        <f t="shared" si="61"/>
        <v/>
      </c>
      <c r="H722" t="s">
        <v>14</v>
      </c>
      <c r="I722" t="s">
        <v>450</v>
      </c>
      <c r="J722" s="2">
        <f t="shared" si="62"/>
        <v>2100000</v>
      </c>
      <c r="K722" t="s">
        <v>451</v>
      </c>
      <c r="L722">
        <f t="shared" si="63"/>
        <v>0</v>
      </c>
      <c r="N722" t="s">
        <v>18</v>
      </c>
      <c r="R722" s="3">
        <f t="shared" si="59"/>
        <v>0</v>
      </c>
    </row>
    <row r="723" spans="1:18" hidden="1" x14ac:dyDescent="0.25">
      <c r="A723" t="s">
        <v>4012</v>
      </c>
      <c r="B723" t="s">
        <v>3746</v>
      </c>
      <c r="C723" t="s">
        <v>3897</v>
      </c>
      <c r="D723" s="3">
        <f t="shared" si="60"/>
        <v>9</v>
      </c>
      <c r="E723" t="s">
        <v>12</v>
      </c>
      <c r="F723" t="s">
        <v>13</v>
      </c>
      <c r="G723" t="str">
        <f t="shared" si="61"/>
        <v/>
      </c>
      <c r="H723" t="s">
        <v>14</v>
      </c>
      <c r="I723" t="s">
        <v>4013</v>
      </c>
      <c r="J723" s="2">
        <f t="shared" si="62"/>
        <v>1600000</v>
      </c>
      <c r="K723" t="s">
        <v>95</v>
      </c>
      <c r="L723">
        <f t="shared" si="63"/>
        <v>0.17083333333333331</v>
      </c>
      <c r="M723" s="5">
        <v>0.17083333333333331</v>
      </c>
      <c r="N723" t="s">
        <v>43</v>
      </c>
      <c r="P723" t="s">
        <v>1657</v>
      </c>
      <c r="R723" s="3">
        <f t="shared" si="59"/>
        <v>4.0999999999999996</v>
      </c>
    </row>
    <row r="724" spans="1:18" hidden="1" x14ac:dyDescent="0.25">
      <c r="A724" t="s">
        <v>4022</v>
      </c>
      <c r="B724" t="s">
        <v>3746</v>
      </c>
      <c r="C724" t="s">
        <v>3897</v>
      </c>
      <c r="D724" s="3">
        <f t="shared" si="60"/>
        <v>9</v>
      </c>
      <c r="E724" t="s">
        <v>12</v>
      </c>
      <c r="F724" t="s">
        <v>13</v>
      </c>
      <c r="G724" t="str">
        <f t="shared" si="61"/>
        <v/>
      </c>
      <c r="H724" t="s">
        <v>14</v>
      </c>
      <c r="I724" t="s">
        <v>4013</v>
      </c>
      <c r="J724" s="2">
        <f t="shared" si="62"/>
        <v>1500000</v>
      </c>
      <c r="K724" t="s">
        <v>66</v>
      </c>
      <c r="L724">
        <f t="shared" si="63"/>
        <v>0.17083333333333331</v>
      </c>
      <c r="M724" s="5">
        <v>0.17083333333333331</v>
      </c>
      <c r="N724" t="s">
        <v>43</v>
      </c>
      <c r="P724" t="s">
        <v>673</v>
      </c>
      <c r="R724" s="3">
        <f t="shared" si="59"/>
        <v>4.0999999999999996</v>
      </c>
    </row>
    <row r="725" spans="1:18" hidden="1" x14ac:dyDescent="0.25">
      <c r="A725" t="s">
        <v>5248</v>
      </c>
      <c r="B725" t="s">
        <v>4806</v>
      </c>
      <c r="C725" t="s">
        <v>4820</v>
      </c>
      <c r="D725" s="3">
        <f t="shared" si="60"/>
        <v>9</v>
      </c>
      <c r="E725" t="s">
        <v>12</v>
      </c>
      <c r="F725" t="s">
        <v>13</v>
      </c>
      <c r="G725" t="str">
        <f t="shared" si="61"/>
        <v/>
      </c>
      <c r="H725" t="s">
        <v>14</v>
      </c>
      <c r="I725" t="s">
        <v>5249</v>
      </c>
      <c r="J725" s="2">
        <f t="shared" si="62"/>
        <v>1000000</v>
      </c>
      <c r="K725" t="s">
        <v>52</v>
      </c>
      <c r="L725">
        <f t="shared" si="63"/>
        <v>0</v>
      </c>
      <c r="N725" t="s">
        <v>18</v>
      </c>
      <c r="R725" s="3">
        <f t="shared" si="59"/>
        <v>0</v>
      </c>
    </row>
    <row r="726" spans="1:18" hidden="1" x14ac:dyDescent="0.25">
      <c r="A726" t="s">
        <v>332</v>
      </c>
      <c r="B726" t="s">
        <v>20</v>
      </c>
      <c r="C726" t="s">
        <v>236</v>
      </c>
      <c r="D726" s="3">
        <f t="shared" si="60"/>
        <v>12</v>
      </c>
      <c r="E726" t="s">
        <v>33</v>
      </c>
      <c r="F726" t="s">
        <v>13</v>
      </c>
      <c r="G726" t="str">
        <f t="shared" si="61"/>
        <v/>
      </c>
      <c r="H726" t="s">
        <v>14</v>
      </c>
      <c r="I726" t="s">
        <v>333</v>
      </c>
      <c r="J726" s="2">
        <f t="shared" si="62"/>
        <v>1500000</v>
      </c>
      <c r="K726" t="s">
        <v>66</v>
      </c>
      <c r="L726">
        <f t="shared" si="63"/>
        <v>0</v>
      </c>
      <c r="N726" t="s">
        <v>43</v>
      </c>
      <c r="R726" s="3">
        <f t="shared" si="59"/>
        <v>0</v>
      </c>
    </row>
    <row r="727" spans="1:18" hidden="1" x14ac:dyDescent="0.25">
      <c r="A727" t="s">
        <v>4433</v>
      </c>
      <c r="B727" t="s">
        <v>4272</v>
      </c>
      <c r="C727" t="s">
        <v>4435</v>
      </c>
      <c r="D727" s="3">
        <f t="shared" si="60"/>
        <v>12</v>
      </c>
      <c r="E727" t="s">
        <v>33</v>
      </c>
      <c r="F727" t="s">
        <v>13</v>
      </c>
      <c r="G727" t="str">
        <f t="shared" si="61"/>
        <v/>
      </c>
      <c r="H727" t="s">
        <v>14</v>
      </c>
      <c r="I727" t="s">
        <v>4434</v>
      </c>
      <c r="J727" s="2">
        <f t="shared" si="62"/>
        <v>1900000</v>
      </c>
      <c r="K727" t="s">
        <v>352</v>
      </c>
      <c r="L727">
        <f t="shared" si="63"/>
        <v>0.20833333333333334</v>
      </c>
      <c r="M727" s="5">
        <v>0.20833333333333334</v>
      </c>
      <c r="N727" t="s">
        <v>43</v>
      </c>
      <c r="R727" s="3">
        <f t="shared" si="59"/>
        <v>5</v>
      </c>
    </row>
    <row r="728" spans="1:18" x14ac:dyDescent="0.25">
      <c r="A728" t="s">
        <v>4649</v>
      </c>
      <c r="B728" t="s">
        <v>4272</v>
      </c>
      <c r="C728" t="s">
        <v>4435</v>
      </c>
      <c r="D728" s="3">
        <f t="shared" si="60"/>
        <v>10.5</v>
      </c>
      <c r="E728" t="s">
        <v>653</v>
      </c>
      <c r="F728" t="s">
        <v>13</v>
      </c>
      <c r="G728" t="str">
        <f t="shared" si="61"/>
        <v/>
      </c>
      <c r="H728" t="s">
        <v>14</v>
      </c>
      <c r="I728" t="s">
        <v>4650</v>
      </c>
      <c r="J728" s="2">
        <f t="shared" si="62"/>
        <v>1300000</v>
      </c>
      <c r="K728" t="s">
        <v>17</v>
      </c>
      <c r="L728">
        <f t="shared" si="63"/>
        <v>0</v>
      </c>
      <c r="N728" t="s">
        <v>18</v>
      </c>
      <c r="R728" s="3">
        <f t="shared" si="59"/>
        <v>0</v>
      </c>
    </row>
    <row r="729" spans="1:18" x14ac:dyDescent="0.25">
      <c r="A729" t="s">
        <v>4600</v>
      </c>
      <c r="B729" t="s">
        <v>4272</v>
      </c>
      <c r="C729" t="s">
        <v>4354</v>
      </c>
      <c r="D729" s="3">
        <f t="shared" si="60"/>
        <v>9</v>
      </c>
      <c r="E729" t="s">
        <v>12</v>
      </c>
      <c r="F729" t="s">
        <v>13</v>
      </c>
      <c r="G729" t="str">
        <f t="shared" si="61"/>
        <v/>
      </c>
      <c r="H729" t="s">
        <v>14</v>
      </c>
      <c r="I729" t="s">
        <v>4601</v>
      </c>
      <c r="J729" s="2">
        <f t="shared" si="62"/>
        <v>1300000</v>
      </c>
      <c r="K729" t="s">
        <v>17</v>
      </c>
      <c r="L729">
        <f t="shared" si="63"/>
        <v>0</v>
      </c>
      <c r="N729" t="s">
        <v>18</v>
      </c>
      <c r="R729" s="3">
        <f t="shared" si="59"/>
        <v>0</v>
      </c>
    </row>
    <row r="730" spans="1:18" x14ac:dyDescent="0.25">
      <c r="A730" t="s">
        <v>5329</v>
      </c>
      <c r="B730" t="s">
        <v>5848</v>
      </c>
      <c r="C730" t="s">
        <v>5331</v>
      </c>
      <c r="D730" s="3">
        <f t="shared" si="60"/>
        <v>9</v>
      </c>
      <c r="E730" t="s">
        <v>12</v>
      </c>
      <c r="F730" t="s">
        <v>13</v>
      </c>
      <c r="G730" t="str">
        <f t="shared" si="61"/>
        <v/>
      </c>
      <c r="H730" t="s">
        <v>14</v>
      </c>
      <c r="I730" t="s">
        <v>5330</v>
      </c>
      <c r="J730" s="2">
        <f t="shared" si="62"/>
        <v>1300000</v>
      </c>
      <c r="K730" t="s">
        <v>17</v>
      </c>
      <c r="L730">
        <f t="shared" si="63"/>
        <v>0</v>
      </c>
      <c r="N730" t="s">
        <v>18</v>
      </c>
      <c r="P730" t="s">
        <v>665</v>
      </c>
      <c r="R730" s="3">
        <f t="shared" si="59"/>
        <v>0</v>
      </c>
    </row>
    <row r="731" spans="1:18" hidden="1" x14ac:dyDescent="0.25">
      <c r="A731" t="s">
        <v>746</v>
      </c>
      <c r="B731" t="s">
        <v>640</v>
      </c>
      <c r="C731" t="s">
        <v>749</v>
      </c>
      <c r="D731" s="3">
        <f t="shared" si="60"/>
        <v>16</v>
      </c>
      <c r="E731" t="s">
        <v>79</v>
      </c>
      <c r="F731" t="s">
        <v>13</v>
      </c>
      <c r="G731" t="str">
        <f t="shared" si="61"/>
        <v/>
      </c>
      <c r="H731" t="s">
        <v>14</v>
      </c>
      <c r="I731" t="s">
        <v>747</v>
      </c>
      <c r="J731" s="2">
        <f t="shared" si="62"/>
        <v>1950000</v>
      </c>
      <c r="K731" t="s">
        <v>748</v>
      </c>
      <c r="L731">
        <f t="shared" si="63"/>
        <v>0.16874999999999998</v>
      </c>
      <c r="M731" s="5">
        <v>0.16874999999999998</v>
      </c>
      <c r="N731" t="s">
        <v>43</v>
      </c>
      <c r="R731" s="3">
        <f t="shared" si="59"/>
        <v>4.05</v>
      </c>
    </row>
    <row r="732" spans="1:18" x14ac:dyDescent="0.25">
      <c r="A732" t="s">
        <v>2514</v>
      </c>
      <c r="B732" t="s">
        <v>2596</v>
      </c>
      <c r="C732" t="s">
        <v>2071</v>
      </c>
      <c r="D732" s="3">
        <f t="shared" si="60"/>
        <v>10.5</v>
      </c>
      <c r="E732" t="s">
        <v>653</v>
      </c>
      <c r="F732" t="s">
        <v>34</v>
      </c>
      <c r="G732" t="str">
        <f t="shared" si="61"/>
        <v/>
      </c>
      <c r="H732" t="s">
        <v>14</v>
      </c>
      <c r="I732" t="s">
        <v>2515</v>
      </c>
      <c r="J732" s="2">
        <f t="shared" si="62"/>
        <v>1300000</v>
      </c>
      <c r="K732" t="s">
        <v>17</v>
      </c>
      <c r="L732">
        <f t="shared" si="63"/>
        <v>0.17291666666666669</v>
      </c>
      <c r="M732" s="5">
        <v>0.17291666666666669</v>
      </c>
      <c r="N732" t="s">
        <v>43</v>
      </c>
      <c r="P732" t="s">
        <v>1581</v>
      </c>
      <c r="R732" s="3">
        <f t="shared" si="59"/>
        <v>4.1500000000000004</v>
      </c>
    </row>
    <row r="733" spans="1:18" hidden="1" x14ac:dyDescent="0.25">
      <c r="A733" t="s">
        <v>4751</v>
      </c>
      <c r="B733" t="s">
        <v>4272</v>
      </c>
      <c r="C733" t="s">
        <v>4285</v>
      </c>
      <c r="D733" s="3">
        <f t="shared" si="60"/>
        <v>12</v>
      </c>
      <c r="E733" t="s">
        <v>33</v>
      </c>
      <c r="F733" t="s">
        <v>13</v>
      </c>
      <c r="G733" t="str">
        <f t="shared" si="61"/>
        <v/>
      </c>
      <c r="H733" t="s">
        <v>14</v>
      </c>
      <c r="I733" t="s">
        <v>4752</v>
      </c>
      <c r="J733" s="2">
        <f t="shared" si="62"/>
        <v>2850000</v>
      </c>
      <c r="K733" t="s">
        <v>2068</v>
      </c>
      <c r="L733">
        <f t="shared" si="63"/>
        <v>0</v>
      </c>
      <c r="N733" t="s">
        <v>43</v>
      </c>
      <c r="R733" s="3">
        <f t="shared" si="59"/>
        <v>0</v>
      </c>
    </row>
    <row r="734" spans="1:18" hidden="1" x14ac:dyDescent="0.25">
      <c r="A734" t="s">
        <v>5498</v>
      </c>
      <c r="B734" t="s">
        <v>5848</v>
      </c>
      <c r="C734" t="s">
        <v>5369</v>
      </c>
      <c r="D734" s="3">
        <f t="shared" si="60"/>
        <v>17.5</v>
      </c>
      <c r="E734" t="s">
        <v>1839</v>
      </c>
      <c r="F734" t="s">
        <v>34</v>
      </c>
      <c r="G734" t="str">
        <f t="shared" si="61"/>
        <v/>
      </c>
      <c r="H734" t="s">
        <v>14</v>
      </c>
      <c r="I734" t="s">
        <v>5499</v>
      </c>
      <c r="J734" s="2">
        <f t="shared" si="62"/>
        <v>1600000</v>
      </c>
      <c r="K734" t="s">
        <v>95</v>
      </c>
      <c r="L734">
        <f t="shared" si="63"/>
        <v>0</v>
      </c>
      <c r="N734" t="s">
        <v>37</v>
      </c>
      <c r="R734" s="3">
        <f t="shared" si="59"/>
        <v>0</v>
      </c>
    </row>
    <row r="735" spans="1:18" hidden="1" x14ac:dyDescent="0.25">
      <c r="A735" t="s">
        <v>5301</v>
      </c>
      <c r="B735" t="s">
        <v>4806</v>
      </c>
      <c r="C735" t="s">
        <v>4859</v>
      </c>
      <c r="D735" s="3">
        <f t="shared" si="60"/>
        <v>25</v>
      </c>
      <c r="E735" t="s">
        <v>481</v>
      </c>
      <c r="F735" t="s">
        <v>13</v>
      </c>
      <c r="G735" t="str">
        <f t="shared" si="61"/>
        <v/>
      </c>
      <c r="H735" t="s">
        <v>14</v>
      </c>
      <c r="I735" t="s">
        <v>5302</v>
      </c>
      <c r="J735" s="2">
        <f t="shared" si="62"/>
        <v>1800000</v>
      </c>
      <c r="K735" t="s">
        <v>228</v>
      </c>
      <c r="L735">
        <f t="shared" si="63"/>
        <v>0</v>
      </c>
      <c r="N735" t="s">
        <v>43</v>
      </c>
      <c r="R735" s="3">
        <f t="shared" si="59"/>
        <v>0</v>
      </c>
    </row>
    <row r="736" spans="1:18" hidden="1" x14ac:dyDescent="0.25">
      <c r="A736" t="s">
        <v>5301</v>
      </c>
      <c r="B736" t="s">
        <v>4806</v>
      </c>
      <c r="C736" t="s">
        <v>4859</v>
      </c>
      <c r="D736" s="3">
        <f t="shared" si="60"/>
        <v>25</v>
      </c>
      <c r="E736" t="s">
        <v>481</v>
      </c>
      <c r="F736" t="s">
        <v>13</v>
      </c>
      <c r="G736" t="str">
        <f t="shared" si="61"/>
        <v/>
      </c>
      <c r="H736" t="s">
        <v>14</v>
      </c>
      <c r="I736" t="s">
        <v>5309</v>
      </c>
      <c r="J736" s="2">
        <f t="shared" si="62"/>
        <v>1800000</v>
      </c>
      <c r="K736" t="s">
        <v>228</v>
      </c>
      <c r="L736">
        <f t="shared" si="63"/>
        <v>0</v>
      </c>
      <c r="N736" t="s">
        <v>43</v>
      </c>
      <c r="R736" s="3">
        <f t="shared" si="59"/>
        <v>0</v>
      </c>
    </row>
    <row r="737" spans="1:18" hidden="1" x14ac:dyDescent="0.25">
      <c r="A737" t="s">
        <v>4963</v>
      </c>
      <c r="B737" t="s">
        <v>4806</v>
      </c>
      <c r="C737" t="s">
        <v>4805</v>
      </c>
      <c r="D737" s="3">
        <f t="shared" si="60"/>
        <v>9</v>
      </c>
      <c r="E737" t="s">
        <v>12</v>
      </c>
      <c r="F737" t="s">
        <v>34</v>
      </c>
      <c r="G737" t="str">
        <f t="shared" si="61"/>
        <v/>
      </c>
      <c r="H737" t="s">
        <v>14</v>
      </c>
      <c r="I737" t="s">
        <v>4964</v>
      </c>
      <c r="J737" s="2">
        <f t="shared" si="62"/>
        <v>1500000</v>
      </c>
      <c r="K737" t="s">
        <v>66</v>
      </c>
      <c r="L737">
        <f t="shared" si="63"/>
        <v>0.20833333333333334</v>
      </c>
      <c r="M737" s="5">
        <v>0.20833333333333334</v>
      </c>
      <c r="N737" t="s">
        <v>43</v>
      </c>
      <c r="R737" s="3">
        <f t="shared" si="59"/>
        <v>5</v>
      </c>
    </row>
    <row r="738" spans="1:18" hidden="1" x14ac:dyDescent="0.25">
      <c r="A738" t="s">
        <v>4220</v>
      </c>
      <c r="B738" t="s">
        <v>3746</v>
      </c>
      <c r="C738" t="s">
        <v>3937</v>
      </c>
      <c r="D738" s="3">
        <f t="shared" si="60"/>
        <v>12</v>
      </c>
      <c r="E738" t="s">
        <v>33</v>
      </c>
      <c r="F738" t="s">
        <v>13</v>
      </c>
      <c r="G738" t="str">
        <f t="shared" si="61"/>
        <v/>
      </c>
      <c r="H738" t="s">
        <v>14</v>
      </c>
      <c r="I738" t="s">
        <v>4221</v>
      </c>
      <c r="J738" s="2">
        <f t="shared" si="62"/>
        <v>1300000</v>
      </c>
      <c r="K738" t="s">
        <v>17</v>
      </c>
      <c r="L738">
        <f t="shared" si="63"/>
        <v>0.20833333333333334</v>
      </c>
      <c r="M738" s="5">
        <v>0.20833333333333334</v>
      </c>
      <c r="N738" t="s">
        <v>18</v>
      </c>
      <c r="R738" s="3">
        <f t="shared" si="59"/>
        <v>5</v>
      </c>
    </row>
    <row r="739" spans="1:18" hidden="1" x14ac:dyDescent="0.25">
      <c r="A739" t="s">
        <v>993</v>
      </c>
      <c r="B739" t="s">
        <v>640</v>
      </c>
      <c r="C739" t="s">
        <v>657</v>
      </c>
      <c r="D739" s="3">
        <f t="shared" si="60"/>
        <v>12</v>
      </c>
      <c r="E739" t="s">
        <v>33</v>
      </c>
      <c r="F739" t="s">
        <v>13</v>
      </c>
      <c r="G739" t="str">
        <f t="shared" si="61"/>
        <v/>
      </c>
      <c r="H739" t="s">
        <v>14</v>
      </c>
      <c r="I739" t="s">
        <v>994</v>
      </c>
      <c r="J739" s="2">
        <f t="shared" si="62"/>
        <v>1900000</v>
      </c>
      <c r="K739" t="s">
        <v>352</v>
      </c>
      <c r="L739">
        <f t="shared" si="63"/>
        <v>0.17013888888888887</v>
      </c>
      <c r="M739" s="5">
        <v>0.17013888888888887</v>
      </c>
      <c r="N739" t="s">
        <v>18</v>
      </c>
      <c r="P739" t="s">
        <v>762</v>
      </c>
      <c r="R739" s="3">
        <f t="shared" si="59"/>
        <v>4.083333333333333</v>
      </c>
    </row>
    <row r="740" spans="1:18" hidden="1" x14ac:dyDescent="0.25">
      <c r="A740" t="s">
        <v>847</v>
      </c>
      <c r="B740" t="s">
        <v>640</v>
      </c>
      <c r="C740" t="s">
        <v>657</v>
      </c>
      <c r="D740" s="3">
        <f t="shared" si="60"/>
        <v>12</v>
      </c>
      <c r="E740" t="s">
        <v>33</v>
      </c>
      <c r="F740" t="s">
        <v>13</v>
      </c>
      <c r="G740" t="str">
        <f t="shared" si="61"/>
        <v/>
      </c>
      <c r="H740" t="s">
        <v>14</v>
      </c>
      <c r="I740" t="s">
        <v>848</v>
      </c>
      <c r="J740" s="2">
        <f t="shared" si="62"/>
        <v>2200000</v>
      </c>
      <c r="K740" t="s">
        <v>849</v>
      </c>
      <c r="L740">
        <f t="shared" si="63"/>
        <v>0.20833333333333334</v>
      </c>
      <c r="M740" s="5">
        <v>0.20833333333333334</v>
      </c>
      <c r="N740" t="s">
        <v>18</v>
      </c>
      <c r="R740" s="3">
        <f t="shared" si="59"/>
        <v>5</v>
      </c>
    </row>
    <row r="741" spans="1:18" hidden="1" x14ac:dyDescent="0.25">
      <c r="A741" t="s">
        <v>1247</v>
      </c>
      <c r="B741" t="s">
        <v>640</v>
      </c>
      <c r="C741" t="s">
        <v>657</v>
      </c>
      <c r="D741" s="3">
        <f t="shared" si="60"/>
        <v>9</v>
      </c>
      <c r="E741" t="s">
        <v>12</v>
      </c>
      <c r="F741" t="s">
        <v>13</v>
      </c>
      <c r="G741" t="str">
        <f t="shared" si="61"/>
        <v/>
      </c>
      <c r="H741" t="s">
        <v>14</v>
      </c>
      <c r="I741" t="s">
        <v>1248</v>
      </c>
      <c r="J741" s="2">
        <f t="shared" si="62"/>
        <v>1950000</v>
      </c>
      <c r="K741" t="s">
        <v>748</v>
      </c>
      <c r="L741">
        <f t="shared" si="63"/>
        <v>0.17013888888888887</v>
      </c>
      <c r="M741" s="5">
        <v>0.17013888888888887</v>
      </c>
      <c r="N741" t="s">
        <v>18</v>
      </c>
      <c r="P741" t="s">
        <v>762</v>
      </c>
      <c r="R741" s="3">
        <f t="shared" si="59"/>
        <v>4.083333333333333</v>
      </c>
    </row>
    <row r="742" spans="1:18" hidden="1" x14ac:dyDescent="0.25">
      <c r="A742" t="s">
        <v>966</v>
      </c>
      <c r="B742" t="s">
        <v>640</v>
      </c>
      <c r="C742" t="s">
        <v>657</v>
      </c>
      <c r="D742" s="3">
        <f t="shared" si="60"/>
        <v>16</v>
      </c>
      <c r="E742" t="s">
        <v>79</v>
      </c>
      <c r="F742" t="s">
        <v>13</v>
      </c>
      <c r="G742" t="str">
        <f t="shared" si="61"/>
        <v/>
      </c>
      <c r="H742" t="s">
        <v>14</v>
      </c>
      <c r="I742" t="s">
        <v>967</v>
      </c>
      <c r="J742" s="2">
        <f t="shared" si="62"/>
        <v>3500000</v>
      </c>
      <c r="K742" t="s">
        <v>143</v>
      </c>
      <c r="L742">
        <f t="shared" si="63"/>
        <v>0.20833333333333334</v>
      </c>
      <c r="M742" s="5">
        <v>0.20833333333333334</v>
      </c>
      <c r="N742" t="s">
        <v>18</v>
      </c>
      <c r="P742" t="s">
        <v>968</v>
      </c>
      <c r="R742" s="3">
        <f t="shared" si="59"/>
        <v>5</v>
      </c>
    </row>
    <row r="743" spans="1:18" hidden="1" x14ac:dyDescent="0.25">
      <c r="A743" t="s">
        <v>1259</v>
      </c>
      <c r="B743" t="s">
        <v>640</v>
      </c>
      <c r="C743" t="s">
        <v>657</v>
      </c>
      <c r="D743" s="3">
        <f t="shared" si="60"/>
        <v>12</v>
      </c>
      <c r="E743" t="s">
        <v>33</v>
      </c>
      <c r="F743" t="s">
        <v>13</v>
      </c>
      <c r="G743" t="str">
        <f t="shared" si="61"/>
        <v/>
      </c>
      <c r="H743" t="s">
        <v>14</v>
      </c>
      <c r="I743" t="s">
        <v>1260</v>
      </c>
      <c r="J743" s="2">
        <f t="shared" si="62"/>
        <v>2000000</v>
      </c>
      <c r="K743" t="s">
        <v>128</v>
      </c>
      <c r="L743">
        <f t="shared" si="63"/>
        <v>0.20833333333333334</v>
      </c>
      <c r="M743" s="5">
        <v>0.20833333333333334</v>
      </c>
      <c r="N743" t="s">
        <v>18</v>
      </c>
      <c r="P743" t="s">
        <v>762</v>
      </c>
      <c r="R743" s="3">
        <f t="shared" si="59"/>
        <v>5</v>
      </c>
    </row>
    <row r="744" spans="1:18" hidden="1" x14ac:dyDescent="0.25">
      <c r="A744" t="s">
        <v>3390</v>
      </c>
      <c r="B744" t="s">
        <v>3233</v>
      </c>
      <c r="C744" t="s">
        <v>3232</v>
      </c>
      <c r="D744" s="3">
        <f t="shared" si="60"/>
        <v>12</v>
      </c>
      <c r="E744" t="s">
        <v>33</v>
      </c>
      <c r="F744" t="s">
        <v>13</v>
      </c>
      <c r="G744" t="str">
        <f t="shared" si="61"/>
        <v/>
      </c>
      <c r="H744" t="s">
        <v>14</v>
      </c>
      <c r="I744" t="s">
        <v>3391</v>
      </c>
      <c r="J744" s="2">
        <f t="shared" si="62"/>
        <v>1900000</v>
      </c>
      <c r="K744" t="s">
        <v>352</v>
      </c>
      <c r="L744">
        <f t="shared" si="63"/>
        <v>0.17013888888888887</v>
      </c>
      <c r="M744" s="5">
        <v>0.17013888888888887</v>
      </c>
      <c r="N744" t="s">
        <v>43</v>
      </c>
      <c r="P744" t="s">
        <v>1622</v>
      </c>
      <c r="R744" s="3">
        <f t="shared" si="59"/>
        <v>4.083333333333333</v>
      </c>
    </row>
    <row r="745" spans="1:18" x14ac:dyDescent="0.25">
      <c r="A745" t="s">
        <v>4629</v>
      </c>
      <c r="B745" t="s">
        <v>4272</v>
      </c>
      <c r="C745" t="s">
        <v>4281</v>
      </c>
      <c r="D745" s="3">
        <f t="shared" si="60"/>
        <v>12</v>
      </c>
      <c r="E745" t="s">
        <v>33</v>
      </c>
      <c r="F745" t="s">
        <v>13</v>
      </c>
      <c r="G745" t="str">
        <f t="shared" si="61"/>
        <v/>
      </c>
      <c r="H745" t="s">
        <v>14</v>
      </c>
      <c r="I745" t="s">
        <v>4630</v>
      </c>
      <c r="J745" s="2">
        <f t="shared" si="62"/>
        <v>1300000</v>
      </c>
      <c r="K745" t="s">
        <v>17</v>
      </c>
      <c r="L745">
        <f t="shared" si="63"/>
        <v>0.17013888888888887</v>
      </c>
      <c r="M745" s="5">
        <v>0.17013888888888887</v>
      </c>
      <c r="N745" t="s">
        <v>43</v>
      </c>
      <c r="P745" t="s">
        <v>2095</v>
      </c>
      <c r="R745" s="3">
        <f t="shared" si="59"/>
        <v>4.083333333333333</v>
      </c>
    </row>
    <row r="746" spans="1:18" hidden="1" x14ac:dyDescent="0.25">
      <c r="A746" t="s">
        <v>363</v>
      </c>
      <c r="B746" t="s">
        <v>20</v>
      </c>
      <c r="C746" t="s">
        <v>113</v>
      </c>
      <c r="D746" s="3">
        <f t="shared" si="60"/>
        <v>12</v>
      </c>
      <c r="E746" t="s">
        <v>33</v>
      </c>
      <c r="F746" t="s">
        <v>34</v>
      </c>
      <c r="G746" t="str">
        <f t="shared" si="61"/>
        <v/>
      </c>
      <c r="H746" t="s">
        <v>14</v>
      </c>
      <c r="I746" t="s">
        <v>364</v>
      </c>
      <c r="J746" s="2">
        <f t="shared" si="62"/>
        <v>500000</v>
      </c>
      <c r="K746" t="s">
        <v>16</v>
      </c>
      <c r="L746">
        <f t="shared" si="63"/>
        <v>0</v>
      </c>
      <c r="N746" t="s">
        <v>18</v>
      </c>
      <c r="R746" s="3">
        <f t="shared" si="59"/>
        <v>0</v>
      </c>
    </row>
    <row r="747" spans="1:18" hidden="1" x14ac:dyDescent="0.25">
      <c r="A747" t="s">
        <v>641</v>
      </c>
      <c r="B747" t="s">
        <v>640</v>
      </c>
      <c r="C747" t="s">
        <v>643</v>
      </c>
      <c r="D747" s="3">
        <f t="shared" si="60"/>
        <v>12</v>
      </c>
      <c r="E747" t="s">
        <v>33</v>
      </c>
      <c r="F747" t="s">
        <v>13</v>
      </c>
      <c r="G747" t="str">
        <f t="shared" si="61"/>
        <v/>
      </c>
      <c r="H747" t="s">
        <v>14</v>
      </c>
      <c r="I747" t="s">
        <v>642</v>
      </c>
      <c r="J747" s="2">
        <f t="shared" si="62"/>
        <v>2150000</v>
      </c>
      <c r="K747" t="s">
        <v>53</v>
      </c>
      <c r="L747">
        <f t="shared" si="63"/>
        <v>0.20833333333333334</v>
      </c>
      <c r="M747" s="5">
        <v>0.20833333333333334</v>
      </c>
      <c r="N747" t="s">
        <v>18</v>
      </c>
      <c r="R747" s="3">
        <f t="shared" si="59"/>
        <v>5</v>
      </c>
    </row>
    <row r="748" spans="1:18" hidden="1" x14ac:dyDescent="0.25">
      <c r="A748" t="s">
        <v>541</v>
      </c>
      <c r="B748" t="s">
        <v>20</v>
      </c>
      <c r="C748" t="s">
        <v>293</v>
      </c>
      <c r="D748" s="3">
        <f t="shared" si="60"/>
        <v>6.6000000000000005</v>
      </c>
      <c r="E748" t="s">
        <v>542</v>
      </c>
      <c r="F748" t="s">
        <v>34</v>
      </c>
      <c r="G748" t="str">
        <f t="shared" si="61"/>
        <v/>
      </c>
      <c r="H748" t="s">
        <v>14</v>
      </c>
      <c r="I748" t="s">
        <v>543</v>
      </c>
      <c r="J748" s="2">
        <f t="shared" si="62"/>
        <v>975000</v>
      </c>
      <c r="K748" t="s">
        <v>544</v>
      </c>
      <c r="L748">
        <f t="shared" si="63"/>
        <v>0</v>
      </c>
      <c r="N748" t="s">
        <v>18</v>
      </c>
      <c r="R748" s="3">
        <f t="shared" si="59"/>
        <v>0</v>
      </c>
    </row>
    <row r="749" spans="1:18" x14ac:dyDescent="0.25">
      <c r="A749" t="s">
        <v>3426</v>
      </c>
      <c r="B749" t="s">
        <v>3233</v>
      </c>
      <c r="C749" t="s">
        <v>3237</v>
      </c>
      <c r="D749" s="3">
        <f t="shared" si="60"/>
        <v>12</v>
      </c>
      <c r="E749" t="s">
        <v>33</v>
      </c>
      <c r="F749" t="s">
        <v>13</v>
      </c>
      <c r="G749" t="str">
        <f t="shared" si="61"/>
        <v/>
      </c>
      <c r="H749" t="s">
        <v>14</v>
      </c>
      <c r="I749" t="s">
        <v>3427</v>
      </c>
      <c r="J749" s="2">
        <f t="shared" si="62"/>
        <v>1300000</v>
      </c>
      <c r="K749" t="s">
        <v>17</v>
      </c>
      <c r="L749">
        <f t="shared" si="63"/>
        <v>0.12569444444444444</v>
      </c>
      <c r="M749" s="5">
        <v>0.12569444444444444</v>
      </c>
      <c r="N749" t="s">
        <v>43</v>
      </c>
      <c r="R749" s="3">
        <f t="shared" si="59"/>
        <v>3.0166666666666666</v>
      </c>
    </row>
    <row r="750" spans="1:18" x14ac:dyDescent="0.25">
      <c r="A750" t="s">
        <v>3594</v>
      </c>
      <c r="B750" t="s">
        <v>3233</v>
      </c>
      <c r="C750" t="s">
        <v>3248</v>
      </c>
      <c r="D750" s="3">
        <f t="shared" si="60"/>
        <v>7.5</v>
      </c>
      <c r="E750" t="s">
        <v>178</v>
      </c>
      <c r="F750" t="s">
        <v>13</v>
      </c>
      <c r="G750" t="str">
        <f t="shared" si="61"/>
        <v/>
      </c>
      <c r="H750" t="s">
        <v>14</v>
      </c>
      <c r="I750" t="s">
        <v>3595</v>
      </c>
      <c r="J750" s="2">
        <f t="shared" si="62"/>
        <v>1300000</v>
      </c>
      <c r="K750" t="s">
        <v>17</v>
      </c>
      <c r="L750">
        <f t="shared" si="63"/>
        <v>0.12916666666666668</v>
      </c>
      <c r="M750" s="5">
        <v>0.12916666666666668</v>
      </c>
      <c r="N750" t="s">
        <v>43</v>
      </c>
      <c r="R750" s="3">
        <f t="shared" si="59"/>
        <v>3.1000000000000005</v>
      </c>
    </row>
    <row r="751" spans="1:18" hidden="1" x14ac:dyDescent="0.25">
      <c r="A751" t="s">
        <v>3654</v>
      </c>
      <c r="B751" t="s">
        <v>3233</v>
      </c>
      <c r="C751" t="s">
        <v>3376</v>
      </c>
      <c r="D751" s="3">
        <f t="shared" si="60"/>
        <v>12</v>
      </c>
      <c r="E751" t="s">
        <v>33</v>
      </c>
      <c r="F751" t="s">
        <v>13</v>
      </c>
      <c r="G751" t="str">
        <f t="shared" si="61"/>
        <v/>
      </c>
      <c r="H751" t="s">
        <v>14</v>
      </c>
      <c r="I751" t="s">
        <v>3655</v>
      </c>
      <c r="J751" s="2">
        <f t="shared" si="62"/>
        <v>1500000</v>
      </c>
      <c r="K751" t="s">
        <v>66</v>
      </c>
      <c r="L751">
        <f t="shared" si="63"/>
        <v>4.7916666666666663E-2</v>
      </c>
      <c r="M751" s="5">
        <v>4.7916666666666663E-2</v>
      </c>
      <c r="N751" t="s">
        <v>43</v>
      </c>
      <c r="R751" s="3">
        <f t="shared" si="59"/>
        <v>1.1499999999999999</v>
      </c>
    </row>
    <row r="752" spans="1:18" x14ac:dyDescent="0.25">
      <c r="A752" t="s">
        <v>758</v>
      </c>
      <c r="B752" t="s">
        <v>640</v>
      </c>
      <c r="C752" t="s">
        <v>643</v>
      </c>
      <c r="D752" s="3">
        <f t="shared" si="60"/>
        <v>12</v>
      </c>
      <c r="E752" t="s">
        <v>33</v>
      </c>
      <c r="F752" t="s">
        <v>13</v>
      </c>
      <c r="G752" t="str">
        <f t="shared" si="61"/>
        <v/>
      </c>
      <c r="H752" t="s">
        <v>14</v>
      </c>
      <c r="I752" t="s">
        <v>759</v>
      </c>
      <c r="J752" s="2">
        <f t="shared" si="62"/>
        <v>1300000</v>
      </c>
      <c r="K752" t="s">
        <v>17</v>
      </c>
      <c r="L752">
        <f t="shared" si="63"/>
        <v>0.20833333333333334</v>
      </c>
      <c r="M752" s="5">
        <v>0.20833333333333334</v>
      </c>
      <c r="N752" t="s">
        <v>37</v>
      </c>
      <c r="R752" s="3">
        <f t="shared" si="59"/>
        <v>5</v>
      </c>
    </row>
    <row r="753" spans="1:18" hidden="1" x14ac:dyDescent="0.25">
      <c r="A753" t="s">
        <v>921</v>
      </c>
      <c r="B753" t="s">
        <v>640</v>
      </c>
      <c r="C753" t="s">
        <v>718</v>
      </c>
      <c r="D753" s="3">
        <f t="shared" si="60"/>
        <v>12</v>
      </c>
      <c r="E753" t="s">
        <v>33</v>
      </c>
      <c r="F753" t="s">
        <v>13</v>
      </c>
      <c r="G753" t="str">
        <f t="shared" si="61"/>
        <v/>
      </c>
      <c r="H753" t="s">
        <v>14</v>
      </c>
      <c r="I753" t="s">
        <v>922</v>
      </c>
      <c r="J753" s="2">
        <f t="shared" si="62"/>
        <v>1800000</v>
      </c>
      <c r="K753" t="s">
        <v>228</v>
      </c>
      <c r="L753">
        <f t="shared" si="63"/>
        <v>0.17222222222222225</v>
      </c>
      <c r="M753" s="5">
        <v>0.17222222222222225</v>
      </c>
      <c r="N753" t="s">
        <v>18</v>
      </c>
      <c r="P753" t="s">
        <v>673</v>
      </c>
      <c r="R753" s="3">
        <f t="shared" si="59"/>
        <v>4.1333333333333337</v>
      </c>
    </row>
    <row r="754" spans="1:18" x14ac:dyDescent="0.25">
      <c r="A754" t="s">
        <v>82</v>
      </c>
      <c r="B754" t="s">
        <v>20</v>
      </c>
      <c r="C754" t="s">
        <v>84</v>
      </c>
      <c r="D754" s="3">
        <f t="shared" si="60"/>
        <v>12</v>
      </c>
      <c r="E754" t="s">
        <v>33</v>
      </c>
      <c r="F754" t="s">
        <v>13</v>
      </c>
      <c r="G754" t="str">
        <f t="shared" si="61"/>
        <v/>
      </c>
      <c r="H754" t="s">
        <v>14</v>
      </c>
      <c r="I754" t="s">
        <v>83</v>
      </c>
      <c r="J754" s="2">
        <f t="shared" si="62"/>
        <v>1300000</v>
      </c>
      <c r="K754" t="s">
        <v>17</v>
      </c>
      <c r="L754">
        <f t="shared" si="63"/>
        <v>0</v>
      </c>
      <c r="N754" t="s">
        <v>18</v>
      </c>
      <c r="R754" s="3">
        <f t="shared" si="59"/>
        <v>0</v>
      </c>
    </row>
    <row r="755" spans="1:18" hidden="1" x14ac:dyDescent="0.25">
      <c r="A755" t="s">
        <v>4828</v>
      </c>
      <c r="B755" t="s">
        <v>4806</v>
      </c>
      <c r="C755" t="s">
        <v>4830</v>
      </c>
      <c r="D755" s="3">
        <f t="shared" si="60"/>
        <v>9</v>
      </c>
      <c r="E755" t="s">
        <v>12</v>
      </c>
      <c r="F755" t="s">
        <v>13</v>
      </c>
      <c r="G755" t="str">
        <f t="shared" si="61"/>
        <v/>
      </c>
      <c r="H755" t="s">
        <v>14</v>
      </c>
      <c r="I755" t="s">
        <v>4829</v>
      </c>
      <c r="J755" s="2">
        <f t="shared" si="62"/>
        <v>860000</v>
      </c>
      <c r="K755" t="s">
        <v>3260</v>
      </c>
      <c r="L755">
        <f t="shared" si="63"/>
        <v>0</v>
      </c>
      <c r="N755" t="s">
        <v>43</v>
      </c>
      <c r="R755" s="3">
        <f t="shared" si="59"/>
        <v>0</v>
      </c>
    </row>
    <row r="756" spans="1:18" hidden="1" x14ac:dyDescent="0.25">
      <c r="A756" t="s">
        <v>1058</v>
      </c>
      <c r="B756" t="s">
        <v>640</v>
      </c>
      <c r="C756" t="s">
        <v>643</v>
      </c>
      <c r="D756" s="3">
        <f t="shared" si="60"/>
        <v>12</v>
      </c>
      <c r="E756" t="s">
        <v>33</v>
      </c>
      <c r="F756" t="s">
        <v>13</v>
      </c>
      <c r="G756" t="str">
        <f t="shared" si="61"/>
        <v/>
      </c>
      <c r="H756" t="s">
        <v>14</v>
      </c>
      <c r="I756" t="s">
        <v>1059</v>
      </c>
      <c r="J756" s="2">
        <f t="shared" si="62"/>
        <v>1700000</v>
      </c>
      <c r="K756" t="s">
        <v>23</v>
      </c>
      <c r="L756">
        <f t="shared" si="63"/>
        <v>0.17013888888888887</v>
      </c>
      <c r="M756" s="5">
        <v>0.17013888888888887</v>
      </c>
      <c r="N756" t="s">
        <v>18</v>
      </c>
      <c r="P756" t="s">
        <v>762</v>
      </c>
      <c r="R756" s="3">
        <f t="shared" si="59"/>
        <v>4.083333333333333</v>
      </c>
    </row>
    <row r="757" spans="1:18" hidden="1" x14ac:dyDescent="0.25">
      <c r="A757" t="s">
        <v>5755</v>
      </c>
      <c r="B757" t="s">
        <v>5848</v>
      </c>
      <c r="C757" t="s">
        <v>5750</v>
      </c>
      <c r="D757" s="3">
        <f t="shared" si="60"/>
        <v>20</v>
      </c>
      <c r="E757" t="s">
        <v>159</v>
      </c>
      <c r="F757" t="s">
        <v>13</v>
      </c>
      <c r="G757" t="str">
        <f t="shared" si="61"/>
        <v/>
      </c>
      <c r="H757" t="s">
        <v>14</v>
      </c>
      <c r="I757" t="s">
        <v>5756</v>
      </c>
      <c r="J757" s="2">
        <f t="shared" si="62"/>
        <v>1020000</v>
      </c>
      <c r="K757" t="s">
        <v>5757</v>
      </c>
      <c r="L757">
        <f t="shared" si="63"/>
        <v>0</v>
      </c>
      <c r="N757" t="s">
        <v>43</v>
      </c>
      <c r="R757" s="3">
        <f t="shared" si="59"/>
        <v>0</v>
      </c>
    </row>
    <row r="758" spans="1:18" hidden="1" x14ac:dyDescent="0.25">
      <c r="A758" t="s">
        <v>5075</v>
      </c>
      <c r="B758" t="s">
        <v>4806</v>
      </c>
      <c r="C758" t="s">
        <v>4805</v>
      </c>
      <c r="D758" s="3">
        <f t="shared" si="60"/>
        <v>16</v>
      </c>
      <c r="E758" t="s">
        <v>79</v>
      </c>
      <c r="F758" t="s">
        <v>34</v>
      </c>
      <c r="G758" t="str">
        <f t="shared" si="61"/>
        <v/>
      </c>
      <c r="H758" t="s">
        <v>14</v>
      </c>
      <c r="I758" t="s">
        <v>5076</v>
      </c>
      <c r="J758" s="2">
        <f t="shared" si="62"/>
        <v>960000</v>
      </c>
      <c r="K758" t="s">
        <v>5077</v>
      </c>
      <c r="L758">
        <f t="shared" si="63"/>
        <v>0</v>
      </c>
      <c r="N758" t="s">
        <v>37</v>
      </c>
      <c r="R758" s="3">
        <f t="shared" si="59"/>
        <v>0</v>
      </c>
    </row>
    <row r="759" spans="1:18" hidden="1" x14ac:dyDescent="0.25">
      <c r="A759" t="s">
        <v>4609</v>
      </c>
      <c r="B759" t="s">
        <v>4272</v>
      </c>
      <c r="C759" t="s">
        <v>4271</v>
      </c>
      <c r="D759" s="3">
        <f t="shared" si="60"/>
        <v>12</v>
      </c>
      <c r="E759" t="s">
        <v>33</v>
      </c>
      <c r="F759" t="s">
        <v>34</v>
      </c>
      <c r="G759" t="str">
        <f t="shared" si="61"/>
        <v/>
      </c>
      <c r="H759" t="s">
        <v>14</v>
      </c>
      <c r="I759" t="s">
        <v>4610</v>
      </c>
      <c r="J759" s="2">
        <f t="shared" si="62"/>
        <v>1400000</v>
      </c>
      <c r="K759" t="s">
        <v>81</v>
      </c>
      <c r="L759">
        <f t="shared" si="63"/>
        <v>0.17291666666666669</v>
      </c>
      <c r="M759" s="5">
        <v>0.17291666666666669</v>
      </c>
      <c r="N759" t="s">
        <v>18</v>
      </c>
      <c r="R759" s="3">
        <f t="shared" si="59"/>
        <v>4.1500000000000004</v>
      </c>
    </row>
    <row r="760" spans="1:18" x14ac:dyDescent="0.25">
      <c r="A760" t="s">
        <v>2045</v>
      </c>
      <c r="B760" t="s">
        <v>2596</v>
      </c>
      <c r="C760" t="s">
        <v>2049</v>
      </c>
      <c r="D760" s="3">
        <f t="shared" si="60"/>
        <v>5.44</v>
      </c>
      <c r="E760" t="s">
        <v>2046</v>
      </c>
      <c r="F760" t="s">
        <v>13</v>
      </c>
      <c r="G760">
        <f t="shared" si="61"/>
        <v>1445000</v>
      </c>
      <c r="H760" t="s">
        <v>858</v>
      </c>
      <c r="I760" t="s">
        <v>2047</v>
      </c>
      <c r="J760" s="2">
        <f t="shared" si="62"/>
        <v>1331400</v>
      </c>
      <c r="K760" t="s">
        <v>2048</v>
      </c>
      <c r="L760">
        <f t="shared" si="63"/>
        <v>0.16944444444444443</v>
      </c>
      <c r="M760" s="5">
        <v>0.16944444444444443</v>
      </c>
      <c r="N760" t="s">
        <v>18</v>
      </c>
      <c r="P760" t="s">
        <v>2050</v>
      </c>
      <c r="R760" s="3">
        <f t="shared" si="59"/>
        <v>4.0666666666666664</v>
      </c>
    </row>
    <row r="761" spans="1:18" hidden="1" x14ac:dyDescent="0.25">
      <c r="A761" t="s">
        <v>1525</v>
      </c>
      <c r="B761" t="s">
        <v>1303</v>
      </c>
      <c r="C761" t="s">
        <v>1322</v>
      </c>
      <c r="D761" s="3">
        <f t="shared" si="60"/>
        <v>6</v>
      </c>
      <c r="E761" t="s">
        <v>64</v>
      </c>
      <c r="F761" t="s">
        <v>13</v>
      </c>
      <c r="G761" t="str">
        <f t="shared" si="61"/>
        <v/>
      </c>
      <c r="H761" t="s">
        <v>14</v>
      </c>
      <c r="I761" t="s">
        <v>1526</v>
      </c>
      <c r="J761" s="2">
        <f t="shared" si="62"/>
        <v>1490000</v>
      </c>
      <c r="K761" t="s">
        <v>1527</v>
      </c>
      <c r="L761">
        <f t="shared" si="63"/>
        <v>0.17083333333333331</v>
      </c>
      <c r="M761" s="5">
        <v>0.17083333333333331</v>
      </c>
      <c r="N761" t="s">
        <v>43</v>
      </c>
      <c r="P761" t="s">
        <v>1528</v>
      </c>
      <c r="R761" s="3">
        <f t="shared" si="59"/>
        <v>4.0999999999999996</v>
      </c>
    </row>
    <row r="762" spans="1:18" hidden="1" x14ac:dyDescent="0.25">
      <c r="A762" t="s">
        <v>1271</v>
      </c>
      <c r="B762" t="s">
        <v>640</v>
      </c>
      <c r="C762" t="s">
        <v>1049</v>
      </c>
      <c r="D762" s="3">
        <f t="shared" si="60"/>
        <v>5</v>
      </c>
      <c r="E762" t="s">
        <v>819</v>
      </c>
      <c r="F762" t="s">
        <v>13</v>
      </c>
      <c r="G762" t="str">
        <f t="shared" si="61"/>
        <v/>
      </c>
      <c r="H762" t="s">
        <v>14</v>
      </c>
      <c r="I762" t="s">
        <v>1272</v>
      </c>
      <c r="J762" s="2">
        <f t="shared" si="62"/>
        <v>900000</v>
      </c>
      <c r="K762" t="s">
        <v>101</v>
      </c>
      <c r="L762">
        <f t="shared" si="63"/>
        <v>0.17222222222222225</v>
      </c>
      <c r="M762" s="5">
        <v>0.17222222222222225</v>
      </c>
      <c r="N762" t="s">
        <v>18</v>
      </c>
      <c r="R762" s="3">
        <f t="shared" si="59"/>
        <v>4.1333333333333337</v>
      </c>
    </row>
    <row r="763" spans="1:18" hidden="1" x14ac:dyDescent="0.25">
      <c r="A763" t="s">
        <v>841</v>
      </c>
      <c r="B763" t="s">
        <v>640</v>
      </c>
      <c r="C763" t="s">
        <v>643</v>
      </c>
      <c r="D763" s="3">
        <f t="shared" si="60"/>
        <v>9</v>
      </c>
      <c r="E763" t="s">
        <v>12</v>
      </c>
      <c r="F763" t="s">
        <v>34</v>
      </c>
      <c r="G763" t="str">
        <f t="shared" si="61"/>
        <v/>
      </c>
      <c r="H763" t="s">
        <v>14</v>
      </c>
      <c r="I763" t="s">
        <v>842</v>
      </c>
      <c r="J763" s="2">
        <f t="shared" si="62"/>
        <v>1650000</v>
      </c>
      <c r="K763" t="s">
        <v>90</v>
      </c>
      <c r="L763">
        <f t="shared" si="63"/>
        <v>0.17013888888888887</v>
      </c>
      <c r="M763" s="5">
        <v>0.17013888888888887</v>
      </c>
      <c r="N763" t="s">
        <v>18</v>
      </c>
      <c r="P763" t="s">
        <v>762</v>
      </c>
      <c r="R763" s="3">
        <f t="shared" si="59"/>
        <v>4.083333333333333</v>
      </c>
    </row>
    <row r="764" spans="1:18" x14ac:dyDescent="0.25">
      <c r="A764" t="s">
        <v>974</v>
      </c>
      <c r="B764" t="s">
        <v>640</v>
      </c>
      <c r="C764" t="s">
        <v>643</v>
      </c>
      <c r="D764" s="3">
        <f t="shared" si="60"/>
        <v>16</v>
      </c>
      <c r="E764" t="s">
        <v>79</v>
      </c>
      <c r="F764" t="s">
        <v>13</v>
      </c>
      <c r="G764" t="str">
        <f t="shared" si="61"/>
        <v/>
      </c>
      <c r="H764" t="s">
        <v>14</v>
      </c>
      <c r="I764" t="s">
        <v>975</v>
      </c>
      <c r="J764" s="2">
        <f t="shared" si="62"/>
        <v>1350000</v>
      </c>
      <c r="K764" t="s">
        <v>257</v>
      </c>
      <c r="L764">
        <f t="shared" si="63"/>
        <v>0.17083333333333331</v>
      </c>
      <c r="M764" s="5">
        <v>0.17083333333333331</v>
      </c>
      <c r="N764" t="s">
        <v>18</v>
      </c>
      <c r="P764" t="s">
        <v>665</v>
      </c>
      <c r="R764" s="3">
        <f t="shared" si="59"/>
        <v>4.0999999999999996</v>
      </c>
    </row>
    <row r="765" spans="1:18" hidden="1" x14ac:dyDescent="0.25">
      <c r="A765" t="s">
        <v>2545</v>
      </c>
      <c r="B765" t="s">
        <v>2596</v>
      </c>
      <c r="C765" t="s">
        <v>2013</v>
      </c>
      <c r="D765" s="3">
        <f t="shared" si="60"/>
        <v>9</v>
      </c>
      <c r="E765" t="s">
        <v>12</v>
      </c>
      <c r="F765" t="s">
        <v>34</v>
      </c>
      <c r="G765" t="str">
        <f t="shared" si="61"/>
        <v/>
      </c>
      <c r="H765" t="s">
        <v>14</v>
      </c>
      <c r="I765" t="s">
        <v>2546</v>
      </c>
      <c r="J765" s="2">
        <f t="shared" si="62"/>
        <v>950000</v>
      </c>
      <c r="K765" t="s">
        <v>355</v>
      </c>
      <c r="L765">
        <f t="shared" si="63"/>
        <v>0.20833333333333334</v>
      </c>
      <c r="M765" s="5">
        <v>0.20833333333333334</v>
      </c>
      <c r="N765" t="s">
        <v>18</v>
      </c>
      <c r="R765" s="3">
        <f t="shared" si="59"/>
        <v>5</v>
      </c>
    </row>
    <row r="766" spans="1:18" hidden="1" x14ac:dyDescent="0.25">
      <c r="A766" t="s">
        <v>5073</v>
      </c>
      <c r="B766" t="s">
        <v>4806</v>
      </c>
      <c r="C766" t="s">
        <v>4915</v>
      </c>
      <c r="D766" s="3">
        <f t="shared" si="60"/>
        <v>12</v>
      </c>
      <c r="E766" t="s">
        <v>33</v>
      </c>
      <c r="F766" t="s">
        <v>34</v>
      </c>
      <c r="G766" t="str">
        <f t="shared" si="61"/>
        <v/>
      </c>
      <c r="H766" t="s">
        <v>14</v>
      </c>
      <c r="I766" t="s">
        <v>5074</v>
      </c>
      <c r="J766" s="2">
        <f t="shared" si="62"/>
        <v>900000</v>
      </c>
      <c r="K766" t="s">
        <v>101</v>
      </c>
      <c r="L766">
        <f t="shared" si="63"/>
        <v>0.17222222222222225</v>
      </c>
      <c r="M766" s="5">
        <v>0.17222222222222225</v>
      </c>
      <c r="N766" t="s">
        <v>18</v>
      </c>
      <c r="R766" s="3">
        <f t="shared" si="59"/>
        <v>4.1333333333333337</v>
      </c>
    </row>
    <row r="767" spans="1:18" hidden="1" x14ac:dyDescent="0.25">
      <c r="A767" t="s">
        <v>5276</v>
      </c>
      <c r="B767" t="s">
        <v>4806</v>
      </c>
      <c r="C767" t="s">
        <v>4915</v>
      </c>
      <c r="D767" s="3">
        <f t="shared" si="60"/>
        <v>27</v>
      </c>
      <c r="E767" t="s">
        <v>427</v>
      </c>
      <c r="F767" t="s">
        <v>13</v>
      </c>
      <c r="G767" t="str">
        <f t="shared" si="61"/>
        <v/>
      </c>
      <c r="H767" t="s">
        <v>14</v>
      </c>
      <c r="I767" t="s">
        <v>5277</v>
      </c>
      <c r="J767" s="2">
        <f t="shared" si="62"/>
        <v>700000</v>
      </c>
      <c r="K767" t="s">
        <v>157</v>
      </c>
      <c r="L767">
        <f t="shared" si="63"/>
        <v>0</v>
      </c>
      <c r="N767" t="s">
        <v>43</v>
      </c>
      <c r="R767" s="3">
        <f t="shared" si="59"/>
        <v>0</v>
      </c>
    </row>
    <row r="768" spans="1:18" hidden="1" x14ac:dyDescent="0.25">
      <c r="A768" t="s">
        <v>191</v>
      </c>
      <c r="B768" t="s">
        <v>20</v>
      </c>
      <c r="C768" t="s">
        <v>77</v>
      </c>
      <c r="D768" s="3">
        <f t="shared" si="60"/>
        <v>6.25</v>
      </c>
      <c r="E768" t="s">
        <v>74</v>
      </c>
      <c r="F768" t="s">
        <v>13</v>
      </c>
      <c r="G768" t="str">
        <f t="shared" si="61"/>
        <v/>
      </c>
      <c r="H768" t="s">
        <v>14</v>
      </c>
      <c r="I768" t="s">
        <v>192</v>
      </c>
      <c r="J768" s="2">
        <f t="shared" si="62"/>
        <v>600000</v>
      </c>
      <c r="K768" t="s">
        <v>173</v>
      </c>
      <c r="L768">
        <f t="shared" si="63"/>
        <v>0</v>
      </c>
      <c r="N768" t="s">
        <v>43</v>
      </c>
      <c r="R768" s="3">
        <f t="shared" si="59"/>
        <v>0</v>
      </c>
    </row>
    <row r="769" spans="1:18" x14ac:dyDescent="0.25">
      <c r="A769" t="s">
        <v>1227</v>
      </c>
      <c r="B769" t="s">
        <v>640</v>
      </c>
      <c r="C769" t="s">
        <v>643</v>
      </c>
      <c r="D769" s="3">
        <f t="shared" si="60"/>
        <v>12</v>
      </c>
      <c r="E769" t="s">
        <v>33</v>
      </c>
      <c r="F769" t="s">
        <v>13</v>
      </c>
      <c r="G769" t="str">
        <f t="shared" si="61"/>
        <v/>
      </c>
      <c r="H769" t="s">
        <v>14</v>
      </c>
      <c r="I769" t="s">
        <v>1228</v>
      </c>
      <c r="J769" s="2">
        <f t="shared" si="62"/>
        <v>1350000</v>
      </c>
      <c r="K769" t="s">
        <v>257</v>
      </c>
      <c r="L769">
        <f t="shared" si="63"/>
        <v>0.1673611111111111</v>
      </c>
      <c r="M769" s="5">
        <v>0.1673611111111111</v>
      </c>
      <c r="N769" t="s">
        <v>37</v>
      </c>
      <c r="R769" s="3">
        <f t="shared" si="59"/>
        <v>4.0166666666666666</v>
      </c>
    </row>
    <row r="770" spans="1:18" hidden="1" x14ac:dyDescent="0.25">
      <c r="A770" t="s">
        <v>2952</v>
      </c>
      <c r="B770" t="s">
        <v>3206</v>
      </c>
      <c r="C770" t="s">
        <v>2772</v>
      </c>
      <c r="D770" s="3">
        <f t="shared" si="60"/>
        <v>12</v>
      </c>
      <c r="E770" t="s">
        <v>33</v>
      </c>
      <c r="F770" t="s">
        <v>13</v>
      </c>
      <c r="G770" t="str">
        <f t="shared" si="61"/>
        <v/>
      </c>
      <c r="H770" t="s">
        <v>14</v>
      </c>
      <c r="I770" t="s">
        <v>2953</v>
      </c>
      <c r="J770" s="2">
        <f t="shared" si="62"/>
        <v>1100000</v>
      </c>
      <c r="K770" t="s">
        <v>42</v>
      </c>
      <c r="L770">
        <f t="shared" si="63"/>
        <v>0</v>
      </c>
      <c r="N770" t="s">
        <v>43</v>
      </c>
      <c r="R770" s="3">
        <f t="shared" ref="R770:R833" si="64">24*L770</f>
        <v>0</v>
      </c>
    </row>
    <row r="771" spans="1:18" x14ac:dyDescent="0.25">
      <c r="A771" t="s">
        <v>679</v>
      </c>
      <c r="B771" t="s">
        <v>640</v>
      </c>
      <c r="C771" t="s">
        <v>643</v>
      </c>
      <c r="D771" s="3">
        <f t="shared" si="60"/>
        <v>13.5</v>
      </c>
      <c r="E771" t="s">
        <v>667</v>
      </c>
      <c r="F771" t="s">
        <v>34</v>
      </c>
      <c r="G771">
        <f t="shared" si="61"/>
        <v>1500000</v>
      </c>
      <c r="H771" t="s">
        <v>66</v>
      </c>
      <c r="I771" t="s">
        <v>680</v>
      </c>
      <c r="J771" s="2">
        <f t="shared" si="62"/>
        <v>1350000</v>
      </c>
      <c r="K771" t="s">
        <v>257</v>
      </c>
      <c r="L771">
        <f t="shared" si="63"/>
        <v>0.17013888888888887</v>
      </c>
      <c r="M771" s="5">
        <v>0.17013888888888887</v>
      </c>
      <c r="N771" t="s">
        <v>37</v>
      </c>
      <c r="P771" t="s">
        <v>681</v>
      </c>
      <c r="R771" s="3">
        <f t="shared" si="64"/>
        <v>4.083333333333333</v>
      </c>
    </row>
    <row r="772" spans="1:18" hidden="1" x14ac:dyDescent="0.25">
      <c r="A772" t="s">
        <v>3564</v>
      </c>
      <c r="B772" t="s">
        <v>3233</v>
      </c>
      <c r="C772" t="s">
        <v>3376</v>
      </c>
      <c r="D772" s="3">
        <f t="shared" si="60"/>
        <v>9</v>
      </c>
      <c r="E772" t="s">
        <v>12</v>
      </c>
      <c r="F772" t="s">
        <v>13</v>
      </c>
      <c r="G772" t="str">
        <f t="shared" si="61"/>
        <v/>
      </c>
      <c r="H772" t="s">
        <v>14</v>
      </c>
      <c r="I772" t="s">
        <v>3565</v>
      </c>
      <c r="J772" s="2">
        <f t="shared" si="62"/>
        <v>1600000</v>
      </c>
      <c r="K772" t="s">
        <v>95</v>
      </c>
      <c r="L772">
        <f t="shared" si="63"/>
        <v>0</v>
      </c>
      <c r="N772" t="s">
        <v>43</v>
      </c>
      <c r="R772" s="3">
        <f t="shared" si="64"/>
        <v>0</v>
      </c>
    </row>
    <row r="773" spans="1:18" hidden="1" x14ac:dyDescent="0.25">
      <c r="A773" t="s">
        <v>3610</v>
      </c>
      <c r="B773" t="s">
        <v>3233</v>
      </c>
      <c r="C773" t="s">
        <v>3248</v>
      </c>
      <c r="D773" s="3">
        <f t="shared" si="60"/>
        <v>12</v>
      </c>
      <c r="E773" t="s">
        <v>33</v>
      </c>
      <c r="F773" t="s">
        <v>13</v>
      </c>
      <c r="G773" t="str">
        <f t="shared" si="61"/>
        <v/>
      </c>
      <c r="H773" t="s">
        <v>14</v>
      </c>
      <c r="I773" t="s">
        <v>3611</v>
      </c>
      <c r="J773" s="2">
        <f t="shared" si="62"/>
        <v>1000000</v>
      </c>
      <c r="K773" t="s">
        <v>52</v>
      </c>
      <c r="L773">
        <f t="shared" si="63"/>
        <v>0.17291666666666669</v>
      </c>
      <c r="M773" s="5">
        <v>0.17291666666666669</v>
      </c>
      <c r="N773" t="s">
        <v>43</v>
      </c>
      <c r="R773" s="3">
        <f t="shared" si="64"/>
        <v>4.1500000000000004</v>
      </c>
    </row>
    <row r="774" spans="1:18" hidden="1" x14ac:dyDescent="0.25">
      <c r="A774" t="s">
        <v>149</v>
      </c>
      <c r="B774" t="s">
        <v>20</v>
      </c>
      <c r="C774" t="s">
        <v>152</v>
      </c>
      <c r="D774" s="3">
        <f t="shared" si="60"/>
        <v>72</v>
      </c>
      <c r="E774" t="s">
        <v>150</v>
      </c>
      <c r="F774" t="s">
        <v>13</v>
      </c>
      <c r="G774" t="str">
        <f t="shared" si="61"/>
        <v/>
      </c>
      <c r="H774" t="s">
        <v>14</v>
      </c>
      <c r="I774" t="s">
        <v>151</v>
      </c>
      <c r="J774" s="2">
        <f t="shared" si="62"/>
        <v>1000000</v>
      </c>
      <c r="K774" t="s">
        <v>52</v>
      </c>
      <c r="L774">
        <f t="shared" si="63"/>
        <v>0</v>
      </c>
      <c r="N774" t="s">
        <v>43</v>
      </c>
      <c r="R774" s="3">
        <f t="shared" si="64"/>
        <v>0</v>
      </c>
    </row>
    <row r="775" spans="1:18" hidden="1" x14ac:dyDescent="0.25">
      <c r="A775" t="s">
        <v>3696</v>
      </c>
      <c r="B775" t="s">
        <v>3233</v>
      </c>
      <c r="C775" t="s">
        <v>3288</v>
      </c>
      <c r="D775" s="3">
        <f t="shared" si="60"/>
        <v>12</v>
      </c>
      <c r="E775" t="s">
        <v>33</v>
      </c>
      <c r="F775" t="s">
        <v>13</v>
      </c>
      <c r="G775" t="str">
        <f t="shared" si="61"/>
        <v/>
      </c>
      <c r="H775" t="s">
        <v>14</v>
      </c>
      <c r="I775" t="s">
        <v>3697</v>
      </c>
      <c r="J775" s="2">
        <f t="shared" si="62"/>
        <v>1350000</v>
      </c>
      <c r="K775" t="s">
        <v>257</v>
      </c>
      <c r="L775">
        <f t="shared" si="63"/>
        <v>8.9583333333333334E-2</v>
      </c>
      <c r="M775" s="5">
        <v>8.9583333333333334E-2</v>
      </c>
      <c r="N775" t="s">
        <v>43</v>
      </c>
      <c r="R775" s="3">
        <f t="shared" si="64"/>
        <v>2.15</v>
      </c>
    </row>
    <row r="776" spans="1:18" hidden="1" x14ac:dyDescent="0.25">
      <c r="A776" t="s">
        <v>3740</v>
      </c>
      <c r="B776" t="s">
        <v>3233</v>
      </c>
      <c r="C776" t="s">
        <v>3237</v>
      </c>
      <c r="D776" s="3">
        <f t="shared" si="60"/>
        <v>12.25</v>
      </c>
      <c r="E776" t="s">
        <v>187</v>
      </c>
      <c r="F776" t="s">
        <v>34</v>
      </c>
      <c r="G776" t="str">
        <f t="shared" si="61"/>
        <v/>
      </c>
      <c r="H776" t="s">
        <v>14</v>
      </c>
      <c r="I776" t="s">
        <v>3741</v>
      </c>
      <c r="J776" s="2">
        <f t="shared" si="62"/>
        <v>900000</v>
      </c>
      <c r="K776" t="s">
        <v>101</v>
      </c>
      <c r="L776">
        <f t="shared" si="63"/>
        <v>0.17083333333333331</v>
      </c>
      <c r="M776" s="5">
        <v>0.17083333333333331</v>
      </c>
      <c r="N776" t="s">
        <v>43</v>
      </c>
      <c r="R776" s="3">
        <f t="shared" si="64"/>
        <v>4.0999999999999996</v>
      </c>
    </row>
    <row r="777" spans="1:18" hidden="1" x14ac:dyDescent="0.25">
      <c r="A777" t="s">
        <v>3608</v>
      </c>
      <c r="B777" t="s">
        <v>3233</v>
      </c>
      <c r="C777" t="s">
        <v>3376</v>
      </c>
      <c r="D777" s="3">
        <f t="shared" si="60"/>
        <v>9</v>
      </c>
      <c r="E777" t="s">
        <v>12</v>
      </c>
      <c r="F777" t="s">
        <v>13</v>
      </c>
      <c r="G777" t="str">
        <f t="shared" si="61"/>
        <v/>
      </c>
      <c r="H777" t="s">
        <v>14</v>
      </c>
      <c r="I777" t="s">
        <v>3609</v>
      </c>
      <c r="J777" s="2">
        <f t="shared" si="62"/>
        <v>1000000</v>
      </c>
      <c r="K777" t="s">
        <v>52</v>
      </c>
      <c r="L777">
        <f t="shared" si="63"/>
        <v>0.17083333333333331</v>
      </c>
      <c r="M777" s="5">
        <v>0.17083333333333331</v>
      </c>
      <c r="N777" t="s">
        <v>43</v>
      </c>
      <c r="R777" s="3">
        <f t="shared" si="64"/>
        <v>4.0999999999999996</v>
      </c>
    </row>
    <row r="778" spans="1:18" x14ac:dyDescent="0.25">
      <c r="A778" t="s">
        <v>255</v>
      </c>
      <c r="B778" t="s">
        <v>20</v>
      </c>
      <c r="C778" t="s">
        <v>24</v>
      </c>
      <c r="D778" s="3">
        <f t="shared" si="60"/>
        <v>7.5</v>
      </c>
      <c r="E778" t="s">
        <v>178</v>
      </c>
      <c r="F778" t="s">
        <v>13</v>
      </c>
      <c r="G778" t="str">
        <f t="shared" si="61"/>
        <v/>
      </c>
      <c r="H778" t="s">
        <v>14</v>
      </c>
      <c r="I778" t="s">
        <v>256</v>
      </c>
      <c r="J778" s="2">
        <f t="shared" si="62"/>
        <v>1350000</v>
      </c>
      <c r="K778" t="s">
        <v>257</v>
      </c>
      <c r="L778">
        <f t="shared" si="63"/>
        <v>0</v>
      </c>
      <c r="N778" t="s">
        <v>18</v>
      </c>
      <c r="R778" s="3">
        <f t="shared" si="64"/>
        <v>0</v>
      </c>
    </row>
    <row r="779" spans="1:18" x14ac:dyDescent="0.25">
      <c r="A779" t="s">
        <v>5841</v>
      </c>
      <c r="B779" t="s">
        <v>5848</v>
      </c>
      <c r="C779" t="s">
        <v>5363</v>
      </c>
      <c r="D779" s="3">
        <f t="shared" ref="D779:D842" si="65">VALUE(LEFT(E779,SEARCH(" x ",E779)-1))*VALUE(MID(E779,SEARCH(" x ",E779)+3,SEARCH(" meter",E779)-SEARCH(" x ",E779)-3))</f>
        <v>5.95</v>
      </c>
      <c r="E779" t="s">
        <v>5842</v>
      </c>
      <c r="F779" t="s">
        <v>13</v>
      </c>
      <c r="G779">
        <f t="shared" ref="G779:G842" si="66">IF(H779="N/A","",VALUE(SUBSTITUTE(SUBSTITUTE(H779,"Rp",""),".","")))</f>
        <v>1425000</v>
      </c>
      <c r="H779" t="s">
        <v>909</v>
      </c>
      <c r="I779" t="s">
        <v>5843</v>
      </c>
      <c r="J779" s="2">
        <f t="shared" ref="J779:J842" si="67">VALUE(SUBSTITUTE(SUBSTITUTE(K779,"Rp",""),".",""))</f>
        <v>1355000</v>
      </c>
      <c r="K779" t="s">
        <v>2063</v>
      </c>
      <c r="L779">
        <f t="shared" ref="L779:L842" si="68">M779:M3119</f>
        <v>0.17013888888888887</v>
      </c>
      <c r="M779" s="5">
        <v>0.17013888888888887</v>
      </c>
      <c r="N779" t="s">
        <v>43</v>
      </c>
      <c r="P779" t="s">
        <v>2065</v>
      </c>
      <c r="R779" s="3">
        <f t="shared" si="64"/>
        <v>4.083333333333333</v>
      </c>
    </row>
    <row r="780" spans="1:18" x14ac:dyDescent="0.25">
      <c r="A780" t="s">
        <v>4499</v>
      </c>
      <c r="B780" t="s">
        <v>4272</v>
      </c>
      <c r="C780" t="s">
        <v>4337</v>
      </c>
      <c r="D780" s="3">
        <f t="shared" si="65"/>
        <v>13.049999999999999</v>
      </c>
      <c r="E780" t="s">
        <v>4500</v>
      </c>
      <c r="F780" t="s">
        <v>13</v>
      </c>
      <c r="G780">
        <f t="shared" si="66"/>
        <v>1425000</v>
      </c>
      <c r="H780" t="s">
        <v>909</v>
      </c>
      <c r="I780" t="s">
        <v>4501</v>
      </c>
      <c r="J780" s="2">
        <f t="shared" si="67"/>
        <v>1355000</v>
      </c>
      <c r="K780" t="s">
        <v>2063</v>
      </c>
      <c r="L780">
        <f t="shared" si="68"/>
        <v>0.17222222222222225</v>
      </c>
      <c r="M780" s="5">
        <v>0.17222222222222225</v>
      </c>
      <c r="N780" t="s">
        <v>18</v>
      </c>
      <c r="P780" t="s">
        <v>2065</v>
      </c>
      <c r="R780" s="3">
        <f t="shared" si="64"/>
        <v>4.1333333333333337</v>
      </c>
    </row>
    <row r="781" spans="1:18" hidden="1" x14ac:dyDescent="0.25">
      <c r="A781" t="s">
        <v>4183</v>
      </c>
      <c r="B781" t="s">
        <v>3746</v>
      </c>
      <c r="C781" t="s">
        <v>3759</v>
      </c>
      <c r="D781" s="3">
        <f t="shared" si="65"/>
        <v>9</v>
      </c>
      <c r="E781" t="s">
        <v>12</v>
      </c>
      <c r="F781" t="s">
        <v>34</v>
      </c>
      <c r="G781" t="str">
        <f t="shared" si="66"/>
        <v/>
      </c>
      <c r="H781" t="s">
        <v>14</v>
      </c>
      <c r="I781" t="s">
        <v>4184</v>
      </c>
      <c r="J781" s="2">
        <f t="shared" si="67"/>
        <v>600000</v>
      </c>
      <c r="K781" t="s">
        <v>173</v>
      </c>
      <c r="L781">
        <f t="shared" si="68"/>
        <v>0</v>
      </c>
      <c r="N781" t="s">
        <v>37</v>
      </c>
      <c r="R781" s="3">
        <f t="shared" si="64"/>
        <v>0</v>
      </c>
    </row>
    <row r="782" spans="1:18" hidden="1" x14ac:dyDescent="0.25">
      <c r="A782" t="s">
        <v>111</v>
      </c>
      <c r="B782" t="s">
        <v>20</v>
      </c>
      <c r="C782" t="s">
        <v>113</v>
      </c>
      <c r="D782" s="3">
        <f t="shared" si="65"/>
        <v>9</v>
      </c>
      <c r="E782" t="s">
        <v>12</v>
      </c>
      <c r="F782" t="s">
        <v>34</v>
      </c>
      <c r="G782" t="str">
        <f t="shared" si="66"/>
        <v/>
      </c>
      <c r="H782" t="s">
        <v>14</v>
      </c>
      <c r="I782" t="s">
        <v>112</v>
      </c>
      <c r="J782" s="2">
        <f t="shared" si="67"/>
        <v>650000</v>
      </c>
      <c r="K782" t="s">
        <v>105</v>
      </c>
      <c r="L782">
        <f t="shared" si="68"/>
        <v>0</v>
      </c>
      <c r="N782" t="s">
        <v>43</v>
      </c>
      <c r="R782" s="3">
        <f t="shared" si="64"/>
        <v>0</v>
      </c>
    </row>
    <row r="783" spans="1:18" hidden="1" x14ac:dyDescent="0.25">
      <c r="A783" t="s">
        <v>4046</v>
      </c>
      <c r="B783" t="s">
        <v>3746</v>
      </c>
      <c r="C783" t="s">
        <v>3749</v>
      </c>
      <c r="D783" s="3">
        <f t="shared" si="65"/>
        <v>7.68</v>
      </c>
      <c r="E783" t="s">
        <v>1640</v>
      </c>
      <c r="F783" t="s">
        <v>13</v>
      </c>
      <c r="G783" t="str">
        <f t="shared" si="66"/>
        <v/>
      </c>
      <c r="H783" t="s">
        <v>14</v>
      </c>
      <c r="I783" t="s">
        <v>4047</v>
      </c>
      <c r="J783" s="2">
        <f t="shared" si="67"/>
        <v>700000</v>
      </c>
      <c r="K783" t="s">
        <v>157</v>
      </c>
      <c r="L783">
        <f t="shared" si="68"/>
        <v>0.16944444444444443</v>
      </c>
      <c r="M783" s="5">
        <v>0.16944444444444443</v>
      </c>
      <c r="N783" t="s">
        <v>18</v>
      </c>
      <c r="R783" s="3">
        <f t="shared" si="64"/>
        <v>4.0666666666666664</v>
      </c>
    </row>
    <row r="784" spans="1:18" x14ac:dyDescent="0.25">
      <c r="A784" t="s">
        <v>4020</v>
      </c>
      <c r="B784" t="s">
        <v>3746</v>
      </c>
      <c r="C784" t="s">
        <v>3753</v>
      </c>
      <c r="D784" s="3">
        <f t="shared" si="65"/>
        <v>6.75</v>
      </c>
      <c r="E784" t="s">
        <v>97</v>
      </c>
      <c r="F784" t="s">
        <v>13</v>
      </c>
      <c r="G784">
        <f t="shared" si="66"/>
        <v>1475000</v>
      </c>
      <c r="H784" t="s">
        <v>182</v>
      </c>
      <c r="I784" t="s">
        <v>4021</v>
      </c>
      <c r="J784" s="2">
        <f t="shared" si="67"/>
        <v>1359000</v>
      </c>
      <c r="K784" t="s">
        <v>1647</v>
      </c>
      <c r="L784">
        <f t="shared" si="68"/>
        <v>0.12916666666666668</v>
      </c>
      <c r="M784" s="5">
        <v>0.12916666666666668</v>
      </c>
      <c r="N784" t="s">
        <v>43</v>
      </c>
      <c r="P784" t="s">
        <v>1648</v>
      </c>
      <c r="R784" s="3">
        <f t="shared" si="64"/>
        <v>3.1000000000000005</v>
      </c>
    </row>
    <row r="785" spans="1:18" hidden="1" x14ac:dyDescent="0.25">
      <c r="A785" t="s">
        <v>4181</v>
      </c>
      <c r="B785" t="s">
        <v>3746</v>
      </c>
      <c r="C785" t="s">
        <v>3833</v>
      </c>
      <c r="D785" s="3">
        <f t="shared" si="65"/>
        <v>9</v>
      </c>
      <c r="E785" t="s">
        <v>12</v>
      </c>
      <c r="F785" t="s">
        <v>13</v>
      </c>
      <c r="G785" t="str">
        <f t="shared" si="66"/>
        <v/>
      </c>
      <c r="H785" t="s">
        <v>14</v>
      </c>
      <c r="I785" t="s">
        <v>4182</v>
      </c>
      <c r="J785" s="2">
        <f t="shared" si="67"/>
        <v>1475000</v>
      </c>
      <c r="K785" t="s">
        <v>182</v>
      </c>
      <c r="L785">
        <f t="shared" si="68"/>
        <v>0.17222222222222225</v>
      </c>
      <c r="M785" s="5">
        <v>0.17222222222222225</v>
      </c>
      <c r="N785" t="s">
        <v>43</v>
      </c>
      <c r="P785" t="s">
        <v>681</v>
      </c>
      <c r="R785" s="3">
        <f t="shared" si="64"/>
        <v>4.1333333333333337</v>
      </c>
    </row>
    <row r="786" spans="1:18" x14ac:dyDescent="0.25">
      <c r="A786" t="s">
        <v>753</v>
      </c>
      <c r="B786" t="s">
        <v>640</v>
      </c>
      <c r="C786" t="s">
        <v>643</v>
      </c>
      <c r="D786" s="3" t="e">
        <f t="shared" si="65"/>
        <v>#VALUE!</v>
      </c>
      <c r="E786" t="s">
        <v>14</v>
      </c>
      <c r="F786" t="s">
        <v>14</v>
      </c>
      <c r="G786">
        <f t="shared" si="66"/>
        <v>1535000</v>
      </c>
      <c r="H786" t="s">
        <v>754</v>
      </c>
      <c r="I786" t="s">
        <v>755</v>
      </c>
      <c r="J786" s="2">
        <f t="shared" si="67"/>
        <v>1384000</v>
      </c>
      <c r="K786" t="s">
        <v>756</v>
      </c>
      <c r="L786">
        <f t="shared" si="68"/>
        <v>0.17222222222222225</v>
      </c>
      <c r="M786" s="5">
        <v>0.17222222222222225</v>
      </c>
      <c r="N786" t="s">
        <v>43</v>
      </c>
      <c r="P786" t="s">
        <v>757</v>
      </c>
      <c r="R786" s="3">
        <f t="shared" si="64"/>
        <v>4.1333333333333337</v>
      </c>
    </row>
    <row r="787" spans="1:18" x14ac:dyDescent="0.25">
      <c r="A787" t="s">
        <v>422</v>
      </c>
      <c r="B787" t="s">
        <v>20</v>
      </c>
      <c r="C787" t="s">
        <v>218</v>
      </c>
      <c r="D787" s="3">
        <f t="shared" si="65"/>
        <v>9</v>
      </c>
      <c r="E787" t="s">
        <v>12</v>
      </c>
      <c r="F787" t="s">
        <v>13</v>
      </c>
      <c r="G787" t="str">
        <f t="shared" si="66"/>
        <v/>
      </c>
      <c r="H787" t="s">
        <v>14</v>
      </c>
      <c r="I787" t="s">
        <v>423</v>
      </c>
      <c r="J787" s="2">
        <f t="shared" si="67"/>
        <v>1400000</v>
      </c>
      <c r="K787" t="s">
        <v>81</v>
      </c>
      <c r="L787">
        <f t="shared" si="68"/>
        <v>0.20833333333333334</v>
      </c>
      <c r="M787" s="5">
        <v>0.20833333333333334</v>
      </c>
      <c r="N787" t="s">
        <v>43</v>
      </c>
      <c r="R787" s="3">
        <f t="shared" si="64"/>
        <v>5</v>
      </c>
    </row>
    <row r="788" spans="1:18" hidden="1" x14ac:dyDescent="0.25">
      <c r="A788" t="s">
        <v>4052</v>
      </c>
      <c r="B788" t="s">
        <v>3746</v>
      </c>
      <c r="C788" t="s">
        <v>3949</v>
      </c>
      <c r="D788" s="3">
        <f t="shared" si="65"/>
        <v>6</v>
      </c>
      <c r="E788" t="s">
        <v>64</v>
      </c>
      <c r="F788" t="s">
        <v>34</v>
      </c>
      <c r="G788" t="str">
        <f t="shared" si="66"/>
        <v/>
      </c>
      <c r="H788" t="s">
        <v>14</v>
      </c>
      <c r="I788" t="s">
        <v>4053</v>
      </c>
      <c r="J788" s="2">
        <f t="shared" si="67"/>
        <v>895000</v>
      </c>
      <c r="K788" t="s">
        <v>4054</v>
      </c>
      <c r="L788">
        <f t="shared" si="68"/>
        <v>0.20833333333333334</v>
      </c>
      <c r="M788" s="5">
        <v>0.20833333333333334</v>
      </c>
      <c r="N788" t="s">
        <v>18</v>
      </c>
      <c r="R788" s="3">
        <f t="shared" si="64"/>
        <v>5</v>
      </c>
    </row>
    <row r="789" spans="1:18" hidden="1" x14ac:dyDescent="0.25">
      <c r="A789" t="s">
        <v>4055</v>
      </c>
      <c r="B789" t="s">
        <v>3746</v>
      </c>
      <c r="C789" t="s">
        <v>3949</v>
      </c>
      <c r="D789" s="3">
        <f t="shared" si="65"/>
        <v>6</v>
      </c>
      <c r="E789" t="s">
        <v>64</v>
      </c>
      <c r="F789" t="s">
        <v>34</v>
      </c>
      <c r="G789" t="str">
        <f t="shared" si="66"/>
        <v/>
      </c>
      <c r="H789" t="s">
        <v>14</v>
      </c>
      <c r="I789" t="s">
        <v>4056</v>
      </c>
      <c r="J789" s="2">
        <f t="shared" si="67"/>
        <v>900000</v>
      </c>
      <c r="K789" t="s">
        <v>101</v>
      </c>
      <c r="L789">
        <f t="shared" si="68"/>
        <v>0</v>
      </c>
      <c r="N789" t="s">
        <v>43</v>
      </c>
      <c r="R789" s="3">
        <f t="shared" si="64"/>
        <v>0</v>
      </c>
    </row>
    <row r="790" spans="1:18" x14ac:dyDescent="0.25">
      <c r="A790" t="s">
        <v>1128</v>
      </c>
      <c r="B790" t="s">
        <v>640</v>
      </c>
      <c r="C790" t="s">
        <v>959</v>
      </c>
      <c r="D790" s="3">
        <f t="shared" si="65"/>
        <v>12</v>
      </c>
      <c r="E790" t="s">
        <v>33</v>
      </c>
      <c r="F790" t="s">
        <v>13</v>
      </c>
      <c r="G790" t="str">
        <f t="shared" si="66"/>
        <v/>
      </c>
      <c r="H790" t="s">
        <v>14</v>
      </c>
      <c r="I790" t="s">
        <v>1129</v>
      </c>
      <c r="J790" s="2">
        <f t="shared" si="67"/>
        <v>1400000</v>
      </c>
      <c r="K790" t="s">
        <v>81</v>
      </c>
      <c r="L790">
        <f t="shared" si="68"/>
        <v>0</v>
      </c>
      <c r="N790" t="s">
        <v>18</v>
      </c>
      <c r="R790" s="3">
        <f t="shared" si="64"/>
        <v>0</v>
      </c>
    </row>
    <row r="791" spans="1:18" hidden="1" x14ac:dyDescent="0.25">
      <c r="A791" t="s">
        <v>3475</v>
      </c>
      <c r="B791" t="s">
        <v>3233</v>
      </c>
      <c r="C791" t="s">
        <v>3248</v>
      </c>
      <c r="D791" s="3">
        <f t="shared" si="65"/>
        <v>12</v>
      </c>
      <c r="E791" t="s">
        <v>33</v>
      </c>
      <c r="F791" t="s">
        <v>13</v>
      </c>
      <c r="G791" t="str">
        <f t="shared" si="66"/>
        <v/>
      </c>
      <c r="H791" t="s">
        <v>14</v>
      </c>
      <c r="I791" t="s">
        <v>3476</v>
      </c>
      <c r="J791" s="2">
        <f t="shared" si="67"/>
        <v>2400000</v>
      </c>
      <c r="K791" t="s">
        <v>133</v>
      </c>
      <c r="L791">
        <f t="shared" si="68"/>
        <v>0.20833333333333334</v>
      </c>
      <c r="M791" s="5">
        <v>0.20833333333333334</v>
      </c>
      <c r="N791" t="s">
        <v>43</v>
      </c>
      <c r="R791" s="3">
        <f t="shared" si="64"/>
        <v>5</v>
      </c>
    </row>
    <row r="792" spans="1:18" hidden="1" x14ac:dyDescent="0.25">
      <c r="A792" t="s">
        <v>3522</v>
      </c>
      <c r="B792" t="s">
        <v>3233</v>
      </c>
      <c r="C792" t="s">
        <v>3248</v>
      </c>
      <c r="D792" s="3">
        <f t="shared" si="65"/>
        <v>9</v>
      </c>
      <c r="E792" t="s">
        <v>12</v>
      </c>
      <c r="F792" t="s">
        <v>13</v>
      </c>
      <c r="G792" t="str">
        <f t="shared" si="66"/>
        <v/>
      </c>
      <c r="H792" t="s">
        <v>14</v>
      </c>
      <c r="I792" t="s">
        <v>3523</v>
      </c>
      <c r="J792" s="2">
        <f t="shared" si="67"/>
        <v>2000000</v>
      </c>
      <c r="K792" t="s">
        <v>128</v>
      </c>
      <c r="L792">
        <f t="shared" si="68"/>
        <v>0.16666666666666666</v>
      </c>
      <c r="M792" s="5">
        <v>0.16666666666666666</v>
      </c>
      <c r="N792" t="s">
        <v>43</v>
      </c>
      <c r="R792" s="3">
        <f t="shared" si="64"/>
        <v>4</v>
      </c>
    </row>
    <row r="793" spans="1:18" hidden="1" x14ac:dyDescent="0.25">
      <c r="A793" t="s">
        <v>1908</v>
      </c>
      <c r="B793" t="s">
        <v>1303</v>
      </c>
      <c r="C793" t="s">
        <v>1342</v>
      </c>
      <c r="D793" s="3">
        <f t="shared" si="65"/>
        <v>7.5</v>
      </c>
      <c r="E793" t="s">
        <v>178</v>
      </c>
      <c r="F793" t="s">
        <v>13</v>
      </c>
      <c r="G793" t="str">
        <f t="shared" si="66"/>
        <v/>
      </c>
      <c r="H793" t="s">
        <v>14</v>
      </c>
      <c r="I793" t="s">
        <v>1909</v>
      </c>
      <c r="J793" s="2">
        <f t="shared" si="67"/>
        <v>1770000</v>
      </c>
      <c r="K793" t="s">
        <v>1910</v>
      </c>
      <c r="L793">
        <f t="shared" si="68"/>
        <v>0.20833333333333334</v>
      </c>
      <c r="M793" s="5">
        <v>0.20833333333333334</v>
      </c>
      <c r="N793" t="s">
        <v>43</v>
      </c>
      <c r="R793" s="3">
        <f t="shared" si="64"/>
        <v>5</v>
      </c>
    </row>
    <row r="794" spans="1:18" hidden="1" x14ac:dyDescent="0.25">
      <c r="A794" t="s">
        <v>951</v>
      </c>
      <c r="B794" t="s">
        <v>640</v>
      </c>
      <c r="C794" t="s">
        <v>953</v>
      </c>
      <c r="D794" s="3">
        <f t="shared" si="65"/>
        <v>9</v>
      </c>
      <c r="E794" t="s">
        <v>12</v>
      </c>
      <c r="F794" t="s">
        <v>13</v>
      </c>
      <c r="G794" t="str">
        <f t="shared" si="66"/>
        <v/>
      </c>
      <c r="H794" t="s">
        <v>14</v>
      </c>
      <c r="I794" t="s">
        <v>952</v>
      </c>
      <c r="J794" s="2">
        <f t="shared" si="67"/>
        <v>1300000</v>
      </c>
      <c r="K794" t="s">
        <v>17</v>
      </c>
      <c r="L794">
        <f t="shared" si="68"/>
        <v>0.17083333333333331</v>
      </c>
      <c r="M794" s="5">
        <v>0.17083333333333331</v>
      </c>
      <c r="N794" t="s">
        <v>18</v>
      </c>
      <c r="R794" s="3">
        <f t="shared" si="64"/>
        <v>4.0999999999999996</v>
      </c>
    </row>
    <row r="795" spans="1:18" hidden="1" x14ac:dyDescent="0.25">
      <c r="A795" t="s">
        <v>433</v>
      </c>
      <c r="B795" t="s">
        <v>20</v>
      </c>
      <c r="C795" t="s">
        <v>236</v>
      </c>
      <c r="D795" s="3">
        <f t="shared" si="65"/>
        <v>19.25</v>
      </c>
      <c r="E795" t="s">
        <v>434</v>
      </c>
      <c r="F795" t="s">
        <v>13</v>
      </c>
      <c r="G795" t="str">
        <f t="shared" si="66"/>
        <v/>
      </c>
      <c r="H795" t="s">
        <v>14</v>
      </c>
      <c r="I795" t="s">
        <v>435</v>
      </c>
      <c r="J795" s="2">
        <f t="shared" si="67"/>
        <v>850000</v>
      </c>
      <c r="K795" t="s">
        <v>185</v>
      </c>
      <c r="L795">
        <f t="shared" si="68"/>
        <v>0</v>
      </c>
      <c r="N795" t="s">
        <v>43</v>
      </c>
      <c r="R795" s="3">
        <f t="shared" si="64"/>
        <v>0</v>
      </c>
    </row>
    <row r="796" spans="1:18" hidden="1" x14ac:dyDescent="0.25">
      <c r="A796" t="s">
        <v>3503</v>
      </c>
      <c r="B796" t="s">
        <v>3233</v>
      </c>
      <c r="C796" t="s">
        <v>3237</v>
      </c>
      <c r="D796" s="3">
        <f t="shared" si="65"/>
        <v>14</v>
      </c>
      <c r="E796" t="s">
        <v>238</v>
      </c>
      <c r="F796" t="s">
        <v>13</v>
      </c>
      <c r="G796" t="str">
        <f t="shared" si="66"/>
        <v/>
      </c>
      <c r="H796" t="s">
        <v>14</v>
      </c>
      <c r="I796" t="s">
        <v>3504</v>
      </c>
      <c r="J796" s="2">
        <f t="shared" si="67"/>
        <v>2945000</v>
      </c>
      <c r="K796" t="s">
        <v>3505</v>
      </c>
      <c r="L796">
        <f t="shared" si="68"/>
        <v>0</v>
      </c>
      <c r="N796" t="s">
        <v>43</v>
      </c>
      <c r="R796" s="3">
        <f t="shared" si="64"/>
        <v>0</v>
      </c>
    </row>
    <row r="797" spans="1:18" x14ac:dyDescent="0.25">
      <c r="A797" t="s">
        <v>4833</v>
      </c>
      <c r="B797" t="s">
        <v>4806</v>
      </c>
      <c r="C797" t="s">
        <v>4809</v>
      </c>
      <c r="D797" s="3">
        <f t="shared" si="65"/>
        <v>9</v>
      </c>
      <c r="E797" t="s">
        <v>12</v>
      </c>
      <c r="F797" t="s">
        <v>13</v>
      </c>
      <c r="G797" t="str">
        <f t="shared" si="66"/>
        <v/>
      </c>
      <c r="H797" t="s">
        <v>14</v>
      </c>
      <c r="I797" t="s">
        <v>4834</v>
      </c>
      <c r="J797" s="2">
        <f t="shared" si="67"/>
        <v>1400000</v>
      </c>
      <c r="K797" t="s">
        <v>81</v>
      </c>
      <c r="L797">
        <f t="shared" si="68"/>
        <v>0.17083333333333331</v>
      </c>
      <c r="M797" s="5">
        <v>0.17083333333333331</v>
      </c>
      <c r="N797" t="s">
        <v>37</v>
      </c>
      <c r="R797" s="3">
        <f t="shared" si="64"/>
        <v>4.0999999999999996</v>
      </c>
    </row>
    <row r="798" spans="1:18" x14ac:dyDescent="0.25">
      <c r="A798" t="s">
        <v>4169</v>
      </c>
      <c r="B798" t="s">
        <v>3746</v>
      </c>
      <c r="C798" t="s">
        <v>3746</v>
      </c>
      <c r="D798" s="3">
        <f t="shared" si="65"/>
        <v>6</v>
      </c>
      <c r="E798" t="s">
        <v>64</v>
      </c>
      <c r="F798" t="s">
        <v>13</v>
      </c>
      <c r="G798" t="str">
        <f t="shared" si="66"/>
        <v/>
      </c>
      <c r="H798" t="s">
        <v>14</v>
      </c>
      <c r="I798" t="s">
        <v>4170</v>
      </c>
      <c r="J798" s="2">
        <f t="shared" si="67"/>
        <v>1400000</v>
      </c>
      <c r="K798" t="s">
        <v>81</v>
      </c>
      <c r="L798">
        <f t="shared" si="68"/>
        <v>0.16944444444444443</v>
      </c>
      <c r="M798" s="5">
        <v>0.16944444444444443</v>
      </c>
      <c r="N798" t="s">
        <v>43</v>
      </c>
      <c r="R798" s="3">
        <f t="shared" si="64"/>
        <v>4.0666666666666664</v>
      </c>
    </row>
    <row r="799" spans="1:18" hidden="1" x14ac:dyDescent="0.25">
      <c r="A799" t="s">
        <v>1323</v>
      </c>
      <c r="B799" t="s">
        <v>1303</v>
      </c>
      <c r="C799" t="s">
        <v>1302</v>
      </c>
      <c r="D799" s="3">
        <f t="shared" si="65"/>
        <v>9</v>
      </c>
      <c r="E799" t="s">
        <v>12</v>
      </c>
      <c r="F799" t="s">
        <v>13</v>
      </c>
      <c r="G799" t="str">
        <f t="shared" si="66"/>
        <v/>
      </c>
      <c r="H799" t="s">
        <v>14</v>
      </c>
      <c r="I799" t="s">
        <v>1324</v>
      </c>
      <c r="J799" s="2">
        <f t="shared" si="67"/>
        <v>2650000</v>
      </c>
      <c r="K799" t="s">
        <v>1325</v>
      </c>
      <c r="L799">
        <f t="shared" si="68"/>
        <v>0.17083333333333331</v>
      </c>
      <c r="M799" s="5">
        <v>0.17083333333333331</v>
      </c>
      <c r="N799" t="s">
        <v>43</v>
      </c>
      <c r="R799" s="3">
        <f t="shared" si="64"/>
        <v>4.0999999999999996</v>
      </c>
    </row>
    <row r="800" spans="1:18" hidden="1" x14ac:dyDescent="0.25">
      <c r="A800" t="s">
        <v>3676</v>
      </c>
      <c r="B800" t="s">
        <v>3233</v>
      </c>
      <c r="C800" t="s">
        <v>3376</v>
      </c>
      <c r="D800" s="3">
        <f t="shared" si="65"/>
        <v>16</v>
      </c>
      <c r="E800" t="s">
        <v>79</v>
      </c>
      <c r="F800" t="s">
        <v>13</v>
      </c>
      <c r="G800" t="str">
        <f t="shared" si="66"/>
        <v/>
      </c>
      <c r="H800" t="s">
        <v>14</v>
      </c>
      <c r="I800" t="s">
        <v>3677</v>
      </c>
      <c r="J800" s="2">
        <f t="shared" si="67"/>
        <v>3500000</v>
      </c>
      <c r="K800" t="s">
        <v>143</v>
      </c>
      <c r="L800">
        <f t="shared" si="68"/>
        <v>0</v>
      </c>
      <c r="N800" t="s">
        <v>43</v>
      </c>
      <c r="R800" s="3">
        <f t="shared" si="64"/>
        <v>0</v>
      </c>
    </row>
    <row r="801" spans="1:18" hidden="1" x14ac:dyDescent="0.25">
      <c r="A801" t="s">
        <v>234</v>
      </c>
      <c r="B801" t="s">
        <v>20</v>
      </c>
      <c r="C801" t="s">
        <v>236</v>
      </c>
      <c r="D801" s="3">
        <f t="shared" si="65"/>
        <v>12</v>
      </c>
      <c r="E801" t="s">
        <v>33</v>
      </c>
      <c r="F801" t="s">
        <v>13</v>
      </c>
      <c r="G801" t="str">
        <f t="shared" si="66"/>
        <v/>
      </c>
      <c r="H801" t="s">
        <v>14</v>
      </c>
      <c r="I801" t="s">
        <v>235</v>
      </c>
      <c r="J801" s="2">
        <f t="shared" si="67"/>
        <v>1400000</v>
      </c>
      <c r="K801" t="s">
        <v>81</v>
      </c>
      <c r="L801">
        <f t="shared" si="68"/>
        <v>0.20833333333333334</v>
      </c>
      <c r="M801" s="5">
        <v>0.20833333333333334</v>
      </c>
      <c r="N801" t="s">
        <v>43</v>
      </c>
      <c r="R801" s="3">
        <f t="shared" si="64"/>
        <v>5</v>
      </c>
    </row>
    <row r="802" spans="1:18" hidden="1" x14ac:dyDescent="0.25">
      <c r="A802" t="s">
        <v>3935</v>
      </c>
      <c r="B802" t="s">
        <v>3746</v>
      </c>
      <c r="C802" t="s">
        <v>3937</v>
      </c>
      <c r="D802" s="3">
        <f t="shared" si="65"/>
        <v>36</v>
      </c>
      <c r="E802" t="s">
        <v>1717</v>
      </c>
      <c r="F802" t="s">
        <v>13</v>
      </c>
      <c r="G802" t="str">
        <f t="shared" si="66"/>
        <v/>
      </c>
      <c r="H802" t="s">
        <v>14</v>
      </c>
      <c r="I802" t="s">
        <v>3936</v>
      </c>
      <c r="J802" s="2">
        <f t="shared" si="67"/>
        <v>850000</v>
      </c>
      <c r="K802" t="s">
        <v>185</v>
      </c>
      <c r="L802">
        <f t="shared" si="68"/>
        <v>0</v>
      </c>
      <c r="N802" t="s">
        <v>18</v>
      </c>
      <c r="R802" s="3">
        <f t="shared" si="64"/>
        <v>0</v>
      </c>
    </row>
    <row r="803" spans="1:18" x14ac:dyDescent="0.25">
      <c r="A803" t="s">
        <v>1110</v>
      </c>
      <c r="B803" t="s">
        <v>640</v>
      </c>
      <c r="C803" t="s">
        <v>657</v>
      </c>
      <c r="D803" s="3">
        <f t="shared" si="65"/>
        <v>9</v>
      </c>
      <c r="E803" t="s">
        <v>12</v>
      </c>
      <c r="F803" t="s">
        <v>13</v>
      </c>
      <c r="G803" t="str">
        <f t="shared" si="66"/>
        <v/>
      </c>
      <c r="H803" t="s">
        <v>14</v>
      </c>
      <c r="I803" t="s">
        <v>1111</v>
      </c>
      <c r="J803" s="2">
        <f t="shared" si="67"/>
        <v>1400000</v>
      </c>
      <c r="K803" t="s">
        <v>81</v>
      </c>
      <c r="L803">
        <f t="shared" si="68"/>
        <v>0.1673611111111111</v>
      </c>
      <c r="M803" s="5">
        <v>0.1673611111111111</v>
      </c>
      <c r="N803" t="s">
        <v>37</v>
      </c>
      <c r="R803" s="3">
        <f t="shared" si="64"/>
        <v>4.0166666666666666</v>
      </c>
    </row>
    <row r="804" spans="1:18" hidden="1" x14ac:dyDescent="0.25">
      <c r="A804" t="s">
        <v>2533</v>
      </c>
      <c r="B804" t="s">
        <v>2596</v>
      </c>
      <c r="C804" t="s">
        <v>2071</v>
      </c>
      <c r="D804" s="3">
        <f t="shared" si="65"/>
        <v>12</v>
      </c>
      <c r="E804" t="s">
        <v>33</v>
      </c>
      <c r="F804" t="s">
        <v>13</v>
      </c>
      <c r="G804" t="str">
        <f t="shared" si="66"/>
        <v/>
      </c>
      <c r="H804" t="s">
        <v>14</v>
      </c>
      <c r="I804" t="s">
        <v>2534</v>
      </c>
      <c r="J804" s="2">
        <f t="shared" si="67"/>
        <v>1110000</v>
      </c>
      <c r="K804" t="s">
        <v>2535</v>
      </c>
      <c r="L804">
        <f t="shared" si="68"/>
        <v>0.17291666666666669</v>
      </c>
      <c r="M804" s="5">
        <v>0.17291666666666669</v>
      </c>
      <c r="N804" t="s">
        <v>43</v>
      </c>
      <c r="R804" s="3">
        <f t="shared" si="64"/>
        <v>4.1500000000000004</v>
      </c>
    </row>
    <row r="805" spans="1:18" hidden="1" x14ac:dyDescent="0.25">
      <c r="A805" t="s">
        <v>3990</v>
      </c>
      <c r="B805" t="s">
        <v>3746</v>
      </c>
      <c r="C805" t="s">
        <v>3759</v>
      </c>
      <c r="D805" s="3">
        <f t="shared" si="65"/>
        <v>9</v>
      </c>
      <c r="E805" t="s">
        <v>12</v>
      </c>
      <c r="F805" t="s">
        <v>13</v>
      </c>
      <c r="G805" t="str">
        <f t="shared" si="66"/>
        <v/>
      </c>
      <c r="H805" t="s">
        <v>14</v>
      </c>
      <c r="I805" t="s">
        <v>3991</v>
      </c>
      <c r="J805" s="2">
        <f t="shared" si="67"/>
        <v>750000</v>
      </c>
      <c r="K805" t="s">
        <v>76</v>
      </c>
      <c r="L805">
        <f t="shared" si="68"/>
        <v>0.16944444444444443</v>
      </c>
      <c r="M805" s="5">
        <v>0.16944444444444443</v>
      </c>
      <c r="N805" t="s">
        <v>43</v>
      </c>
      <c r="R805" s="3">
        <f t="shared" si="64"/>
        <v>4.0666666666666664</v>
      </c>
    </row>
    <row r="806" spans="1:18" hidden="1" x14ac:dyDescent="0.25">
      <c r="A806" t="s">
        <v>5174</v>
      </c>
      <c r="B806" t="s">
        <v>4806</v>
      </c>
      <c r="C806" t="s">
        <v>4805</v>
      </c>
      <c r="D806" s="3">
        <f t="shared" si="65"/>
        <v>12</v>
      </c>
      <c r="E806" t="s">
        <v>33</v>
      </c>
      <c r="F806" t="s">
        <v>13</v>
      </c>
      <c r="G806" t="str">
        <f t="shared" si="66"/>
        <v/>
      </c>
      <c r="H806" t="s">
        <v>14</v>
      </c>
      <c r="I806" t="s">
        <v>5175</v>
      </c>
      <c r="J806" s="2">
        <f t="shared" si="67"/>
        <v>1850000</v>
      </c>
      <c r="K806" t="s">
        <v>87</v>
      </c>
      <c r="L806">
        <f t="shared" si="68"/>
        <v>0</v>
      </c>
      <c r="N806" t="s">
        <v>43</v>
      </c>
      <c r="R806" s="3">
        <f t="shared" si="64"/>
        <v>0</v>
      </c>
    </row>
    <row r="807" spans="1:18" hidden="1" x14ac:dyDescent="0.25">
      <c r="A807" t="s">
        <v>4988</v>
      </c>
      <c r="B807" t="s">
        <v>4806</v>
      </c>
      <c r="C807" t="s">
        <v>4805</v>
      </c>
      <c r="D807" s="3">
        <f t="shared" si="65"/>
        <v>12</v>
      </c>
      <c r="E807" t="s">
        <v>33</v>
      </c>
      <c r="F807" t="s">
        <v>13</v>
      </c>
      <c r="G807" t="str">
        <f t="shared" si="66"/>
        <v/>
      </c>
      <c r="H807" t="s">
        <v>14</v>
      </c>
      <c r="I807" t="s">
        <v>4989</v>
      </c>
      <c r="J807" s="2">
        <f t="shared" si="67"/>
        <v>1900000</v>
      </c>
      <c r="K807" t="s">
        <v>352</v>
      </c>
      <c r="L807">
        <f t="shared" si="68"/>
        <v>0</v>
      </c>
      <c r="N807" t="s">
        <v>43</v>
      </c>
      <c r="R807" s="3">
        <f t="shared" si="64"/>
        <v>0</v>
      </c>
    </row>
    <row r="808" spans="1:18" hidden="1" x14ac:dyDescent="0.25">
      <c r="A808" t="s">
        <v>5216</v>
      </c>
      <c r="B808" t="s">
        <v>4806</v>
      </c>
      <c r="C808" t="s">
        <v>4805</v>
      </c>
      <c r="D808" s="3">
        <f t="shared" si="65"/>
        <v>20</v>
      </c>
      <c r="E808" t="s">
        <v>159</v>
      </c>
      <c r="F808" t="s">
        <v>13</v>
      </c>
      <c r="G808" t="str">
        <f t="shared" si="66"/>
        <v/>
      </c>
      <c r="H808" t="s">
        <v>14</v>
      </c>
      <c r="I808" t="s">
        <v>5217</v>
      </c>
      <c r="J808" s="2">
        <f t="shared" si="67"/>
        <v>2000000</v>
      </c>
      <c r="K808" t="s">
        <v>128</v>
      </c>
      <c r="L808">
        <f t="shared" si="68"/>
        <v>0.17291666666666669</v>
      </c>
      <c r="M808" s="5">
        <v>0.17291666666666669</v>
      </c>
      <c r="N808" t="s">
        <v>43</v>
      </c>
      <c r="R808" s="3">
        <f t="shared" si="64"/>
        <v>4.1500000000000004</v>
      </c>
    </row>
    <row r="809" spans="1:18" hidden="1" x14ac:dyDescent="0.25">
      <c r="A809" t="s">
        <v>3282</v>
      </c>
      <c r="B809" t="s">
        <v>3233</v>
      </c>
      <c r="C809" t="s">
        <v>3261</v>
      </c>
      <c r="D809" s="3">
        <f t="shared" si="65"/>
        <v>6</v>
      </c>
      <c r="E809" t="s">
        <v>285</v>
      </c>
      <c r="F809" t="s">
        <v>13</v>
      </c>
      <c r="G809" t="str">
        <f t="shared" si="66"/>
        <v/>
      </c>
      <c r="H809" t="s">
        <v>14</v>
      </c>
      <c r="I809" t="s">
        <v>3283</v>
      </c>
      <c r="J809" s="2">
        <f t="shared" si="67"/>
        <v>1700000</v>
      </c>
      <c r="K809" t="s">
        <v>23</v>
      </c>
      <c r="L809">
        <f t="shared" si="68"/>
        <v>0.20833333333333334</v>
      </c>
      <c r="M809" s="5">
        <v>0.20833333333333334</v>
      </c>
      <c r="N809" t="s">
        <v>43</v>
      </c>
      <c r="R809" s="3">
        <f t="shared" si="64"/>
        <v>5</v>
      </c>
    </row>
    <row r="810" spans="1:18" hidden="1" x14ac:dyDescent="0.25">
      <c r="A810" t="s">
        <v>3704</v>
      </c>
      <c r="B810" t="s">
        <v>3233</v>
      </c>
      <c r="C810" t="s">
        <v>3376</v>
      </c>
      <c r="D810" s="3">
        <f t="shared" si="65"/>
        <v>11.2</v>
      </c>
      <c r="E810" t="s">
        <v>3705</v>
      </c>
      <c r="F810" t="s">
        <v>13</v>
      </c>
      <c r="G810" t="str">
        <f t="shared" si="66"/>
        <v/>
      </c>
      <c r="H810" t="s">
        <v>14</v>
      </c>
      <c r="I810" t="s">
        <v>3706</v>
      </c>
      <c r="J810" s="2">
        <f t="shared" si="67"/>
        <v>2400000</v>
      </c>
      <c r="K810" t="s">
        <v>133</v>
      </c>
      <c r="L810">
        <f t="shared" si="68"/>
        <v>0.17013888888888887</v>
      </c>
      <c r="M810" s="5">
        <v>0.17013888888888887</v>
      </c>
      <c r="N810" t="s">
        <v>18</v>
      </c>
      <c r="P810" t="s">
        <v>1648</v>
      </c>
      <c r="R810" s="3">
        <f t="shared" si="64"/>
        <v>4.083333333333333</v>
      </c>
    </row>
    <row r="811" spans="1:18" hidden="1" x14ac:dyDescent="0.25">
      <c r="A811" t="s">
        <v>2609</v>
      </c>
      <c r="B811" t="s">
        <v>3206</v>
      </c>
      <c r="C811" t="s">
        <v>2611</v>
      </c>
      <c r="D811" s="3">
        <f t="shared" si="65"/>
        <v>7.5</v>
      </c>
      <c r="E811" t="s">
        <v>614</v>
      </c>
      <c r="F811" t="s">
        <v>13</v>
      </c>
      <c r="G811" t="str">
        <f t="shared" si="66"/>
        <v/>
      </c>
      <c r="H811" t="s">
        <v>14</v>
      </c>
      <c r="I811" t="s">
        <v>2610</v>
      </c>
      <c r="J811" s="2">
        <f t="shared" si="67"/>
        <v>1200000</v>
      </c>
      <c r="K811" t="s">
        <v>36</v>
      </c>
      <c r="L811">
        <f t="shared" si="68"/>
        <v>0</v>
      </c>
      <c r="N811" t="s">
        <v>18</v>
      </c>
      <c r="R811" s="3">
        <f t="shared" si="64"/>
        <v>0</v>
      </c>
    </row>
    <row r="812" spans="1:18" hidden="1" x14ac:dyDescent="0.25">
      <c r="A812" t="s">
        <v>3470</v>
      </c>
      <c r="B812" t="s">
        <v>3233</v>
      </c>
      <c r="C812" t="s">
        <v>3232</v>
      </c>
      <c r="D812" s="3">
        <f t="shared" si="65"/>
        <v>9</v>
      </c>
      <c r="E812" t="s">
        <v>12</v>
      </c>
      <c r="F812" t="s">
        <v>13</v>
      </c>
      <c r="G812" t="str">
        <f t="shared" si="66"/>
        <v/>
      </c>
      <c r="H812" t="s">
        <v>14</v>
      </c>
      <c r="I812" t="s">
        <v>3461</v>
      </c>
      <c r="J812" s="2">
        <f t="shared" si="67"/>
        <v>2300000</v>
      </c>
      <c r="K812" t="s">
        <v>820</v>
      </c>
      <c r="L812">
        <f t="shared" si="68"/>
        <v>0</v>
      </c>
      <c r="N812" t="s">
        <v>18</v>
      </c>
      <c r="R812" s="3">
        <f t="shared" si="64"/>
        <v>0</v>
      </c>
    </row>
    <row r="813" spans="1:18" hidden="1" x14ac:dyDescent="0.25">
      <c r="A813" t="s">
        <v>3551</v>
      </c>
      <c r="B813" t="s">
        <v>3233</v>
      </c>
      <c r="C813" t="s">
        <v>3232</v>
      </c>
      <c r="D813" s="3">
        <f t="shared" si="65"/>
        <v>9</v>
      </c>
      <c r="E813" t="s">
        <v>12</v>
      </c>
      <c r="F813" t="s">
        <v>13</v>
      </c>
      <c r="G813" t="str">
        <f t="shared" si="66"/>
        <v/>
      </c>
      <c r="H813" t="s">
        <v>14</v>
      </c>
      <c r="I813" t="s">
        <v>3461</v>
      </c>
      <c r="J813" s="2">
        <f t="shared" si="67"/>
        <v>2200000</v>
      </c>
      <c r="K813" t="s">
        <v>849</v>
      </c>
      <c r="L813">
        <f t="shared" si="68"/>
        <v>0</v>
      </c>
      <c r="N813" t="s">
        <v>18</v>
      </c>
      <c r="R813" s="3">
        <f t="shared" si="64"/>
        <v>0</v>
      </c>
    </row>
    <row r="814" spans="1:18" hidden="1" x14ac:dyDescent="0.25">
      <c r="A814" t="s">
        <v>3460</v>
      </c>
      <c r="B814" t="s">
        <v>3233</v>
      </c>
      <c r="C814" t="s">
        <v>3232</v>
      </c>
      <c r="D814" s="3">
        <f t="shared" si="65"/>
        <v>9</v>
      </c>
      <c r="E814" t="s">
        <v>12</v>
      </c>
      <c r="F814" t="s">
        <v>13</v>
      </c>
      <c r="G814" t="str">
        <f t="shared" si="66"/>
        <v/>
      </c>
      <c r="H814" t="s">
        <v>14</v>
      </c>
      <c r="I814" t="s">
        <v>3461</v>
      </c>
      <c r="J814" s="2">
        <f t="shared" si="67"/>
        <v>3000000</v>
      </c>
      <c r="K814" t="s">
        <v>1513</v>
      </c>
      <c r="L814">
        <f t="shared" si="68"/>
        <v>0.20833333333333334</v>
      </c>
      <c r="M814" s="5">
        <v>0.20833333333333334</v>
      </c>
      <c r="N814" t="s">
        <v>18</v>
      </c>
      <c r="R814" s="3">
        <f t="shared" si="64"/>
        <v>5</v>
      </c>
    </row>
    <row r="815" spans="1:18" hidden="1" x14ac:dyDescent="0.25">
      <c r="A815" t="s">
        <v>4218</v>
      </c>
      <c r="B815" t="s">
        <v>3746</v>
      </c>
      <c r="C815" t="s">
        <v>3753</v>
      </c>
      <c r="D815" s="3">
        <f t="shared" si="65"/>
        <v>9</v>
      </c>
      <c r="E815" t="s">
        <v>12</v>
      </c>
      <c r="F815" t="s">
        <v>13</v>
      </c>
      <c r="G815" t="str">
        <f t="shared" si="66"/>
        <v/>
      </c>
      <c r="H815" t="s">
        <v>14</v>
      </c>
      <c r="I815" t="s">
        <v>4219</v>
      </c>
      <c r="J815" s="2">
        <f t="shared" si="67"/>
        <v>1800000</v>
      </c>
      <c r="K815" t="s">
        <v>228</v>
      </c>
      <c r="L815">
        <f t="shared" si="68"/>
        <v>0.20833333333333334</v>
      </c>
      <c r="M815" s="5">
        <v>0.20833333333333334</v>
      </c>
      <c r="N815" t="s">
        <v>43</v>
      </c>
      <c r="P815" t="s">
        <v>199</v>
      </c>
      <c r="R815" s="3">
        <f t="shared" si="64"/>
        <v>5</v>
      </c>
    </row>
    <row r="816" spans="1:18" hidden="1" x14ac:dyDescent="0.25">
      <c r="A816" t="s">
        <v>960</v>
      </c>
      <c r="B816" t="s">
        <v>640</v>
      </c>
      <c r="C816" t="s">
        <v>664</v>
      </c>
      <c r="D816" s="3">
        <f t="shared" si="65"/>
        <v>9</v>
      </c>
      <c r="E816" t="s">
        <v>12</v>
      </c>
      <c r="F816" t="s">
        <v>34</v>
      </c>
      <c r="G816" t="str">
        <f t="shared" si="66"/>
        <v/>
      </c>
      <c r="H816" t="s">
        <v>14</v>
      </c>
      <c r="I816" t="s">
        <v>961</v>
      </c>
      <c r="J816" s="2">
        <f t="shared" si="67"/>
        <v>1500000</v>
      </c>
      <c r="K816" t="s">
        <v>66</v>
      </c>
      <c r="L816">
        <f t="shared" si="68"/>
        <v>0</v>
      </c>
      <c r="N816" t="s">
        <v>43</v>
      </c>
      <c r="R816" s="3">
        <f t="shared" si="64"/>
        <v>0</v>
      </c>
    </row>
    <row r="817" spans="1:18" x14ac:dyDescent="0.25">
      <c r="A817" t="s">
        <v>989</v>
      </c>
      <c r="B817" t="s">
        <v>640</v>
      </c>
      <c r="C817" t="s">
        <v>803</v>
      </c>
      <c r="D817" s="3">
        <f t="shared" si="65"/>
        <v>15</v>
      </c>
      <c r="E817" t="s">
        <v>71</v>
      </c>
      <c r="F817" t="s">
        <v>13</v>
      </c>
      <c r="G817" t="str">
        <f t="shared" si="66"/>
        <v/>
      </c>
      <c r="H817" t="s">
        <v>14</v>
      </c>
      <c r="I817" t="s">
        <v>990</v>
      </c>
      <c r="J817" s="2">
        <f t="shared" si="67"/>
        <v>1400000</v>
      </c>
      <c r="K817" t="s">
        <v>81</v>
      </c>
      <c r="L817">
        <f t="shared" si="68"/>
        <v>0</v>
      </c>
      <c r="N817" t="s">
        <v>18</v>
      </c>
      <c r="R817" s="3">
        <f t="shared" si="64"/>
        <v>0</v>
      </c>
    </row>
    <row r="818" spans="1:18" hidden="1" x14ac:dyDescent="0.25">
      <c r="A818" t="s">
        <v>3381</v>
      </c>
      <c r="B818" t="s">
        <v>3233</v>
      </c>
      <c r="C818" t="s">
        <v>3237</v>
      </c>
      <c r="D818" s="3">
        <f t="shared" si="65"/>
        <v>10</v>
      </c>
      <c r="E818" t="s">
        <v>1457</v>
      </c>
      <c r="F818" t="s">
        <v>13</v>
      </c>
      <c r="G818" t="str">
        <f t="shared" si="66"/>
        <v/>
      </c>
      <c r="H818" t="s">
        <v>14</v>
      </c>
      <c r="I818" t="s">
        <v>3382</v>
      </c>
      <c r="J818" s="2">
        <f t="shared" si="67"/>
        <v>2200000</v>
      </c>
      <c r="K818" t="s">
        <v>849</v>
      </c>
      <c r="L818">
        <f t="shared" si="68"/>
        <v>0.17291666666666669</v>
      </c>
      <c r="M818" s="5">
        <v>0.17291666666666669</v>
      </c>
      <c r="N818" t="s">
        <v>43</v>
      </c>
      <c r="P818" t="s">
        <v>1053</v>
      </c>
      <c r="R818" s="3">
        <f t="shared" si="64"/>
        <v>4.1500000000000004</v>
      </c>
    </row>
    <row r="819" spans="1:18" hidden="1" x14ac:dyDescent="0.25">
      <c r="A819" t="s">
        <v>4352</v>
      </c>
      <c r="B819" t="s">
        <v>4272</v>
      </c>
      <c r="C819" t="s">
        <v>4354</v>
      </c>
      <c r="D819" s="3">
        <f t="shared" si="65"/>
        <v>9</v>
      </c>
      <c r="E819" t="s">
        <v>12</v>
      </c>
      <c r="F819" t="s">
        <v>34</v>
      </c>
      <c r="G819" t="str">
        <f t="shared" si="66"/>
        <v/>
      </c>
      <c r="H819" t="s">
        <v>14</v>
      </c>
      <c r="I819" t="s">
        <v>4353</v>
      </c>
      <c r="J819" s="2">
        <f t="shared" si="67"/>
        <v>850000</v>
      </c>
      <c r="K819" t="s">
        <v>185</v>
      </c>
      <c r="L819">
        <f t="shared" si="68"/>
        <v>0</v>
      </c>
      <c r="N819" t="s">
        <v>37</v>
      </c>
      <c r="R819" s="3">
        <f t="shared" si="64"/>
        <v>0</v>
      </c>
    </row>
    <row r="820" spans="1:18" x14ac:dyDescent="0.25">
      <c r="A820" t="s">
        <v>78</v>
      </c>
      <c r="B820" t="s">
        <v>20</v>
      </c>
      <c r="C820" t="s">
        <v>24</v>
      </c>
      <c r="D820" s="3">
        <f t="shared" si="65"/>
        <v>16</v>
      </c>
      <c r="E820" t="s">
        <v>79</v>
      </c>
      <c r="F820" t="s">
        <v>13</v>
      </c>
      <c r="G820" t="str">
        <f t="shared" si="66"/>
        <v/>
      </c>
      <c r="H820" t="s">
        <v>14</v>
      </c>
      <c r="I820" t="s">
        <v>80</v>
      </c>
      <c r="J820" s="2">
        <f t="shared" si="67"/>
        <v>1400000</v>
      </c>
      <c r="K820" t="s">
        <v>81</v>
      </c>
      <c r="L820">
        <f t="shared" si="68"/>
        <v>0.20833333333333334</v>
      </c>
      <c r="M820" s="5">
        <v>0.20833333333333334</v>
      </c>
      <c r="N820" t="s">
        <v>18</v>
      </c>
      <c r="R820" s="3">
        <f t="shared" si="64"/>
        <v>5</v>
      </c>
    </row>
    <row r="821" spans="1:18" x14ac:dyDescent="0.25">
      <c r="A821" t="s">
        <v>2037</v>
      </c>
      <c r="B821" t="s">
        <v>2596</v>
      </c>
      <c r="C821" t="s">
        <v>2024</v>
      </c>
      <c r="D821" s="3">
        <f t="shared" si="65"/>
        <v>9</v>
      </c>
      <c r="E821" t="s">
        <v>12</v>
      </c>
      <c r="F821" t="s">
        <v>34</v>
      </c>
      <c r="G821">
        <f t="shared" si="66"/>
        <v>1525000</v>
      </c>
      <c r="H821" t="s">
        <v>27</v>
      </c>
      <c r="I821" t="s">
        <v>2038</v>
      </c>
      <c r="J821" s="2">
        <f t="shared" si="67"/>
        <v>1405000</v>
      </c>
      <c r="K821" t="s">
        <v>2039</v>
      </c>
      <c r="L821">
        <f t="shared" si="68"/>
        <v>0.17222222222222225</v>
      </c>
      <c r="M821" s="5">
        <v>0.17222222222222225</v>
      </c>
      <c r="N821" t="s">
        <v>43</v>
      </c>
      <c r="P821" t="s">
        <v>665</v>
      </c>
      <c r="R821" s="3">
        <f t="shared" si="64"/>
        <v>4.1333333333333337</v>
      </c>
    </row>
    <row r="822" spans="1:18" hidden="1" x14ac:dyDescent="0.25">
      <c r="A822" t="s">
        <v>475</v>
      </c>
      <c r="B822" t="s">
        <v>20</v>
      </c>
      <c r="C822" t="s">
        <v>236</v>
      </c>
      <c r="D822" s="3">
        <f t="shared" si="65"/>
        <v>20</v>
      </c>
      <c r="E822" t="s">
        <v>159</v>
      </c>
      <c r="F822" t="s">
        <v>34</v>
      </c>
      <c r="G822" t="str">
        <f t="shared" si="66"/>
        <v/>
      </c>
      <c r="H822" t="s">
        <v>14</v>
      </c>
      <c r="I822" t="s">
        <v>476</v>
      </c>
      <c r="J822" s="2">
        <f t="shared" si="67"/>
        <v>1050000</v>
      </c>
      <c r="K822" t="s">
        <v>477</v>
      </c>
      <c r="L822">
        <f t="shared" si="68"/>
        <v>0</v>
      </c>
      <c r="N822" t="s">
        <v>18</v>
      </c>
      <c r="R822" s="3">
        <f t="shared" si="64"/>
        <v>0</v>
      </c>
    </row>
    <row r="823" spans="1:18" hidden="1" x14ac:dyDescent="0.25">
      <c r="A823" t="s">
        <v>480</v>
      </c>
      <c r="B823" t="s">
        <v>20</v>
      </c>
      <c r="C823" t="s">
        <v>236</v>
      </c>
      <c r="D823" s="3">
        <f t="shared" si="65"/>
        <v>25</v>
      </c>
      <c r="E823" t="s">
        <v>481</v>
      </c>
      <c r="F823" t="s">
        <v>34</v>
      </c>
      <c r="G823" t="str">
        <f t="shared" si="66"/>
        <v/>
      </c>
      <c r="H823" t="s">
        <v>14</v>
      </c>
      <c r="I823" t="s">
        <v>482</v>
      </c>
      <c r="J823" s="2">
        <f t="shared" si="67"/>
        <v>1200000</v>
      </c>
      <c r="K823" t="s">
        <v>36</v>
      </c>
      <c r="L823">
        <f t="shared" si="68"/>
        <v>0</v>
      </c>
      <c r="N823" t="s">
        <v>18</v>
      </c>
      <c r="R823" s="3">
        <f t="shared" si="64"/>
        <v>0</v>
      </c>
    </row>
    <row r="824" spans="1:18" hidden="1" x14ac:dyDescent="0.25">
      <c r="A824" t="s">
        <v>3668</v>
      </c>
      <c r="B824" t="s">
        <v>3233</v>
      </c>
      <c r="C824" t="s">
        <v>3232</v>
      </c>
      <c r="D824" s="3">
        <f t="shared" si="65"/>
        <v>12</v>
      </c>
      <c r="E824" t="s">
        <v>33</v>
      </c>
      <c r="F824" t="s">
        <v>13</v>
      </c>
      <c r="G824" t="str">
        <f t="shared" si="66"/>
        <v/>
      </c>
      <c r="H824" t="s">
        <v>14</v>
      </c>
      <c r="I824" t="s">
        <v>3669</v>
      </c>
      <c r="J824" s="2">
        <f t="shared" si="67"/>
        <v>1800000</v>
      </c>
      <c r="K824" t="s">
        <v>228</v>
      </c>
      <c r="L824">
        <f t="shared" si="68"/>
        <v>0</v>
      </c>
      <c r="N824" t="s">
        <v>43</v>
      </c>
      <c r="R824" s="3">
        <f t="shared" si="64"/>
        <v>0</v>
      </c>
    </row>
    <row r="825" spans="1:18" hidden="1" x14ac:dyDescent="0.25">
      <c r="A825" t="s">
        <v>3524</v>
      </c>
      <c r="B825" t="s">
        <v>3233</v>
      </c>
      <c r="C825" t="s">
        <v>3376</v>
      </c>
      <c r="D825" s="3">
        <f t="shared" si="65"/>
        <v>3.6</v>
      </c>
      <c r="E825" t="s">
        <v>3525</v>
      </c>
      <c r="F825" t="s">
        <v>34</v>
      </c>
      <c r="G825" t="str">
        <f t="shared" si="66"/>
        <v/>
      </c>
      <c r="H825" t="s">
        <v>14</v>
      </c>
      <c r="I825" t="s">
        <v>3526</v>
      </c>
      <c r="J825" s="2">
        <f t="shared" si="67"/>
        <v>850000</v>
      </c>
      <c r="K825" t="s">
        <v>185</v>
      </c>
      <c r="L825">
        <f t="shared" si="68"/>
        <v>0.20833333333333334</v>
      </c>
      <c r="M825" s="5">
        <v>0.20833333333333334</v>
      </c>
      <c r="N825" t="s">
        <v>43</v>
      </c>
      <c r="R825" s="3">
        <f t="shared" si="64"/>
        <v>5</v>
      </c>
    </row>
    <row r="826" spans="1:18" hidden="1" x14ac:dyDescent="0.25">
      <c r="A826" t="s">
        <v>3524</v>
      </c>
      <c r="B826" t="s">
        <v>3233</v>
      </c>
      <c r="C826" t="s">
        <v>3376</v>
      </c>
      <c r="D826" s="3">
        <f t="shared" si="65"/>
        <v>3.6</v>
      </c>
      <c r="E826" t="s">
        <v>3525</v>
      </c>
      <c r="F826" t="s">
        <v>34</v>
      </c>
      <c r="G826" t="str">
        <f t="shared" si="66"/>
        <v/>
      </c>
      <c r="H826" t="s">
        <v>14</v>
      </c>
      <c r="I826" t="s">
        <v>3526</v>
      </c>
      <c r="J826" s="2">
        <f t="shared" si="67"/>
        <v>850000</v>
      </c>
      <c r="K826" t="s">
        <v>185</v>
      </c>
      <c r="L826">
        <f t="shared" si="68"/>
        <v>0</v>
      </c>
      <c r="N826" t="s">
        <v>43</v>
      </c>
      <c r="R826" s="3">
        <f t="shared" si="64"/>
        <v>0</v>
      </c>
    </row>
    <row r="827" spans="1:18" hidden="1" x14ac:dyDescent="0.25">
      <c r="A827" t="s">
        <v>487</v>
      </c>
      <c r="B827" t="s">
        <v>20</v>
      </c>
      <c r="C827" t="s">
        <v>102</v>
      </c>
      <c r="D827" s="3">
        <f t="shared" si="65"/>
        <v>50</v>
      </c>
      <c r="E827" t="s">
        <v>393</v>
      </c>
      <c r="F827" t="s">
        <v>13</v>
      </c>
      <c r="G827" t="str">
        <f t="shared" si="66"/>
        <v/>
      </c>
      <c r="H827" t="s">
        <v>14</v>
      </c>
      <c r="I827" t="s">
        <v>488</v>
      </c>
      <c r="J827" s="2">
        <f t="shared" si="67"/>
        <v>1000000</v>
      </c>
      <c r="K827" t="s">
        <v>52</v>
      </c>
      <c r="L827">
        <f t="shared" si="68"/>
        <v>0.20833333333333334</v>
      </c>
      <c r="M827" s="5">
        <v>0.20833333333333334</v>
      </c>
      <c r="N827" t="s">
        <v>18</v>
      </c>
      <c r="R827" s="3">
        <f t="shared" si="64"/>
        <v>5</v>
      </c>
    </row>
    <row r="828" spans="1:18" hidden="1" x14ac:dyDescent="0.25">
      <c r="A828" t="s">
        <v>361</v>
      </c>
      <c r="B828" t="s">
        <v>20</v>
      </c>
      <c r="C828" t="s">
        <v>44</v>
      </c>
      <c r="D828" s="3">
        <f t="shared" si="65"/>
        <v>9</v>
      </c>
      <c r="E828" t="s">
        <v>12</v>
      </c>
      <c r="F828" t="s">
        <v>34</v>
      </c>
      <c r="G828" t="str">
        <f t="shared" si="66"/>
        <v/>
      </c>
      <c r="H828" t="s">
        <v>14</v>
      </c>
      <c r="I828" t="s">
        <v>362</v>
      </c>
      <c r="J828" s="2">
        <f t="shared" si="67"/>
        <v>600000</v>
      </c>
      <c r="K828" t="s">
        <v>173</v>
      </c>
      <c r="L828">
        <f t="shared" si="68"/>
        <v>0</v>
      </c>
      <c r="N828" t="s">
        <v>37</v>
      </c>
      <c r="R828" s="3">
        <f t="shared" si="64"/>
        <v>0</v>
      </c>
    </row>
    <row r="829" spans="1:18" hidden="1" x14ac:dyDescent="0.25">
      <c r="A829" t="s">
        <v>392</v>
      </c>
      <c r="B829" t="s">
        <v>20</v>
      </c>
      <c r="C829" t="s">
        <v>102</v>
      </c>
      <c r="D829" s="3">
        <f t="shared" si="65"/>
        <v>50</v>
      </c>
      <c r="E829" t="s">
        <v>393</v>
      </c>
      <c r="F829" t="s">
        <v>13</v>
      </c>
      <c r="G829" t="str">
        <f t="shared" si="66"/>
        <v/>
      </c>
      <c r="H829" t="s">
        <v>14</v>
      </c>
      <c r="I829" t="s">
        <v>394</v>
      </c>
      <c r="J829" s="2">
        <f t="shared" si="67"/>
        <v>800000</v>
      </c>
      <c r="K829" t="s">
        <v>109</v>
      </c>
      <c r="L829">
        <f t="shared" si="68"/>
        <v>0</v>
      </c>
      <c r="N829" t="s">
        <v>18</v>
      </c>
      <c r="R829" s="3">
        <f t="shared" si="64"/>
        <v>0</v>
      </c>
    </row>
    <row r="830" spans="1:18" hidden="1" x14ac:dyDescent="0.25">
      <c r="A830" t="s">
        <v>258</v>
      </c>
      <c r="B830" t="s">
        <v>20</v>
      </c>
      <c r="C830" t="s">
        <v>44</v>
      </c>
      <c r="D830" s="3">
        <f t="shared" si="65"/>
        <v>12</v>
      </c>
      <c r="E830" t="s">
        <v>33</v>
      </c>
      <c r="F830" t="s">
        <v>34</v>
      </c>
      <c r="G830" t="str">
        <f t="shared" si="66"/>
        <v/>
      </c>
      <c r="H830" t="s">
        <v>14</v>
      </c>
      <c r="I830" t="s">
        <v>259</v>
      </c>
      <c r="J830" s="2">
        <f t="shared" si="67"/>
        <v>700000</v>
      </c>
      <c r="K830" t="s">
        <v>157</v>
      </c>
      <c r="L830">
        <f t="shared" si="68"/>
        <v>0.20833333333333334</v>
      </c>
      <c r="M830" s="5">
        <v>0.20833333333333334</v>
      </c>
      <c r="N830" t="s">
        <v>37</v>
      </c>
      <c r="R830" s="3">
        <f t="shared" si="64"/>
        <v>5</v>
      </c>
    </row>
    <row r="831" spans="1:18" hidden="1" x14ac:dyDescent="0.25">
      <c r="A831" t="s">
        <v>349</v>
      </c>
      <c r="B831" t="s">
        <v>20</v>
      </c>
      <c r="C831" t="s">
        <v>236</v>
      </c>
      <c r="D831" s="3">
        <f t="shared" si="65"/>
        <v>21</v>
      </c>
      <c r="E831" t="s">
        <v>350</v>
      </c>
      <c r="F831" t="s">
        <v>13</v>
      </c>
      <c r="G831" t="str">
        <f t="shared" si="66"/>
        <v/>
      </c>
      <c r="H831" t="s">
        <v>14</v>
      </c>
      <c r="I831" t="s">
        <v>351</v>
      </c>
      <c r="J831" s="2">
        <f t="shared" si="67"/>
        <v>1900000</v>
      </c>
      <c r="K831" t="s">
        <v>352</v>
      </c>
      <c r="L831">
        <f t="shared" si="68"/>
        <v>0</v>
      </c>
      <c r="N831" t="s">
        <v>43</v>
      </c>
      <c r="R831" s="3">
        <f t="shared" si="64"/>
        <v>0</v>
      </c>
    </row>
    <row r="832" spans="1:18" hidden="1" x14ac:dyDescent="0.25">
      <c r="A832" t="s">
        <v>518</v>
      </c>
      <c r="B832" t="s">
        <v>20</v>
      </c>
      <c r="C832" t="s">
        <v>293</v>
      </c>
      <c r="D832" s="3">
        <f t="shared" si="65"/>
        <v>25</v>
      </c>
      <c r="E832" t="s">
        <v>481</v>
      </c>
      <c r="F832" t="s">
        <v>13</v>
      </c>
      <c r="G832" t="str">
        <f t="shared" si="66"/>
        <v/>
      </c>
      <c r="H832" t="s">
        <v>14</v>
      </c>
      <c r="I832" t="s">
        <v>519</v>
      </c>
      <c r="J832" s="2">
        <f t="shared" si="67"/>
        <v>2000000</v>
      </c>
      <c r="K832" t="s">
        <v>128</v>
      </c>
      <c r="L832">
        <f t="shared" si="68"/>
        <v>0</v>
      </c>
      <c r="N832" t="s">
        <v>43</v>
      </c>
      <c r="R832" s="3">
        <f t="shared" si="64"/>
        <v>0</v>
      </c>
    </row>
    <row r="833" spans="1:18" hidden="1" x14ac:dyDescent="0.25">
      <c r="A833" t="s">
        <v>531</v>
      </c>
      <c r="B833" t="s">
        <v>20</v>
      </c>
      <c r="C833" t="s">
        <v>58</v>
      </c>
      <c r="D833" s="3">
        <f t="shared" si="65"/>
        <v>18</v>
      </c>
      <c r="E833" t="s">
        <v>126</v>
      </c>
      <c r="F833" t="s">
        <v>13</v>
      </c>
      <c r="G833" t="str">
        <f t="shared" si="66"/>
        <v/>
      </c>
      <c r="H833" t="s">
        <v>14</v>
      </c>
      <c r="I833" t="s">
        <v>532</v>
      </c>
      <c r="J833" s="2">
        <f t="shared" si="67"/>
        <v>1200000</v>
      </c>
      <c r="K833" t="s">
        <v>36</v>
      </c>
      <c r="L833">
        <f t="shared" si="68"/>
        <v>0</v>
      </c>
      <c r="N833" t="s">
        <v>37</v>
      </c>
      <c r="R833" s="3">
        <f t="shared" si="64"/>
        <v>0</v>
      </c>
    </row>
    <row r="834" spans="1:18" hidden="1" x14ac:dyDescent="0.25">
      <c r="A834" t="s">
        <v>4036</v>
      </c>
      <c r="B834" t="s">
        <v>3746</v>
      </c>
      <c r="C834" t="s">
        <v>4038</v>
      </c>
      <c r="D834" s="3">
        <f t="shared" si="65"/>
        <v>12</v>
      </c>
      <c r="E834" t="s">
        <v>33</v>
      </c>
      <c r="F834" t="s">
        <v>34</v>
      </c>
      <c r="G834" t="str">
        <f t="shared" si="66"/>
        <v/>
      </c>
      <c r="H834" t="s">
        <v>14</v>
      </c>
      <c r="I834" t="s">
        <v>4037</v>
      </c>
      <c r="J834" s="2">
        <f t="shared" si="67"/>
        <v>700000</v>
      </c>
      <c r="K834" t="s">
        <v>157</v>
      </c>
      <c r="L834">
        <f t="shared" si="68"/>
        <v>0.20833333333333334</v>
      </c>
      <c r="M834" s="5">
        <v>0.20833333333333334</v>
      </c>
      <c r="N834" t="s">
        <v>18</v>
      </c>
      <c r="R834" s="3">
        <f t="shared" ref="R834:R897" si="69">24*L834</f>
        <v>5</v>
      </c>
    </row>
    <row r="835" spans="1:18" hidden="1" x14ac:dyDescent="0.25">
      <c r="A835" t="s">
        <v>4857</v>
      </c>
      <c r="B835" t="s">
        <v>4806</v>
      </c>
      <c r="C835" t="s">
        <v>4859</v>
      </c>
      <c r="D835" s="3">
        <f t="shared" si="65"/>
        <v>12</v>
      </c>
      <c r="E835" t="s">
        <v>347</v>
      </c>
      <c r="F835" t="s">
        <v>13</v>
      </c>
      <c r="G835" t="str">
        <f t="shared" si="66"/>
        <v/>
      </c>
      <c r="H835" t="s">
        <v>14</v>
      </c>
      <c r="I835" t="s">
        <v>4858</v>
      </c>
      <c r="J835" s="2">
        <f t="shared" si="67"/>
        <v>1500000</v>
      </c>
      <c r="K835" t="s">
        <v>66</v>
      </c>
      <c r="L835">
        <f t="shared" si="68"/>
        <v>0</v>
      </c>
      <c r="N835" t="s">
        <v>18</v>
      </c>
      <c r="R835" s="3">
        <f t="shared" si="69"/>
        <v>0</v>
      </c>
    </row>
    <row r="836" spans="1:18" hidden="1" x14ac:dyDescent="0.25">
      <c r="A836" t="s">
        <v>5705</v>
      </c>
      <c r="B836" t="s">
        <v>5848</v>
      </c>
      <c r="C836" t="s">
        <v>5363</v>
      </c>
      <c r="D836" s="3">
        <f t="shared" si="65"/>
        <v>9</v>
      </c>
      <c r="E836" t="s">
        <v>12</v>
      </c>
      <c r="F836" t="s">
        <v>13</v>
      </c>
      <c r="G836" t="str">
        <f t="shared" si="66"/>
        <v/>
      </c>
      <c r="H836" t="s">
        <v>14</v>
      </c>
      <c r="I836" t="s">
        <v>5706</v>
      </c>
      <c r="J836" s="2">
        <f t="shared" si="67"/>
        <v>900000</v>
      </c>
      <c r="K836" t="s">
        <v>101</v>
      </c>
      <c r="L836">
        <f t="shared" si="68"/>
        <v>0</v>
      </c>
      <c r="N836" t="s">
        <v>18</v>
      </c>
      <c r="R836" s="3">
        <f t="shared" si="69"/>
        <v>0</v>
      </c>
    </row>
    <row r="837" spans="1:18" hidden="1" x14ac:dyDescent="0.25">
      <c r="A837" t="s">
        <v>3912</v>
      </c>
      <c r="B837" t="s">
        <v>3746</v>
      </c>
      <c r="C837" t="s">
        <v>3759</v>
      </c>
      <c r="D837" s="3">
        <f t="shared" si="65"/>
        <v>20</v>
      </c>
      <c r="E837" t="s">
        <v>159</v>
      </c>
      <c r="F837" t="s">
        <v>13</v>
      </c>
      <c r="G837" t="str">
        <f t="shared" si="66"/>
        <v/>
      </c>
      <c r="H837" t="s">
        <v>14</v>
      </c>
      <c r="I837" t="s">
        <v>3913</v>
      </c>
      <c r="J837" s="2">
        <f t="shared" si="67"/>
        <v>925000</v>
      </c>
      <c r="K837" t="s">
        <v>649</v>
      </c>
      <c r="L837">
        <f t="shared" si="68"/>
        <v>0.20833333333333334</v>
      </c>
      <c r="M837" s="5">
        <v>0.20833333333333334</v>
      </c>
      <c r="N837" t="s">
        <v>18</v>
      </c>
      <c r="R837" s="3">
        <f t="shared" si="69"/>
        <v>5</v>
      </c>
    </row>
    <row r="838" spans="1:18" hidden="1" x14ac:dyDescent="0.25">
      <c r="A838" t="s">
        <v>320</v>
      </c>
      <c r="B838" t="s">
        <v>20</v>
      </c>
      <c r="C838" t="s">
        <v>218</v>
      </c>
      <c r="D838" s="3">
        <f t="shared" si="65"/>
        <v>12</v>
      </c>
      <c r="E838" t="s">
        <v>33</v>
      </c>
      <c r="F838" t="s">
        <v>13</v>
      </c>
      <c r="G838" t="str">
        <f t="shared" si="66"/>
        <v/>
      </c>
      <c r="H838" t="s">
        <v>14</v>
      </c>
      <c r="I838" t="s">
        <v>321</v>
      </c>
      <c r="J838" s="2">
        <f t="shared" si="67"/>
        <v>750000</v>
      </c>
      <c r="K838" t="s">
        <v>76</v>
      </c>
      <c r="L838">
        <f t="shared" si="68"/>
        <v>0</v>
      </c>
      <c r="N838" t="s">
        <v>43</v>
      </c>
      <c r="R838" s="3">
        <f t="shared" si="69"/>
        <v>0</v>
      </c>
    </row>
    <row r="839" spans="1:18" hidden="1" x14ac:dyDescent="0.25">
      <c r="A839" t="s">
        <v>464</v>
      </c>
      <c r="B839" t="s">
        <v>20</v>
      </c>
      <c r="C839" t="s">
        <v>58</v>
      </c>
      <c r="D839" s="3">
        <f t="shared" si="65"/>
        <v>9</v>
      </c>
      <c r="E839" t="s">
        <v>12</v>
      </c>
      <c r="F839" t="s">
        <v>13</v>
      </c>
      <c r="G839" t="str">
        <f t="shared" si="66"/>
        <v/>
      </c>
      <c r="H839" t="s">
        <v>14</v>
      </c>
      <c r="I839" t="s">
        <v>465</v>
      </c>
      <c r="J839" s="2">
        <f t="shared" si="67"/>
        <v>500000</v>
      </c>
      <c r="K839" t="s">
        <v>16</v>
      </c>
      <c r="L839">
        <f t="shared" si="68"/>
        <v>0</v>
      </c>
      <c r="N839" t="s">
        <v>43</v>
      </c>
      <c r="R839" s="3">
        <f t="shared" si="69"/>
        <v>0</v>
      </c>
    </row>
    <row r="840" spans="1:18" hidden="1" x14ac:dyDescent="0.25">
      <c r="A840" t="s">
        <v>1190</v>
      </c>
      <c r="B840" t="s">
        <v>640</v>
      </c>
      <c r="C840" t="s">
        <v>1016</v>
      </c>
      <c r="D840" s="3">
        <f t="shared" si="65"/>
        <v>12</v>
      </c>
      <c r="E840" t="s">
        <v>33</v>
      </c>
      <c r="F840" t="s">
        <v>13</v>
      </c>
      <c r="G840" t="str">
        <f t="shared" si="66"/>
        <v/>
      </c>
      <c r="H840" t="s">
        <v>14</v>
      </c>
      <c r="I840" t="s">
        <v>1191</v>
      </c>
      <c r="J840" s="2">
        <f t="shared" si="67"/>
        <v>1300000</v>
      </c>
      <c r="K840" t="s">
        <v>17</v>
      </c>
      <c r="L840">
        <f t="shared" si="68"/>
        <v>0.17222222222222225</v>
      </c>
      <c r="M840" s="5">
        <v>0.17222222222222225</v>
      </c>
      <c r="N840" t="s">
        <v>43</v>
      </c>
      <c r="P840" t="s">
        <v>686</v>
      </c>
      <c r="R840" s="3">
        <f t="shared" si="69"/>
        <v>4.1333333333333337</v>
      </c>
    </row>
    <row r="841" spans="1:18" hidden="1" x14ac:dyDescent="0.25">
      <c r="A841" t="s">
        <v>5238</v>
      </c>
      <c r="B841" t="s">
        <v>4806</v>
      </c>
      <c r="C841" t="s">
        <v>4939</v>
      </c>
      <c r="D841" s="3">
        <f t="shared" si="65"/>
        <v>12</v>
      </c>
      <c r="E841" t="s">
        <v>33</v>
      </c>
      <c r="F841" t="s">
        <v>34</v>
      </c>
      <c r="G841" t="str">
        <f t="shared" si="66"/>
        <v/>
      </c>
      <c r="H841" t="s">
        <v>14</v>
      </c>
      <c r="I841" t="s">
        <v>5239</v>
      </c>
      <c r="J841" s="2">
        <f t="shared" si="67"/>
        <v>950000</v>
      </c>
      <c r="K841" t="s">
        <v>355</v>
      </c>
      <c r="L841">
        <f t="shared" si="68"/>
        <v>0.20833333333333334</v>
      </c>
      <c r="M841" s="5">
        <v>0.20833333333333334</v>
      </c>
      <c r="N841" t="s">
        <v>18</v>
      </c>
      <c r="R841" s="3">
        <f t="shared" si="69"/>
        <v>5</v>
      </c>
    </row>
    <row r="842" spans="1:18" hidden="1" x14ac:dyDescent="0.25">
      <c r="A842" t="s">
        <v>4944</v>
      </c>
      <c r="B842" t="s">
        <v>4806</v>
      </c>
      <c r="C842" t="s">
        <v>4888</v>
      </c>
      <c r="D842" s="3">
        <f t="shared" si="65"/>
        <v>9</v>
      </c>
      <c r="E842" t="s">
        <v>12</v>
      </c>
      <c r="F842" t="s">
        <v>13</v>
      </c>
      <c r="G842" t="str">
        <f t="shared" si="66"/>
        <v/>
      </c>
      <c r="H842" t="s">
        <v>14</v>
      </c>
      <c r="I842" t="s">
        <v>4945</v>
      </c>
      <c r="J842" s="2">
        <f t="shared" si="67"/>
        <v>700000</v>
      </c>
      <c r="K842" t="s">
        <v>157</v>
      </c>
      <c r="L842">
        <f t="shared" si="68"/>
        <v>0.20833333333333334</v>
      </c>
      <c r="M842" s="5">
        <v>0.20833333333333334</v>
      </c>
      <c r="N842" t="s">
        <v>43</v>
      </c>
      <c r="R842" s="3">
        <f t="shared" si="69"/>
        <v>5</v>
      </c>
    </row>
    <row r="843" spans="1:18" hidden="1" x14ac:dyDescent="0.25">
      <c r="A843" t="s">
        <v>4794</v>
      </c>
      <c r="B843" t="s">
        <v>4272</v>
      </c>
      <c r="C843" t="s">
        <v>4337</v>
      </c>
      <c r="D843" s="3">
        <f t="shared" ref="D843:D906" si="70">VALUE(LEFT(E843,SEARCH(" x ",E843)-1))*VALUE(MID(E843,SEARCH(" x ",E843)+3,SEARCH(" meter",E843)-SEARCH(" x ",E843)-3))</f>
        <v>12</v>
      </c>
      <c r="E843" t="s">
        <v>33</v>
      </c>
      <c r="F843" t="s">
        <v>34</v>
      </c>
      <c r="G843" t="str">
        <f t="shared" ref="G843:G906" si="71">IF(H843="N/A","",VALUE(SUBSTITUTE(SUBSTITUTE(H843,"Rp",""),".","")))</f>
        <v/>
      </c>
      <c r="H843" t="s">
        <v>14</v>
      </c>
      <c r="I843" t="s">
        <v>4795</v>
      </c>
      <c r="J843" s="2">
        <f t="shared" ref="J843:J906" si="72">VALUE(SUBSTITUTE(SUBSTITUTE(K843,"Rp",""),".",""))</f>
        <v>1599958</v>
      </c>
      <c r="K843" t="s">
        <v>4796</v>
      </c>
      <c r="L843">
        <f t="shared" ref="L843:L906" si="73">M843:M3183</f>
        <v>0</v>
      </c>
      <c r="N843" t="s">
        <v>37</v>
      </c>
      <c r="R843" s="3">
        <f t="shared" si="69"/>
        <v>0</v>
      </c>
    </row>
    <row r="844" spans="1:18" hidden="1" x14ac:dyDescent="0.25">
      <c r="A844" t="s">
        <v>5056</v>
      </c>
      <c r="B844" t="s">
        <v>4806</v>
      </c>
      <c r="C844" t="s">
        <v>5059</v>
      </c>
      <c r="D844" s="3">
        <f t="shared" si="70"/>
        <v>30</v>
      </c>
      <c r="E844" t="s">
        <v>5057</v>
      </c>
      <c r="F844" t="s">
        <v>13</v>
      </c>
      <c r="G844" t="str">
        <f t="shared" si="71"/>
        <v/>
      </c>
      <c r="H844" t="s">
        <v>14</v>
      </c>
      <c r="I844" t="s">
        <v>5058</v>
      </c>
      <c r="J844" s="2">
        <f t="shared" si="72"/>
        <v>1200000</v>
      </c>
      <c r="K844" t="s">
        <v>36</v>
      </c>
      <c r="L844">
        <f t="shared" si="73"/>
        <v>0</v>
      </c>
      <c r="N844" t="s">
        <v>43</v>
      </c>
      <c r="R844" s="3">
        <f t="shared" si="69"/>
        <v>0</v>
      </c>
    </row>
    <row r="845" spans="1:18" hidden="1" x14ac:dyDescent="0.25">
      <c r="A845" t="s">
        <v>4214</v>
      </c>
      <c r="B845" t="s">
        <v>3746</v>
      </c>
      <c r="C845" t="s">
        <v>3894</v>
      </c>
      <c r="D845" s="3">
        <f t="shared" si="70"/>
        <v>9</v>
      </c>
      <c r="E845" t="s">
        <v>12</v>
      </c>
      <c r="F845" t="s">
        <v>13</v>
      </c>
      <c r="G845" t="str">
        <f t="shared" si="71"/>
        <v/>
      </c>
      <c r="H845" t="s">
        <v>14</v>
      </c>
      <c r="I845" t="s">
        <v>4215</v>
      </c>
      <c r="J845" s="2">
        <f t="shared" si="72"/>
        <v>1500000</v>
      </c>
      <c r="K845" t="s">
        <v>66</v>
      </c>
      <c r="L845">
        <f t="shared" si="73"/>
        <v>0.17291666666666669</v>
      </c>
      <c r="M845" s="5">
        <v>0.17291666666666669</v>
      </c>
      <c r="N845" t="s">
        <v>18</v>
      </c>
      <c r="R845" s="3">
        <f t="shared" si="69"/>
        <v>4.1500000000000004</v>
      </c>
    </row>
    <row r="846" spans="1:18" hidden="1" x14ac:dyDescent="0.25">
      <c r="A846" t="s">
        <v>3637</v>
      </c>
      <c r="B846" t="s">
        <v>3233</v>
      </c>
      <c r="C846" t="s">
        <v>3261</v>
      </c>
      <c r="D846" s="3">
        <f t="shared" si="70"/>
        <v>9</v>
      </c>
      <c r="E846" t="s">
        <v>12</v>
      </c>
      <c r="F846" t="s">
        <v>34</v>
      </c>
      <c r="G846" t="str">
        <f t="shared" si="71"/>
        <v/>
      </c>
      <c r="H846" t="s">
        <v>14</v>
      </c>
      <c r="I846" t="s">
        <v>3638</v>
      </c>
      <c r="J846" s="2">
        <f t="shared" si="72"/>
        <v>670000</v>
      </c>
      <c r="K846" t="s">
        <v>277</v>
      </c>
      <c r="L846">
        <f t="shared" si="73"/>
        <v>0.1673611111111111</v>
      </c>
      <c r="M846" s="5">
        <v>0.1673611111111111</v>
      </c>
      <c r="N846" t="s">
        <v>37</v>
      </c>
      <c r="R846" s="3">
        <f t="shared" si="69"/>
        <v>4.0166666666666666</v>
      </c>
    </row>
    <row r="847" spans="1:18" hidden="1" x14ac:dyDescent="0.25">
      <c r="A847" t="s">
        <v>4222</v>
      </c>
      <c r="B847" t="s">
        <v>3746</v>
      </c>
      <c r="C847" t="s">
        <v>3949</v>
      </c>
      <c r="D847" s="3">
        <f t="shared" si="70"/>
        <v>9</v>
      </c>
      <c r="E847" t="s">
        <v>12</v>
      </c>
      <c r="F847" t="s">
        <v>34</v>
      </c>
      <c r="G847" t="str">
        <f t="shared" si="71"/>
        <v/>
      </c>
      <c r="H847" t="s">
        <v>14</v>
      </c>
      <c r="I847" t="s">
        <v>4223</v>
      </c>
      <c r="J847" s="2">
        <f t="shared" si="72"/>
        <v>850000</v>
      </c>
      <c r="K847" t="s">
        <v>185</v>
      </c>
      <c r="L847">
        <f t="shared" si="73"/>
        <v>0</v>
      </c>
      <c r="N847" t="s">
        <v>43</v>
      </c>
      <c r="R847" s="3">
        <f t="shared" si="69"/>
        <v>0</v>
      </c>
    </row>
    <row r="848" spans="1:18" hidden="1" x14ac:dyDescent="0.25">
      <c r="A848" t="s">
        <v>1623</v>
      </c>
      <c r="B848" t="s">
        <v>1303</v>
      </c>
      <c r="C848" t="s">
        <v>1342</v>
      </c>
      <c r="D848" s="3">
        <f t="shared" si="70"/>
        <v>7.5</v>
      </c>
      <c r="E848" t="s">
        <v>614</v>
      </c>
      <c r="F848" t="s">
        <v>34</v>
      </c>
      <c r="G848" t="str">
        <f t="shared" si="71"/>
        <v/>
      </c>
      <c r="H848" t="s">
        <v>14</v>
      </c>
      <c r="I848" t="s">
        <v>1624</v>
      </c>
      <c r="J848" s="2">
        <f t="shared" si="72"/>
        <v>800000</v>
      </c>
      <c r="K848" t="s">
        <v>109</v>
      </c>
      <c r="L848">
        <f t="shared" si="73"/>
        <v>0</v>
      </c>
      <c r="N848" t="s">
        <v>18</v>
      </c>
      <c r="R848" s="3">
        <f t="shared" si="69"/>
        <v>0</v>
      </c>
    </row>
    <row r="849" spans="1:18" x14ac:dyDescent="0.25">
      <c r="A849" t="s">
        <v>1020</v>
      </c>
      <c r="B849" t="s">
        <v>640</v>
      </c>
      <c r="C849" t="s">
        <v>643</v>
      </c>
      <c r="D849" s="3">
        <f t="shared" si="70"/>
        <v>7.2900000000000009</v>
      </c>
      <c r="E849" t="s">
        <v>1002</v>
      </c>
      <c r="F849" t="s">
        <v>13</v>
      </c>
      <c r="G849">
        <f t="shared" si="71"/>
        <v>1575000</v>
      </c>
      <c r="H849" t="s">
        <v>1021</v>
      </c>
      <c r="I849" t="s">
        <v>1022</v>
      </c>
      <c r="J849" s="2">
        <f t="shared" si="72"/>
        <v>1420000</v>
      </c>
      <c r="K849" t="s">
        <v>1023</v>
      </c>
      <c r="L849">
        <f t="shared" si="73"/>
        <v>0.20833333333333334</v>
      </c>
      <c r="M849" s="5">
        <v>0.20833333333333334</v>
      </c>
      <c r="N849" t="s">
        <v>37</v>
      </c>
      <c r="P849" t="s">
        <v>1024</v>
      </c>
      <c r="R849" s="3">
        <f t="shared" si="69"/>
        <v>5</v>
      </c>
    </row>
    <row r="850" spans="1:18" hidden="1" x14ac:dyDescent="0.25">
      <c r="A850" t="s">
        <v>3817</v>
      </c>
      <c r="B850" t="s">
        <v>3746</v>
      </c>
      <c r="C850" t="s">
        <v>3746</v>
      </c>
      <c r="D850" s="3">
        <f t="shared" si="70"/>
        <v>9</v>
      </c>
      <c r="E850" t="s">
        <v>12</v>
      </c>
      <c r="F850" t="s">
        <v>34</v>
      </c>
      <c r="G850" t="str">
        <f t="shared" si="71"/>
        <v/>
      </c>
      <c r="H850" t="s">
        <v>14</v>
      </c>
      <c r="I850" t="s">
        <v>3818</v>
      </c>
      <c r="J850" s="2">
        <f t="shared" si="72"/>
        <v>900000</v>
      </c>
      <c r="K850" t="s">
        <v>101</v>
      </c>
      <c r="L850">
        <f t="shared" si="73"/>
        <v>0.16666666666666666</v>
      </c>
      <c r="M850" s="5">
        <v>0.16666666666666666</v>
      </c>
      <c r="N850" t="s">
        <v>18</v>
      </c>
      <c r="R850" s="3">
        <f t="shared" si="69"/>
        <v>4</v>
      </c>
    </row>
    <row r="851" spans="1:18" x14ac:dyDescent="0.25">
      <c r="A851" t="s">
        <v>1135</v>
      </c>
      <c r="B851" t="s">
        <v>640</v>
      </c>
      <c r="C851" t="s">
        <v>1016</v>
      </c>
      <c r="D851" s="3">
        <f t="shared" si="70"/>
        <v>12</v>
      </c>
      <c r="E851" t="s">
        <v>33</v>
      </c>
      <c r="F851" t="s">
        <v>13</v>
      </c>
      <c r="G851" t="str">
        <f t="shared" si="71"/>
        <v/>
      </c>
      <c r="H851" t="s">
        <v>14</v>
      </c>
      <c r="I851" t="s">
        <v>1136</v>
      </c>
      <c r="J851" s="2">
        <f t="shared" si="72"/>
        <v>1430000</v>
      </c>
      <c r="K851" t="s">
        <v>1137</v>
      </c>
      <c r="L851">
        <f t="shared" si="73"/>
        <v>0</v>
      </c>
      <c r="N851" t="s">
        <v>18</v>
      </c>
      <c r="R851" s="3">
        <f t="shared" si="69"/>
        <v>0</v>
      </c>
    </row>
    <row r="852" spans="1:18" hidden="1" x14ac:dyDescent="0.25">
      <c r="A852" t="s">
        <v>4955</v>
      </c>
      <c r="B852" t="s">
        <v>4806</v>
      </c>
      <c r="C852" t="s">
        <v>4865</v>
      </c>
      <c r="D852" s="3">
        <f t="shared" si="70"/>
        <v>12</v>
      </c>
      <c r="E852" t="s">
        <v>33</v>
      </c>
      <c r="F852" t="s">
        <v>13</v>
      </c>
      <c r="G852" t="str">
        <f t="shared" si="71"/>
        <v/>
      </c>
      <c r="H852" t="s">
        <v>14</v>
      </c>
      <c r="I852" t="s">
        <v>4956</v>
      </c>
      <c r="J852" s="2">
        <f t="shared" si="72"/>
        <v>1200000</v>
      </c>
      <c r="K852" t="s">
        <v>36</v>
      </c>
      <c r="L852">
        <f t="shared" si="73"/>
        <v>0</v>
      </c>
      <c r="N852" t="s">
        <v>18</v>
      </c>
      <c r="R852" s="3">
        <f t="shared" si="69"/>
        <v>0</v>
      </c>
    </row>
    <row r="853" spans="1:18" hidden="1" x14ac:dyDescent="0.25">
      <c r="A853" t="s">
        <v>1231</v>
      </c>
      <c r="B853" t="s">
        <v>640</v>
      </c>
      <c r="C853" t="s">
        <v>959</v>
      </c>
      <c r="D853" s="3">
        <f t="shared" si="70"/>
        <v>9</v>
      </c>
      <c r="E853" t="s">
        <v>12</v>
      </c>
      <c r="F853" t="s">
        <v>13</v>
      </c>
      <c r="G853" t="str">
        <f t="shared" si="71"/>
        <v/>
      </c>
      <c r="H853" t="s">
        <v>14</v>
      </c>
      <c r="I853" t="s">
        <v>1232</v>
      </c>
      <c r="J853" s="2">
        <f t="shared" si="72"/>
        <v>650000</v>
      </c>
      <c r="K853" t="s">
        <v>105</v>
      </c>
      <c r="L853">
        <f t="shared" si="73"/>
        <v>0</v>
      </c>
      <c r="N853" t="s">
        <v>43</v>
      </c>
      <c r="R853" s="3">
        <f t="shared" si="69"/>
        <v>0</v>
      </c>
    </row>
    <row r="854" spans="1:18" x14ac:dyDescent="0.25">
      <c r="A854" t="s">
        <v>3929</v>
      </c>
      <c r="B854" t="s">
        <v>3746</v>
      </c>
      <c r="C854" t="s">
        <v>3808</v>
      </c>
      <c r="D854" s="3">
        <f t="shared" si="70"/>
        <v>6.25</v>
      </c>
      <c r="E854" t="s">
        <v>74</v>
      </c>
      <c r="F854" t="s">
        <v>34</v>
      </c>
      <c r="G854" t="str">
        <f t="shared" si="71"/>
        <v/>
      </c>
      <c r="H854" t="s">
        <v>14</v>
      </c>
      <c r="I854" t="s">
        <v>3930</v>
      </c>
      <c r="J854" s="2">
        <f t="shared" si="72"/>
        <v>1450000</v>
      </c>
      <c r="K854" t="s">
        <v>29</v>
      </c>
      <c r="L854">
        <f t="shared" si="73"/>
        <v>0.20833333333333334</v>
      </c>
      <c r="M854" s="5">
        <v>0.20833333333333334</v>
      </c>
      <c r="N854" t="s">
        <v>43</v>
      </c>
      <c r="R854" s="3">
        <f t="shared" si="69"/>
        <v>5</v>
      </c>
    </row>
    <row r="855" spans="1:18" hidden="1" x14ac:dyDescent="0.25">
      <c r="A855" t="s">
        <v>1172</v>
      </c>
      <c r="B855" t="s">
        <v>640</v>
      </c>
      <c r="C855" t="s">
        <v>664</v>
      </c>
      <c r="D855" s="3">
        <f t="shared" si="70"/>
        <v>12</v>
      </c>
      <c r="E855" t="s">
        <v>33</v>
      </c>
      <c r="F855" t="s">
        <v>13</v>
      </c>
      <c r="G855" t="str">
        <f t="shared" si="71"/>
        <v/>
      </c>
      <c r="H855" t="s">
        <v>14</v>
      </c>
      <c r="I855" t="s">
        <v>1173</v>
      </c>
      <c r="J855" s="2">
        <f t="shared" si="72"/>
        <v>1600000</v>
      </c>
      <c r="K855" t="s">
        <v>95</v>
      </c>
      <c r="L855">
        <f t="shared" si="73"/>
        <v>0.17222222222222225</v>
      </c>
      <c r="M855" s="5">
        <v>0.17222222222222225</v>
      </c>
      <c r="N855" t="s">
        <v>43</v>
      </c>
      <c r="R855" s="3">
        <f t="shared" si="69"/>
        <v>4.1333333333333337</v>
      </c>
    </row>
    <row r="856" spans="1:18" hidden="1" x14ac:dyDescent="0.25">
      <c r="A856" t="s">
        <v>925</v>
      </c>
      <c r="B856" t="s">
        <v>640</v>
      </c>
      <c r="C856" t="s">
        <v>643</v>
      </c>
      <c r="D856" s="3">
        <f t="shared" si="70"/>
        <v>9</v>
      </c>
      <c r="E856" t="s">
        <v>12</v>
      </c>
      <c r="F856" t="s">
        <v>13</v>
      </c>
      <c r="G856" t="str">
        <f t="shared" si="71"/>
        <v/>
      </c>
      <c r="H856" t="s">
        <v>14</v>
      </c>
      <c r="I856" t="s">
        <v>926</v>
      </c>
      <c r="J856" s="2">
        <f t="shared" si="72"/>
        <v>1350000</v>
      </c>
      <c r="K856" t="s">
        <v>257</v>
      </c>
      <c r="L856">
        <f t="shared" si="73"/>
        <v>0.17222222222222225</v>
      </c>
      <c r="M856" s="5">
        <v>0.17222222222222225</v>
      </c>
      <c r="N856" t="s">
        <v>43</v>
      </c>
      <c r="P856" t="s">
        <v>757</v>
      </c>
      <c r="R856" s="3">
        <f t="shared" si="69"/>
        <v>4.1333333333333337</v>
      </c>
    </row>
    <row r="857" spans="1:18" hidden="1" x14ac:dyDescent="0.25">
      <c r="A857" t="s">
        <v>845</v>
      </c>
      <c r="B857" t="s">
        <v>640</v>
      </c>
      <c r="C857" t="s">
        <v>643</v>
      </c>
      <c r="D857" s="3">
        <f t="shared" si="70"/>
        <v>12</v>
      </c>
      <c r="E857" t="s">
        <v>33</v>
      </c>
      <c r="F857" t="s">
        <v>13</v>
      </c>
      <c r="G857" t="str">
        <f t="shared" si="71"/>
        <v/>
      </c>
      <c r="H857" t="s">
        <v>14</v>
      </c>
      <c r="I857" t="s">
        <v>846</v>
      </c>
      <c r="J857" s="2">
        <f t="shared" si="72"/>
        <v>1500000</v>
      </c>
      <c r="K857" t="s">
        <v>66</v>
      </c>
      <c r="L857">
        <f t="shared" si="73"/>
        <v>0.17222222222222225</v>
      </c>
      <c r="M857" s="5">
        <v>0.17222222222222225</v>
      </c>
      <c r="N857" t="s">
        <v>43</v>
      </c>
      <c r="P857" t="s">
        <v>757</v>
      </c>
      <c r="R857" s="3">
        <f t="shared" si="69"/>
        <v>4.1333333333333337</v>
      </c>
    </row>
    <row r="858" spans="1:18" hidden="1" x14ac:dyDescent="0.25">
      <c r="A858" t="s">
        <v>943</v>
      </c>
      <c r="B858" t="s">
        <v>640</v>
      </c>
      <c r="C858" t="s">
        <v>643</v>
      </c>
      <c r="D858" s="3">
        <f t="shared" si="70"/>
        <v>13.5</v>
      </c>
      <c r="E858" t="s">
        <v>446</v>
      </c>
      <c r="F858" t="s">
        <v>13</v>
      </c>
      <c r="G858" t="str">
        <f t="shared" si="71"/>
        <v/>
      </c>
      <c r="H858" t="s">
        <v>14</v>
      </c>
      <c r="I858" t="s">
        <v>944</v>
      </c>
      <c r="J858" s="2">
        <f t="shared" si="72"/>
        <v>1650000</v>
      </c>
      <c r="K858" t="s">
        <v>90</v>
      </c>
      <c r="L858">
        <f t="shared" si="73"/>
        <v>0.17291666666666669</v>
      </c>
      <c r="M858" s="5">
        <v>0.17291666666666669</v>
      </c>
      <c r="N858" t="s">
        <v>43</v>
      </c>
      <c r="P858" t="s">
        <v>199</v>
      </c>
      <c r="R858" s="3">
        <f t="shared" si="69"/>
        <v>4.1500000000000004</v>
      </c>
    </row>
    <row r="859" spans="1:18" hidden="1" x14ac:dyDescent="0.25">
      <c r="A859" t="s">
        <v>231</v>
      </c>
      <c r="B859" t="s">
        <v>20</v>
      </c>
      <c r="C859" t="s">
        <v>233</v>
      </c>
      <c r="D859" s="3">
        <f t="shared" si="70"/>
        <v>9</v>
      </c>
      <c r="E859" t="s">
        <v>12</v>
      </c>
      <c r="F859" t="s">
        <v>13</v>
      </c>
      <c r="G859" t="str">
        <f t="shared" si="71"/>
        <v/>
      </c>
      <c r="H859" t="s">
        <v>14</v>
      </c>
      <c r="I859" t="s">
        <v>232</v>
      </c>
      <c r="J859" s="2">
        <f t="shared" si="72"/>
        <v>900000</v>
      </c>
      <c r="K859" t="s">
        <v>101</v>
      </c>
      <c r="L859">
        <f t="shared" si="73"/>
        <v>0</v>
      </c>
      <c r="N859" t="s">
        <v>18</v>
      </c>
      <c r="R859" s="3">
        <f t="shared" si="69"/>
        <v>0</v>
      </c>
    </row>
    <row r="860" spans="1:18" hidden="1" x14ac:dyDescent="0.25">
      <c r="A860" t="s">
        <v>3757</v>
      </c>
      <c r="B860" t="s">
        <v>3746</v>
      </c>
      <c r="C860" t="s">
        <v>3759</v>
      </c>
      <c r="D860" s="3">
        <f t="shared" si="70"/>
        <v>24</v>
      </c>
      <c r="E860" t="s">
        <v>584</v>
      </c>
      <c r="F860" t="s">
        <v>13</v>
      </c>
      <c r="G860" t="str">
        <f t="shared" si="71"/>
        <v/>
      </c>
      <c r="H860" t="s">
        <v>14</v>
      </c>
      <c r="I860" t="s">
        <v>3758</v>
      </c>
      <c r="J860" s="2">
        <f t="shared" si="72"/>
        <v>1200000</v>
      </c>
      <c r="K860" t="s">
        <v>36</v>
      </c>
      <c r="L860">
        <f t="shared" si="73"/>
        <v>0</v>
      </c>
      <c r="N860" t="s">
        <v>18</v>
      </c>
      <c r="R860" s="3">
        <f t="shared" si="69"/>
        <v>0</v>
      </c>
    </row>
    <row r="861" spans="1:18" x14ac:dyDescent="0.25">
      <c r="A861" t="s">
        <v>1213</v>
      </c>
      <c r="B861" t="s">
        <v>640</v>
      </c>
      <c r="C861" t="s">
        <v>664</v>
      </c>
      <c r="D861" s="3">
        <f t="shared" si="70"/>
        <v>12</v>
      </c>
      <c r="E861" t="s">
        <v>33</v>
      </c>
      <c r="F861" t="s">
        <v>34</v>
      </c>
      <c r="G861" t="str">
        <f t="shared" si="71"/>
        <v/>
      </c>
      <c r="H861" t="s">
        <v>14</v>
      </c>
      <c r="I861" t="s">
        <v>1214</v>
      </c>
      <c r="J861" s="2">
        <f t="shared" si="72"/>
        <v>1450000</v>
      </c>
      <c r="K861" t="s">
        <v>29</v>
      </c>
      <c r="L861">
        <f t="shared" si="73"/>
        <v>0.17222222222222225</v>
      </c>
      <c r="M861" s="5">
        <v>0.17222222222222225</v>
      </c>
      <c r="N861" t="s">
        <v>37</v>
      </c>
      <c r="R861" s="3">
        <f t="shared" si="69"/>
        <v>4.1333333333333337</v>
      </c>
    </row>
    <row r="862" spans="1:18" hidden="1" x14ac:dyDescent="0.25">
      <c r="A862" t="s">
        <v>1456</v>
      </c>
      <c r="B862" t="s">
        <v>1303</v>
      </c>
      <c r="C862" t="s">
        <v>1392</v>
      </c>
      <c r="D862" s="3">
        <f t="shared" si="70"/>
        <v>10</v>
      </c>
      <c r="E862" t="s">
        <v>1457</v>
      </c>
      <c r="F862" t="s">
        <v>13</v>
      </c>
      <c r="G862" t="str">
        <f t="shared" si="71"/>
        <v/>
      </c>
      <c r="H862" t="s">
        <v>14</v>
      </c>
      <c r="I862" t="s">
        <v>1458</v>
      </c>
      <c r="J862" s="2">
        <f t="shared" si="72"/>
        <v>2400000</v>
      </c>
      <c r="K862" t="s">
        <v>133</v>
      </c>
      <c r="L862">
        <f t="shared" si="73"/>
        <v>0.12916666666666668</v>
      </c>
      <c r="M862" s="5">
        <v>0.12916666666666668</v>
      </c>
      <c r="N862" t="s">
        <v>43</v>
      </c>
      <c r="P862" t="s">
        <v>669</v>
      </c>
      <c r="R862" s="3">
        <f t="shared" si="69"/>
        <v>3.1000000000000005</v>
      </c>
    </row>
    <row r="863" spans="1:18" hidden="1" x14ac:dyDescent="0.25">
      <c r="A863" t="s">
        <v>1989</v>
      </c>
      <c r="B863" t="s">
        <v>2596</v>
      </c>
      <c r="C863" t="s">
        <v>1991</v>
      </c>
      <c r="D863" s="3">
        <f t="shared" si="70"/>
        <v>12</v>
      </c>
      <c r="E863" t="s">
        <v>33</v>
      </c>
      <c r="F863" t="s">
        <v>13</v>
      </c>
      <c r="G863" t="str">
        <f t="shared" si="71"/>
        <v/>
      </c>
      <c r="H863" t="s">
        <v>14</v>
      </c>
      <c r="I863" t="s">
        <v>1990</v>
      </c>
      <c r="J863" s="2">
        <f t="shared" si="72"/>
        <v>1600000</v>
      </c>
      <c r="K863" t="s">
        <v>95</v>
      </c>
      <c r="L863">
        <f t="shared" si="73"/>
        <v>0.16944444444444443</v>
      </c>
      <c r="M863" s="5">
        <v>0.16944444444444443</v>
      </c>
      <c r="N863" t="s">
        <v>43</v>
      </c>
      <c r="P863" t="s">
        <v>979</v>
      </c>
      <c r="R863" s="3">
        <f t="shared" si="69"/>
        <v>4.0666666666666664</v>
      </c>
    </row>
    <row r="864" spans="1:18" hidden="1" x14ac:dyDescent="0.25">
      <c r="A864" t="s">
        <v>5093</v>
      </c>
      <c r="B864" t="s">
        <v>4806</v>
      </c>
      <c r="C864" t="s">
        <v>4939</v>
      </c>
      <c r="D864" s="3">
        <f t="shared" si="70"/>
        <v>9</v>
      </c>
      <c r="E864" t="s">
        <v>12</v>
      </c>
      <c r="F864" t="s">
        <v>34</v>
      </c>
      <c r="G864" t="str">
        <f t="shared" si="71"/>
        <v/>
      </c>
      <c r="H864" t="s">
        <v>14</v>
      </c>
      <c r="I864" t="s">
        <v>5094</v>
      </c>
      <c r="J864" s="2">
        <f t="shared" si="72"/>
        <v>700000</v>
      </c>
      <c r="K864" t="s">
        <v>157</v>
      </c>
      <c r="L864">
        <f t="shared" si="73"/>
        <v>0.16666666666666666</v>
      </c>
      <c r="M864" s="5">
        <v>0.16666666666666666</v>
      </c>
      <c r="N864" t="s">
        <v>43</v>
      </c>
      <c r="R864" s="3">
        <f t="shared" si="69"/>
        <v>4</v>
      </c>
    </row>
    <row r="865" spans="1:18" hidden="1" x14ac:dyDescent="0.25">
      <c r="A865" t="s">
        <v>5293</v>
      </c>
      <c r="B865" t="s">
        <v>4806</v>
      </c>
      <c r="C865" t="s">
        <v>4939</v>
      </c>
      <c r="D865" s="3">
        <f t="shared" si="70"/>
        <v>9</v>
      </c>
      <c r="E865" t="s">
        <v>12</v>
      </c>
      <c r="F865" t="s">
        <v>13</v>
      </c>
      <c r="G865" t="str">
        <f t="shared" si="71"/>
        <v/>
      </c>
      <c r="H865" t="s">
        <v>14</v>
      </c>
      <c r="I865" t="s">
        <v>5294</v>
      </c>
      <c r="J865" s="2">
        <f t="shared" si="72"/>
        <v>615000</v>
      </c>
      <c r="K865" t="s">
        <v>5295</v>
      </c>
      <c r="L865">
        <f t="shared" si="73"/>
        <v>0</v>
      </c>
      <c r="N865" t="s">
        <v>43</v>
      </c>
      <c r="R865" s="3">
        <f t="shared" si="69"/>
        <v>0</v>
      </c>
    </row>
    <row r="866" spans="1:18" hidden="1" x14ac:dyDescent="0.25">
      <c r="A866" t="s">
        <v>5293</v>
      </c>
      <c r="B866" t="s">
        <v>4806</v>
      </c>
      <c r="C866" t="s">
        <v>4939</v>
      </c>
      <c r="D866" s="3">
        <f t="shared" si="70"/>
        <v>9</v>
      </c>
      <c r="E866" t="s">
        <v>12</v>
      </c>
      <c r="F866" t="s">
        <v>13</v>
      </c>
      <c r="G866" t="str">
        <f t="shared" si="71"/>
        <v/>
      </c>
      <c r="H866" t="s">
        <v>14</v>
      </c>
      <c r="I866" t="s">
        <v>5320</v>
      </c>
      <c r="J866" s="2">
        <f t="shared" si="72"/>
        <v>615000</v>
      </c>
      <c r="K866" t="s">
        <v>5295</v>
      </c>
      <c r="L866">
        <f t="shared" si="73"/>
        <v>0</v>
      </c>
      <c r="N866" t="s">
        <v>43</v>
      </c>
      <c r="R866" s="3">
        <f t="shared" si="69"/>
        <v>0</v>
      </c>
    </row>
    <row r="867" spans="1:18" hidden="1" x14ac:dyDescent="0.25">
      <c r="A867" t="s">
        <v>5293</v>
      </c>
      <c r="B867" t="s">
        <v>4806</v>
      </c>
      <c r="C867" t="s">
        <v>4939</v>
      </c>
      <c r="D867" s="3">
        <f t="shared" si="70"/>
        <v>9</v>
      </c>
      <c r="E867" t="s">
        <v>12</v>
      </c>
      <c r="F867" t="s">
        <v>13</v>
      </c>
      <c r="G867" t="str">
        <f t="shared" si="71"/>
        <v/>
      </c>
      <c r="H867" t="s">
        <v>14</v>
      </c>
      <c r="I867" t="s">
        <v>5327</v>
      </c>
      <c r="J867" s="2">
        <f t="shared" si="72"/>
        <v>615000</v>
      </c>
      <c r="K867" t="s">
        <v>5295</v>
      </c>
      <c r="L867">
        <f t="shared" si="73"/>
        <v>0</v>
      </c>
      <c r="N867" t="s">
        <v>43</v>
      </c>
      <c r="R867" s="3">
        <f t="shared" si="69"/>
        <v>0</v>
      </c>
    </row>
    <row r="868" spans="1:18" hidden="1" x14ac:dyDescent="0.25">
      <c r="A868" t="s">
        <v>5459</v>
      </c>
      <c r="B868" t="s">
        <v>5848</v>
      </c>
      <c r="C868" t="s">
        <v>5461</v>
      </c>
      <c r="D868" s="3">
        <f t="shared" si="70"/>
        <v>9</v>
      </c>
      <c r="E868" t="s">
        <v>12</v>
      </c>
      <c r="F868" t="s">
        <v>13</v>
      </c>
      <c r="G868" t="str">
        <f t="shared" si="71"/>
        <v/>
      </c>
      <c r="H868" t="s">
        <v>14</v>
      </c>
      <c r="I868" t="s">
        <v>5460</v>
      </c>
      <c r="J868" s="2">
        <f t="shared" si="72"/>
        <v>1200000</v>
      </c>
      <c r="K868" t="s">
        <v>36</v>
      </c>
      <c r="L868">
        <f t="shared" si="73"/>
        <v>0.20833333333333334</v>
      </c>
      <c r="M868" s="5">
        <v>0.20833333333333334</v>
      </c>
      <c r="N868" t="s">
        <v>43</v>
      </c>
      <c r="R868" s="3">
        <f t="shared" si="69"/>
        <v>5</v>
      </c>
    </row>
    <row r="869" spans="1:18" x14ac:dyDescent="0.25">
      <c r="A869" t="s">
        <v>3803</v>
      </c>
      <c r="B869" t="s">
        <v>3746</v>
      </c>
      <c r="C869" t="s">
        <v>3746</v>
      </c>
      <c r="D869" s="3">
        <f t="shared" si="70"/>
        <v>6</v>
      </c>
      <c r="E869" t="s">
        <v>285</v>
      </c>
      <c r="F869" t="s">
        <v>13</v>
      </c>
      <c r="G869">
        <f t="shared" si="71"/>
        <v>1525000</v>
      </c>
      <c r="H869" t="s">
        <v>27</v>
      </c>
      <c r="I869" t="s">
        <v>3804</v>
      </c>
      <c r="J869" s="2">
        <f t="shared" si="72"/>
        <v>1450000</v>
      </c>
      <c r="K869" t="s">
        <v>29</v>
      </c>
      <c r="L869">
        <f t="shared" si="73"/>
        <v>0.17083333333333331</v>
      </c>
      <c r="M869" s="5">
        <v>0.17083333333333331</v>
      </c>
      <c r="N869" t="s">
        <v>18</v>
      </c>
      <c r="P869" t="s">
        <v>31</v>
      </c>
      <c r="R869" s="3">
        <f t="shared" si="69"/>
        <v>4.0999999999999996</v>
      </c>
    </row>
    <row r="870" spans="1:18" hidden="1" x14ac:dyDescent="0.25">
      <c r="A870" t="s">
        <v>916</v>
      </c>
      <c r="B870" t="s">
        <v>640</v>
      </c>
      <c r="C870" t="s">
        <v>918</v>
      </c>
      <c r="D870" s="3">
        <f t="shared" si="70"/>
        <v>12</v>
      </c>
      <c r="E870" t="s">
        <v>33</v>
      </c>
      <c r="F870" t="s">
        <v>13</v>
      </c>
      <c r="G870" t="str">
        <f t="shared" si="71"/>
        <v/>
      </c>
      <c r="H870" t="s">
        <v>14</v>
      </c>
      <c r="I870" t="s">
        <v>917</v>
      </c>
      <c r="J870" s="2">
        <f t="shared" si="72"/>
        <v>1300000</v>
      </c>
      <c r="K870" t="s">
        <v>17</v>
      </c>
      <c r="L870">
        <f t="shared" si="73"/>
        <v>0.20833333333333334</v>
      </c>
      <c r="M870" s="5">
        <v>0.20833333333333334</v>
      </c>
      <c r="N870" t="s">
        <v>43</v>
      </c>
      <c r="R870" s="3">
        <f t="shared" si="69"/>
        <v>5</v>
      </c>
    </row>
    <row r="871" spans="1:18" hidden="1" x14ac:dyDescent="0.25">
      <c r="A871" t="s">
        <v>2597</v>
      </c>
      <c r="B871" t="s">
        <v>2596</v>
      </c>
      <c r="C871" t="s">
        <v>1350</v>
      </c>
      <c r="D871" s="3">
        <f t="shared" si="70"/>
        <v>9</v>
      </c>
      <c r="E871" t="s">
        <v>12</v>
      </c>
      <c r="F871" t="s">
        <v>13</v>
      </c>
      <c r="G871" t="str">
        <f t="shared" si="71"/>
        <v/>
      </c>
      <c r="H871" t="s">
        <v>14</v>
      </c>
      <c r="I871" t="s">
        <v>2594</v>
      </c>
      <c r="J871" s="2">
        <f t="shared" si="72"/>
        <v>800000</v>
      </c>
      <c r="K871" t="s">
        <v>109</v>
      </c>
      <c r="L871">
        <f t="shared" si="73"/>
        <v>0.20833333333333334</v>
      </c>
      <c r="M871" s="5">
        <v>0.20833333333333334</v>
      </c>
      <c r="N871" t="s">
        <v>37</v>
      </c>
      <c r="R871" s="3">
        <f t="shared" si="69"/>
        <v>5</v>
      </c>
    </row>
    <row r="872" spans="1:18" hidden="1" x14ac:dyDescent="0.25">
      <c r="A872" t="s">
        <v>2597</v>
      </c>
      <c r="B872" t="s">
        <v>2596</v>
      </c>
      <c r="C872" t="s">
        <v>1350</v>
      </c>
      <c r="D872" s="3">
        <f t="shared" si="70"/>
        <v>9</v>
      </c>
      <c r="E872" t="s">
        <v>12</v>
      </c>
      <c r="F872" t="s">
        <v>13</v>
      </c>
      <c r="G872" t="str">
        <f t="shared" si="71"/>
        <v/>
      </c>
      <c r="H872" t="s">
        <v>14</v>
      </c>
      <c r="I872" t="s">
        <v>2594</v>
      </c>
      <c r="J872" s="2">
        <f t="shared" si="72"/>
        <v>800000</v>
      </c>
      <c r="K872" t="s">
        <v>109</v>
      </c>
      <c r="L872">
        <f t="shared" si="73"/>
        <v>0.12569444444444444</v>
      </c>
      <c r="M872" s="5">
        <v>0.12569444444444444</v>
      </c>
      <c r="N872" t="s">
        <v>37</v>
      </c>
      <c r="R872" s="3">
        <f t="shared" si="69"/>
        <v>3.0166666666666666</v>
      </c>
    </row>
    <row r="873" spans="1:18" hidden="1" x14ac:dyDescent="0.25">
      <c r="A873" t="s">
        <v>5050</v>
      </c>
      <c r="B873" t="s">
        <v>4806</v>
      </c>
      <c r="C873" t="s">
        <v>4930</v>
      </c>
      <c r="D873" s="3">
        <f t="shared" si="70"/>
        <v>9</v>
      </c>
      <c r="E873" t="s">
        <v>12</v>
      </c>
      <c r="F873" t="s">
        <v>13</v>
      </c>
      <c r="G873" t="str">
        <f t="shared" si="71"/>
        <v/>
      </c>
      <c r="H873" t="s">
        <v>14</v>
      </c>
      <c r="I873" t="s">
        <v>5051</v>
      </c>
      <c r="J873" s="2">
        <f t="shared" si="72"/>
        <v>700000</v>
      </c>
      <c r="K873" t="s">
        <v>157</v>
      </c>
      <c r="L873">
        <f t="shared" si="73"/>
        <v>0</v>
      </c>
      <c r="N873" t="s">
        <v>18</v>
      </c>
      <c r="R873" s="3">
        <f t="shared" si="69"/>
        <v>0</v>
      </c>
    </row>
    <row r="874" spans="1:18" hidden="1" x14ac:dyDescent="0.25">
      <c r="A874" t="s">
        <v>5033</v>
      </c>
      <c r="B874" t="s">
        <v>4806</v>
      </c>
      <c r="C874" t="s">
        <v>4939</v>
      </c>
      <c r="D874" s="3">
        <f t="shared" si="70"/>
        <v>12</v>
      </c>
      <c r="E874" t="s">
        <v>33</v>
      </c>
      <c r="F874" t="s">
        <v>13</v>
      </c>
      <c r="G874" t="str">
        <f t="shared" si="71"/>
        <v/>
      </c>
      <c r="H874" t="s">
        <v>14</v>
      </c>
      <c r="I874" t="s">
        <v>5034</v>
      </c>
      <c r="J874" s="2">
        <f t="shared" si="72"/>
        <v>1100000</v>
      </c>
      <c r="K874" t="s">
        <v>42</v>
      </c>
      <c r="L874">
        <f t="shared" si="73"/>
        <v>0.20833333333333334</v>
      </c>
      <c r="M874" s="5">
        <v>0.20833333333333334</v>
      </c>
      <c r="N874" t="s">
        <v>37</v>
      </c>
      <c r="R874" s="3">
        <f t="shared" si="69"/>
        <v>5</v>
      </c>
    </row>
    <row r="875" spans="1:18" x14ac:dyDescent="0.25">
      <c r="A875" t="s">
        <v>3572</v>
      </c>
      <c r="B875" t="s">
        <v>3233</v>
      </c>
      <c r="C875" t="s">
        <v>3248</v>
      </c>
      <c r="D875" s="3">
        <f t="shared" si="70"/>
        <v>6</v>
      </c>
      <c r="E875" t="s">
        <v>285</v>
      </c>
      <c r="F875" t="s">
        <v>13</v>
      </c>
      <c r="G875">
        <f t="shared" si="71"/>
        <v>1575000</v>
      </c>
      <c r="H875" t="s">
        <v>1021</v>
      </c>
      <c r="I875" t="s">
        <v>3573</v>
      </c>
      <c r="J875" s="2">
        <f t="shared" si="72"/>
        <v>1451000</v>
      </c>
      <c r="K875" t="s">
        <v>1809</v>
      </c>
      <c r="L875">
        <f t="shared" si="73"/>
        <v>0.16666666666666666</v>
      </c>
      <c r="M875" s="5">
        <v>0.16666666666666666</v>
      </c>
      <c r="N875" t="s">
        <v>43</v>
      </c>
      <c r="P875" t="s">
        <v>1810</v>
      </c>
      <c r="R875" s="3">
        <f t="shared" si="69"/>
        <v>4</v>
      </c>
    </row>
    <row r="876" spans="1:18" x14ac:dyDescent="0.25">
      <c r="A876" t="s">
        <v>1695</v>
      </c>
      <c r="B876" t="s">
        <v>1303</v>
      </c>
      <c r="C876" t="s">
        <v>1342</v>
      </c>
      <c r="D876" s="3">
        <f t="shared" si="70"/>
        <v>7.2900000000000009</v>
      </c>
      <c r="E876" t="s">
        <v>1002</v>
      </c>
      <c r="F876" t="s">
        <v>13</v>
      </c>
      <c r="G876">
        <f t="shared" si="71"/>
        <v>1625000</v>
      </c>
      <c r="H876" t="s">
        <v>702</v>
      </c>
      <c r="I876" t="s">
        <v>1696</v>
      </c>
      <c r="J876" s="2">
        <f t="shared" si="72"/>
        <v>1465000</v>
      </c>
      <c r="K876" t="s">
        <v>704</v>
      </c>
      <c r="L876">
        <f t="shared" si="73"/>
        <v>0.1673611111111111</v>
      </c>
      <c r="M876" s="5">
        <v>0.1673611111111111</v>
      </c>
      <c r="N876" t="s">
        <v>43</v>
      </c>
      <c r="P876" t="s">
        <v>673</v>
      </c>
      <c r="R876" s="3">
        <f t="shared" si="69"/>
        <v>4.0166666666666666</v>
      </c>
    </row>
    <row r="877" spans="1:18" hidden="1" x14ac:dyDescent="0.25">
      <c r="A877" t="s">
        <v>550</v>
      </c>
      <c r="B877" t="s">
        <v>20</v>
      </c>
      <c r="C877" t="s">
        <v>19</v>
      </c>
      <c r="D877" s="3">
        <f t="shared" si="70"/>
        <v>12</v>
      </c>
      <c r="E877" t="s">
        <v>33</v>
      </c>
      <c r="F877" t="s">
        <v>13</v>
      </c>
      <c r="G877" t="str">
        <f t="shared" si="71"/>
        <v/>
      </c>
      <c r="H877" t="s">
        <v>14</v>
      </c>
      <c r="I877" t="s">
        <v>551</v>
      </c>
      <c r="J877" s="2">
        <f t="shared" si="72"/>
        <v>1925000</v>
      </c>
      <c r="K877" t="s">
        <v>552</v>
      </c>
      <c r="L877">
        <f t="shared" si="73"/>
        <v>0</v>
      </c>
      <c r="N877" t="s">
        <v>37</v>
      </c>
      <c r="R877" s="3">
        <f t="shared" si="69"/>
        <v>0</v>
      </c>
    </row>
    <row r="878" spans="1:18" hidden="1" x14ac:dyDescent="0.25">
      <c r="A878" t="s">
        <v>408</v>
      </c>
      <c r="B878" t="s">
        <v>20</v>
      </c>
      <c r="C878" t="s">
        <v>19</v>
      </c>
      <c r="D878" s="3">
        <f t="shared" si="70"/>
        <v>12</v>
      </c>
      <c r="E878" t="s">
        <v>33</v>
      </c>
      <c r="F878" t="s">
        <v>13</v>
      </c>
      <c r="G878" t="str">
        <f t="shared" si="71"/>
        <v/>
      </c>
      <c r="H878" t="s">
        <v>14</v>
      </c>
      <c r="I878" t="s">
        <v>409</v>
      </c>
      <c r="J878" s="2">
        <f t="shared" si="72"/>
        <v>1600000</v>
      </c>
      <c r="K878" t="s">
        <v>95</v>
      </c>
      <c r="L878">
        <f t="shared" si="73"/>
        <v>0</v>
      </c>
      <c r="N878" t="s">
        <v>18</v>
      </c>
      <c r="R878" s="3">
        <f t="shared" si="69"/>
        <v>0</v>
      </c>
    </row>
    <row r="879" spans="1:18" hidden="1" x14ac:dyDescent="0.25">
      <c r="A879" t="s">
        <v>3558</v>
      </c>
      <c r="B879" t="s">
        <v>3233</v>
      </c>
      <c r="C879" t="s">
        <v>3248</v>
      </c>
      <c r="D879" s="3">
        <f t="shared" si="70"/>
        <v>12</v>
      </c>
      <c r="E879" t="s">
        <v>33</v>
      </c>
      <c r="F879" t="s">
        <v>13</v>
      </c>
      <c r="G879" t="str">
        <f t="shared" si="71"/>
        <v/>
      </c>
      <c r="H879" t="s">
        <v>14</v>
      </c>
      <c r="I879" t="s">
        <v>3559</v>
      </c>
      <c r="J879" s="2">
        <f t="shared" si="72"/>
        <v>1400000</v>
      </c>
      <c r="K879" t="s">
        <v>81</v>
      </c>
      <c r="L879">
        <f t="shared" si="73"/>
        <v>0.20833333333333334</v>
      </c>
      <c r="M879" s="5">
        <v>0.20833333333333334</v>
      </c>
      <c r="N879" t="s">
        <v>43</v>
      </c>
      <c r="P879" t="s">
        <v>669</v>
      </c>
      <c r="R879" s="3">
        <f t="shared" si="69"/>
        <v>5</v>
      </c>
    </row>
    <row r="880" spans="1:18" hidden="1" x14ac:dyDescent="0.25">
      <c r="A880" t="s">
        <v>4399</v>
      </c>
      <c r="B880" t="s">
        <v>4272</v>
      </c>
      <c r="C880" t="s">
        <v>4311</v>
      </c>
      <c r="D880" s="3">
        <f t="shared" si="70"/>
        <v>27</v>
      </c>
      <c r="E880" t="s">
        <v>471</v>
      </c>
      <c r="F880" t="s">
        <v>13</v>
      </c>
      <c r="G880" t="str">
        <f t="shared" si="71"/>
        <v/>
      </c>
      <c r="H880" t="s">
        <v>14</v>
      </c>
      <c r="I880" t="s">
        <v>4400</v>
      </c>
      <c r="J880" s="2">
        <f t="shared" si="72"/>
        <v>2000000</v>
      </c>
      <c r="K880" t="s">
        <v>128</v>
      </c>
      <c r="L880">
        <f t="shared" si="73"/>
        <v>0.17083333333333331</v>
      </c>
      <c r="M880" s="5">
        <v>0.17083333333333331</v>
      </c>
      <c r="N880" t="s">
        <v>43</v>
      </c>
      <c r="R880" s="3">
        <f t="shared" si="69"/>
        <v>4.0999999999999996</v>
      </c>
    </row>
    <row r="881" spans="1:18" hidden="1" x14ac:dyDescent="0.25">
      <c r="A881" t="s">
        <v>3720</v>
      </c>
      <c r="B881" t="s">
        <v>3233</v>
      </c>
      <c r="C881" t="s">
        <v>3232</v>
      </c>
      <c r="D881" s="3">
        <f t="shared" si="70"/>
        <v>9</v>
      </c>
      <c r="E881" t="s">
        <v>12</v>
      </c>
      <c r="F881" t="s">
        <v>13</v>
      </c>
      <c r="G881" t="str">
        <f t="shared" si="71"/>
        <v/>
      </c>
      <c r="H881" t="s">
        <v>14</v>
      </c>
      <c r="I881" t="s">
        <v>3721</v>
      </c>
      <c r="J881" s="2">
        <f t="shared" si="72"/>
        <v>1350000</v>
      </c>
      <c r="K881" t="s">
        <v>257</v>
      </c>
      <c r="L881">
        <f t="shared" si="73"/>
        <v>0.20833333333333334</v>
      </c>
      <c r="M881" s="5">
        <v>0.20833333333333334</v>
      </c>
      <c r="N881" t="s">
        <v>43</v>
      </c>
      <c r="R881" s="3">
        <f t="shared" si="69"/>
        <v>5</v>
      </c>
    </row>
    <row r="882" spans="1:18" hidden="1" x14ac:dyDescent="0.25">
      <c r="A882" t="s">
        <v>4243</v>
      </c>
      <c r="B882" t="s">
        <v>3746</v>
      </c>
      <c r="C882" t="s">
        <v>3746</v>
      </c>
      <c r="D882" s="3">
        <f t="shared" si="70"/>
        <v>9</v>
      </c>
      <c r="E882" t="s">
        <v>12</v>
      </c>
      <c r="F882" t="s">
        <v>13</v>
      </c>
      <c r="G882" t="str">
        <f t="shared" si="71"/>
        <v/>
      </c>
      <c r="H882" t="s">
        <v>14</v>
      </c>
      <c r="I882" t="s">
        <v>4244</v>
      </c>
      <c r="J882" s="2">
        <f t="shared" si="72"/>
        <v>1700000</v>
      </c>
      <c r="K882" t="s">
        <v>23</v>
      </c>
      <c r="L882">
        <f t="shared" si="73"/>
        <v>0.16666666666666666</v>
      </c>
      <c r="M882" s="5">
        <v>0.16666666666666666</v>
      </c>
      <c r="N882" t="s">
        <v>43</v>
      </c>
      <c r="P882" t="s">
        <v>199</v>
      </c>
      <c r="R882" s="3">
        <f t="shared" si="69"/>
        <v>4</v>
      </c>
    </row>
    <row r="883" spans="1:18" hidden="1" x14ac:dyDescent="0.25">
      <c r="A883" t="s">
        <v>2463</v>
      </c>
      <c r="B883" t="s">
        <v>2596</v>
      </c>
      <c r="C883" t="s">
        <v>1999</v>
      </c>
      <c r="D883" s="3">
        <f t="shared" si="70"/>
        <v>12</v>
      </c>
      <c r="E883" t="s">
        <v>33</v>
      </c>
      <c r="F883" t="s">
        <v>13</v>
      </c>
      <c r="G883" t="str">
        <f t="shared" si="71"/>
        <v/>
      </c>
      <c r="H883" t="s">
        <v>14</v>
      </c>
      <c r="I883" t="s">
        <v>2464</v>
      </c>
      <c r="J883" s="2">
        <f t="shared" si="72"/>
        <v>2300000</v>
      </c>
      <c r="K883" t="s">
        <v>820</v>
      </c>
      <c r="L883">
        <f t="shared" si="73"/>
        <v>0.17083333333333331</v>
      </c>
      <c r="M883" s="5">
        <v>0.17083333333333331</v>
      </c>
      <c r="N883" t="s">
        <v>43</v>
      </c>
      <c r="R883" s="3">
        <f t="shared" si="69"/>
        <v>4.0999999999999996</v>
      </c>
    </row>
    <row r="884" spans="1:18" x14ac:dyDescent="0.25">
      <c r="A884" t="s">
        <v>4542</v>
      </c>
      <c r="B884" t="s">
        <v>4272</v>
      </c>
      <c r="C884" t="s">
        <v>4441</v>
      </c>
      <c r="D884" s="3">
        <f t="shared" si="70"/>
        <v>13.5</v>
      </c>
      <c r="E884" t="s">
        <v>667</v>
      </c>
      <c r="F884" t="s">
        <v>13</v>
      </c>
      <c r="G884">
        <f t="shared" si="71"/>
        <v>1625000</v>
      </c>
      <c r="H884" t="s">
        <v>702</v>
      </c>
      <c r="I884" t="s">
        <v>4543</v>
      </c>
      <c r="J884" s="2">
        <f t="shared" si="72"/>
        <v>1465000</v>
      </c>
      <c r="K884" t="s">
        <v>704</v>
      </c>
      <c r="L884">
        <f t="shared" si="73"/>
        <v>0</v>
      </c>
      <c r="N884" t="s">
        <v>37</v>
      </c>
      <c r="P884" t="s">
        <v>673</v>
      </c>
      <c r="R884" s="3">
        <f t="shared" si="69"/>
        <v>0</v>
      </c>
    </row>
    <row r="885" spans="1:18" hidden="1" x14ac:dyDescent="0.25">
      <c r="A885" t="s">
        <v>3726</v>
      </c>
      <c r="B885" t="s">
        <v>3233</v>
      </c>
      <c r="C885" t="s">
        <v>3261</v>
      </c>
      <c r="D885" s="3">
        <f t="shared" si="70"/>
        <v>9</v>
      </c>
      <c r="E885" t="s">
        <v>12</v>
      </c>
      <c r="F885" t="s">
        <v>13</v>
      </c>
      <c r="G885" t="str">
        <f t="shared" si="71"/>
        <v/>
      </c>
      <c r="H885" t="s">
        <v>14</v>
      </c>
      <c r="I885" t="s">
        <v>3727</v>
      </c>
      <c r="J885" s="2">
        <f t="shared" si="72"/>
        <v>800000</v>
      </c>
      <c r="K885" t="s">
        <v>109</v>
      </c>
      <c r="L885">
        <f t="shared" si="73"/>
        <v>0</v>
      </c>
      <c r="N885" t="s">
        <v>18</v>
      </c>
      <c r="R885" s="3">
        <f t="shared" si="69"/>
        <v>0</v>
      </c>
    </row>
    <row r="886" spans="1:18" hidden="1" x14ac:dyDescent="0.25">
      <c r="A886" t="s">
        <v>5846</v>
      </c>
      <c r="B886" t="s">
        <v>5848</v>
      </c>
      <c r="C886" t="s">
        <v>5409</v>
      </c>
      <c r="D886" s="3">
        <f t="shared" si="70"/>
        <v>4</v>
      </c>
      <c r="E886" t="s">
        <v>313</v>
      </c>
      <c r="F886" t="s">
        <v>13</v>
      </c>
      <c r="G886" t="str">
        <f t="shared" si="71"/>
        <v/>
      </c>
      <c r="H886" t="s">
        <v>14</v>
      </c>
      <c r="I886" t="s">
        <v>5847</v>
      </c>
      <c r="J886" s="2">
        <f t="shared" si="72"/>
        <v>1250000</v>
      </c>
      <c r="K886" t="s">
        <v>202</v>
      </c>
      <c r="L886">
        <f t="shared" si="73"/>
        <v>0</v>
      </c>
      <c r="N886" t="s">
        <v>18</v>
      </c>
      <c r="R886" s="3">
        <f t="shared" si="69"/>
        <v>0</v>
      </c>
    </row>
    <row r="887" spans="1:18" hidden="1" x14ac:dyDescent="0.25">
      <c r="A887" t="s">
        <v>5846</v>
      </c>
      <c r="B887" t="s">
        <v>5848</v>
      </c>
      <c r="C887" t="s">
        <v>5409</v>
      </c>
      <c r="D887" s="3" t="e">
        <f t="shared" si="70"/>
        <v>#VALUE!</v>
      </c>
      <c r="E887" t="s">
        <v>14</v>
      </c>
      <c r="F887" t="s">
        <v>14</v>
      </c>
      <c r="G887" t="str">
        <f t="shared" si="71"/>
        <v/>
      </c>
      <c r="H887" t="s">
        <v>14</v>
      </c>
      <c r="I887" t="s">
        <v>110</v>
      </c>
      <c r="J887" s="2">
        <f t="shared" si="72"/>
        <v>1250000</v>
      </c>
      <c r="K887" t="s">
        <v>202</v>
      </c>
      <c r="L887">
        <f t="shared" si="73"/>
        <v>0</v>
      </c>
      <c r="N887" t="s">
        <v>18</v>
      </c>
      <c r="R887" s="3">
        <f t="shared" si="69"/>
        <v>0</v>
      </c>
    </row>
    <row r="888" spans="1:18" hidden="1" x14ac:dyDescent="0.25">
      <c r="A888" t="s">
        <v>1486</v>
      </c>
      <c r="B888" t="s">
        <v>1303</v>
      </c>
      <c r="C888" t="s">
        <v>1322</v>
      </c>
      <c r="D888" s="3">
        <f t="shared" si="70"/>
        <v>14</v>
      </c>
      <c r="E888" t="s">
        <v>238</v>
      </c>
      <c r="F888" t="s">
        <v>13</v>
      </c>
      <c r="G888" t="str">
        <f t="shared" si="71"/>
        <v/>
      </c>
      <c r="H888" t="s">
        <v>14</v>
      </c>
      <c r="I888" t="s">
        <v>1487</v>
      </c>
      <c r="J888" s="2">
        <f t="shared" si="72"/>
        <v>2370000</v>
      </c>
      <c r="K888" t="s">
        <v>1488</v>
      </c>
      <c r="L888">
        <f t="shared" si="73"/>
        <v>0.20833333333333334</v>
      </c>
      <c r="M888" s="5">
        <v>0.20833333333333334</v>
      </c>
      <c r="N888" t="s">
        <v>43</v>
      </c>
      <c r="R888" s="3">
        <f t="shared" si="69"/>
        <v>5</v>
      </c>
    </row>
    <row r="889" spans="1:18" hidden="1" x14ac:dyDescent="0.25">
      <c r="A889" t="s">
        <v>1857</v>
      </c>
      <c r="B889" t="s">
        <v>1303</v>
      </c>
      <c r="C889" t="s">
        <v>1312</v>
      </c>
      <c r="D889" s="3">
        <f t="shared" si="70"/>
        <v>12</v>
      </c>
      <c r="E889" t="s">
        <v>1858</v>
      </c>
      <c r="F889" t="s">
        <v>13</v>
      </c>
      <c r="G889" t="str">
        <f t="shared" si="71"/>
        <v/>
      </c>
      <c r="H889" t="s">
        <v>14</v>
      </c>
      <c r="I889" t="s">
        <v>1859</v>
      </c>
      <c r="J889" s="2">
        <f t="shared" si="72"/>
        <v>2380000</v>
      </c>
      <c r="K889" t="s">
        <v>1860</v>
      </c>
      <c r="L889">
        <f t="shared" si="73"/>
        <v>0.13055555555555556</v>
      </c>
      <c r="M889" s="5">
        <v>0.13055555555555556</v>
      </c>
      <c r="N889" t="s">
        <v>43</v>
      </c>
      <c r="R889" s="3">
        <f t="shared" si="69"/>
        <v>3.1333333333333337</v>
      </c>
    </row>
    <row r="890" spans="1:18" hidden="1" x14ac:dyDescent="0.25">
      <c r="A890" t="s">
        <v>473</v>
      </c>
      <c r="B890" t="s">
        <v>20</v>
      </c>
      <c r="C890" t="s">
        <v>30</v>
      </c>
      <c r="D890" s="3">
        <f t="shared" si="70"/>
        <v>12</v>
      </c>
      <c r="E890" t="s">
        <v>33</v>
      </c>
      <c r="F890" t="s">
        <v>34</v>
      </c>
      <c r="G890" t="str">
        <f t="shared" si="71"/>
        <v/>
      </c>
      <c r="H890" t="s">
        <v>14</v>
      </c>
      <c r="I890" t="s">
        <v>474</v>
      </c>
      <c r="J890" s="2">
        <f t="shared" si="72"/>
        <v>850000</v>
      </c>
      <c r="K890" t="s">
        <v>185</v>
      </c>
      <c r="L890">
        <f t="shared" si="73"/>
        <v>0</v>
      </c>
      <c r="N890" t="s">
        <v>18</v>
      </c>
      <c r="R890" s="3">
        <f t="shared" si="69"/>
        <v>0</v>
      </c>
    </row>
    <row r="891" spans="1:18" hidden="1" x14ac:dyDescent="0.25">
      <c r="A891" t="s">
        <v>520</v>
      </c>
      <c r="B891" t="s">
        <v>20</v>
      </c>
      <c r="C891" t="s">
        <v>293</v>
      </c>
      <c r="D891" s="3">
        <f t="shared" si="70"/>
        <v>18</v>
      </c>
      <c r="E891" t="s">
        <v>126</v>
      </c>
      <c r="F891" t="s">
        <v>13</v>
      </c>
      <c r="G891" t="str">
        <f t="shared" si="71"/>
        <v/>
      </c>
      <c r="H891" t="s">
        <v>14</v>
      </c>
      <c r="I891" t="s">
        <v>521</v>
      </c>
      <c r="J891" s="2">
        <f t="shared" si="72"/>
        <v>800000</v>
      </c>
      <c r="K891" t="s">
        <v>109</v>
      </c>
      <c r="L891">
        <f t="shared" si="73"/>
        <v>0</v>
      </c>
      <c r="N891" t="s">
        <v>43</v>
      </c>
      <c r="R891" s="3">
        <f t="shared" si="69"/>
        <v>0</v>
      </c>
    </row>
    <row r="892" spans="1:18" hidden="1" x14ac:dyDescent="0.25">
      <c r="A892" t="s">
        <v>5013</v>
      </c>
      <c r="B892" t="s">
        <v>4806</v>
      </c>
      <c r="C892" t="s">
        <v>5015</v>
      </c>
      <c r="D892" s="3">
        <f t="shared" si="70"/>
        <v>9</v>
      </c>
      <c r="E892" t="s">
        <v>12</v>
      </c>
      <c r="F892" t="s">
        <v>13</v>
      </c>
      <c r="G892" t="str">
        <f t="shared" si="71"/>
        <v/>
      </c>
      <c r="H892" t="s">
        <v>14</v>
      </c>
      <c r="I892" t="s">
        <v>5014</v>
      </c>
      <c r="J892" s="2">
        <f t="shared" si="72"/>
        <v>550000</v>
      </c>
      <c r="K892" t="s">
        <v>62</v>
      </c>
      <c r="L892">
        <f t="shared" si="73"/>
        <v>0</v>
      </c>
      <c r="N892" t="s">
        <v>18</v>
      </c>
      <c r="R892" s="3">
        <f t="shared" si="69"/>
        <v>0</v>
      </c>
    </row>
    <row r="893" spans="1:18" hidden="1" x14ac:dyDescent="0.25">
      <c r="A893" t="s">
        <v>3947</v>
      </c>
      <c r="B893" t="s">
        <v>3746</v>
      </c>
      <c r="C893" t="s">
        <v>3949</v>
      </c>
      <c r="D893" s="3">
        <f t="shared" si="70"/>
        <v>12</v>
      </c>
      <c r="E893" t="s">
        <v>33</v>
      </c>
      <c r="F893" t="s">
        <v>13</v>
      </c>
      <c r="G893" t="str">
        <f t="shared" si="71"/>
        <v/>
      </c>
      <c r="H893" t="s">
        <v>14</v>
      </c>
      <c r="I893" t="s">
        <v>3948</v>
      </c>
      <c r="J893" s="2">
        <f t="shared" si="72"/>
        <v>1700000</v>
      </c>
      <c r="K893" t="s">
        <v>23</v>
      </c>
      <c r="L893">
        <f t="shared" si="73"/>
        <v>0.17222222222222225</v>
      </c>
      <c r="M893" s="5">
        <v>0.17222222222222225</v>
      </c>
      <c r="N893" t="s">
        <v>43</v>
      </c>
      <c r="P893" t="s">
        <v>199</v>
      </c>
      <c r="R893" s="3">
        <f t="shared" si="69"/>
        <v>4.1333333333333337</v>
      </c>
    </row>
    <row r="894" spans="1:18" hidden="1" x14ac:dyDescent="0.25">
      <c r="A894" t="s">
        <v>4071</v>
      </c>
      <c r="B894" t="s">
        <v>3746</v>
      </c>
      <c r="C894" t="s">
        <v>3746</v>
      </c>
      <c r="D894" s="3">
        <f t="shared" si="70"/>
        <v>9</v>
      </c>
      <c r="E894" t="s">
        <v>12</v>
      </c>
      <c r="F894" t="s">
        <v>13</v>
      </c>
      <c r="G894" t="str">
        <f t="shared" si="71"/>
        <v/>
      </c>
      <c r="H894" t="s">
        <v>14</v>
      </c>
      <c r="I894" t="s">
        <v>4072</v>
      </c>
      <c r="J894" s="2">
        <f t="shared" si="72"/>
        <v>1500000</v>
      </c>
      <c r="K894" t="s">
        <v>66</v>
      </c>
      <c r="L894">
        <f t="shared" si="73"/>
        <v>0</v>
      </c>
      <c r="N894" t="s">
        <v>37</v>
      </c>
      <c r="R894" s="3">
        <f t="shared" si="69"/>
        <v>0</v>
      </c>
    </row>
    <row r="895" spans="1:18" hidden="1" x14ac:dyDescent="0.25">
      <c r="A895" t="s">
        <v>4066</v>
      </c>
      <c r="B895" t="s">
        <v>3746</v>
      </c>
      <c r="C895" t="s">
        <v>4068</v>
      </c>
      <c r="D895" s="3">
        <f t="shared" si="70"/>
        <v>12</v>
      </c>
      <c r="E895" t="s">
        <v>33</v>
      </c>
      <c r="F895" t="s">
        <v>13</v>
      </c>
      <c r="G895" t="str">
        <f t="shared" si="71"/>
        <v/>
      </c>
      <c r="H895" t="s">
        <v>14</v>
      </c>
      <c r="I895" t="s">
        <v>4067</v>
      </c>
      <c r="J895" s="2">
        <f t="shared" si="72"/>
        <v>1250000</v>
      </c>
      <c r="K895" t="s">
        <v>202</v>
      </c>
      <c r="L895">
        <f t="shared" si="73"/>
        <v>0.17222222222222225</v>
      </c>
      <c r="M895" s="5">
        <v>0.17222222222222225</v>
      </c>
      <c r="N895" t="s">
        <v>43</v>
      </c>
      <c r="R895" s="3">
        <f t="shared" si="69"/>
        <v>4.1333333333333337</v>
      </c>
    </row>
    <row r="896" spans="1:18" x14ac:dyDescent="0.25">
      <c r="A896" t="s">
        <v>701</v>
      </c>
      <c r="B896" t="s">
        <v>640</v>
      </c>
      <c r="C896" t="s">
        <v>643</v>
      </c>
      <c r="D896" s="3">
        <f t="shared" si="70"/>
        <v>12</v>
      </c>
      <c r="E896" t="s">
        <v>33</v>
      </c>
      <c r="F896" t="s">
        <v>13</v>
      </c>
      <c r="G896">
        <f t="shared" si="71"/>
        <v>1625000</v>
      </c>
      <c r="H896" t="s">
        <v>702</v>
      </c>
      <c r="I896" t="s">
        <v>703</v>
      </c>
      <c r="J896" s="2">
        <f t="shared" si="72"/>
        <v>1465000</v>
      </c>
      <c r="K896" t="s">
        <v>704</v>
      </c>
      <c r="L896">
        <f t="shared" si="73"/>
        <v>0.17222222222222225</v>
      </c>
      <c r="M896" s="5">
        <v>0.17222222222222225</v>
      </c>
      <c r="N896" t="s">
        <v>18</v>
      </c>
      <c r="P896" t="s">
        <v>673</v>
      </c>
      <c r="R896" s="3">
        <f t="shared" si="69"/>
        <v>4.1333333333333337</v>
      </c>
    </row>
    <row r="897" spans="1:18" hidden="1" x14ac:dyDescent="0.25">
      <c r="A897" t="s">
        <v>5576</v>
      </c>
      <c r="B897" t="s">
        <v>5848</v>
      </c>
      <c r="C897" t="s">
        <v>5339</v>
      </c>
      <c r="D897" s="3">
        <f t="shared" si="70"/>
        <v>9</v>
      </c>
      <c r="E897" t="s">
        <v>12</v>
      </c>
      <c r="F897" t="s">
        <v>13</v>
      </c>
      <c r="G897" t="str">
        <f t="shared" si="71"/>
        <v/>
      </c>
      <c r="H897" t="s">
        <v>14</v>
      </c>
      <c r="I897" t="s">
        <v>5577</v>
      </c>
      <c r="J897" s="2">
        <f t="shared" si="72"/>
        <v>1600000</v>
      </c>
      <c r="K897" t="s">
        <v>95</v>
      </c>
      <c r="L897">
        <f t="shared" si="73"/>
        <v>8.4027777777777771E-2</v>
      </c>
      <c r="M897" s="5">
        <v>8.4027777777777771E-2</v>
      </c>
      <c r="N897" t="s">
        <v>18</v>
      </c>
      <c r="R897" s="3">
        <f t="shared" si="69"/>
        <v>2.0166666666666666</v>
      </c>
    </row>
    <row r="898" spans="1:18" hidden="1" x14ac:dyDescent="0.25">
      <c r="A898" t="s">
        <v>445</v>
      </c>
      <c r="B898" t="s">
        <v>20</v>
      </c>
      <c r="C898" t="s">
        <v>84</v>
      </c>
      <c r="D898" s="3">
        <f t="shared" si="70"/>
        <v>13.5</v>
      </c>
      <c r="E898" t="s">
        <v>446</v>
      </c>
      <c r="F898" t="s">
        <v>13</v>
      </c>
      <c r="G898" t="str">
        <f t="shared" si="71"/>
        <v/>
      </c>
      <c r="H898" t="s">
        <v>14</v>
      </c>
      <c r="I898" t="s">
        <v>447</v>
      </c>
      <c r="J898" s="2">
        <f t="shared" si="72"/>
        <v>2250000</v>
      </c>
      <c r="K898" t="s">
        <v>448</v>
      </c>
      <c r="L898">
        <f t="shared" si="73"/>
        <v>0</v>
      </c>
      <c r="N898" t="s">
        <v>43</v>
      </c>
      <c r="R898" s="3">
        <f t="shared" ref="R898:R961" si="74">24*L898</f>
        <v>0</v>
      </c>
    </row>
    <row r="899" spans="1:18" hidden="1" x14ac:dyDescent="0.25">
      <c r="A899" t="s">
        <v>386</v>
      </c>
      <c r="B899" t="s">
        <v>20</v>
      </c>
      <c r="C899" t="s">
        <v>84</v>
      </c>
      <c r="D899" s="3">
        <f t="shared" si="70"/>
        <v>9</v>
      </c>
      <c r="E899" t="s">
        <v>12</v>
      </c>
      <c r="F899" t="s">
        <v>13</v>
      </c>
      <c r="G899" t="str">
        <f t="shared" si="71"/>
        <v/>
      </c>
      <c r="H899" t="s">
        <v>14</v>
      </c>
      <c r="I899" t="s">
        <v>387</v>
      </c>
      <c r="J899" s="2">
        <f t="shared" si="72"/>
        <v>1500000</v>
      </c>
      <c r="K899" t="s">
        <v>66</v>
      </c>
      <c r="L899">
        <f t="shared" si="73"/>
        <v>0.20833333333333334</v>
      </c>
      <c r="M899" s="5">
        <v>0.20833333333333334</v>
      </c>
      <c r="N899" t="s">
        <v>43</v>
      </c>
      <c r="R899" s="3">
        <f t="shared" si="74"/>
        <v>5</v>
      </c>
    </row>
    <row r="900" spans="1:18" hidden="1" x14ac:dyDescent="0.25">
      <c r="A900" t="s">
        <v>4697</v>
      </c>
      <c r="B900" t="s">
        <v>4272</v>
      </c>
      <c r="C900" t="s">
        <v>4533</v>
      </c>
      <c r="D900" s="3">
        <f t="shared" si="70"/>
        <v>12</v>
      </c>
      <c r="E900" t="s">
        <v>33</v>
      </c>
      <c r="F900" t="s">
        <v>13</v>
      </c>
      <c r="G900" t="str">
        <f t="shared" si="71"/>
        <v/>
      </c>
      <c r="H900" t="s">
        <v>14</v>
      </c>
      <c r="I900" t="s">
        <v>4698</v>
      </c>
      <c r="J900" s="2">
        <f t="shared" si="72"/>
        <v>1800000</v>
      </c>
      <c r="K900" t="s">
        <v>228</v>
      </c>
      <c r="L900">
        <f t="shared" si="73"/>
        <v>0.20833333333333334</v>
      </c>
      <c r="M900" s="5">
        <v>0.20833333333333334</v>
      </c>
      <c r="N900" t="s">
        <v>43</v>
      </c>
      <c r="R900" s="3">
        <f t="shared" si="74"/>
        <v>5</v>
      </c>
    </row>
    <row r="901" spans="1:18" hidden="1" x14ac:dyDescent="0.25">
      <c r="A901" t="s">
        <v>5020</v>
      </c>
      <c r="B901" t="s">
        <v>4806</v>
      </c>
      <c r="C901" t="s">
        <v>4865</v>
      </c>
      <c r="D901" s="3">
        <f t="shared" si="70"/>
        <v>12</v>
      </c>
      <c r="E901" t="s">
        <v>33</v>
      </c>
      <c r="F901" t="s">
        <v>13</v>
      </c>
      <c r="G901" t="str">
        <f t="shared" si="71"/>
        <v/>
      </c>
      <c r="H901" t="s">
        <v>14</v>
      </c>
      <c r="I901" t="s">
        <v>5021</v>
      </c>
      <c r="J901" s="2">
        <f t="shared" si="72"/>
        <v>900000</v>
      </c>
      <c r="K901" t="s">
        <v>101</v>
      </c>
      <c r="L901">
        <f t="shared" si="73"/>
        <v>8.3333333333333329E-2</v>
      </c>
      <c r="M901" s="5">
        <v>8.3333333333333329E-2</v>
      </c>
      <c r="N901" t="s">
        <v>43</v>
      </c>
      <c r="R901" s="3">
        <f t="shared" si="74"/>
        <v>2</v>
      </c>
    </row>
    <row r="902" spans="1:18" x14ac:dyDescent="0.25">
      <c r="A902" t="s">
        <v>4328</v>
      </c>
      <c r="B902" t="s">
        <v>4272</v>
      </c>
      <c r="C902" t="s">
        <v>4281</v>
      </c>
      <c r="D902" s="3">
        <f t="shared" si="70"/>
        <v>13.32</v>
      </c>
      <c r="E902" t="s">
        <v>4329</v>
      </c>
      <c r="F902" t="s">
        <v>13</v>
      </c>
      <c r="G902">
        <f t="shared" si="71"/>
        <v>1625000</v>
      </c>
      <c r="H902" t="s">
        <v>702</v>
      </c>
      <c r="I902" t="s">
        <v>4330</v>
      </c>
      <c r="J902" s="2">
        <f t="shared" si="72"/>
        <v>1497000</v>
      </c>
      <c r="K902" t="s">
        <v>4331</v>
      </c>
      <c r="L902">
        <f t="shared" si="73"/>
        <v>0.17013888888888887</v>
      </c>
      <c r="M902" s="5">
        <v>0.17013888888888887</v>
      </c>
      <c r="N902" t="s">
        <v>43</v>
      </c>
      <c r="P902" t="s">
        <v>2619</v>
      </c>
      <c r="R902" s="3">
        <f t="shared" si="74"/>
        <v>4.083333333333333</v>
      </c>
    </row>
    <row r="903" spans="1:18" x14ac:dyDescent="0.25">
      <c r="A903" t="s">
        <v>3349</v>
      </c>
      <c r="B903" t="s">
        <v>3233</v>
      </c>
      <c r="C903" t="s">
        <v>3261</v>
      </c>
      <c r="D903" s="3">
        <f t="shared" si="70"/>
        <v>11.25</v>
      </c>
      <c r="E903" t="s">
        <v>2912</v>
      </c>
      <c r="F903" t="s">
        <v>13</v>
      </c>
      <c r="G903">
        <f t="shared" si="71"/>
        <v>1575000</v>
      </c>
      <c r="H903" t="s">
        <v>1021</v>
      </c>
      <c r="I903" t="s">
        <v>3350</v>
      </c>
      <c r="J903" s="2">
        <f t="shared" si="72"/>
        <v>1497500</v>
      </c>
      <c r="K903" t="s">
        <v>3351</v>
      </c>
      <c r="L903">
        <f t="shared" si="73"/>
        <v>0.17222222222222225</v>
      </c>
      <c r="M903" s="5">
        <v>0.17222222222222225</v>
      </c>
      <c r="N903" t="s">
        <v>43</v>
      </c>
      <c r="P903" t="s">
        <v>3352</v>
      </c>
      <c r="R903" s="3">
        <f t="shared" si="74"/>
        <v>4.1333333333333337</v>
      </c>
    </row>
    <row r="904" spans="1:18" hidden="1" x14ac:dyDescent="0.25">
      <c r="A904" t="s">
        <v>3685</v>
      </c>
      <c r="B904" t="s">
        <v>3233</v>
      </c>
      <c r="C904" t="s">
        <v>3232</v>
      </c>
      <c r="D904" s="3">
        <f t="shared" si="70"/>
        <v>9</v>
      </c>
      <c r="E904" t="s">
        <v>12</v>
      </c>
      <c r="F904" t="s">
        <v>13</v>
      </c>
      <c r="G904" t="str">
        <f t="shared" si="71"/>
        <v/>
      </c>
      <c r="H904" t="s">
        <v>14</v>
      </c>
      <c r="I904" t="s">
        <v>3686</v>
      </c>
      <c r="J904" s="2">
        <f t="shared" si="72"/>
        <v>2250000</v>
      </c>
      <c r="K904" t="s">
        <v>448</v>
      </c>
      <c r="L904">
        <f t="shared" si="73"/>
        <v>0</v>
      </c>
      <c r="N904" t="s">
        <v>43</v>
      </c>
      <c r="R904" s="3">
        <f t="shared" si="74"/>
        <v>0</v>
      </c>
    </row>
    <row r="905" spans="1:18" hidden="1" x14ac:dyDescent="0.25">
      <c r="A905" t="s">
        <v>2581</v>
      </c>
      <c r="B905" t="s">
        <v>2596</v>
      </c>
      <c r="C905" t="s">
        <v>1981</v>
      </c>
      <c r="D905" s="3">
        <f t="shared" si="70"/>
        <v>25</v>
      </c>
      <c r="E905" t="s">
        <v>481</v>
      </c>
      <c r="F905" t="s">
        <v>13</v>
      </c>
      <c r="G905" t="str">
        <f t="shared" si="71"/>
        <v/>
      </c>
      <c r="H905" t="s">
        <v>14</v>
      </c>
      <c r="I905" t="s">
        <v>2582</v>
      </c>
      <c r="J905" s="2">
        <f t="shared" si="72"/>
        <v>4000000</v>
      </c>
      <c r="K905" t="s">
        <v>2179</v>
      </c>
      <c r="L905">
        <f t="shared" si="73"/>
        <v>0</v>
      </c>
      <c r="N905" t="s">
        <v>43</v>
      </c>
      <c r="R905" s="3">
        <f t="shared" si="74"/>
        <v>0</v>
      </c>
    </row>
    <row r="906" spans="1:18" hidden="1" x14ac:dyDescent="0.25">
      <c r="A906" t="s">
        <v>2581</v>
      </c>
      <c r="B906" t="s">
        <v>2596</v>
      </c>
      <c r="C906" t="s">
        <v>1981</v>
      </c>
      <c r="D906" s="3">
        <f t="shared" si="70"/>
        <v>25</v>
      </c>
      <c r="E906" t="s">
        <v>481</v>
      </c>
      <c r="F906" t="s">
        <v>13</v>
      </c>
      <c r="G906" t="str">
        <f t="shared" si="71"/>
        <v/>
      </c>
      <c r="H906" t="s">
        <v>14</v>
      </c>
      <c r="I906" t="s">
        <v>2595</v>
      </c>
      <c r="J906" s="2">
        <f t="shared" si="72"/>
        <v>4000000</v>
      </c>
      <c r="K906" t="s">
        <v>2179</v>
      </c>
      <c r="L906">
        <f t="shared" si="73"/>
        <v>0</v>
      </c>
      <c r="N906" t="s">
        <v>43</v>
      </c>
      <c r="R906" s="3">
        <f t="shared" si="74"/>
        <v>0</v>
      </c>
    </row>
    <row r="907" spans="1:18" hidden="1" x14ac:dyDescent="0.25">
      <c r="A907" t="s">
        <v>2472</v>
      </c>
      <c r="B907" t="s">
        <v>2596</v>
      </c>
      <c r="C907" t="s">
        <v>1981</v>
      </c>
      <c r="D907" s="3">
        <f t="shared" ref="D907:D970" si="75">VALUE(LEFT(E907,SEARCH(" x ",E907)-1))*VALUE(MID(E907,SEARCH(" x ",E907)+3,SEARCH(" meter",E907)-SEARCH(" x ",E907)-3))</f>
        <v>30</v>
      </c>
      <c r="E907" t="s">
        <v>141</v>
      </c>
      <c r="F907" t="s">
        <v>13</v>
      </c>
      <c r="G907" t="str">
        <f t="shared" ref="G907:G970" si="76">IF(H907="N/A","",VALUE(SUBSTITUTE(SUBSTITUTE(H907,"Rp",""),".","")))</f>
        <v/>
      </c>
      <c r="H907" t="s">
        <v>14</v>
      </c>
      <c r="I907" t="s">
        <v>2473</v>
      </c>
      <c r="J907" s="2">
        <f t="shared" ref="J907:J970" si="77">VALUE(SUBSTITUTE(SUBSTITUTE(K907,"Rp",""),".",""))</f>
        <v>4500000</v>
      </c>
      <c r="K907" t="s">
        <v>1831</v>
      </c>
      <c r="L907">
        <f t="shared" ref="L907:L970" si="78">M907:M3247</f>
        <v>0</v>
      </c>
      <c r="N907" t="s">
        <v>43</v>
      </c>
      <c r="R907" s="3">
        <f t="shared" si="74"/>
        <v>0</v>
      </c>
    </row>
    <row r="908" spans="1:18" hidden="1" x14ac:dyDescent="0.25">
      <c r="A908" t="s">
        <v>2241</v>
      </c>
      <c r="B908" t="s">
        <v>2596</v>
      </c>
      <c r="C908" t="s">
        <v>1981</v>
      </c>
      <c r="D908" s="3">
        <f t="shared" si="75"/>
        <v>9</v>
      </c>
      <c r="E908" t="s">
        <v>12</v>
      </c>
      <c r="F908" t="s">
        <v>13</v>
      </c>
      <c r="G908" t="str">
        <f t="shared" si="76"/>
        <v/>
      </c>
      <c r="H908" t="s">
        <v>14</v>
      </c>
      <c r="I908" t="s">
        <v>2242</v>
      </c>
      <c r="J908" s="2">
        <f t="shared" si="77"/>
        <v>2500000</v>
      </c>
      <c r="K908" t="s">
        <v>272</v>
      </c>
      <c r="L908">
        <f t="shared" si="78"/>
        <v>0.20833333333333334</v>
      </c>
      <c r="M908" s="5">
        <v>0.20833333333333334</v>
      </c>
      <c r="N908" t="s">
        <v>43</v>
      </c>
      <c r="R908" s="3">
        <f t="shared" si="74"/>
        <v>5</v>
      </c>
    </row>
    <row r="909" spans="1:18" hidden="1" x14ac:dyDescent="0.25">
      <c r="A909" t="s">
        <v>4913</v>
      </c>
      <c r="B909" t="s">
        <v>4806</v>
      </c>
      <c r="C909" t="s">
        <v>4915</v>
      </c>
      <c r="D909" s="3">
        <f t="shared" si="75"/>
        <v>12</v>
      </c>
      <c r="E909" t="s">
        <v>33</v>
      </c>
      <c r="F909" t="s">
        <v>13</v>
      </c>
      <c r="G909" t="str">
        <f t="shared" si="76"/>
        <v/>
      </c>
      <c r="H909" t="s">
        <v>14</v>
      </c>
      <c r="I909" t="s">
        <v>4914</v>
      </c>
      <c r="J909" s="2">
        <f t="shared" si="77"/>
        <v>600000</v>
      </c>
      <c r="K909" t="s">
        <v>173</v>
      </c>
      <c r="L909">
        <f t="shared" si="78"/>
        <v>0</v>
      </c>
      <c r="N909" t="s">
        <v>43</v>
      </c>
      <c r="R909" s="3">
        <f t="shared" si="74"/>
        <v>0</v>
      </c>
    </row>
    <row r="910" spans="1:18" hidden="1" x14ac:dyDescent="0.25">
      <c r="A910" t="s">
        <v>5089</v>
      </c>
      <c r="B910" t="s">
        <v>4806</v>
      </c>
      <c r="C910" t="s">
        <v>4805</v>
      </c>
      <c r="D910" s="3">
        <f t="shared" si="75"/>
        <v>7.5</v>
      </c>
      <c r="E910" t="s">
        <v>614</v>
      </c>
      <c r="F910" t="s">
        <v>13</v>
      </c>
      <c r="G910" t="str">
        <f t="shared" si="76"/>
        <v/>
      </c>
      <c r="H910" t="s">
        <v>14</v>
      </c>
      <c r="I910" t="s">
        <v>5090</v>
      </c>
      <c r="J910" s="2">
        <f t="shared" si="77"/>
        <v>1200000</v>
      </c>
      <c r="K910" t="s">
        <v>36</v>
      </c>
      <c r="L910">
        <f t="shared" si="78"/>
        <v>0</v>
      </c>
      <c r="N910" t="s">
        <v>43</v>
      </c>
      <c r="R910" s="3">
        <f t="shared" si="74"/>
        <v>0</v>
      </c>
    </row>
    <row r="911" spans="1:18" hidden="1" x14ac:dyDescent="0.25">
      <c r="A911" t="s">
        <v>1140</v>
      </c>
      <c r="B911" t="s">
        <v>640</v>
      </c>
      <c r="C911" t="s">
        <v>918</v>
      </c>
      <c r="D911" s="3">
        <f t="shared" si="75"/>
        <v>9</v>
      </c>
      <c r="E911" t="s">
        <v>12</v>
      </c>
      <c r="F911" t="s">
        <v>34</v>
      </c>
      <c r="G911" t="str">
        <f t="shared" si="76"/>
        <v/>
      </c>
      <c r="H911" t="s">
        <v>14</v>
      </c>
      <c r="I911" t="s">
        <v>1141</v>
      </c>
      <c r="J911" s="2">
        <f t="shared" si="77"/>
        <v>1100000</v>
      </c>
      <c r="K911" t="s">
        <v>42</v>
      </c>
      <c r="L911">
        <f t="shared" si="78"/>
        <v>0</v>
      </c>
      <c r="N911" t="s">
        <v>18</v>
      </c>
      <c r="R911" s="3">
        <f t="shared" si="74"/>
        <v>0</v>
      </c>
    </row>
    <row r="912" spans="1:18" hidden="1" x14ac:dyDescent="0.25">
      <c r="A912" t="s">
        <v>5680</v>
      </c>
      <c r="B912" t="s">
        <v>5848</v>
      </c>
      <c r="C912" t="s">
        <v>5339</v>
      </c>
      <c r="D912" s="3">
        <f t="shared" si="75"/>
        <v>6</v>
      </c>
      <c r="E912" t="s">
        <v>285</v>
      </c>
      <c r="F912" t="s">
        <v>13</v>
      </c>
      <c r="G912" t="str">
        <f t="shared" si="76"/>
        <v/>
      </c>
      <c r="H912" t="s">
        <v>14</v>
      </c>
      <c r="I912" t="s">
        <v>5681</v>
      </c>
      <c r="J912" s="2">
        <f t="shared" si="77"/>
        <v>1200000</v>
      </c>
      <c r="K912" t="s">
        <v>36</v>
      </c>
      <c r="L912">
        <f t="shared" si="78"/>
        <v>4.5138888888888888E-2</v>
      </c>
      <c r="M912" s="5">
        <v>4.5138888888888888E-2</v>
      </c>
      <c r="N912" t="s">
        <v>37</v>
      </c>
      <c r="R912" s="3">
        <f t="shared" si="74"/>
        <v>1.0833333333333333</v>
      </c>
    </row>
    <row r="913" spans="1:18" hidden="1" x14ac:dyDescent="0.25">
      <c r="A913" t="s">
        <v>4967</v>
      </c>
      <c r="B913" t="s">
        <v>4806</v>
      </c>
      <c r="C913" t="s">
        <v>4969</v>
      </c>
      <c r="D913" s="3">
        <f t="shared" si="75"/>
        <v>18</v>
      </c>
      <c r="E913" t="s">
        <v>126</v>
      </c>
      <c r="F913" t="s">
        <v>13</v>
      </c>
      <c r="G913" t="str">
        <f t="shared" si="76"/>
        <v/>
      </c>
      <c r="H913" t="s">
        <v>14</v>
      </c>
      <c r="I913" t="s">
        <v>4968</v>
      </c>
      <c r="J913" s="2">
        <f t="shared" si="77"/>
        <v>550000</v>
      </c>
      <c r="K913" t="s">
        <v>62</v>
      </c>
      <c r="L913">
        <f t="shared" si="78"/>
        <v>0</v>
      </c>
      <c r="N913" t="s">
        <v>43</v>
      </c>
      <c r="R913" s="3">
        <f t="shared" si="74"/>
        <v>0</v>
      </c>
    </row>
    <row r="914" spans="1:18" hidden="1" x14ac:dyDescent="0.25">
      <c r="A914" t="s">
        <v>358</v>
      </c>
      <c r="B914" t="s">
        <v>20</v>
      </c>
      <c r="C914" t="s">
        <v>84</v>
      </c>
      <c r="D914" s="3">
        <f t="shared" si="75"/>
        <v>9</v>
      </c>
      <c r="E914" t="s">
        <v>12</v>
      </c>
      <c r="F914" t="s">
        <v>13</v>
      </c>
      <c r="G914" t="str">
        <f t="shared" si="76"/>
        <v/>
      </c>
      <c r="H914" t="s">
        <v>14</v>
      </c>
      <c r="I914" t="s">
        <v>359</v>
      </c>
      <c r="J914" s="2">
        <f t="shared" si="77"/>
        <v>885000</v>
      </c>
      <c r="K914" t="s">
        <v>360</v>
      </c>
      <c r="L914">
        <f t="shared" si="78"/>
        <v>0.17083333333333331</v>
      </c>
      <c r="M914" s="5">
        <v>0.17083333333333331</v>
      </c>
      <c r="N914" t="s">
        <v>43</v>
      </c>
      <c r="R914" s="3">
        <f t="shared" si="74"/>
        <v>4.0999999999999996</v>
      </c>
    </row>
    <row r="915" spans="1:18" hidden="1" x14ac:dyDescent="0.25">
      <c r="A915" t="s">
        <v>576</v>
      </c>
      <c r="B915" t="s">
        <v>20</v>
      </c>
      <c r="C915" t="s">
        <v>218</v>
      </c>
      <c r="D915" s="3">
        <f t="shared" si="75"/>
        <v>12</v>
      </c>
      <c r="E915" t="s">
        <v>33</v>
      </c>
      <c r="F915" t="s">
        <v>13</v>
      </c>
      <c r="G915" t="str">
        <f t="shared" si="76"/>
        <v/>
      </c>
      <c r="H915" t="s">
        <v>14</v>
      </c>
      <c r="I915" t="s">
        <v>577</v>
      </c>
      <c r="J915" s="2">
        <f t="shared" si="77"/>
        <v>1200000</v>
      </c>
      <c r="K915" t="s">
        <v>36</v>
      </c>
      <c r="L915">
        <f t="shared" si="78"/>
        <v>0</v>
      </c>
      <c r="N915" t="s">
        <v>37</v>
      </c>
      <c r="R915" s="3">
        <f t="shared" si="74"/>
        <v>0</v>
      </c>
    </row>
    <row r="916" spans="1:18" hidden="1" x14ac:dyDescent="0.25">
      <c r="A916" t="s">
        <v>460</v>
      </c>
      <c r="B916" t="s">
        <v>20</v>
      </c>
      <c r="C916" t="s">
        <v>67</v>
      </c>
      <c r="D916" s="3">
        <f t="shared" si="75"/>
        <v>9</v>
      </c>
      <c r="E916" t="s">
        <v>12</v>
      </c>
      <c r="F916" t="s">
        <v>34</v>
      </c>
      <c r="G916" t="str">
        <f t="shared" si="76"/>
        <v/>
      </c>
      <c r="H916" t="s">
        <v>14</v>
      </c>
      <c r="I916" t="s">
        <v>461</v>
      </c>
      <c r="J916" s="2">
        <f t="shared" si="77"/>
        <v>2100000</v>
      </c>
      <c r="K916" t="s">
        <v>451</v>
      </c>
      <c r="L916">
        <f t="shared" si="78"/>
        <v>0.20833333333333334</v>
      </c>
      <c r="M916" s="5">
        <v>0.20833333333333334</v>
      </c>
      <c r="N916" t="s">
        <v>18</v>
      </c>
      <c r="R916" s="3">
        <f t="shared" si="74"/>
        <v>5</v>
      </c>
    </row>
    <row r="917" spans="1:18" hidden="1" x14ac:dyDescent="0.25">
      <c r="A917" t="s">
        <v>438</v>
      </c>
      <c r="B917" t="s">
        <v>20</v>
      </c>
      <c r="C917" t="s">
        <v>205</v>
      </c>
      <c r="D917" s="3">
        <f t="shared" si="75"/>
        <v>12</v>
      </c>
      <c r="E917" t="s">
        <v>33</v>
      </c>
      <c r="F917" t="s">
        <v>13</v>
      </c>
      <c r="G917" t="str">
        <f t="shared" si="76"/>
        <v/>
      </c>
      <c r="H917" t="s">
        <v>14</v>
      </c>
      <c r="I917" t="s">
        <v>439</v>
      </c>
      <c r="J917" s="2">
        <f t="shared" si="77"/>
        <v>775000</v>
      </c>
      <c r="K917" t="s">
        <v>440</v>
      </c>
      <c r="L917">
        <f t="shared" si="78"/>
        <v>0</v>
      </c>
      <c r="N917" t="s">
        <v>43</v>
      </c>
      <c r="R917" s="3">
        <f t="shared" si="74"/>
        <v>0</v>
      </c>
    </row>
    <row r="918" spans="1:18" hidden="1" x14ac:dyDescent="0.25">
      <c r="A918" t="s">
        <v>3270</v>
      </c>
      <c r="B918" t="s">
        <v>3233</v>
      </c>
      <c r="C918" t="s">
        <v>3261</v>
      </c>
      <c r="D918" s="3">
        <f t="shared" si="75"/>
        <v>12</v>
      </c>
      <c r="E918" t="s">
        <v>33</v>
      </c>
      <c r="F918" t="s">
        <v>34</v>
      </c>
      <c r="G918" t="str">
        <f t="shared" si="76"/>
        <v/>
      </c>
      <c r="H918" t="s">
        <v>14</v>
      </c>
      <c r="I918" t="s">
        <v>3271</v>
      </c>
      <c r="J918" s="2">
        <f t="shared" si="77"/>
        <v>1000000</v>
      </c>
      <c r="K918" t="s">
        <v>52</v>
      </c>
      <c r="L918">
        <f t="shared" si="78"/>
        <v>0</v>
      </c>
      <c r="N918" t="s">
        <v>43</v>
      </c>
      <c r="R918" s="3">
        <f t="shared" si="74"/>
        <v>0</v>
      </c>
    </row>
    <row r="919" spans="1:18" hidden="1" x14ac:dyDescent="0.25">
      <c r="A919" t="s">
        <v>4345</v>
      </c>
      <c r="B919" t="s">
        <v>4272</v>
      </c>
      <c r="C919" t="s">
        <v>4285</v>
      </c>
      <c r="D919" s="3">
        <f t="shared" si="75"/>
        <v>10.8</v>
      </c>
      <c r="E919" t="s">
        <v>2499</v>
      </c>
      <c r="F919" t="s">
        <v>13</v>
      </c>
      <c r="G919" t="str">
        <f t="shared" si="76"/>
        <v/>
      </c>
      <c r="H919" t="s">
        <v>14</v>
      </c>
      <c r="I919" t="s">
        <v>4346</v>
      </c>
      <c r="J919" s="2">
        <f t="shared" si="77"/>
        <v>2300000</v>
      </c>
      <c r="K919" t="s">
        <v>820</v>
      </c>
      <c r="L919">
        <f t="shared" si="78"/>
        <v>0.20833333333333334</v>
      </c>
      <c r="M919" s="5">
        <v>0.20833333333333334</v>
      </c>
      <c r="N919" t="s">
        <v>43</v>
      </c>
      <c r="R919" s="3">
        <f t="shared" si="74"/>
        <v>5</v>
      </c>
    </row>
    <row r="920" spans="1:18" hidden="1" x14ac:dyDescent="0.25">
      <c r="A920" t="s">
        <v>4604</v>
      </c>
      <c r="B920" t="s">
        <v>4272</v>
      </c>
      <c r="C920" t="s">
        <v>4285</v>
      </c>
      <c r="D920" s="3">
        <f t="shared" si="75"/>
        <v>10.5</v>
      </c>
      <c r="E920" t="s">
        <v>653</v>
      </c>
      <c r="F920" t="s">
        <v>13</v>
      </c>
      <c r="G920" t="str">
        <f t="shared" si="76"/>
        <v/>
      </c>
      <c r="H920" t="s">
        <v>14</v>
      </c>
      <c r="I920" t="s">
        <v>4605</v>
      </c>
      <c r="J920" s="2">
        <f t="shared" si="77"/>
        <v>2225000</v>
      </c>
      <c r="K920" t="s">
        <v>1339</v>
      </c>
      <c r="L920">
        <f t="shared" si="78"/>
        <v>0.20833333333333334</v>
      </c>
      <c r="M920" s="5">
        <v>0.20833333333333334</v>
      </c>
      <c r="N920" t="s">
        <v>43</v>
      </c>
      <c r="P920" t="s">
        <v>1615</v>
      </c>
      <c r="R920" s="3">
        <f t="shared" si="74"/>
        <v>5</v>
      </c>
    </row>
    <row r="921" spans="1:18" hidden="1" x14ac:dyDescent="0.25">
      <c r="A921" t="s">
        <v>4673</v>
      </c>
      <c r="B921" t="s">
        <v>4272</v>
      </c>
      <c r="C921" t="s">
        <v>4285</v>
      </c>
      <c r="D921" s="3">
        <f t="shared" si="75"/>
        <v>12</v>
      </c>
      <c r="E921" t="s">
        <v>33</v>
      </c>
      <c r="F921" t="s">
        <v>13</v>
      </c>
      <c r="G921" t="str">
        <f t="shared" si="76"/>
        <v/>
      </c>
      <c r="H921" t="s">
        <v>14</v>
      </c>
      <c r="I921" t="s">
        <v>4674</v>
      </c>
      <c r="J921" s="2">
        <f t="shared" si="77"/>
        <v>2800000</v>
      </c>
      <c r="K921" t="s">
        <v>1166</v>
      </c>
      <c r="L921">
        <f t="shared" si="78"/>
        <v>0</v>
      </c>
      <c r="N921" t="s">
        <v>43</v>
      </c>
      <c r="R921" s="3">
        <f t="shared" si="74"/>
        <v>0</v>
      </c>
    </row>
    <row r="922" spans="1:18" hidden="1" x14ac:dyDescent="0.25">
      <c r="A922" t="s">
        <v>4749</v>
      </c>
      <c r="B922" t="s">
        <v>4272</v>
      </c>
      <c r="C922" t="s">
        <v>4285</v>
      </c>
      <c r="D922" s="3">
        <f t="shared" si="75"/>
        <v>12</v>
      </c>
      <c r="E922" t="s">
        <v>33</v>
      </c>
      <c r="F922" t="s">
        <v>13</v>
      </c>
      <c r="G922" t="str">
        <f t="shared" si="76"/>
        <v/>
      </c>
      <c r="H922" t="s">
        <v>14</v>
      </c>
      <c r="I922" t="s">
        <v>4750</v>
      </c>
      <c r="J922" s="2">
        <f t="shared" si="77"/>
        <v>2600000</v>
      </c>
      <c r="K922" t="s">
        <v>1336</v>
      </c>
      <c r="L922">
        <f t="shared" si="78"/>
        <v>0.17222222222222225</v>
      </c>
      <c r="M922" s="5">
        <v>0.17222222222222225</v>
      </c>
      <c r="N922" t="s">
        <v>43</v>
      </c>
      <c r="R922" s="3">
        <f t="shared" si="74"/>
        <v>4.1333333333333337</v>
      </c>
    </row>
    <row r="923" spans="1:18" hidden="1" x14ac:dyDescent="0.25">
      <c r="A923" t="s">
        <v>3812</v>
      </c>
      <c r="B923" t="s">
        <v>3746</v>
      </c>
      <c r="C923" t="s">
        <v>3746</v>
      </c>
      <c r="D923" s="3">
        <f t="shared" si="75"/>
        <v>10.5</v>
      </c>
      <c r="E923" t="s">
        <v>653</v>
      </c>
      <c r="F923" t="s">
        <v>13</v>
      </c>
      <c r="G923" t="str">
        <f t="shared" si="76"/>
        <v/>
      </c>
      <c r="H923" t="s">
        <v>14</v>
      </c>
      <c r="I923" t="s">
        <v>3813</v>
      </c>
      <c r="J923" s="2">
        <f t="shared" si="77"/>
        <v>2300000</v>
      </c>
      <c r="K923" t="s">
        <v>820</v>
      </c>
      <c r="L923">
        <f t="shared" si="78"/>
        <v>0.17083333333333331</v>
      </c>
      <c r="M923" s="5">
        <v>0.17083333333333331</v>
      </c>
      <c r="N923" t="s">
        <v>43</v>
      </c>
      <c r="P923" t="s">
        <v>665</v>
      </c>
      <c r="R923" s="3">
        <f t="shared" si="74"/>
        <v>4.0999999999999996</v>
      </c>
    </row>
    <row r="924" spans="1:18" hidden="1" x14ac:dyDescent="0.25">
      <c r="A924" t="s">
        <v>4405</v>
      </c>
      <c r="B924" t="s">
        <v>4272</v>
      </c>
      <c r="C924" t="s">
        <v>4285</v>
      </c>
      <c r="D924" s="3">
        <f t="shared" si="75"/>
        <v>10.5</v>
      </c>
      <c r="E924" t="s">
        <v>653</v>
      </c>
      <c r="F924" t="s">
        <v>13</v>
      </c>
      <c r="G924" t="str">
        <f t="shared" si="76"/>
        <v/>
      </c>
      <c r="H924" t="s">
        <v>14</v>
      </c>
      <c r="I924" t="s">
        <v>4406</v>
      </c>
      <c r="J924" s="2">
        <f t="shared" si="77"/>
        <v>2325000</v>
      </c>
      <c r="K924" t="s">
        <v>1352</v>
      </c>
      <c r="L924">
        <f t="shared" si="78"/>
        <v>0.20833333333333334</v>
      </c>
      <c r="M924" s="5">
        <v>0.20833333333333334</v>
      </c>
      <c r="N924" t="s">
        <v>43</v>
      </c>
      <c r="R924" s="3">
        <f t="shared" si="74"/>
        <v>5</v>
      </c>
    </row>
    <row r="925" spans="1:18" hidden="1" x14ac:dyDescent="0.25">
      <c r="A925" t="s">
        <v>4771</v>
      </c>
      <c r="B925" t="s">
        <v>4272</v>
      </c>
      <c r="C925" t="s">
        <v>4285</v>
      </c>
      <c r="D925" s="3">
        <f t="shared" si="75"/>
        <v>10.5</v>
      </c>
      <c r="E925" t="s">
        <v>653</v>
      </c>
      <c r="F925" t="s">
        <v>13</v>
      </c>
      <c r="G925" t="str">
        <f t="shared" si="76"/>
        <v/>
      </c>
      <c r="H925" t="s">
        <v>14</v>
      </c>
      <c r="I925" t="s">
        <v>4772</v>
      </c>
      <c r="J925" s="2">
        <f t="shared" si="77"/>
        <v>2325000</v>
      </c>
      <c r="K925" t="s">
        <v>1352</v>
      </c>
      <c r="L925">
        <f t="shared" si="78"/>
        <v>0.17222222222222225</v>
      </c>
      <c r="M925" s="5">
        <v>0.17222222222222225</v>
      </c>
      <c r="N925" t="s">
        <v>43</v>
      </c>
      <c r="R925" s="3">
        <f t="shared" si="74"/>
        <v>4.1333333333333337</v>
      </c>
    </row>
    <row r="926" spans="1:18" hidden="1" x14ac:dyDescent="0.25">
      <c r="A926" t="s">
        <v>4771</v>
      </c>
      <c r="B926" t="s">
        <v>4272</v>
      </c>
      <c r="C926" t="s">
        <v>4285</v>
      </c>
      <c r="D926" s="3">
        <f t="shared" si="75"/>
        <v>10.5</v>
      </c>
      <c r="E926" t="s">
        <v>653</v>
      </c>
      <c r="F926" t="s">
        <v>13</v>
      </c>
      <c r="G926" t="str">
        <f t="shared" si="76"/>
        <v/>
      </c>
      <c r="H926" t="s">
        <v>14</v>
      </c>
      <c r="I926" t="s">
        <v>4772</v>
      </c>
      <c r="J926" s="2">
        <f t="shared" si="77"/>
        <v>2325000</v>
      </c>
      <c r="K926" t="s">
        <v>1352</v>
      </c>
      <c r="L926">
        <f t="shared" si="78"/>
        <v>0.20833333333333334</v>
      </c>
      <c r="M926" s="5">
        <v>0.20833333333333334</v>
      </c>
      <c r="N926" t="s">
        <v>43</v>
      </c>
      <c r="R926" s="3">
        <f t="shared" si="74"/>
        <v>5</v>
      </c>
    </row>
    <row r="927" spans="1:18" hidden="1" x14ac:dyDescent="0.25">
      <c r="A927" t="s">
        <v>4635</v>
      </c>
      <c r="B927" t="s">
        <v>4272</v>
      </c>
      <c r="C927" t="s">
        <v>4285</v>
      </c>
      <c r="D927" s="3">
        <f t="shared" si="75"/>
        <v>16</v>
      </c>
      <c r="E927" t="s">
        <v>79</v>
      </c>
      <c r="F927" t="s">
        <v>13</v>
      </c>
      <c r="G927" t="str">
        <f t="shared" si="76"/>
        <v/>
      </c>
      <c r="H927" t="s">
        <v>14</v>
      </c>
      <c r="I927" t="s">
        <v>4636</v>
      </c>
      <c r="J927" s="2">
        <f t="shared" si="77"/>
        <v>2800000</v>
      </c>
      <c r="K927" t="s">
        <v>1166</v>
      </c>
      <c r="L927">
        <f t="shared" si="78"/>
        <v>0</v>
      </c>
      <c r="N927" t="s">
        <v>43</v>
      </c>
      <c r="R927" s="3">
        <f t="shared" si="74"/>
        <v>0</v>
      </c>
    </row>
    <row r="928" spans="1:18" hidden="1" x14ac:dyDescent="0.25">
      <c r="A928" t="s">
        <v>3981</v>
      </c>
      <c r="B928" t="s">
        <v>3746</v>
      </c>
      <c r="C928" t="s">
        <v>3746</v>
      </c>
      <c r="D928" s="3">
        <f t="shared" si="75"/>
        <v>10.5</v>
      </c>
      <c r="E928" t="s">
        <v>653</v>
      </c>
      <c r="F928" t="s">
        <v>13</v>
      </c>
      <c r="G928" t="str">
        <f t="shared" si="76"/>
        <v/>
      </c>
      <c r="H928" t="s">
        <v>14</v>
      </c>
      <c r="I928" t="s">
        <v>3813</v>
      </c>
      <c r="J928" s="2">
        <f t="shared" si="77"/>
        <v>2600000</v>
      </c>
      <c r="K928" t="s">
        <v>1336</v>
      </c>
      <c r="L928">
        <f t="shared" si="78"/>
        <v>0</v>
      </c>
      <c r="N928" t="s">
        <v>43</v>
      </c>
      <c r="P928" t="s">
        <v>665</v>
      </c>
      <c r="R928" s="3">
        <f t="shared" si="74"/>
        <v>0</v>
      </c>
    </row>
    <row r="929" spans="1:18" hidden="1" x14ac:dyDescent="0.25">
      <c r="A929" t="s">
        <v>3992</v>
      </c>
      <c r="B929" t="s">
        <v>3746</v>
      </c>
      <c r="C929" t="s">
        <v>3746</v>
      </c>
      <c r="D929" s="3">
        <f t="shared" si="75"/>
        <v>9</v>
      </c>
      <c r="E929" t="s">
        <v>12</v>
      </c>
      <c r="F929" t="s">
        <v>13</v>
      </c>
      <c r="G929" t="str">
        <f t="shared" si="76"/>
        <v/>
      </c>
      <c r="H929" t="s">
        <v>14</v>
      </c>
      <c r="I929" t="s">
        <v>3993</v>
      </c>
      <c r="J929" s="2">
        <f t="shared" si="77"/>
        <v>1900000</v>
      </c>
      <c r="K929" t="s">
        <v>352</v>
      </c>
      <c r="L929">
        <f t="shared" si="78"/>
        <v>0.16874999999999998</v>
      </c>
      <c r="M929" s="5">
        <v>0.16874999999999998</v>
      </c>
      <c r="N929" t="s">
        <v>43</v>
      </c>
      <c r="P929" t="s">
        <v>199</v>
      </c>
      <c r="R929" s="3">
        <f t="shared" si="74"/>
        <v>4.05</v>
      </c>
    </row>
    <row r="930" spans="1:18" hidden="1" x14ac:dyDescent="0.25">
      <c r="A930" t="s">
        <v>3988</v>
      </c>
      <c r="B930" t="s">
        <v>3746</v>
      </c>
      <c r="C930" t="s">
        <v>3746</v>
      </c>
      <c r="D930" s="3">
        <f t="shared" si="75"/>
        <v>15</v>
      </c>
      <c r="E930" t="s">
        <v>71</v>
      </c>
      <c r="F930" t="s">
        <v>13</v>
      </c>
      <c r="G930" t="str">
        <f t="shared" si="76"/>
        <v/>
      </c>
      <c r="H930" t="s">
        <v>14</v>
      </c>
      <c r="I930" t="s">
        <v>3989</v>
      </c>
      <c r="J930" s="2">
        <f t="shared" si="77"/>
        <v>2600000</v>
      </c>
      <c r="K930" t="s">
        <v>1336</v>
      </c>
      <c r="L930">
        <f t="shared" si="78"/>
        <v>0</v>
      </c>
      <c r="N930" t="s">
        <v>43</v>
      </c>
      <c r="P930" t="s">
        <v>665</v>
      </c>
      <c r="R930" s="3">
        <f t="shared" si="74"/>
        <v>0</v>
      </c>
    </row>
    <row r="931" spans="1:18" hidden="1" x14ac:dyDescent="0.25">
      <c r="A931" t="s">
        <v>4107</v>
      </c>
      <c r="B931" t="s">
        <v>3746</v>
      </c>
      <c r="C931" t="s">
        <v>3759</v>
      </c>
      <c r="D931" s="3">
        <f t="shared" si="75"/>
        <v>9</v>
      </c>
      <c r="E931" t="s">
        <v>12</v>
      </c>
      <c r="F931" t="s">
        <v>13</v>
      </c>
      <c r="G931" t="str">
        <f t="shared" si="76"/>
        <v/>
      </c>
      <c r="H931" t="s">
        <v>14</v>
      </c>
      <c r="I931" t="s">
        <v>4108</v>
      </c>
      <c r="J931" s="2">
        <f t="shared" si="77"/>
        <v>2000000</v>
      </c>
      <c r="K931" t="s">
        <v>128</v>
      </c>
      <c r="L931">
        <f t="shared" si="78"/>
        <v>0</v>
      </c>
      <c r="N931" t="s">
        <v>18</v>
      </c>
      <c r="R931" s="3">
        <f t="shared" si="74"/>
        <v>0</v>
      </c>
    </row>
    <row r="932" spans="1:18" hidden="1" x14ac:dyDescent="0.25">
      <c r="A932" t="s">
        <v>5156</v>
      </c>
      <c r="B932" t="s">
        <v>4806</v>
      </c>
      <c r="C932" t="s">
        <v>4939</v>
      </c>
      <c r="D932" s="3">
        <f t="shared" si="75"/>
        <v>9</v>
      </c>
      <c r="E932" t="s">
        <v>12</v>
      </c>
      <c r="F932" t="s">
        <v>34</v>
      </c>
      <c r="G932" t="str">
        <f t="shared" si="76"/>
        <v/>
      </c>
      <c r="H932" t="s">
        <v>14</v>
      </c>
      <c r="I932" t="s">
        <v>5157</v>
      </c>
      <c r="J932" s="2">
        <f t="shared" si="77"/>
        <v>1800000</v>
      </c>
      <c r="K932" t="s">
        <v>228</v>
      </c>
      <c r="L932">
        <f t="shared" si="78"/>
        <v>0</v>
      </c>
      <c r="N932" t="s">
        <v>43</v>
      </c>
      <c r="R932" s="3">
        <f t="shared" si="74"/>
        <v>0</v>
      </c>
    </row>
    <row r="933" spans="1:18" hidden="1" x14ac:dyDescent="0.25">
      <c r="A933" t="s">
        <v>1973</v>
      </c>
      <c r="B933" t="s">
        <v>2596</v>
      </c>
      <c r="C933" t="s">
        <v>1977</v>
      </c>
      <c r="D933" s="3">
        <f t="shared" si="75"/>
        <v>12</v>
      </c>
      <c r="E933" t="s">
        <v>1974</v>
      </c>
      <c r="F933" t="s">
        <v>13</v>
      </c>
      <c r="G933" t="str">
        <f t="shared" si="76"/>
        <v/>
      </c>
      <c r="H933" t="s">
        <v>14</v>
      </c>
      <c r="I933" t="s">
        <v>1975</v>
      </c>
      <c r="J933" s="2">
        <f t="shared" si="77"/>
        <v>3400000</v>
      </c>
      <c r="K933" t="s">
        <v>1976</v>
      </c>
      <c r="L933">
        <f t="shared" si="78"/>
        <v>0.20833333333333334</v>
      </c>
      <c r="M933" s="5">
        <v>0.20833333333333334</v>
      </c>
      <c r="N933" t="s">
        <v>43</v>
      </c>
      <c r="P933" t="s">
        <v>1824</v>
      </c>
      <c r="R933" s="3">
        <f t="shared" si="74"/>
        <v>5</v>
      </c>
    </row>
    <row r="934" spans="1:18" x14ac:dyDescent="0.25">
      <c r="A934" t="s">
        <v>3682</v>
      </c>
      <c r="B934" t="s">
        <v>3233</v>
      </c>
      <c r="C934" t="s">
        <v>3248</v>
      </c>
      <c r="D934" s="3">
        <f t="shared" si="75"/>
        <v>12</v>
      </c>
      <c r="E934" t="s">
        <v>347</v>
      </c>
      <c r="F934" t="s">
        <v>13</v>
      </c>
      <c r="G934" t="str">
        <f t="shared" si="76"/>
        <v/>
      </c>
      <c r="H934" t="s">
        <v>14</v>
      </c>
      <c r="I934" t="s">
        <v>3683</v>
      </c>
      <c r="J934" s="2">
        <f t="shared" si="77"/>
        <v>1499999</v>
      </c>
      <c r="K934" t="s">
        <v>3684</v>
      </c>
      <c r="L934">
        <f t="shared" si="78"/>
        <v>0.20833333333333334</v>
      </c>
      <c r="M934" s="5">
        <v>0.20833333333333334</v>
      </c>
      <c r="N934" t="s">
        <v>43</v>
      </c>
      <c r="R934" s="3">
        <f t="shared" si="74"/>
        <v>5</v>
      </c>
    </row>
    <row r="935" spans="1:18" hidden="1" x14ac:dyDescent="0.25">
      <c r="A935" t="s">
        <v>5748</v>
      </c>
      <c r="B935" t="s">
        <v>5848</v>
      </c>
      <c r="C935" t="s">
        <v>5750</v>
      </c>
      <c r="D935" s="3">
        <f t="shared" si="75"/>
        <v>12</v>
      </c>
      <c r="E935" t="s">
        <v>33</v>
      </c>
      <c r="F935" t="s">
        <v>13</v>
      </c>
      <c r="G935" t="str">
        <f t="shared" si="76"/>
        <v/>
      </c>
      <c r="H935" t="s">
        <v>14</v>
      </c>
      <c r="I935" t="s">
        <v>5749</v>
      </c>
      <c r="J935" s="2">
        <f t="shared" si="77"/>
        <v>1800000</v>
      </c>
      <c r="K935" t="s">
        <v>228</v>
      </c>
      <c r="L935">
        <f t="shared" si="78"/>
        <v>0</v>
      </c>
      <c r="N935" t="s">
        <v>18</v>
      </c>
      <c r="R935" s="3">
        <f t="shared" si="74"/>
        <v>0</v>
      </c>
    </row>
    <row r="936" spans="1:18" hidden="1" x14ac:dyDescent="0.25">
      <c r="A936" t="s">
        <v>4135</v>
      </c>
      <c r="B936" t="s">
        <v>3746</v>
      </c>
      <c r="C936" t="s">
        <v>3746</v>
      </c>
      <c r="D936" s="3">
        <f t="shared" si="75"/>
        <v>12</v>
      </c>
      <c r="E936" t="s">
        <v>33</v>
      </c>
      <c r="F936" t="s">
        <v>13</v>
      </c>
      <c r="G936" t="str">
        <f t="shared" si="76"/>
        <v/>
      </c>
      <c r="H936" t="s">
        <v>14</v>
      </c>
      <c r="I936" t="s">
        <v>4136</v>
      </c>
      <c r="J936" s="2">
        <f t="shared" si="77"/>
        <v>1300000</v>
      </c>
      <c r="K936" t="s">
        <v>17</v>
      </c>
      <c r="L936">
        <f t="shared" si="78"/>
        <v>0.20833333333333334</v>
      </c>
      <c r="M936" s="5">
        <v>0.20833333333333334</v>
      </c>
      <c r="N936" t="s">
        <v>18</v>
      </c>
      <c r="R936" s="3">
        <f t="shared" si="74"/>
        <v>5</v>
      </c>
    </row>
    <row r="937" spans="1:18" hidden="1" x14ac:dyDescent="0.25">
      <c r="A937" t="s">
        <v>2212</v>
      </c>
      <c r="B937" t="s">
        <v>2596</v>
      </c>
      <c r="C937" t="s">
        <v>2013</v>
      </c>
      <c r="D937" s="3">
        <f t="shared" si="75"/>
        <v>7.5</v>
      </c>
      <c r="E937" t="s">
        <v>178</v>
      </c>
      <c r="F937" t="s">
        <v>13</v>
      </c>
      <c r="G937" t="str">
        <f t="shared" si="76"/>
        <v/>
      </c>
      <c r="H937" t="s">
        <v>14</v>
      </c>
      <c r="I937" t="s">
        <v>2213</v>
      </c>
      <c r="J937" s="2">
        <f t="shared" si="77"/>
        <v>2000000</v>
      </c>
      <c r="K937" t="s">
        <v>128</v>
      </c>
      <c r="L937">
        <f t="shared" si="78"/>
        <v>0.17013888888888887</v>
      </c>
      <c r="M937" s="5">
        <v>0.17013888888888887</v>
      </c>
      <c r="N937" t="s">
        <v>43</v>
      </c>
      <c r="P937" t="s">
        <v>1564</v>
      </c>
      <c r="R937" s="3">
        <f t="shared" si="74"/>
        <v>4.083333333333333</v>
      </c>
    </row>
    <row r="938" spans="1:18" hidden="1" x14ac:dyDescent="0.25">
      <c r="A938" t="s">
        <v>4247</v>
      </c>
      <c r="B938" t="s">
        <v>3746</v>
      </c>
      <c r="C938" t="s">
        <v>3753</v>
      </c>
      <c r="D938" s="3">
        <f t="shared" si="75"/>
        <v>12</v>
      </c>
      <c r="E938" t="s">
        <v>33</v>
      </c>
      <c r="F938" t="s">
        <v>13</v>
      </c>
      <c r="G938" t="str">
        <f t="shared" si="76"/>
        <v/>
      </c>
      <c r="H938" t="s">
        <v>14</v>
      </c>
      <c r="I938" t="s">
        <v>4248</v>
      </c>
      <c r="J938" s="2">
        <f t="shared" si="77"/>
        <v>1400000</v>
      </c>
      <c r="K938" t="s">
        <v>81</v>
      </c>
      <c r="L938">
        <f t="shared" si="78"/>
        <v>0.17083333333333331</v>
      </c>
      <c r="M938" s="5">
        <v>0.17083333333333331</v>
      </c>
      <c r="N938" t="s">
        <v>43</v>
      </c>
      <c r="P938" t="s">
        <v>1714</v>
      </c>
      <c r="R938" s="3">
        <f t="shared" si="74"/>
        <v>4.0999999999999996</v>
      </c>
    </row>
    <row r="939" spans="1:18" hidden="1" x14ac:dyDescent="0.25">
      <c r="A939" t="s">
        <v>4247</v>
      </c>
      <c r="B939" t="s">
        <v>3746</v>
      </c>
      <c r="C939" t="s">
        <v>3753</v>
      </c>
      <c r="D939" s="3">
        <f t="shared" si="75"/>
        <v>12</v>
      </c>
      <c r="E939" t="s">
        <v>33</v>
      </c>
      <c r="F939" t="s">
        <v>13</v>
      </c>
      <c r="G939" t="str">
        <f t="shared" si="76"/>
        <v/>
      </c>
      <c r="H939" t="s">
        <v>14</v>
      </c>
      <c r="I939" t="s">
        <v>4248</v>
      </c>
      <c r="J939" s="2">
        <f t="shared" si="77"/>
        <v>1400000</v>
      </c>
      <c r="K939" t="s">
        <v>81</v>
      </c>
      <c r="L939">
        <f t="shared" si="78"/>
        <v>0.17083333333333331</v>
      </c>
      <c r="M939" s="5">
        <v>0.17083333333333331</v>
      </c>
      <c r="N939" t="s">
        <v>43</v>
      </c>
      <c r="P939" t="s">
        <v>681</v>
      </c>
      <c r="R939" s="3">
        <f t="shared" si="74"/>
        <v>4.0999999999999996</v>
      </c>
    </row>
    <row r="940" spans="1:18" hidden="1" x14ac:dyDescent="0.25">
      <c r="A940" t="s">
        <v>5784</v>
      </c>
      <c r="B940" t="s">
        <v>5848</v>
      </c>
      <c r="C940" t="s">
        <v>5339</v>
      </c>
      <c r="D940" s="3">
        <f t="shared" si="75"/>
        <v>12</v>
      </c>
      <c r="E940" t="s">
        <v>33</v>
      </c>
      <c r="F940" t="s">
        <v>13</v>
      </c>
      <c r="G940" t="str">
        <f t="shared" si="76"/>
        <v/>
      </c>
      <c r="H940" t="s">
        <v>14</v>
      </c>
      <c r="I940" t="s">
        <v>5785</v>
      </c>
      <c r="J940" s="2">
        <f t="shared" si="77"/>
        <v>1400000</v>
      </c>
      <c r="K940" t="s">
        <v>81</v>
      </c>
      <c r="L940">
        <f t="shared" si="78"/>
        <v>0.20833333333333334</v>
      </c>
      <c r="M940" s="5">
        <v>0.20833333333333334</v>
      </c>
      <c r="N940" t="s">
        <v>43</v>
      </c>
      <c r="R940" s="3">
        <f t="shared" si="74"/>
        <v>5</v>
      </c>
    </row>
    <row r="941" spans="1:18" hidden="1" x14ac:dyDescent="0.25">
      <c r="A941" t="s">
        <v>5067</v>
      </c>
      <c r="B941" t="s">
        <v>4806</v>
      </c>
      <c r="C941" t="s">
        <v>4939</v>
      </c>
      <c r="D941" s="3">
        <f t="shared" si="75"/>
        <v>9</v>
      </c>
      <c r="E941" t="s">
        <v>12</v>
      </c>
      <c r="F941" t="s">
        <v>34</v>
      </c>
      <c r="G941" t="str">
        <f t="shared" si="76"/>
        <v/>
      </c>
      <c r="H941" t="s">
        <v>14</v>
      </c>
      <c r="I941" t="s">
        <v>5068</v>
      </c>
      <c r="J941" s="2">
        <f t="shared" si="77"/>
        <v>900000</v>
      </c>
      <c r="K941" t="s">
        <v>101</v>
      </c>
      <c r="L941">
        <f t="shared" si="78"/>
        <v>0.20833333333333334</v>
      </c>
      <c r="M941" s="5">
        <v>0.20833333333333334</v>
      </c>
      <c r="N941" t="s">
        <v>18</v>
      </c>
      <c r="R941" s="3">
        <f t="shared" si="74"/>
        <v>5</v>
      </c>
    </row>
    <row r="942" spans="1:18" x14ac:dyDescent="0.25">
      <c r="A942" t="s">
        <v>503</v>
      </c>
      <c r="B942" t="s">
        <v>20</v>
      </c>
      <c r="C942" t="s">
        <v>367</v>
      </c>
      <c r="D942" s="3">
        <f t="shared" si="75"/>
        <v>15</v>
      </c>
      <c r="E942" t="s">
        <v>504</v>
      </c>
      <c r="F942" t="s">
        <v>13</v>
      </c>
      <c r="G942" t="str">
        <f t="shared" si="76"/>
        <v/>
      </c>
      <c r="H942" t="s">
        <v>14</v>
      </c>
      <c r="I942" t="s">
        <v>505</v>
      </c>
      <c r="J942" s="2">
        <f t="shared" si="77"/>
        <v>1500000</v>
      </c>
      <c r="K942" t="s">
        <v>66</v>
      </c>
      <c r="L942">
        <f t="shared" si="78"/>
        <v>0.16666666666666666</v>
      </c>
      <c r="M942" s="5">
        <v>0.16666666666666666</v>
      </c>
      <c r="N942" t="s">
        <v>43</v>
      </c>
      <c r="R942" s="3">
        <f t="shared" si="74"/>
        <v>4</v>
      </c>
    </row>
    <row r="943" spans="1:18" hidden="1" x14ac:dyDescent="0.25">
      <c r="A943" t="s">
        <v>3877</v>
      </c>
      <c r="B943" t="s">
        <v>3746</v>
      </c>
      <c r="C943" t="s">
        <v>3746</v>
      </c>
      <c r="D943" s="3">
        <f t="shared" si="75"/>
        <v>12</v>
      </c>
      <c r="E943" t="s">
        <v>33</v>
      </c>
      <c r="F943" t="s">
        <v>13</v>
      </c>
      <c r="G943" t="str">
        <f t="shared" si="76"/>
        <v/>
      </c>
      <c r="H943" t="s">
        <v>14</v>
      </c>
      <c r="I943" t="s">
        <v>3878</v>
      </c>
      <c r="J943" s="2">
        <f t="shared" si="77"/>
        <v>3000000</v>
      </c>
      <c r="K943" t="s">
        <v>1513</v>
      </c>
      <c r="L943">
        <f t="shared" si="78"/>
        <v>0</v>
      </c>
      <c r="N943" t="s">
        <v>43</v>
      </c>
      <c r="R943" s="3">
        <f t="shared" si="74"/>
        <v>0</v>
      </c>
    </row>
    <row r="944" spans="1:18" hidden="1" x14ac:dyDescent="0.25">
      <c r="A944" t="s">
        <v>3885</v>
      </c>
      <c r="B944" t="s">
        <v>3746</v>
      </c>
      <c r="C944" t="s">
        <v>3749</v>
      </c>
      <c r="D944" s="3">
        <f t="shared" si="75"/>
        <v>12</v>
      </c>
      <c r="E944" t="s">
        <v>33</v>
      </c>
      <c r="F944" t="s">
        <v>13</v>
      </c>
      <c r="G944" t="str">
        <f t="shared" si="76"/>
        <v/>
      </c>
      <c r="H944" t="s">
        <v>14</v>
      </c>
      <c r="I944" t="s">
        <v>3886</v>
      </c>
      <c r="J944" s="2">
        <f t="shared" si="77"/>
        <v>2600000</v>
      </c>
      <c r="K944" t="s">
        <v>1336</v>
      </c>
      <c r="L944">
        <f t="shared" si="78"/>
        <v>0</v>
      </c>
      <c r="N944" t="s">
        <v>43</v>
      </c>
      <c r="R944" s="3">
        <f t="shared" si="74"/>
        <v>0</v>
      </c>
    </row>
    <row r="945" spans="1:18" hidden="1" x14ac:dyDescent="0.25">
      <c r="A945" t="s">
        <v>3853</v>
      </c>
      <c r="B945" t="s">
        <v>3746</v>
      </c>
      <c r="C945" t="s">
        <v>3749</v>
      </c>
      <c r="D945" s="3">
        <f t="shared" si="75"/>
        <v>10</v>
      </c>
      <c r="E945" t="s">
        <v>414</v>
      </c>
      <c r="F945" t="s">
        <v>13</v>
      </c>
      <c r="G945" t="str">
        <f t="shared" si="76"/>
        <v/>
      </c>
      <c r="H945" t="s">
        <v>14</v>
      </c>
      <c r="I945" t="s">
        <v>3854</v>
      </c>
      <c r="J945" s="2">
        <f t="shared" si="77"/>
        <v>2250000</v>
      </c>
      <c r="K945" t="s">
        <v>448</v>
      </c>
      <c r="L945">
        <f t="shared" si="78"/>
        <v>0.17083333333333331</v>
      </c>
      <c r="M945" s="5">
        <v>0.17083333333333331</v>
      </c>
      <c r="N945" t="s">
        <v>43</v>
      </c>
      <c r="P945" t="s">
        <v>840</v>
      </c>
      <c r="R945" s="3">
        <f t="shared" si="74"/>
        <v>4.0999999999999996</v>
      </c>
    </row>
    <row r="946" spans="1:18" hidden="1" x14ac:dyDescent="0.25">
      <c r="A946" t="s">
        <v>5735</v>
      </c>
      <c r="B946" t="s">
        <v>5848</v>
      </c>
      <c r="C946" t="s">
        <v>5406</v>
      </c>
      <c r="D946" s="3">
        <f t="shared" si="75"/>
        <v>12</v>
      </c>
      <c r="E946" t="s">
        <v>33</v>
      </c>
      <c r="F946" t="s">
        <v>13</v>
      </c>
      <c r="G946" t="str">
        <f t="shared" si="76"/>
        <v/>
      </c>
      <c r="H946" t="s">
        <v>14</v>
      </c>
      <c r="I946" t="s">
        <v>5736</v>
      </c>
      <c r="J946" s="2">
        <f t="shared" si="77"/>
        <v>2000000</v>
      </c>
      <c r="K946" t="s">
        <v>128</v>
      </c>
      <c r="L946">
        <f t="shared" si="78"/>
        <v>0</v>
      </c>
      <c r="N946" t="s">
        <v>43</v>
      </c>
      <c r="R946" s="3">
        <f t="shared" si="74"/>
        <v>0</v>
      </c>
    </row>
    <row r="947" spans="1:18" hidden="1" x14ac:dyDescent="0.25">
      <c r="A947" t="s">
        <v>1956</v>
      </c>
      <c r="B947" t="s">
        <v>1303</v>
      </c>
      <c r="C947" t="s">
        <v>1683</v>
      </c>
      <c r="D947" s="3">
        <f t="shared" si="75"/>
        <v>8</v>
      </c>
      <c r="E947" t="s">
        <v>1708</v>
      </c>
      <c r="F947" t="s">
        <v>13</v>
      </c>
      <c r="G947" t="str">
        <f t="shared" si="76"/>
        <v/>
      </c>
      <c r="H947" t="s">
        <v>14</v>
      </c>
      <c r="I947" t="s">
        <v>1957</v>
      </c>
      <c r="J947" s="2">
        <f t="shared" si="77"/>
        <v>2000000</v>
      </c>
      <c r="K947" t="s">
        <v>128</v>
      </c>
      <c r="L947">
        <f t="shared" si="78"/>
        <v>0.17291666666666669</v>
      </c>
      <c r="M947" s="5">
        <v>0.17291666666666669</v>
      </c>
      <c r="N947" t="s">
        <v>43</v>
      </c>
      <c r="R947" s="3">
        <f t="shared" si="74"/>
        <v>4.1500000000000004</v>
      </c>
    </row>
    <row r="948" spans="1:18" hidden="1" x14ac:dyDescent="0.25">
      <c r="A948" t="s">
        <v>5253</v>
      </c>
      <c r="B948" t="s">
        <v>4806</v>
      </c>
      <c r="C948" t="s">
        <v>4859</v>
      </c>
      <c r="D948" s="3">
        <f t="shared" si="75"/>
        <v>9</v>
      </c>
      <c r="E948" t="s">
        <v>12</v>
      </c>
      <c r="F948" t="s">
        <v>13</v>
      </c>
      <c r="G948" t="str">
        <f t="shared" si="76"/>
        <v/>
      </c>
      <c r="H948" t="s">
        <v>14</v>
      </c>
      <c r="I948" t="s">
        <v>5254</v>
      </c>
      <c r="J948" s="2">
        <f t="shared" si="77"/>
        <v>1000000</v>
      </c>
      <c r="K948" t="s">
        <v>52</v>
      </c>
      <c r="L948">
        <f t="shared" si="78"/>
        <v>0</v>
      </c>
      <c r="N948" t="s">
        <v>43</v>
      </c>
      <c r="R948" s="3">
        <f t="shared" si="74"/>
        <v>0</v>
      </c>
    </row>
    <row r="949" spans="1:18" hidden="1" x14ac:dyDescent="0.25">
      <c r="A949" t="s">
        <v>3882</v>
      </c>
      <c r="B949" t="s">
        <v>3746</v>
      </c>
      <c r="C949" t="s">
        <v>3884</v>
      </c>
      <c r="D949" s="3">
        <f t="shared" si="75"/>
        <v>15</v>
      </c>
      <c r="E949" t="s">
        <v>71</v>
      </c>
      <c r="F949" t="s">
        <v>13</v>
      </c>
      <c r="G949" t="str">
        <f t="shared" si="76"/>
        <v/>
      </c>
      <c r="H949" t="s">
        <v>14</v>
      </c>
      <c r="I949" t="s">
        <v>3883</v>
      </c>
      <c r="J949" s="2">
        <f t="shared" si="77"/>
        <v>850000</v>
      </c>
      <c r="K949" t="s">
        <v>185</v>
      </c>
      <c r="L949">
        <f t="shared" si="78"/>
        <v>0</v>
      </c>
      <c r="N949" t="s">
        <v>43</v>
      </c>
      <c r="R949" s="3">
        <f t="shared" si="74"/>
        <v>0</v>
      </c>
    </row>
    <row r="950" spans="1:18" hidden="1" x14ac:dyDescent="0.25">
      <c r="A950" t="s">
        <v>3343</v>
      </c>
      <c r="B950" t="s">
        <v>3233</v>
      </c>
      <c r="C950" t="s">
        <v>3248</v>
      </c>
      <c r="D950" s="3">
        <f t="shared" si="75"/>
        <v>9</v>
      </c>
      <c r="E950" t="s">
        <v>12</v>
      </c>
      <c r="F950" t="s">
        <v>34</v>
      </c>
      <c r="G950" t="str">
        <f t="shared" si="76"/>
        <v/>
      </c>
      <c r="H950" t="s">
        <v>14</v>
      </c>
      <c r="I950" t="s">
        <v>3344</v>
      </c>
      <c r="J950" s="2">
        <f t="shared" si="77"/>
        <v>1850000</v>
      </c>
      <c r="K950" t="s">
        <v>87</v>
      </c>
      <c r="L950">
        <f t="shared" si="78"/>
        <v>0.20833333333333334</v>
      </c>
      <c r="M950" s="5">
        <v>0.20833333333333334</v>
      </c>
      <c r="N950" t="s">
        <v>43</v>
      </c>
      <c r="R950" s="3">
        <f t="shared" si="74"/>
        <v>5</v>
      </c>
    </row>
    <row r="951" spans="1:18" hidden="1" x14ac:dyDescent="0.25">
      <c r="A951" t="s">
        <v>3700</v>
      </c>
      <c r="B951" t="s">
        <v>3233</v>
      </c>
      <c r="C951" t="s">
        <v>3248</v>
      </c>
      <c r="D951" s="3">
        <f t="shared" si="75"/>
        <v>5</v>
      </c>
      <c r="E951" t="s">
        <v>819</v>
      </c>
      <c r="F951" t="s">
        <v>34</v>
      </c>
      <c r="G951" t="str">
        <f t="shared" si="76"/>
        <v/>
      </c>
      <c r="H951" t="s">
        <v>14</v>
      </c>
      <c r="I951" t="s">
        <v>3701</v>
      </c>
      <c r="J951" s="2">
        <f t="shared" si="77"/>
        <v>800000</v>
      </c>
      <c r="K951" t="s">
        <v>109</v>
      </c>
      <c r="L951">
        <f t="shared" si="78"/>
        <v>0.17013888888888887</v>
      </c>
      <c r="M951" s="5">
        <v>0.17013888888888887</v>
      </c>
      <c r="N951" t="s">
        <v>43</v>
      </c>
      <c r="R951" s="3">
        <f t="shared" si="74"/>
        <v>4.083333333333333</v>
      </c>
    </row>
    <row r="952" spans="1:18" hidden="1" x14ac:dyDescent="0.25">
      <c r="A952" t="s">
        <v>3537</v>
      </c>
      <c r="B952" t="s">
        <v>3233</v>
      </c>
      <c r="C952" t="s">
        <v>3248</v>
      </c>
      <c r="D952" s="3">
        <f t="shared" si="75"/>
        <v>5</v>
      </c>
      <c r="E952" t="s">
        <v>819</v>
      </c>
      <c r="F952" t="s">
        <v>34</v>
      </c>
      <c r="G952" t="str">
        <f t="shared" si="76"/>
        <v/>
      </c>
      <c r="H952" t="s">
        <v>14</v>
      </c>
      <c r="I952" t="s">
        <v>3538</v>
      </c>
      <c r="J952" s="2">
        <f t="shared" si="77"/>
        <v>695000</v>
      </c>
      <c r="K952" t="s">
        <v>3539</v>
      </c>
      <c r="L952">
        <f t="shared" si="78"/>
        <v>0.17222222222222225</v>
      </c>
      <c r="M952" s="5">
        <v>0.17222222222222225</v>
      </c>
      <c r="N952" t="s">
        <v>43</v>
      </c>
      <c r="R952" s="3">
        <f t="shared" si="74"/>
        <v>4.1333333333333337</v>
      </c>
    </row>
    <row r="953" spans="1:18" hidden="1" x14ac:dyDescent="0.25">
      <c r="A953" t="s">
        <v>2114</v>
      </c>
      <c r="B953" t="s">
        <v>2596</v>
      </c>
      <c r="C953" t="s">
        <v>2013</v>
      </c>
      <c r="D953" s="3">
        <f t="shared" si="75"/>
        <v>9</v>
      </c>
      <c r="E953" t="s">
        <v>12</v>
      </c>
      <c r="F953" t="s">
        <v>13</v>
      </c>
      <c r="G953" t="str">
        <f t="shared" si="76"/>
        <v/>
      </c>
      <c r="H953" t="s">
        <v>14</v>
      </c>
      <c r="I953" t="s">
        <v>2115</v>
      </c>
      <c r="J953" s="2">
        <f t="shared" si="77"/>
        <v>3300000</v>
      </c>
      <c r="K953" t="s">
        <v>2116</v>
      </c>
      <c r="L953">
        <f t="shared" si="78"/>
        <v>0</v>
      </c>
      <c r="N953" t="s">
        <v>43</v>
      </c>
      <c r="R953" s="3">
        <f t="shared" si="74"/>
        <v>0</v>
      </c>
    </row>
    <row r="954" spans="1:18" hidden="1" x14ac:dyDescent="0.25">
      <c r="A954" t="s">
        <v>3938</v>
      </c>
      <c r="B954" t="s">
        <v>3746</v>
      </c>
      <c r="C954" t="s">
        <v>3884</v>
      </c>
      <c r="D954" s="3">
        <f t="shared" si="75"/>
        <v>12</v>
      </c>
      <c r="E954" t="s">
        <v>33</v>
      </c>
      <c r="F954" t="s">
        <v>13</v>
      </c>
      <c r="G954" t="str">
        <f t="shared" si="76"/>
        <v/>
      </c>
      <c r="H954" t="s">
        <v>14</v>
      </c>
      <c r="I954" t="s">
        <v>3939</v>
      </c>
      <c r="J954" s="2">
        <f t="shared" si="77"/>
        <v>1150000</v>
      </c>
      <c r="K954" t="s">
        <v>700</v>
      </c>
      <c r="L954">
        <f t="shared" si="78"/>
        <v>0.20833333333333334</v>
      </c>
      <c r="M954" s="5">
        <v>0.20833333333333334</v>
      </c>
      <c r="N954" t="s">
        <v>18</v>
      </c>
      <c r="P954" t="s">
        <v>134</v>
      </c>
      <c r="R954" s="3">
        <f t="shared" si="74"/>
        <v>5</v>
      </c>
    </row>
    <row r="955" spans="1:18" x14ac:dyDescent="0.25">
      <c r="A955" t="s">
        <v>526</v>
      </c>
      <c r="B955" t="s">
        <v>20</v>
      </c>
      <c r="C955" t="s">
        <v>19</v>
      </c>
      <c r="D955" s="3">
        <f t="shared" si="75"/>
        <v>20</v>
      </c>
      <c r="E955" t="s">
        <v>159</v>
      </c>
      <c r="F955" t="s">
        <v>13</v>
      </c>
      <c r="G955" t="str">
        <f t="shared" si="76"/>
        <v/>
      </c>
      <c r="H955" t="s">
        <v>14</v>
      </c>
      <c r="I955" t="s">
        <v>527</v>
      </c>
      <c r="J955" s="2">
        <f t="shared" si="77"/>
        <v>1500000</v>
      </c>
      <c r="K955" t="s">
        <v>66</v>
      </c>
      <c r="L955">
        <f t="shared" si="78"/>
        <v>0.20833333333333334</v>
      </c>
      <c r="M955" s="5">
        <v>0.20833333333333334</v>
      </c>
      <c r="N955" t="s">
        <v>18</v>
      </c>
      <c r="R955" s="3">
        <f t="shared" si="74"/>
        <v>5</v>
      </c>
    </row>
    <row r="956" spans="1:18" hidden="1" x14ac:dyDescent="0.25">
      <c r="A956" t="s">
        <v>3709</v>
      </c>
      <c r="B956" t="s">
        <v>3233</v>
      </c>
      <c r="C956" t="s">
        <v>3261</v>
      </c>
      <c r="D956" s="3">
        <f t="shared" si="75"/>
        <v>9</v>
      </c>
      <c r="E956" t="s">
        <v>12</v>
      </c>
      <c r="F956" t="s">
        <v>13</v>
      </c>
      <c r="G956" t="str">
        <f t="shared" si="76"/>
        <v/>
      </c>
      <c r="H956" t="s">
        <v>14</v>
      </c>
      <c r="I956" t="s">
        <v>3710</v>
      </c>
      <c r="J956" s="2">
        <f t="shared" si="77"/>
        <v>1500000</v>
      </c>
      <c r="K956" t="s">
        <v>66</v>
      </c>
      <c r="L956">
        <f t="shared" si="78"/>
        <v>0.17222222222222225</v>
      </c>
      <c r="M956" s="5">
        <v>0.17222222222222225</v>
      </c>
      <c r="N956" t="s">
        <v>43</v>
      </c>
      <c r="P956" t="s">
        <v>3352</v>
      </c>
      <c r="R956" s="3">
        <f t="shared" si="74"/>
        <v>4.1333333333333337</v>
      </c>
    </row>
    <row r="957" spans="1:18" hidden="1" x14ac:dyDescent="0.25">
      <c r="A957" t="s">
        <v>5505</v>
      </c>
      <c r="B957" t="s">
        <v>5848</v>
      </c>
      <c r="C957" t="s">
        <v>1163</v>
      </c>
      <c r="D957" s="3">
        <f t="shared" si="75"/>
        <v>18</v>
      </c>
      <c r="E957" t="s">
        <v>126</v>
      </c>
      <c r="F957" t="s">
        <v>13</v>
      </c>
      <c r="G957" t="str">
        <f t="shared" si="76"/>
        <v/>
      </c>
      <c r="H957" t="s">
        <v>14</v>
      </c>
      <c r="I957" t="s">
        <v>5506</v>
      </c>
      <c r="J957" s="2">
        <f t="shared" si="77"/>
        <v>1200000</v>
      </c>
      <c r="K957" t="s">
        <v>36</v>
      </c>
      <c r="L957">
        <f t="shared" si="78"/>
        <v>0.17083333333333331</v>
      </c>
      <c r="M957" s="5">
        <v>0.17083333333333331</v>
      </c>
      <c r="N957" t="s">
        <v>18</v>
      </c>
      <c r="R957" s="3">
        <f t="shared" si="74"/>
        <v>4.0999999999999996</v>
      </c>
    </row>
    <row r="958" spans="1:18" hidden="1" x14ac:dyDescent="0.25">
      <c r="A958" t="s">
        <v>4239</v>
      </c>
      <c r="B958" t="s">
        <v>3746</v>
      </c>
      <c r="C958" t="s">
        <v>3746</v>
      </c>
      <c r="D958" s="3">
        <f t="shared" si="75"/>
        <v>16</v>
      </c>
      <c r="E958" t="s">
        <v>79</v>
      </c>
      <c r="F958" t="s">
        <v>13</v>
      </c>
      <c r="G958" t="str">
        <f t="shared" si="76"/>
        <v/>
      </c>
      <c r="H958" t="s">
        <v>14</v>
      </c>
      <c r="I958" t="s">
        <v>4240</v>
      </c>
      <c r="J958" s="2">
        <f t="shared" si="77"/>
        <v>2600000</v>
      </c>
      <c r="K958" t="s">
        <v>1336</v>
      </c>
      <c r="L958">
        <f t="shared" si="78"/>
        <v>0</v>
      </c>
      <c r="N958" t="s">
        <v>43</v>
      </c>
      <c r="R958" s="3">
        <f t="shared" si="74"/>
        <v>0</v>
      </c>
    </row>
    <row r="959" spans="1:18" hidden="1" x14ac:dyDescent="0.25">
      <c r="A959" t="s">
        <v>4755</v>
      </c>
      <c r="B959" t="s">
        <v>4272</v>
      </c>
      <c r="C959" t="s">
        <v>4271</v>
      </c>
      <c r="D959" s="3">
        <f t="shared" si="75"/>
        <v>9</v>
      </c>
      <c r="E959" t="s">
        <v>12</v>
      </c>
      <c r="F959" t="s">
        <v>13</v>
      </c>
      <c r="G959" t="str">
        <f t="shared" si="76"/>
        <v/>
      </c>
      <c r="H959" t="s">
        <v>14</v>
      </c>
      <c r="I959" t="s">
        <v>4756</v>
      </c>
      <c r="J959" s="2">
        <f t="shared" si="77"/>
        <v>800000</v>
      </c>
      <c r="K959" t="s">
        <v>109</v>
      </c>
      <c r="L959">
        <f t="shared" si="78"/>
        <v>0.17291666666666669</v>
      </c>
      <c r="M959" s="5">
        <v>0.17291666666666669</v>
      </c>
      <c r="N959" t="s">
        <v>37</v>
      </c>
      <c r="R959" s="3">
        <f t="shared" si="74"/>
        <v>4.1500000000000004</v>
      </c>
    </row>
    <row r="960" spans="1:18" hidden="1" x14ac:dyDescent="0.25">
      <c r="A960" t="s">
        <v>1222</v>
      </c>
      <c r="B960" t="s">
        <v>640</v>
      </c>
      <c r="C960" t="s">
        <v>953</v>
      </c>
      <c r="D960" s="3">
        <f t="shared" si="75"/>
        <v>13.5</v>
      </c>
      <c r="E960" t="s">
        <v>446</v>
      </c>
      <c r="F960" t="s">
        <v>13</v>
      </c>
      <c r="G960" t="str">
        <f t="shared" si="76"/>
        <v/>
      </c>
      <c r="H960" t="s">
        <v>14</v>
      </c>
      <c r="I960" t="s">
        <v>1223</v>
      </c>
      <c r="J960" s="2">
        <f t="shared" si="77"/>
        <v>1300000</v>
      </c>
      <c r="K960" t="s">
        <v>17</v>
      </c>
      <c r="L960">
        <f t="shared" si="78"/>
        <v>0.17083333333333331</v>
      </c>
      <c r="M960" s="5">
        <v>0.17083333333333331</v>
      </c>
      <c r="N960" t="s">
        <v>43</v>
      </c>
      <c r="R960" s="3">
        <f t="shared" si="74"/>
        <v>4.0999999999999996</v>
      </c>
    </row>
    <row r="961" spans="1:18" hidden="1" x14ac:dyDescent="0.25">
      <c r="A961" t="s">
        <v>370</v>
      </c>
      <c r="B961" t="s">
        <v>20</v>
      </c>
      <c r="C961" t="s">
        <v>236</v>
      </c>
      <c r="D961" s="3">
        <f t="shared" si="75"/>
        <v>9</v>
      </c>
      <c r="E961" t="s">
        <v>12</v>
      </c>
      <c r="F961" t="s">
        <v>13</v>
      </c>
      <c r="G961" t="str">
        <f t="shared" si="76"/>
        <v/>
      </c>
      <c r="H961" t="s">
        <v>14</v>
      </c>
      <c r="I961" t="s">
        <v>371</v>
      </c>
      <c r="J961" s="2">
        <f t="shared" si="77"/>
        <v>500000</v>
      </c>
      <c r="K961" t="s">
        <v>16</v>
      </c>
      <c r="L961">
        <f t="shared" si="78"/>
        <v>0</v>
      </c>
      <c r="N961" t="s">
        <v>43</v>
      </c>
      <c r="R961" s="3">
        <f t="shared" si="74"/>
        <v>0</v>
      </c>
    </row>
    <row r="962" spans="1:18" x14ac:dyDescent="0.25">
      <c r="A962" t="s">
        <v>4853</v>
      </c>
      <c r="B962" t="s">
        <v>4806</v>
      </c>
      <c r="C962" t="s">
        <v>4805</v>
      </c>
      <c r="D962" s="3">
        <f t="shared" si="75"/>
        <v>12</v>
      </c>
      <c r="E962" t="s">
        <v>33</v>
      </c>
      <c r="F962" t="s">
        <v>13</v>
      </c>
      <c r="G962" t="str">
        <f t="shared" si="76"/>
        <v/>
      </c>
      <c r="H962" t="s">
        <v>14</v>
      </c>
      <c r="I962" t="s">
        <v>4854</v>
      </c>
      <c r="J962" s="2">
        <f t="shared" si="77"/>
        <v>1500000</v>
      </c>
      <c r="K962" t="s">
        <v>66</v>
      </c>
      <c r="L962">
        <f t="shared" si="78"/>
        <v>0</v>
      </c>
      <c r="N962" t="s">
        <v>43</v>
      </c>
      <c r="R962" s="3">
        <f t="shared" ref="R962:R1025" si="79">24*L962</f>
        <v>0</v>
      </c>
    </row>
    <row r="963" spans="1:18" hidden="1" x14ac:dyDescent="0.25">
      <c r="A963" t="s">
        <v>2120</v>
      </c>
      <c r="B963" t="s">
        <v>2596</v>
      </c>
      <c r="C963" t="s">
        <v>2016</v>
      </c>
      <c r="D963" s="3">
        <f t="shared" si="75"/>
        <v>9</v>
      </c>
      <c r="E963" t="s">
        <v>12</v>
      </c>
      <c r="F963" t="s">
        <v>13</v>
      </c>
      <c r="G963" t="str">
        <f t="shared" si="76"/>
        <v/>
      </c>
      <c r="H963" t="s">
        <v>14</v>
      </c>
      <c r="I963" t="s">
        <v>2121</v>
      </c>
      <c r="J963" s="2">
        <f t="shared" si="77"/>
        <v>900000</v>
      </c>
      <c r="K963" t="s">
        <v>101</v>
      </c>
      <c r="L963">
        <f t="shared" si="78"/>
        <v>0.20833333333333334</v>
      </c>
      <c r="M963" s="5">
        <v>0.20833333333333334</v>
      </c>
      <c r="N963" t="s">
        <v>43</v>
      </c>
      <c r="R963" s="3">
        <f t="shared" si="79"/>
        <v>5</v>
      </c>
    </row>
    <row r="964" spans="1:18" hidden="1" x14ac:dyDescent="0.25">
      <c r="A964" t="s">
        <v>1282</v>
      </c>
      <c r="B964" t="s">
        <v>640</v>
      </c>
      <c r="C964" t="s">
        <v>657</v>
      </c>
      <c r="D964" s="3">
        <f t="shared" si="75"/>
        <v>9</v>
      </c>
      <c r="E964" t="s">
        <v>12</v>
      </c>
      <c r="F964" t="s">
        <v>34</v>
      </c>
      <c r="G964" t="str">
        <f t="shared" si="76"/>
        <v/>
      </c>
      <c r="H964" t="s">
        <v>14</v>
      </c>
      <c r="I964" t="s">
        <v>1283</v>
      </c>
      <c r="J964" s="2">
        <f t="shared" si="77"/>
        <v>750000</v>
      </c>
      <c r="K964" t="s">
        <v>76</v>
      </c>
      <c r="L964">
        <f t="shared" si="78"/>
        <v>0.17291666666666669</v>
      </c>
      <c r="M964" s="5">
        <v>0.17291666666666669</v>
      </c>
      <c r="N964" t="s">
        <v>18</v>
      </c>
      <c r="P964" t="s">
        <v>199</v>
      </c>
      <c r="R964" s="3">
        <f t="shared" si="79"/>
        <v>4.1500000000000004</v>
      </c>
    </row>
    <row r="965" spans="1:18" hidden="1" x14ac:dyDescent="0.25">
      <c r="A965" t="s">
        <v>5135</v>
      </c>
      <c r="B965" t="s">
        <v>4806</v>
      </c>
      <c r="C965" t="s">
        <v>4805</v>
      </c>
      <c r="D965" s="3">
        <f t="shared" si="75"/>
        <v>12</v>
      </c>
      <c r="E965" t="s">
        <v>33</v>
      </c>
      <c r="F965" t="s">
        <v>13</v>
      </c>
      <c r="G965" t="str">
        <f t="shared" si="76"/>
        <v/>
      </c>
      <c r="H965" t="s">
        <v>14</v>
      </c>
      <c r="I965" t="s">
        <v>5136</v>
      </c>
      <c r="J965" s="2">
        <f t="shared" si="77"/>
        <v>700000</v>
      </c>
      <c r="K965" t="s">
        <v>157</v>
      </c>
      <c r="L965">
        <f t="shared" si="78"/>
        <v>0</v>
      </c>
      <c r="N965" t="s">
        <v>43</v>
      </c>
      <c r="R965" s="3">
        <f t="shared" si="79"/>
        <v>0</v>
      </c>
    </row>
    <row r="966" spans="1:18" hidden="1" x14ac:dyDescent="0.25">
      <c r="A966" t="s">
        <v>5246</v>
      </c>
      <c r="B966" t="s">
        <v>4806</v>
      </c>
      <c r="C966" t="s">
        <v>4915</v>
      </c>
      <c r="D966" s="3">
        <f t="shared" si="75"/>
        <v>12</v>
      </c>
      <c r="E966" t="s">
        <v>33</v>
      </c>
      <c r="F966" t="s">
        <v>13</v>
      </c>
      <c r="G966" t="str">
        <f t="shared" si="76"/>
        <v/>
      </c>
      <c r="H966" t="s">
        <v>14</v>
      </c>
      <c r="I966" t="s">
        <v>5247</v>
      </c>
      <c r="J966" s="2">
        <f t="shared" si="77"/>
        <v>500000</v>
      </c>
      <c r="K966" t="s">
        <v>16</v>
      </c>
      <c r="L966">
        <f t="shared" si="78"/>
        <v>0</v>
      </c>
      <c r="N966" t="s">
        <v>18</v>
      </c>
      <c r="R966" s="3">
        <f t="shared" si="79"/>
        <v>0</v>
      </c>
    </row>
    <row r="967" spans="1:18" x14ac:dyDescent="0.25">
      <c r="A967" t="s">
        <v>1269</v>
      </c>
      <c r="B967" t="s">
        <v>640</v>
      </c>
      <c r="C967" t="s">
        <v>643</v>
      </c>
      <c r="D967" s="3">
        <f t="shared" si="75"/>
        <v>12</v>
      </c>
      <c r="E967" t="s">
        <v>33</v>
      </c>
      <c r="F967" t="s">
        <v>13</v>
      </c>
      <c r="G967" t="str">
        <f t="shared" si="76"/>
        <v/>
      </c>
      <c r="H967" t="s">
        <v>14</v>
      </c>
      <c r="I967" t="s">
        <v>1270</v>
      </c>
      <c r="J967" s="2">
        <f t="shared" si="77"/>
        <v>1500000</v>
      </c>
      <c r="K967" t="s">
        <v>66</v>
      </c>
      <c r="L967">
        <f t="shared" si="78"/>
        <v>0.17013888888888887</v>
      </c>
      <c r="M967" s="5">
        <v>0.17013888888888887</v>
      </c>
      <c r="N967" t="s">
        <v>37</v>
      </c>
      <c r="R967" s="3">
        <f t="shared" si="79"/>
        <v>4.083333333333333</v>
      </c>
    </row>
    <row r="968" spans="1:18" hidden="1" x14ac:dyDescent="0.25">
      <c r="A968" t="s">
        <v>2583</v>
      </c>
      <c r="B968" t="s">
        <v>2596</v>
      </c>
      <c r="C968" t="s">
        <v>2071</v>
      </c>
      <c r="D968" s="3">
        <f t="shared" si="75"/>
        <v>9</v>
      </c>
      <c r="E968" t="s">
        <v>12</v>
      </c>
      <c r="F968" t="s">
        <v>13</v>
      </c>
      <c r="G968" t="str">
        <f t="shared" si="76"/>
        <v/>
      </c>
      <c r="H968" t="s">
        <v>14</v>
      </c>
      <c r="I968" t="s">
        <v>2584</v>
      </c>
      <c r="J968" s="2">
        <f t="shared" si="77"/>
        <v>1700000</v>
      </c>
      <c r="K968" t="s">
        <v>23</v>
      </c>
      <c r="L968">
        <f t="shared" si="78"/>
        <v>0.12847222222222224</v>
      </c>
      <c r="M968" s="5">
        <v>0.12847222222222224</v>
      </c>
      <c r="N968" t="s">
        <v>43</v>
      </c>
      <c r="R968" s="3">
        <f t="shared" si="79"/>
        <v>3.0833333333333339</v>
      </c>
    </row>
    <row r="969" spans="1:18" hidden="1" x14ac:dyDescent="0.25">
      <c r="A969" t="s">
        <v>2583</v>
      </c>
      <c r="B969" t="s">
        <v>2596</v>
      </c>
      <c r="C969" t="s">
        <v>2071</v>
      </c>
      <c r="D969" s="3">
        <f t="shared" si="75"/>
        <v>9</v>
      </c>
      <c r="E969" t="s">
        <v>12</v>
      </c>
      <c r="F969" t="s">
        <v>13</v>
      </c>
      <c r="G969" t="str">
        <f t="shared" si="76"/>
        <v/>
      </c>
      <c r="H969" t="s">
        <v>14</v>
      </c>
      <c r="I969" t="s">
        <v>2584</v>
      </c>
      <c r="J969" s="2">
        <f t="shared" si="77"/>
        <v>1700000</v>
      </c>
      <c r="K969" t="s">
        <v>23</v>
      </c>
      <c r="L969">
        <f t="shared" si="78"/>
        <v>0</v>
      </c>
      <c r="N969" t="s">
        <v>43</v>
      </c>
      <c r="R969" s="3">
        <f t="shared" si="79"/>
        <v>0</v>
      </c>
    </row>
    <row r="970" spans="1:18" hidden="1" x14ac:dyDescent="0.25">
      <c r="A970" t="s">
        <v>557</v>
      </c>
      <c r="B970" t="s">
        <v>20</v>
      </c>
      <c r="C970" t="s">
        <v>236</v>
      </c>
      <c r="D970" s="3">
        <f t="shared" si="75"/>
        <v>12</v>
      </c>
      <c r="E970" t="s">
        <v>33</v>
      </c>
      <c r="F970" t="s">
        <v>13</v>
      </c>
      <c r="G970" t="str">
        <f t="shared" si="76"/>
        <v/>
      </c>
      <c r="H970" t="s">
        <v>14</v>
      </c>
      <c r="I970" t="s">
        <v>558</v>
      </c>
      <c r="J970" s="2">
        <f t="shared" si="77"/>
        <v>1370000</v>
      </c>
      <c r="K970" t="s">
        <v>559</v>
      </c>
      <c r="L970">
        <f t="shared" si="78"/>
        <v>0.17013888888888887</v>
      </c>
      <c r="M970" s="5">
        <v>0.17013888888888887</v>
      </c>
      <c r="N970" t="s">
        <v>43</v>
      </c>
      <c r="R970" s="3">
        <f t="shared" si="79"/>
        <v>4.083333333333333</v>
      </c>
    </row>
    <row r="971" spans="1:18" hidden="1" x14ac:dyDescent="0.25">
      <c r="A971" t="s">
        <v>4695</v>
      </c>
      <c r="B971" t="s">
        <v>4272</v>
      </c>
      <c r="C971" t="s">
        <v>4435</v>
      </c>
      <c r="D971" s="3">
        <f t="shared" ref="D971:D1034" si="80">VALUE(LEFT(E971,SEARCH(" x ",E971)-1))*VALUE(MID(E971,SEARCH(" x ",E971)+3,SEARCH(" meter",E971)-SEARCH(" x ",E971)-3))</f>
        <v>9</v>
      </c>
      <c r="E971" t="s">
        <v>12</v>
      </c>
      <c r="F971" t="s">
        <v>34</v>
      </c>
      <c r="G971" t="str">
        <f t="shared" ref="G971:G1034" si="81">IF(H971="N/A","",VALUE(SUBSTITUTE(SUBSTITUTE(H971,"Rp",""),".","")))</f>
        <v/>
      </c>
      <c r="H971" t="s">
        <v>14</v>
      </c>
      <c r="I971" t="s">
        <v>4696</v>
      </c>
      <c r="J971" s="2">
        <f t="shared" ref="J971:J1034" si="82">VALUE(SUBSTITUTE(SUBSTITUTE(K971,"Rp",""),".",""))</f>
        <v>1100000</v>
      </c>
      <c r="K971" t="s">
        <v>42</v>
      </c>
      <c r="L971">
        <f t="shared" ref="L971:L1034" si="83">M971:M3311</f>
        <v>0</v>
      </c>
      <c r="N971" t="s">
        <v>18</v>
      </c>
      <c r="R971" s="3">
        <f t="shared" si="79"/>
        <v>0</v>
      </c>
    </row>
    <row r="972" spans="1:18" hidden="1" x14ac:dyDescent="0.25">
      <c r="A972" t="s">
        <v>4064</v>
      </c>
      <c r="B972" t="s">
        <v>3746</v>
      </c>
      <c r="C972" t="s">
        <v>3763</v>
      </c>
      <c r="D972" s="3">
        <f t="shared" si="80"/>
        <v>16</v>
      </c>
      <c r="E972" t="s">
        <v>79</v>
      </c>
      <c r="F972" t="s">
        <v>13</v>
      </c>
      <c r="G972" t="str">
        <f t="shared" si="81"/>
        <v/>
      </c>
      <c r="H972" t="s">
        <v>14</v>
      </c>
      <c r="I972" t="s">
        <v>4065</v>
      </c>
      <c r="J972" s="2">
        <f t="shared" si="82"/>
        <v>1200000</v>
      </c>
      <c r="K972" t="s">
        <v>36</v>
      </c>
      <c r="L972">
        <f t="shared" si="83"/>
        <v>0.17013888888888887</v>
      </c>
      <c r="M972" s="5">
        <v>0.17013888888888887</v>
      </c>
      <c r="N972" t="s">
        <v>43</v>
      </c>
      <c r="P972" t="s">
        <v>2095</v>
      </c>
      <c r="R972" s="3">
        <f t="shared" si="79"/>
        <v>4.083333333333333</v>
      </c>
    </row>
    <row r="973" spans="1:18" hidden="1" x14ac:dyDescent="0.25">
      <c r="A973" t="s">
        <v>1160</v>
      </c>
      <c r="B973" t="s">
        <v>640</v>
      </c>
      <c r="C973" t="s">
        <v>1163</v>
      </c>
      <c r="D973" s="3">
        <f t="shared" si="80"/>
        <v>20</v>
      </c>
      <c r="E973" t="s">
        <v>159</v>
      </c>
      <c r="F973" t="s">
        <v>13</v>
      </c>
      <c r="G973" t="str">
        <f t="shared" si="81"/>
        <v/>
      </c>
      <c r="H973" t="s">
        <v>14</v>
      </c>
      <c r="I973" t="s">
        <v>1161</v>
      </c>
      <c r="J973" s="2">
        <f t="shared" si="82"/>
        <v>965000</v>
      </c>
      <c r="K973" t="s">
        <v>1162</v>
      </c>
      <c r="L973">
        <f t="shared" si="83"/>
        <v>0</v>
      </c>
      <c r="N973" t="s">
        <v>43</v>
      </c>
      <c r="R973" s="3">
        <f t="shared" si="79"/>
        <v>0</v>
      </c>
    </row>
    <row r="974" spans="1:18" hidden="1" x14ac:dyDescent="0.25">
      <c r="A974" t="s">
        <v>3742</v>
      </c>
      <c r="B974" t="s">
        <v>3233</v>
      </c>
      <c r="C974" t="s">
        <v>3232</v>
      </c>
      <c r="D974" s="3">
        <f t="shared" si="80"/>
        <v>9</v>
      </c>
      <c r="E974" t="s">
        <v>12</v>
      </c>
      <c r="F974" t="s">
        <v>13</v>
      </c>
      <c r="G974" t="str">
        <f t="shared" si="81"/>
        <v/>
      </c>
      <c r="H974" t="s">
        <v>14</v>
      </c>
      <c r="I974" t="s">
        <v>3743</v>
      </c>
      <c r="J974" s="2">
        <f t="shared" si="82"/>
        <v>1400000</v>
      </c>
      <c r="K974" t="s">
        <v>81</v>
      </c>
      <c r="L974">
        <f t="shared" si="83"/>
        <v>0.17083333333333331</v>
      </c>
      <c r="M974" s="5">
        <v>0.17083333333333331</v>
      </c>
      <c r="N974" t="s">
        <v>37</v>
      </c>
      <c r="R974" s="3">
        <f t="shared" si="79"/>
        <v>4.0999999999999996</v>
      </c>
    </row>
    <row r="975" spans="1:18" hidden="1" x14ac:dyDescent="0.25">
      <c r="A975" t="s">
        <v>5039</v>
      </c>
      <c r="B975" t="s">
        <v>4806</v>
      </c>
      <c r="C975" t="s">
        <v>4805</v>
      </c>
      <c r="D975" s="3">
        <f t="shared" si="80"/>
        <v>9.1</v>
      </c>
      <c r="E975" t="s">
        <v>1435</v>
      </c>
      <c r="F975" t="s">
        <v>13</v>
      </c>
      <c r="G975" t="str">
        <f t="shared" si="81"/>
        <v/>
      </c>
      <c r="H975" t="s">
        <v>14</v>
      </c>
      <c r="I975" t="s">
        <v>5040</v>
      </c>
      <c r="J975" s="2">
        <f t="shared" si="82"/>
        <v>1600000</v>
      </c>
      <c r="K975" t="s">
        <v>95</v>
      </c>
      <c r="L975">
        <f t="shared" si="83"/>
        <v>0</v>
      </c>
      <c r="N975" t="s">
        <v>18</v>
      </c>
      <c r="R975" s="3">
        <f t="shared" si="79"/>
        <v>0</v>
      </c>
    </row>
    <row r="976" spans="1:18" x14ac:dyDescent="0.25">
      <c r="A976" t="s">
        <v>5236</v>
      </c>
      <c r="B976" t="s">
        <v>4806</v>
      </c>
      <c r="C976" t="s">
        <v>4939</v>
      </c>
      <c r="D976" s="3">
        <f t="shared" si="80"/>
        <v>9</v>
      </c>
      <c r="E976" t="s">
        <v>12</v>
      </c>
      <c r="F976" t="s">
        <v>13</v>
      </c>
      <c r="G976" t="str">
        <f t="shared" si="81"/>
        <v/>
      </c>
      <c r="H976" t="s">
        <v>14</v>
      </c>
      <c r="I976" t="s">
        <v>5237</v>
      </c>
      <c r="J976" s="2">
        <f t="shared" si="82"/>
        <v>1500000</v>
      </c>
      <c r="K976" t="s">
        <v>66</v>
      </c>
      <c r="L976">
        <f t="shared" si="83"/>
        <v>0</v>
      </c>
      <c r="N976" t="s">
        <v>18</v>
      </c>
      <c r="R976" s="3">
        <f t="shared" si="79"/>
        <v>0</v>
      </c>
    </row>
    <row r="977" spans="1:18" x14ac:dyDescent="0.25">
      <c r="A977" t="s">
        <v>1919</v>
      </c>
      <c r="B977" t="s">
        <v>1303</v>
      </c>
      <c r="C977" t="s">
        <v>1312</v>
      </c>
      <c r="D977" s="3">
        <f t="shared" si="80"/>
        <v>9</v>
      </c>
      <c r="E977" t="s">
        <v>12</v>
      </c>
      <c r="F977" t="s">
        <v>13</v>
      </c>
      <c r="G977" t="str">
        <f t="shared" si="81"/>
        <v/>
      </c>
      <c r="H977" t="s">
        <v>14</v>
      </c>
      <c r="I977" t="s">
        <v>1920</v>
      </c>
      <c r="J977" s="2">
        <f t="shared" si="82"/>
        <v>1500000</v>
      </c>
      <c r="K977" t="s">
        <v>66</v>
      </c>
      <c r="L977">
        <f t="shared" si="83"/>
        <v>0</v>
      </c>
      <c r="N977" t="s">
        <v>18</v>
      </c>
      <c r="R977" s="3">
        <f t="shared" si="79"/>
        <v>0</v>
      </c>
    </row>
    <row r="978" spans="1:18" hidden="1" x14ac:dyDescent="0.25">
      <c r="A978" t="s">
        <v>567</v>
      </c>
      <c r="B978" t="s">
        <v>20</v>
      </c>
      <c r="C978" t="s">
        <v>113</v>
      </c>
      <c r="D978" s="3">
        <f t="shared" si="80"/>
        <v>12</v>
      </c>
      <c r="E978" t="s">
        <v>33</v>
      </c>
      <c r="F978" t="s">
        <v>13</v>
      </c>
      <c r="G978" t="str">
        <f t="shared" si="81"/>
        <v/>
      </c>
      <c r="H978" t="s">
        <v>14</v>
      </c>
      <c r="I978" t="s">
        <v>568</v>
      </c>
      <c r="J978" s="2">
        <f t="shared" si="82"/>
        <v>1350000</v>
      </c>
      <c r="K978" t="s">
        <v>257</v>
      </c>
      <c r="L978">
        <f t="shared" si="83"/>
        <v>0.20833333333333334</v>
      </c>
      <c r="M978" s="5">
        <v>0.20833333333333334</v>
      </c>
      <c r="N978" t="s">
        <v>18</v>
      </c>
      <c r="R978" s="3">
        <f t="shared" si="79"/>
        <v>5</v>
      </c>
    </row>
    <row r="979" spans="1:18" hidden="1" x14ac:dyDescent="0.25">
      <c r="A979" t="s">
        <v>4357</v>
      </c>
      <c r="B979" t="s">
        <v>4272</v>
      </c>
      <c r="C979" t="s">
        <v>4281</v>
      </c>
      <c r="D979" s="3">
        <f t="shared" si="80"/>
        <v>12</v>
      </c>
      <c r="E979" t="s">
        <v>33</v>
      </c>
      <c r="F979" t="s">
        <v>13</v>
      </c>
      <c r="G979" t="str">
        <f t="shared" si="81"/>
        <v/>
      </c>
      <c r="H979" t="s">
        <v>14</v>
      </c>
      <c r="I979" t="s">
        <v>4358</v>
      </c>
      <c r="J979" s="2">
        <f t="shared" si="82"/>
        <v>700000</v>
      </c>
      <c r="K979" t="s">
        <v>157</v>
      </c>
      <c r="L979">
        <f t="shared" si="83"/>
        <v>0.17222222222222225</v>
      </c>
      <c r="M979" s="5">
        <v>0.17222222222222225</v>
      </c>
      <c r="N979" t="s">
        <v>18</v>
      </c>
      <c r="R979" s="3">
        <f t="shared" si="79"/>
        <v>4.1333333333333337</v>
      </c>
    </row>
    <row r="980" spans="1:18" hidden="1" x14ac:dyDescent="0.25">
      <c r="A980" t="s">
        <v>522</v>
      </c>
      <c r="B980" t="s">
        <v>20</v>
      </c>
      <c r="C980" t="s">
        <v>218</v>
      </c>
      <c r="D980" s="3">
        <f t="shared" si="80"/>
        <v>12</v>
      </c>
      <c r="E980" t="s">
        <v>33</v>
      </c>
      <c r="F980" t="s">
        <v>13</v>
      </c>
      <c r="G980" t="str">
        <f t="shared" si="81"/>
        <v/>
      </c>
      <c r="H980" t="s">
        <v>14</v>
      </c>
      <c r="I980" t="s">
        <v>523</v>
      </c>
      <c r="J980" s="2">
        <f t="shared" si="82"/>
        <v>1500000</v>
      </c>
      <c r="K980" t="s">
        <v>66</v>
      </c>
      <c r="L980">
        <f t="shared" si="83"/>
        <v>0</v>
      </c>
      <c r="N980" t="s">
        <v>37</v>
      </c>
      <c r="R980" s="3">
        <f t="shared" si="79"/>
        <v>0</v>
      </c>
    </row>
    <row r="981" spans="1:18" hidden="1" x14ac:dyDescent="0.25">
      <c r="A981" t="s">
        <v>4942</v>
      </c>
      <c r="B981" t="s">
        <v>4806</v>
      </c>
      <c r="C981" t="s">
        <v>4805</v>
      </c>
      <c r="D981" s="3">
        <f t="shared" si="80"/>
        <v>12</v>
      </c>
      <c r="E981" t="s">
        <v>33</v>
      </c>
      <c r="F981" t="s">
        <v>13</v>
      </c>
      <c r="G981" t="str">
        <f t="shared" si="81"/>
        <v/>
      </c>
      <c r="H981" t="s">
        <v>14</v>
      </c>
      <c r="I981" t="s">
        <v>4943</v>
      </c>
      <c r="J981" s="2">
        <f t="shared" si="82"/>
        <v>1600000</v>
      </c>
      <c r="K981" t="s">
        <v>95</v>
      </c>
      <c r="L981">
        <f t="shared" si="83"/>
        <v>0</v>
      </c>
      <c r="N981" t="s">
        <v>18</v>
      </c>
      <c r="R981" s="3">
        <f t="shared" si="79"/>
        <v>0</v>
      </c>
    </row>
    <row r="982" spans="1:18" hidden="1" x14ac:dyDescent="0.25">
      <c r="A982" t="s">
        <v>5176</v>
      </c>
      <c r="B982" t="s">
        <v>4806</v>
      </c>
      <c r="C982" t="s">
        <v>4809</v>
      </c>
      <c r="D982" s="3">
        <f t="shared" si="80"/>
        <v>21</v>
      </c>
      <c r="E982" t="s">
        <v>121</v>
      </c>
      <c r="F982" t="s">
        <v>13</v>
      </c>
      <c r="G982" t="str">
        <f t="shared" si="81"/>
        <v/>
      </c>
      <c r="H982" t="s">
        <v>14</v>
      </c>
      <c r="I982" t="s">
        <v>5177</v>
      </c>
      <c r="J982" s="2">
        <f t="shared" si="82"/>
        <v>1900000</v>
      </c>
      <c r="K982" t="s">
        <v>352</v>
      </c>
      <c r="L982">
        <f t="shared" si="83"/>
        <v>0</v>
      </c>
      <c r="N982" t="s">
        <v>18</v>
      </c>
      <c r="R982" s="3">
        <f t="shared" si="79"/>
        <v>0</v>
      </c>
    </row>
    <row r="983" spans="1:18" hidden="1" x14ac:dyDescent="0.25">
      <c r="A983" t="s">
        <v>4039</v>
      </c>
      <c r="B983" t="s">
        <v>3746</v>
      </c>
      <c r="C983" t="s">
        <v>3811</v>
      </c>
      <c r="D983" s="3">
        <f t="shared" si="80"/>
        <v>9</v>
      </c>
      <c r="E983" t="s">
        <v>12</v>
      </c>
      <c r="F983" t="s">
        <v>13</v>
      </c>
      <c r="G983" t="str">
        <f t="shared" si="81"/>
        <v/>
      </c>
      <c r="H983" t="s">
        <v>14</v>
      </c>
      <c r="I983" t="s">
        <v>4040</v>
      </c>
      <c r="J983" s="2">
        <f t="shared" si="82"/>
        <v>1100000</v>
      </c>
      <c r="K983" t="s">
        <v>42</v>
      </c>
      <c r="L983">
        <f t="shared" si="83"/>
        <v>0</v>
      </c>
      <c r="N983" t="s">
        <v>37</v>
      </c>
      <c r="R983" s="3">
        <f t="shared" si="79"/>
        <v>0</v>
      </c>
    </row>
    <row r="984" spans="1:18" hidden="1" x14ac:dyDescent="0.25">
      <c r="A984" t="s">
        <v>485</v>
      </c>
      <c r="B984" t="s">
        <v>20</v>
      </c>
      <c r="C984" t="s">
        <v>38</v>
      </c>
      <c r="D984" s="3">
        <f t="shared" si="80"/>
        <v>12</v>
      </c>
      <c r="E984" t="s">
        <v>33</v>
      </c>
      <c r="F984" t="s">
        <v>13</v>
      </c>
      <c r="G984" t="str">
        <f t="shared" si="81"/>
        <v/>
      </c>
      <c r="H984" t="s">
        <v>14</v>
      </c>
      <c r="I984" t="s">
        <v>486</v>
      </c>
      <c r="J984" s="2">
        <f t="shared" si="82"/>
        <v>1200000</v>
      </c>
      <c r="K984" t="s">
        <v>36</v>
      </c>
      <c r="L984">
        <f t="shared" si="83"/>
        <v>0</v>
      </c>
      <c r="N984" t="s">
        <v>18</v>
      </c>
      <c r="R984" s="3">
        <f t="shared" si="79"/>
        <v>0</v>
      </c>
    </row>
    <row r="985" spans="1:18" hidden="1" x14ac:dyDescent="0.25">
      <c r="A985" t="s">
        <v>4990</v>
      </c>
      <c r="B985" t="s">
        <v>4806</v>
      </c>
      <c r="C985" t="s">
        <v>4915</v>
      </c>
      <c r="D985" s="3">
        <f t="shared" si="80"/>
        <v>20</v>
      </c>
      <c r="E985" t="s">
        <v>565</v>
      </c>
      <c r="F985" t="s">
        <v>13</v>
      </c>
      <c r="G985" t="str">
        <f t="shared" si="81"/>
        <v/>
      </c>
      <c r="H985" t="s">
        <v>14</v>
      </c>
      <c r="I985" t="s">
        <v>4991</v>
      </c>
      <c r="J985" s="2">
        <f t="shared" si="82"/>
        <v>600000</v>
      </c>
      <c r="K985" t="s">
        <v>173</v>
      </c>
      <c r="L985">
        <f t="shared" si="83"/>
        <v>0</v>
      </c>
      <c r="N985" t="s">
        <v>43</v>
      </c>
      <c r="R985" s="3">
        <f t="shared" si="79"/>
        <v>0</v>
      </c>
    </row>
    <row r="986" spans="1:18" x14ac:dyDescent="0.25">
      <c r="A986" t="s">
        <v>4846</v>
      </c>
      <c r="B986" t="s">
        <v>4806</v>
      </c>
      <c r="C986" t="s">
        <v>4809</v>
      </c>
      <c r="D986" s="3">
        <f t="shared" si="80"/>
        <v>9</v>
      </c>
      <c r="E986" t="s">
        <v>12</v>
      </c>
      <c r="F986" t="s">
        <v>13</v>
      </c>
      <c r="G986" t="str">
        <f t="shared" si="81"/>
        <v/>
      </c>
      <c r="H986" t="s">
        <v>14</v>
      </c>
      <c r="I986" t="s">
        <v>4847</v>
      </c>
      <c r="J986" s="2">
        <f t="shared" si="82"/>
        <v>1500000</v>
      </c>
      <c r="K986" t="s">
        <v>66</v>
      </c>
      <c r="L986">
        <f t="shared" si="83"/>
        <v>0</v>
      </c>
      <c r="N986" t="s">
        <v>37</v>
      </c>
      <c r="R986" s="3">
        <f t="shared" si="79"/>
        <v>0</v>
      </c>
    </row>
    <row r="987" spans="1:18" hidden="1" x14ac:dyDescent="0.25">
      <c r="A987" t="s">
        <v>4249</v>
      </c>
      <c r="B987" t="s">
        <v>3746</v>
      </c>
      <c r="C987" t="s">
        <v>3749</v>
      </c>
      <c r="D987" s="3">
        <f t="shared" si="80"/>
        <v>9</v>
      </c>
      <c r="E987" t="s">
        <v>12</v>
      </c>
      <c r="F987" t="s">
        <v>13</v>
      </c>
      <c r="G987" t="str">
        <f t="shared" si="81"/>
        <v/>
      </c>
      <c r="H987" t="s">
        <v>14</v>
      </c>
      <c r="I987" t="s">
        <v>4250</v>
      </c>
      <c r="J987" s="2">
        <f t="shared" si="82"/>
        <v>2500000</v>
      </c>
      <c r="K987" t="s">
        <v>272</v>
      </c>
      <c r="L987">
        <f t="shared" si="83"/>
        <v>0</v>
      </c>
      <c r="N987" t="s">
        <v>43</v>
      </c>
      <c r="R987" s="3">
        <f t="shared" si="79"/>
        <v>0</v>
      </c>
    </row>
    <row r="988" spans="1:18" hidden="1" x14ac:dyDescent="0.25">
      <c r="A988" t="s">
        <v>4069</v>
      </c>
      <c r="B988" t="s">
        <v>3746</v>
      </c>
      <c r="C988" t="s">
        <v>3759</v>
      </c>
      <c r="D988" s="3">
        <f t="shared" si="80"/>
        <v>24</v>
      </c>
      <c r="E988" t="s">
        <v>601</v>
      </c>
      <c r="F988" t="s">
        <v>13</v>
      </c>
      <c r="G988" t="str">
        <f t="shared" si="81"/>
        <v/>
      </c>
      <c r="H988" t="s">
        <v>14</v>
      </c>
      <c r="I988" t="s">
        <v>4070</v>
      </c>
      <c r="J988" s="2">
        <f t="shared" si="82"/>
        <v>925000</v>
      </c>
      <c r="K988" t="s">
        <v>649</v>
      </c>
      <c r="L988">
        <f t="shared" si="83"/>
        <v>0.16666666666666666</v>
      </c>
      <c r="M988" s="5">
        <v>0.16666666666666666</v>
      </c>
      <c r="N988" t="s">
        <v>18</v>
      </c>
      <c r="R988" s="3">
        <f t="shared" si="79"/>
        <v>4</v>
      </c>
    </row>
    <row r="989" spans="1:18" hidden="1" x14ac:dyDescent="0.25">
      <c r="A989" t="s">
        <v>2311</v>
      </c>
      <c r="B989" t="s">
        <v>2596</v>
      </c>
      <c r="C989" t="s">
        <v>1999</v>
      </c>
      <c r="D989" s="3">
        <f t="shared" si="80"/>
        <v>9</v>
      </c>
      <c r="E989" t="s">
        <v>12</v>
      </c>
      <c r="F989" t="s">
        <v>13</v>
      </c>
      <c r="G989" t="str">
        <f t="shared" si="81"/>
        <v/>
      </c>
      <c r="H989" t="s">
        <v>14</v>
      </c>
      <c r="I989" t="s">
        <v>2312</v>
      </c>
      <c r="J989" s="2">
        <f t="shared" si="82"/>
        <v>2999000</v>
      </c>
      <c r="K989" t="s">
        <v>2313</v>
      </c>
      <c r="L989">
        <f t="shared" si="83"/>
        <v>0.17222222222222225</v>
      </c>
      <c r="M989" s="5">
        <v>0.17222222222222225</v>
      </c>
      <c r="N989" t="s">
        <v>43</v>
      </c>
      <c r="P989" t="s">
        <v>681</v>
      </c>
      <c r="R989" s="3">
        <f t="shared" si="79"/>
        <v>4.1333333333333337</v>
      </c>
    </row>
    <row r="990" spans="1:18" hidden="1" x14ac:dyDescent="0.25">
      <c r="A990" t="s">
        <v>3702</v>
      </c>
      <c r="B990" t="s">
        <v>3233</v>
      </c>
      <c r="C990" t="s">
        <v>3261</v>
      </c>
      <c r="D990" s="3">
        <f t="shared" si="80"/>
        <v>6</v>
      </c>
      <c r="E990" t="s">
        <v>64</v>
      </c>
      <c r="F990" t="s">
        <v>13</v>
      </c>
      <c r="G990" t="str">
        <f t="shared" si="81"/>
        <v/>
      </c>
      <c r="H990" t="s">
        <v>14</v>
      </c>
      <c r="I990" t="s">
        <v>3703</v>
      </c>
      <c r="J990" s="2">
        <f t="shared" si="82"/>
        <v>1100000</v>
      </c>
      <c r="K990" t="s">
        <v>42</v>
      </c>
      <c r="L990">
        <f t="shared" si="83"/>
        <v>0.17083333333333331</v>
      </c>
      <c r="M990" s="5">
        <v>0.17083333333333331</v>
      </c>
      <c r="N990" t="s">
        <v>43</v>
      </c>
      <c r="R990" s="3">
        <f t="shared" si="79"/>
        <v>4.0999999999999996</v>
      </c>
    </row>
    <row r="991" spans="1:18" hidden="1" x14ac:dyDescent="0.25">
      <c r="A991" t="s">
        <v>5273</v>
      </c>
      <c r="B991" t="s">
        <v>4806</v>
      </c>
      <c r="C991" t="s">
        <v>4825</v>
      </c>
      <c r="D991" s="3">
        <f t="shared" si="80"/>
        <v>48</v>
      </c>
      <c r="E991" t="s">
        <v>5274</v>
      </c>
      <c r="F991" t="s">
        <v>13</v>
      </c>
      <c r="G991" t="str">
        <f t="shared" si="81"/>
        <v/>
      </c>
      <c r="H991" t="s">
        <v>14</v>
      </c>
      <c r="I991" t="s">
        <v>5275</v>
      </c>
      <c r="J991" s="2">
        <f t="shared" si="82"/>
        <v>1900000</v>
      </c>
      <c r="K991" t="s">
        <v>352</v>
      </c>
      <c r="L991">
        <f t="shared" si="83"/>
        <v>0</v>
      </c>
      <c r="N991" t="s">
        <v>43</v>
      </c>
      <c r="R991" s="3">
        <f t="shared" si="79"/>
        <v>0</v>
      </c>
    </row>
    <row r="992" spans="1:18" hidden="1" x14ac:dyDescent="0.25">
      <c r="A992" t="s">
        <v>4986</v>
      </c>
      <c r="B992" t="s">
        <v>4806</v>
      </c>
      <c r="C992" t="s">
        <v>4825</v>
      </c>
      <c r="D992" s="3">
        <f t="shared" si="80"/>
        <v>12</v>
      </c>
      <c r="E992" t="s">
        <v>33</v>
      </c>
      <c r="F992" t="s">
        <v>13</v>
      </c>
      <c r="G992" t="str">
        <f t="shared" si="81"/>
        <v/>
      </c>
      <c r="H992" t="s">
        <v>14</v>
      </c>
      <c r="I992" t="s">
        <v>4987</v>
      </c>
      <c r="J992" s="2">
        <f t="shared" si="82"/>
        <v>1300000</v>
      </c>
      <c r="K992" t="s">
        <v>17</v>
      </c>
      <c r="L992">
        <f t="shared" si="83"/>
        <v>0.17083333333333331</v>
      </c>
      <c r="M992" s="5">
        <v>0.17083333333333331</v>
      </c>
      <c r="N992" t="s">
        <v>43</v>
      </c>
      <c r="R992" s="3">
        <f t="shared" si="79"/>
        <v>4.0999999999999996</v>
      </c>
    </row>
    <row r="993" spans="1:18" hidden="1" x14ac:dyDescent="0.25">
      <c r="A993" t="s">
        <v>5078</v>
      </c>
      <c r="B993" t="s">
        <v>4806</v>
      </c>
      <c r="C993" t="s">
        <v>4825</v>
      </c>
      <c r="D993" s="3">
        <f t="shared" si="80"/>
        <v>12</v>
      </c>
      <c r="E993" t="s">
        <v>33</v>
      </c>
      <c r="F993" t="s">
        <v>13</v>
      </c>
      <c r="G993" t="str">
        <f t="shared" si="81"/>
        <v/>
      </c>
      <c r="H993" t="s">
        <v>14</v>
      </c>
      <c r="I993" t="s">
        <v>5079</v>
      </c>
      <c r="J993" s="2">
        <f t="shared" si="82"/>
        <v>900000</v>
      </c>
      <c r="K993" t="s">
        <v>101</v>
      </c>
      <c r="L993">
        <f t="shared" si="83"/>
        <v>0</v>
      </c>
      <c r="N993" t="s">
        <v>43</v>
      </c>
      <c r="R993" s="3">
        <f t="shared" si="79"/>
        <v>0</v>
      </c>
    </row>
    <row r="994" spans="1:18" hidden="1" x14ac:dyDescent="0.25">
      <c r="A994" t="s">
        <v>3738</v>
      </c>
      <c r="B994" t="s">
        <v>3233</v>
      </c>
      <c r="C994" t="s">
        <v>3232</v>
      </c>
      <c r="D994" s="3">
        <f t="shared" si="80"/>
        <v>12</v>
      </c>
      <c r="E994" t="s">
        <v>347</v>
      </c>
      <c r="F994" t="s">
        <v>13</v>
      </c>
      <c r="G994" t="str">
        <f t="shared" si="81"/>
        <v/>
      </c>
      <c r="H994" t="s">
        <v>14</v>
      </c>
      <c r="I994" t="s">
        <v>3739</v>
      </c>
      <c r="J994" s="2">
        <f t="shared" si="82"/>
        <v>2200000</v>
      </c>
      <c r="K994" t="s">
        <v>849</v>
      </c>
      <c r="L994">
        <f t="shared" si="83"/>
        <v>0</v>
      </c>
      <c r="N994" t="s">
        <v>37</v>
      </c>
      <c r="R994" s="3">
        <f t="shared" si="79"/>
        <v>0</v>
      </c>
    </row>
    <row r="995" spans="1:18" x14ac:dyDescent="0.25">
      <c r="A995" t="s">
        <v>995</v>
      </c>
      <c r="B995" t="s">
        <v>640</v>
      </c>
      <c r="C995" t="s">
        <v>643</v>
      </c>
      <c r="D995" s="3" t="e">
        <f t="shared" si="80"/>
        <v>#VALUE!</v>
      </c>
      <c r="E995" t="s">
        <v>14</v>
      </c>
      <c r="F995" t="s">
        <v>13</v>
      </c>
      <c r="G995" t="str">
        <f t="shared" si="81"/>
        <v/>
      </c>
      <c r="H995" t="s">
        <v>14</v>
      </c>
      <c r="I995" t="s">
        <v>996</v>
      </c>
      <c r="J995" s="2">
        <f t="shared" si="82"/>
        <v>1500000</v>
      </c>
      <c r="K995" t="s">
        <v>66</v>
      </c>
      <c r="L995">
        <f t="shared" si="83"/>
        <v>0.17222222222222225</v>
      </c>
      <c r="M995" s="5">
        <v>0.17222222222222225</v>
      </c>
      <c r="N995" t="s">
        <v>18</v>
      </c>
      <c r="P995" t="s">
        <v>673</v>
      </c>
      <c r="R995" s="3">
        <f t="shared" si="79"/>
        <v>4.1333333333333337</v>
      </c>
    </row>
    <row r="996" spans="1:18" hidden="1" x14ac:dyDescent="0.25">
      <c r="A996" t="s">
        <v>4814</v>
      </c>
      <c r="B996" t="s">
        <v>4806</v>
      </c>
      <c r="C996" t="s">
        <v>4805</v>
      </c>
      <c r="D996" s="3">
        <f t="shared" si="80"/>
        <v>6</v>
      </c>
      <c r="E996" t="s">
        <v>4552</v>
      </c>
      <c r="F996" t="s">
        <v>13</v>
      </c>
      <c r="G996" t="str">
        <f t="shared" si="81"/>
        <v/>
      </c>
      <c r="H996" t="s">
        <v>14</v>
      </c>
      <c r="I996" t="s">
        <v>4815</v>
      </c>
      <c r="J996" s="2">
        <f t="shared" si="82"/>
        <v>1200000</v>
      </c>
      <c r="K996" t="s">
        <v>36</v>
      </c>
      <c r="L996">
        <f t="shared" si="83"/>
        <v>0.20833333333333334</v>
      </c>
      <c r="M996" s="5">
        <v>0.20833333333333334</v>
      </c>
      <c r="N996" t="s">
        <v>43</v>
      </c>
      <c r="R996" s="3">
        <f t="shared" si="79"/>
        <v>5</v>
      </c>
    </row>
    <row r="997" spans="1:18" hidden="1" x14ac:dyDescent="0.25">
      <c r="A997" t="s">
        <v>3314</v>
      </c>
      <c r="B997" t="s">
        <v>3233</v>
      </c>
      <c r="C997" t="s">
        <v>3232</v>
      </c>
      <c r="D997" s="3">
        <f t="shared" si="80"/>
        <v>9</v>
      </c>
      <c r="E997" t="s">
        <v>12</v>
      </c>
      <c r="F997" t="s">
        <v>34</v>
      </c>
      <c r="G997" t="str">
        <f t="shared" si="81"/>
        <v/>
      </c>
      <c r="H997" t="s">
        <v>14</v>
      </c>
      <c r="I997" t="s">
        <v>3315</v>
      </c>
      <c r="J997" s="2">
        <f t="shared" si="82"/>
        <v>1700000</v>
      </c>
      <c r="K997" t="s">
        <v>23</v>
      </c>
      <c r="L997">
        <f t="shared" si="83"/>
        <v>0.17291666666666669</v>
      </c>
      <c r="M997" s="5">
        <v>0.17291666666666669</v>
      </c>
      <c r="N997" t="s">
        <v>43</v>
      </c>
      <c r="R997" s="3">
        <f t="shared" si="79"/>
        <v>4.1500000000000004</v>
      </c>
    </row>
    <row r="998" spans="1:18" hidden="1" x14ac:dyDescent="0.25">
      <c r="A998" t="s">
        <v>4447</v>
      </c>
      <c r="B998" t="s">
        <v>4272</v>
      </c>
      <c r="C998" t="s">
        <v>4281</v>
      </c>
      <c r="D998" s="3">
        <f t="shared" si="80"/>
        <v>12</v>
      </c>
      <c r="E998" t="s">
        <v>33</v>
      </c>
      <c r="F998" t="s">
        <v>13</v>
      </c>
      <c r="G998" t="str">
        <f t="shared" si="81"/>
        <v/>
      </c>
      <c r="H998" t="s">
        <v>14</v>
      </c>
      <c r="I998" t="s">
        <v>4448</v>
      </c>
      <c r="J998" s="2">
        <f t="shared" si="82"/>
        <v>1000000</v>
      </c>
      <c r="K998" t="s">
        <v>52</v>
      </c>
      <c r="L998">
        <f t="shared" si="83"/>
        <v>0</v>
      </c>
      <c r="N998" t="s">
        <v>37</v>
      </c>
      <c r="R998" s="3">
        <f t="shared" si="79"/>
        <v>0</v>
      </c>
    </row>
    <row r="999" spans="1:18" hidden="1" x14ac:dyDescent="0.25">
      <c r="A999" t="s">
        <v>424</v>
      </c>
      <c r="B999" t="s">
        <v>20</v>
      </c>
      <c r="C999" t="s">
        <v>218</v>
      </c>
      <c r="D999" s="3">
        <f t="shared" si="80"/>
        <v>12</v>
      </c>
      <c r="E999" t="s">
        <v>33</v>
      </c>
      <c r="F999" t="s">
        <v>34</v>
      </c>
      <c r="G999" t="str">
        <f t="shared" si="81"/>
        <v/>
      </c>
      <c r="H999" t="s">
        <v>14</v>
      </c>
      <c r="I999" t="s">
        <v>425</v>
      </c>
      <c r="J999" s="2">
        <f t="shared" si="82"/>
        <v>650000</v>
      </c>
      <c r="K999" t="s">
        <v>105</v>
      </c>
      <c r="L999">
        <f t="shared" si="83"/>
        <v>0</v>
      </c>
      <c r="N999" t="s">
        <v>18</v>
      </c>
      <c r="R999" s="3">
        <f t="shared" si="79"/>
        <v>0</v>
      </c>
    </row>
    <row r="1000" spans="1:18" hidden="1" x14ac:dyDescent="0.25">
      <c r="A1000" t="s">
        <v>5091</v>
      </c>
      <c r="B1000" t="s">
        <v>4806</v>
      </c>
      <c r="C1000" t="s">
        <v>4805</v>
      </c>
      <c r="D1000" s="3">
        <f t="shared" si="80"/>
        <v>9</v>
      </c>
      <c r="E1000" t="s">
        <v>12</v>
      </c>
      <c r="F1000" t="s">
        <v>13</v>
      </c>
      <c r="G1000" t="str">
        <f t="shared" si="81"/>
        <v/>
      </c>
      <c r="H1000" t="s">
        <v>14</v>
      </c>
      <c r="I1000" t="s">
        <v>5092</v>
      </c>
      <c r="J1000" s="2">
        <f t="shared" si="82"/>
        <v>1400000</v>
      </c>
      <c r="K1000" t="s">
        <v>81</v>
      </c>
      <c r="L1000">
        <f t="shared" si="83"/>
        <v>0.20833333333333334</v>
      </c>
      <c r="M1000" s="5">
        <v>0.20833333333333334</v>
      </c>
      <c r="N1000" t="s">
        <v>43</v>
      </c>
      <c r="R1000" s="3">
        <f t="shared" si="79"/>
        <v>5</v>
      </c>
    </row>
    <row r="1001" spans="1:18" x14ac:dyDescent="0.25">
      <c r="A1001" t="s">
        <v>174</v>
      </c>
      <c r="B1001" t="s">
        <v>20</v>
      </c>
      <c r="C1001" t="s">
        <v>24</v>
      </c>
      <c r="D1001" s="3">
        <f t="shared" si="80"/>
        <v>9</v>
      </c>
      <c r="E1001" t="s">
        <v>12</v>
      </c>
      <c r="F1001" t="s">
        <v>13</v>
      </c>
      <c r="G1001" t="str">
        <f t="shared" si="81"/>
        <v/>
      </c>
      <c r="H1001" t="s">
        <v>14</v>
      </c>
      <c r="I1001" t="s">
        <v>175</v>
      </c>
      <c r="J1001" s="2">
        <f t="shared" si="82"/>
        <v>1500000</v>
      </c>
      <c r="K1001" t="s">
        <v>66</v>
      </c>
      <c r="L1001">
        <f t="shared" si="83"/>
        <v>0</v>
      </c>
      <c r="N1001" t="s">
        <v>43</v>
      </c>
      <c r="R1001" s="3">
        <f t="shared" si="79"/>
        <v>0</v>
      </c>
    </row>
    <row r="1002" spans="1:18" hidden="1" x14ac:dyDescent="0.25">
      <c r="A1002" t="s">
        <v>237</v>
      </c>
      <c r="B1002" t="s">
        <v>20</v>
      </c>
      <c r="C1002" t="s">
        <v>113</v>
      </c>
      <c r="D1002" s="3">
        <f t="shared" si="80"/>
        <v>14</v>
      </c>
      <c r="E1002" t="s">
        <v>238</v>
      </c>
      <c r="F1002" t="s">
        <v>13</v>
      </c>
      <c r="G1002" t="str">
        <f t="shared" si="81"/>
        <v/>
      </c>
      <c r="H1002" t="s">
        <v>14</v>
      </c>
      <c r="I1002" t="s">
        <v>239</v>
      </c>
      <c r="J1002" s="2">
        <f t="shared" si="82"/>
        <v>2050000</v>
      </c>
      <c r="K1002" t="s">
        <v>240</v>
      </c>
      <c r="L1002">
        <f t="shared" si="83"/>
        <v>0</v>
      </c>
      <c r="N1002" t="s">
        <v>43</v>
      </c>
      <c r="R1002" s="3">
        <f t="shared" si="79"/>
        <v>0</v>
      </c>
    </row>
    <row r="1003" spans="1:18" hidden="1" x14ac:dyDescent="0.25">
      <c r="A1003" t="s">
        <v>273</v>
      </c>
      <c r="B1003" t="s">
        <v>20</v>
      </c>
      <c r="C1003" t="s">
        <v>84</v>
      </c>
      <c r="D1003" s="3">
        <f t="shared" si="80"/>
        <v>12</v>
      </c>
      <c r="E1003" t="s">
        <v>33</v>
      </c>
      <c r="F1003" t="s">
        <v>34</v>
      </c>
      <c r="G1003" t="str">
        <f t="shared" si="81"/>
        <v/>
      </c>
      <c r="H1003" t="s">
        <v>14</v>
      </c>
      <c r="I1003" t="s">
        <v>274</v>
      </c>
      <c r="J1003" s="2">
        <f t="shared" si="82"/>
        <v>1000000</v>
      </c>
      <c r="K1003" t="s">
        <v>52</v>
      </c>
      <c r="L1003">
        <f t="shared" si="83"/>
        <v>0</v>
      </c>
      <c r="N1003" t="s">
        <v>43</v>
      </c>
      <c r="R1003" s="3">
        <f t="shared" si="79"/>
        <v>0</v>
      </c>
    </row>
    <row r="1004" spans="1:18" hidden="1" x14ac:dyDescent="0.25">
      <c r="A1004" t="s">
        <v>4868</v>
      </c>
      <c r="B1004" t="s">
        <v>4806</v>
      </c>
      <c r="C1004" t="s">
        <v>4805</v>
      </c>
      <c r="D1004" s="3">
        <f t="shared" si="80"/>
        <v>12</v>
      </c>
      <c r="E1004" t="s">
        <v>33</v>
      </c>
      <c r="F1004" t="s">
        <v>13</v>
      </c>
      <c r="G1004" t="str">
        <f t="shared" si="81"/>
        <v/>
      </c>
      <c r="H1004" t="s">
        <v>14</v>
      </c>
      <c r="I1004" t="s">
        <v>4869</v>
      </c>
      <c r="J1004" s="2">
        <f t="shared" si="82"/>
        <v>1550000</v>
      </c>
      <c r="K1004" t="s">
        <v>137</v>
      </c>
      <c r="L1004">
        <f t="shared" si="83"/>
        <v>0</v>
      </c>
      <c r="N1004" t="s">
        <v>18</v>
      </c>
      <c r="R1004" s="3">
        <f t="shared" si="79"/>
        <v>0</v>
      </c>
    </row>
    <row r="1005" spans="1:18" hidden="1" x14ac:dyDescent="0.25">
      <c r="A1005" t="s">
        <v>4935</v>
      </c>
      <c r="B1005" t="s">
        <v>4806</v>
      </c>
      <c r="C1005" t="s">
        <v>4805</v>
      </c>
      <c r="D1005" s="3">
        <f t="shared" si="80"/>
        <v>7.5</v>
      </c>
      <c r="E1005" t="s">
        <v>614</v>
      </c>
      <c r="F1005" t="s">
        <v>13</v>
      </c>
      <c r="G1005" t="str">
        <f t="shared" si="81"/>
        <v/>
      </c>
      <c r="H1005" t="s">
        <v>14</v>
      </c>
      <c r="I1005" t="s">
        <v>4936</v>
      </c>
      <c r="J1005" s="2">
        <f t="shared" si="82"/>
        <v>850000</v>
      </c>
      <c r="K1005" t="s">
        <v>185</v>
      </c>
      <c r="L1005">
        <f t="shared" si="83"/>
        <v>0.20833333333333334</v>
      </c>
      <c r="M1005" s="5">
        <v>0.20833333333333334</v>
      </c>
      <c r="N1005" t="s">
        <v>43</v>
      </c>
      <c r="R1005" s="3">
        <f t="shared" si="79"/>
        <v>5</v>
      </c>
    </row>
    <row r="1006" spans="1:18" hidden="1" x14ac:dyDescent="0.25">
      <c r="A1006" t="s">
        <v>5721</v>
      </c>
      <c r="B1006" t="s">
        <v>5848</v>
      </c>
      <c r="C1006" t="s">
        <v>5406</v>
      </c>
      <c r="D1006" s="3">
        <f t="shared" si="80"/>
        <v>12</v>
      </c>
      <c r="E1006" t="s">
        <v>33</v>
      </c>
      <c r="F1006" t="s">
        <v>13</v>
      </c>
      <c r="G1006" t="str">
        <f t="shared" si="81"/>
        <v/>
      </c>
      <c r="H1006" t="s">
        <v>14</v>
      </c>
      <c r="I1006" t="s">
        <v>5722</v>
      </c>
      <c r="J1006" s="2">
        <f t="shared" si="82"/>
        <v>1600000</v>
      </c>
      <c r="K1006" t="s">
        <v>95</v>
      </c>
      <c r="L1006">
        <f t="shared" si="83"/>
        <v>0.17291666666666669</v>
      </c>
      <c r="M1006" s="5">
        <v>0.17291666666666669</v>
      </c>
      <c r="N1006" t="s">
        <v>43</v>
      </c>
      <c r="P1006" t="s">
        <v>899</v>
      </c>
      <c r="R1006" s="3">
        <f t="shared" si="79"/>
        <v>4.1500000000000004</v>
      </c>
    </row>
    <row r="1007" spans="1:18" x14ac:dyDescent="0.25">
      <c r="A1007" t="s">
        <v>893</v>
      </c>
      <c r="B1007" t="s">
        <v>640</v>
      </c>
      <c r="C1007" t="s">
        <v>643</v>
      </c>
      <c r="D1007" s="3">
        <f t="shared" si="80"/>
        <v>9</v>
      </c>
      <c r="E1007" t="s">
        <v>12</v>
      </c>
      <c r="F1007" t="s">
        <v>13</v>
      </c>
      <c r="G1007" t="str">
        <f t="shared" si="81"/>
        <v/>
      </c>
      <c r="H1007" t="s">
        <v>14</v>
      </c>
      <c r="I1007" t="s">
        <v>894</v>
      </c>
      <c r="J1007" s="2">
        <f t="shared" si="82"/>
        <v>1500000</v>
      </c>
      <c r="K1007" t="s">
        <v>66</v>
      </c>
      <c r="L1007">
        <f t="shared" si="83"/>
        <v>0.16944444444444443</v>
      </c>
      <c r="M1007" s="5">
        <v>0.16944444444444443</v>
      </c>
      <c r="N1007" t="s">
        <v>18</v>
      </c>
      <c r="P1007" t="s">
        <v>665</v>
      </c>
      <c r="R1007" s="3">
        <f t="shared" si="79"/>
        <v>4.0666666666666664</v>
      </c>
    </row>
    <row r="1008" spans="1:18" hidden="1" x14ac:dyDescent="0.25">
      <c r="A1008" t="s">
        <v>1539</v>
      </c>
      <c r="B1008" t="s">
        <v>1303</v>
      </c>
      <c r="C1008" t="s">
        <v>1322</v>
      </c>
      <c r="D1008" s="3">
        <f t="shared" si="80"/>
        <v>12</v>
      </c>
      <c r="E1008" t="s">
        <v>347</v>
      </c>
      <c r="F1008" t="s">
        <v>13</v>
      </c>
      <c r="G1008" t="str">
        <f t="shared" si="81"/>
        <v/>
      </c>
      <c r="H1008" t="s">
        <v>14</v>
      </c>
      <c r="I1008" t="s">
        <v>1540</v>
      </c>
      <c r="J1008" s="2">
        <f t="shared" si="82"/>
        <v>1300000</v>
      </c>
      <c r="K1008" t="s">
        <v>17</v>
      </c>
      <c r="L1008">
        <f t="shared" si="83"/>
        <v>0.17083333333333331</v>
      </c>
      <c r="M1008" s="5">
        <v>0.17083333333333331</v>
      </c>
      <c r="N1008" t="s">
        <v>43</v>
      </c>
      <c r="P1008" t="s">
        <v>979</v>
      </c>
      <c r="R1008" s="3">
        <f t="shared" si="79"/>
        <v>4.0999999999999996</v>
      </c>
    </row>
    <row r="1009" spans="1:18" hidden="1" x14ac:dyDescent="0.25">
      <c r="A1009" t="s">
        <v>2775</v>
      </c>
      <c r="B1009" t="s">
        <v>3206</v>
      </c>
      <c r="C1009" t="s">
        <v>2600</v>
      </c>
      <c r="D1009" s="3">
        <f t="shared" si="80"/>
        <v>15</v>
      </c>
      <c r="E1009" t="s">
        <v>504</v>
      </c>
      <c r="F1009" t="s">
        <v>13</v>
      </c>
      <c r="G1009" t="str">
        <f t="shared" si="81"/>
        <v/>
      </c>
      <c r="H1009" t="s">
        <v>14</v>
      </c>
      <c r="I1009" t="s">
        <v>2776</v>
      </c>
      <c r="J1009" s="2">
        <f t="shared" si="82"/>
        <v>3500000</v>
      </c>
      <c r="K1009" t="s">
        <v>143</v>
      </c>
      <c r="L1009">
        <f t="shared" si="83"/>
        <v>0.17222222222222225</v>
      </c>
      <c r="M1009" s="5">
        <v>0.17222222222222225</v>
      </c>
      <c r="N1009" t="s">
        <v>43</v>
      </c>
      <c r="P1009" t="s">
        <v>1622</v>
      </c>
      <c r="R1009" s="3">
        <f t="shared" si="79"/>
        <v>4.1333333333333337</v>
      </c>
    </row>
    <row r="1010" spans="1:18" hidden="1" x14ac:dyDescent="0.25">
      <c r="A1010" t="s">
        <v>4087</v>
      </c>
      <c r="B1010" t="s">
        <v>3746</v>
      </c>
      <c r="C1010" t="s">
        <v>3773</v>
      </c>
      <c r="D1010" s="3">
        <f t="shared" si="80"/>
        <v>12</v>
      </c>
      <c r="E1010" t="s">
        <v>33</v>
      </c>
      <c r="F1010" t="s">
        <v>13</v>
      </c>
      <c r="G1010" t="str">
        <f t="shared" si="81"/>
        <v/>
      </c>
      <c r="H1010" t="s">
        <v>14</v>
      </c>
      <c r="I1010" t="s">
        <v>4088</v>
      </c>
      <c r="J1010" s="2">
        <f t="shared" si="82"/>
        <v>1500000</v>
      </c>
      <c r="K1010" t="s">
        <v>66</v>
      </c>
      <c r="L1010">
        <f t="shared" si="83"/>
        <v>0</v>
      </c>
      <c r="N1010" t="s">
        <v>43</v>
      </c>
      <c r="R1010" s="3">
        <f t="shared" si="79"/>
        <v>0</v>
      </c>
    </row>
    <row r="1011" spans="1:18" hidden="1" x14ac:dyDescent="0.25">
      <c r="A1011" t="s">
        <v>3136</v>
      </c>
      <c r="B1011" t="s">
        <v>3206</v>
      </c>
      <c r="C1011" t="s">
        <v>2769</v>
      </c>
      <c r="D1011" s="3">
        <f t="shared" si="80"/>
        <v>9</v>
      </c>
      <c r="E1011" t="s">
        <v>12</v>
      </c>
      <c r="F1011" t="s">
        <v>34</v>
      </c>
      <c r="G1011" t="str">
        <f t="shared" si="81"/>
        <v/>
      </c>
      <c r="H1011" t="s">
        <v>14</v>
      </c>
      <c r="I1011" t="s">
        <v>3137</v>
      </c>
      <c r="J1011" s="2">
        <f t="shared" si="82"/>
        <v>2000000</v>
      </c>
      <c r="K1011" t="s">
        <v>128</v>
      </c>
      <c r="L1011">
        <f t="shared" si="83"/>
        <v>0.17083333333333331</v>
      </c>
      <c r="M1011" s="5">
        <v>0.17083333333333331</v>
      </c>
      <c r="N1011" t="s">
        <v>18</v>
      </c>
      <c r="P1011" t="s">
        <v>1581</v>
      </c>
      <c r="R1011" s="3">
        <f t="shared" si="79"/>
        <v>4.0999999999999996</v>
      </c>
    </row>
    <row r="1012" spans="1:18" x14ac:dyDescent="0.25">
      <c r="A1012" t="s">
        <v>1178</v>
      </c>
      <c r="B1012" t="s">
        <v>640</v>
      </c>
      <c r="C1012" t="s">
        <v>749</v>
      </c>
      <c r="D1012" s="3">
        <f t="shared" si="80"/>
        <v>12</v>
      </c>
      <c r="E1012" t="s">
        <v>33</v>
      </c>
      <c r="F1012" t="s">
        <v>13</v>
      </c>
      <c r="G1012" t="str">
        <f t="shared" si="81"/>
        <v/>
      </c>
      <c r="H1012" t="s">
        <v>14</v>
      </c>
      <c r="I1012" t="s">
        <v>1179</v>
      </c>
      <c r="J1012" s="2">
        <f t="shared" si="82"/>
        <v>1500000</v>
      </c>
      <c r="K1012" t="s">
        <v>66</v>
      </c>
      <c r="L1012">
        <f t="shared" si="83"/>
        <v>0.20833333333333334</v>
      </c>
      <c r="M1012" s="5">
        <v>0.20833333333333334</v>
      </c>
      <c r="N1012" t="s">
        <v>43</v>
      </c>
      <c r="R1012" s="3">
        <f t="shared" si="79"/>
        <v>5</v>
      </c>
    </row>
    <row r="1013" spans="1:18" hidden="1" x14ac:dyDescent="0.25">
      <c r="A1013" t="s">
        <v>117</v>
      </c>
      <c r="B1013" t="s">
        <v>20</v>
      </c>
      <c r="C1013" t="s">
        <v>119</v>
      </c>
      <c r="D1013" s="3">
        <f t="shared" si="80"/>
        <v>9</v>
      </c>
      <c r="E1013" t="s">
        <v>12</v>
      </c>
      <c r="F1013" t="s">
        <v>13</v>
      </c>
      <c r="G1013" t="str">
        <f t="shared" si="81"/>
        <v/>
      </c>
      <c r="H1013" t="s">
        <v>14</v>
      </c>
      <c r="I1013" t="s">
        <v>118</v>
      </c>
      <c r="J1013" s="2">
        <f t="shared" si="82"/>
        <v>750000</v>
      </c>
      <c r="K1013" t="s">
        <v>76</v>
      </c>
      <c r="L1013">
        <f t="shared" si="83"/>
        <v>0.20833333333333334</v>
      </c>
      <c r="M1013" s="5">
        <v>0.20833333333333334</v>
      </c>
      <c r="N1013" t="s">
        <v>18</v>
      </c>
      <c r="R1013" s="3">
        <f t="shared" si="79"/>
        <v>5</v>
      </c>
    </row>
    <row r="1014" spans="1:18" hidden="1" x14ac:dyDescent="0.25">
      <c r="A1014" t="s">
        <v>3485</v>
      </c>
      <c r="B1014" t="s">
        <v>3233</v>
      </c>
      <c r="C1014" t="s">
        <v>3326</v>
      </c>
      <c r="D1014" s="3">
        <f t="shared" si="80"/>
        <v>9</v>
      </c>
      <c r="E1014" t="s">
        <v>12</v>
      </c>
      <c r="F1014" t="s">
        <v>13</v>
      </c>
      <c r="G1014" t="str">
        <f t="shared" si="81"/>
        <v/>
      </c>
      <c r="H1014" t="s">
        <v>14</v>
      </c>
      <c r="I1014" t="s">
        <v>3486</v>
      </c>
      <c r="J1014" s="2">
        <f t="shared" si="82"/>
        <v>1500000</v>
      </c>
      <c r="K1014" t="s">
        <v>66</v>
      </c>
      <c r="L1014">
        <f t="shared" si="83"/>
        <v>0</v>
      </c>
      <c r="N1014" t="s">
        <v>37</v>
      </c>
      <c r="R1014" s="3">
        <f t="shared" si="79"/>
        <v>0</v>
      </c>
    </row>
    <row r="1015" spans="1:18" x14ac:dyDescent="0.25">
      <c r="A1015" t="s">
        <v>3627</v>
      </c>
      <c r="B1015" t="s">
        <v>3233</v>
      </c>
      <c r="C1015" t="s">
        <v>3248</v>
      </c>
      <c r="D1015" s="3">
        <f t="shared" si="80"/>
        <v>9</v>
      </c>
      <c r="E1015" t="s">
        <v>12</v>
      </c>
      <c r="F1015" t="s">
        <v>13</v>
      </c>
      <c r="G1015" t="str">
        <f t="shared" si="81"/>
        <v/>
      </c>
      <c r="H1015" t="s">
        <v>14</v>
      </c>
      <c r="I1015" t="s">
        <v>3628</v>
      </c>
      <c r="J1015" s="2">
        <f t="shared" si="82"/>
        <v>1500000</v>
      </c>
      <c r="K1015" t="s">
        <v>66</v>
      </c>
      <c r="L1015">
        <f t="shared" si="83"/>
        <v>0.17291666666666669</v>
      </c>
      <c r="M1015" s="5">
        <v>0.17291666666666669</v>
      </c>
      <c r="N1015" t="s">
        <v>43</v>
      </c>
      <c r="R1015" s="3">
        <f t="shared" si="79"/>
        <v>4.1500000000000004</v>
      </c>
    </row>
    <row r="1016" spans="1:18" hidden="1" x14ac:dyDescent="0.25">
      <c r="A1016" t="s">
        <v>1040</v>
      </c>
      <c r="B1016" t="s">
        <v>640</v>
      </c>
      <c r="C1016" t="s">
        <v>208</v>
      </c>
      <c r="D1016" s="3">
        <f t="shared" si="80"/>
        <v>9</v>
      </c>
      <c r="E1016" t="s">
        <v>12</v>
      </c>
      <c r="F1016" t="s">
        <v>34</v>
      </c>
      <c r="G1016" t="str">
        <f t="shared" si="81"/>
        <v/>
      </c>
      <c r="H1016" t="s">
        <v>14</v>
      </c>
      <c r="I1016" t="s">
        <v>1041</v>
      </c>
      <c r="J1016" s="2">
        <f t="shared" si="82"/>
        <v>2250000</v>
      </c>
      <c r="K1016" t="s">
        <v>448</v>
      </c>
      <c r="L1016">
        <f t="shared" si="83"/>
        <v>0.20833333333333334</v>
      </c>
      <c r="M1016" s="5">
        <v>0.20833333333333334</v>
      </c>
      <c r="N1016" t="s">
        <v>18</v>
      </c>
      <c r="R1016" s="3">
        <f t="shared" si="79"/>
        <v>5</v>
      </c>
    </row>
    <row r="1017" spans="1:18" hidden="1" x14ac:dyDescent="0.25">
      <c r="A1017" t="s">
        <v>949</v>
      </c>
      <c r="B1017" t="s">
        <v>640</v>
      </c>
      <c r="C1017" t="s">
        <v>856</v>
      </c>
      <c r="D1017" s="3">
        <f t="shared" si="80"/>
        <v>9</v>
      </c>
      <c r="E1017" t="s">
        <v>12</v>
      </c>
      <c r="F1017" t="s">
        <v>34</v>
      </c>
      <c r="G1017" t="str">
        <f t="shared" si="81"/>
        <v/>
      </c>
      <c r="H1017" t="s">
        <v>14</v>
      </c>
      <c r="I1017" t="s">
        <v>950</v>
      </c>
      <c r="J1017" s="2">
        <f t="shared" si="82"/>
        <v>1750000</v>
      </c>
      <c r="K1017" t="s">
        <v>306</v>
      </c>
      <c r="L1017">
        <f t="shared" si="83"/>
        <v>0.20833333333333334</v>
      </c>
      <c r="M1017" s="5">
        <v>0.20833333333333334</v>
      </c>
      <c r="N1017" t="s">
        <v>18</v>
      </c>
      <c r="R1017" s="3">
        <f t="shared" si="79"/>
        <v>5</v>
      </c>
    </row>
    <row r="1018" spans="1:18" hidden="1" x14ac:dyDescent="0.25">
      <c r="A1018" t="s">
        <v>1284</v>
      </c>
      <c r="B1018" t="s">
        <v>640</v>
      </c>
      <c r="C1018" t="s">
        <v>749</v>
      </c>
      <c r="D1018" s="3">
        <f t="shared" si="80"/>
        <v>18</v>
      </c>
      <c r="E1018" t="s">
        <v>126</v>
      </c>
      <c r="F1018" t="s">
        <v>13</v>
      </c>
      <c r="G1018" t="str">
        <f t="shared" si="81"/>
        <v/>
      </c>
      <c r="H1018" t="s">
        <v>14</v>
      </c>
      <c r="I1018" t="s">
        <v>1285</v>
      </c>
      <c r="J1018" s="2">
        <f t="shared" si="82"/>
        <v>1600000</v>
      </c>
      <c r="K1018" t="s">
        <v>95</v>
      </c>
      <c r="L1018">
        <f t="shared" si="83"/>
        <v>0.16666666666666666</v>
      </c>
      <c r="M1018" s="5">
        <v>0.16666666666666666</v>
      </c>
      <c r="N1018" t="s">
        <v>43</v>
      </c>
      <c r="R1018" s="3">
        <f t="shared" si="79"/>
        <v>4</v>
      </c>
    </row>
    <row r="1019" spans="1:18" x14ac:dyDescent="0.25">
      <c r="A1019" t="s">
        <v>4900</v>
      </c>
      <c r="B1019" t="s">
        <v>4806</v>
      </c>
      <c r="C1019" t="s">
        <v>4825</v>
      </c>
      <c r="D1019" s="3">
        <f t="shared" si="80"/>
        <v>12</v>
      </c>
      <c r="E1019" t="s">
        <v>33</v>
      </c>
      <c r="F1019" t="s">
        <v>13</v>
      </c>
      <c r="G1019" t="str">
        <f t="shared" si="81"/>
        <v/>
      </c>
      <c r="H1019" t="s">
        <v>14</v>
      </c>
      <c r="I1019" t="s">
        <v>4901</v>
      </c>
      <c r="J1019" s="2">
        <f t="shared" si="82"/>
        <v>1500000</v>
      </c>
      <c r="K1019" t="s">
        <v>66</v>
      </c>
      <c r="L1019">
        <f t="shared" si="83"/>
        <v>0</v>
      </c>
      <c r="N1019" t="s">
        <v>18</v>
      </c>
      <c r="R1019" s="3">
        <f t="shared" si="79"/>
        <v>0</v>
      </c>
    </row>
    <row r="1020" spans="1:18" hidden="1" x14ac:dyDescent="0.25">
      <c r="A1020" t="s">
        <v>3901</v>
      </c>
      <c r="B1020" t="s">
        <v>3746</v>
      </c>
      <c r="C1020" t="s">
        <v>3753</v>
      </c>
      <c r="D1020" s="3">
        <f t="shared" si="80"/>
        <v>12</v>
      </c>
      <c r="E1020" t="s">
        <v>33</v>
      </c>
      <c r="F1020" t="s">
        <v>34</v>
      </c>
      <c r="G1020" t="str">
        <f t="shared" si="81"/>
        <v/>
      </c>
      <c r="H1020" t="s">
        <v>14</v>
      </c>
      <c r="I1020" t="s">
        <v>3902</v>
      </c>
      <c r="J1020" s="2">
        <f t="shared" si="82"/>
        <v>2200000</v>
      </c>
      <c r="K1020" t="s">
        <v>849</v>
      </c>
      <c r="L1020">
        <f t="shared" si="83"/>
        <v>0</v>
      </c>
      <c r="N1020" t="s">
        <v>43</v>
      </c>
      <c r="R1020" s="3">
        <f t="shared" si="79"/>
        <v>0</v>
      </c>
    </row>
    <row r="1021" spans="1:18" hidden="1" x14ac:dyDescent="0.25">
      <c r="A1021" t="s">
        <v>4201</v>
      </c>
      <c r="B1021" t="s">
        <v>3746</v>
      </c>
      <c r="C1021" t="s">
        <v>3753</v>
      </c>
      <c r="D1021" s="3">
        <f t="shared" si="80"/>
        <v>9</v>
      </c>
      <c r="E1021" t="s">
        <v>12</v>
      </c>
      <c r="F1021" t="s">
        <v>34</v>
      </c>
      <c r="G1021" t="str">
        <f t="shared" si="81"/>
        <v/>
      </c>
      <c r="H1021" t="s">
        <v>14</v>
      </c>
      <c r="I1021" t="s">
        <v>4202</v>
      </c>
      <c r="J1021" s="2">
        <f t="shared" si="82"/>
        <v>2000000</v>
      </c>
      <c r="K1021" t="s">
        <v>128</v>
      </c>
      <c r="L1021">
        <f t="shared" si="83"/>
        <v>0.20833333333333334</v>
      </c>
      <c r="M1021" s="5">
        <v>0.20833333333333334</v>
      </c>
      <c r="N1021" t="s">
        <v>43</v>
      </c>
      <c r="P1021" t="s">
        <v>1615</v>
      </c>
      <c r="R1021" s="3">
        <f t="shared" si="79"/>
        <v>5</v>
      </c>
    </row>
    <row r="1022" spans="1:18" hidden="1" x14ac:dyDescent="0.25">
      <c r="A1022" t="s">
        <v>4531</v>
      </c>
      <c r="B1022" t="s">
        <v>4272</v>
      </c>
      <c r="C1022" t="s">
        <v>4533</v>
      </c>
      <c r="D1022" s="3">
        <f t="shared" si="80"/>
        <v>9</v>
      </c>
      <c r="E1022" t="s">
        <v>12</v>
      </c>
      <c r="F1022" t="s">
        <v>34</v>
      </c>
      <c r="G1022" t="str">
        <f t="shared" si="81"/>
        <v/>
      </c>
      <c r="H1022" t="s">
        <v>14</v>
      </c>
      <c r="I1022" t="s">
        <v>4532</v>
      </c>
      <c r="J1022" s="2">
        <f t="shared" si="82"/>
        <v>1250000</v>
      </c>
      <c r="K1022" t="s">
        <v>202</v>
      </c>
      <c r="L1022">
        <f t="shared" si="83"/>
        <v>0</v>
      </c>
      <c r="N1022" t="s">
        <v>18</v>
      </c>
      <c r="R1022" s="3">
        <f t="shared" si="79"/>
        <v>0</v>
      </c>
    </row>
    <row r="1023" spans="1:18" hidden="1" x14ac:dyDescent="0.25">
      <c r="A1023" t="s">
        <v>4149</v>
      </c>
      <c r="B1023" t="s">
        <v>3746</v>
      </c>
      <c r="C1023" t="s">
        <v>3833</v>
      </c>
      <c r="D1023" s="3">
        <f t="shared" si="80"/>
        <v>13.5</v>
      </c>
      <c r="E1023" t="s">
        <v>446</v>
      </c>
      <c r="F1023" t="s">
        <v>34</v>
      </c>
      <c r="G1023" t="str">
        <f t="shared" si="81"/>
        <v/>
      </c>
      <c r="H1023" t="s">
        <v>14</v>
      </c>
      <c r="I1023" t="s">
        <v>4150</v>
      </c>
      <c r="J1023" s="2">
        <f t="shared" si="82"/>
        <v>900000</v>
      </c>
      <c r="K1023" t="s">
        <v>101</v>
      </c>
      <c r="L1023">
        <f t="shared" si="83"/>
        <v>0.17222222222222225</v>
      </c>
      <c r="M1023" s="5">
        <v>0.17222222222222225</v>
      </c>
      <c r="N1023" t="s">
        <v>43</v>
      </c>
      <c r="R1023" s="3">
        <f t="shared" si="79"/>
        <v>4.1333333333333337</v>
      </c>
    </row>
    <row r="1024" spans="1:18" x14ac:dyDescent="0.25">
      <c r="A1024" t="s">
        <v>3324</v>
      </c>
      <c r="B1024" t="s">
        <v>3233</v>
      </c>
      <c r="C1024" t="s">
        <v>3326</v>
      </c>
      <c r="D1024" s="3">
        <f t="shared" si="80"/>
        <v>16</v>
      </c>
      <c r="E1024" t="s">
        <v>79</v>
      </c>
      <c r="F1024" t="s">
        <v>13</v>
      </c>
      <c r="G1024" t="str">
        <f t="shared" si="81"/>
        <v/>
      </c>
      <c r="H1024" t="s">
        <v>14</v>
      </c>
      <c r="I1024" t="s">
        <v>3325</v>
      </c>
      <c r="J1024" s="2">
        <f t="shared" si="82"/>
        <v>1500000</v>
      </c>
      <c r="K1024" t="s">
        <v>66</v>
      </c>
      <c r="L1024">
        <f t="shared" si="83"/>
        <v>0.20833333333333334</v>
      </c>
      <c r="M1024" s="5">
        <v>0.20833333333333334</v>
      </c>
      <c r="N1024" t="s">
        <v>43</v>
      </c>
      <c r="P1024" t="s">
        <v>1449</v>
      </c>
      <c r="R1024" s="3">
        <f t="shared" si="79"/>
        <v>5</v>
      </c>
    </row>
    <row r="1025" spans="1:18" hidden="1" x14ac:dyDescent="0.25">
      <c r="A1025" t="s">
        <v>3979</v>
      </c>
      <c r="B1025" t="s">
        <v>3746</v>
      </c>
      <c r="C1025" t="s">
        <v>3937</v>
      </c>
      <c r="D1025" s="3">
        <f t="shared" si="80"/>
        <v>12</v>
      </c>
      <c r="E1025" t="s">
        <v>33</v>
      </c>
      <c r="F1025" t="s">
        <v>13</v>
      </c>
      <c r="G1025" t="str">
        <f t="shared" si="81"/>
        <v/>
      </c>
      <c r="H1025" t="s">
        <v>14</v>
      </c>
      <c r="I1025" t="s">
        <v>3980</v>
      </c>
      <c r="J1025" s="2">
        <f t="shared" si="82"/>
        <v>500000</v>
      </c>
      <c r="K1025" t="s">
        <v>16</v>
      </c>
      <c r="L1025">
        <f t="shared" si="83"/>
        <v>0</v>
      </c>
      <c r="N1025" t="s">
        <v>43</v>
      </c>
      <c r="R1025" s="3">
        <f t="shared" si="79"/>
        <v>0</v>
      </c>
    </row>
    <row r="1026" spans="1:18" hidden="1" x14ac:dyDescent="0.25">
      <c r="A1026" t="s">
        <v>3535</v>
      </c>
      <c r="B1026" t="s">
        <v>3233</v>
      </c>
      <c r="C1026" t="s">
        <v>3288</v>
      </c>
      <c r="D1026" s="3">
        <f t="shared" si="80"/>
        <v>12</v>
      </c>
      <c r="E1026" t="s">
        <v>33</v>
      </c>
      <c r="F1026" t="s">
        <v>13</v>
      </c>
      <c r="G1026" t="str">
        <f t="shared" si="81"/>
        <v/>
      </c>
      <c r="H1026" t="s">
        <v>14</v>
      </c>
      <c r="I1026" t="s">
        <v>3536</v>
      </c>
      <c r="J1026" s="2">
        <f t="shared" si="82"/>
        <v>1700000</v>
      </c>
      <c r="K1026" t="s">
        <v>23</v>
      </c>
      <c r="L1026">
        <f t="shared" si="83"/>
        <v>0.17222222222222225</v>
      </c>
      <c r="M1026" s="5">
        <v>0.17222222222222225</v>
      </c>
      <c r="N1026" t="s">
        <v>43</v>
      </c>
      <c r="P1026" t="s">
        <v>1125</v>
      </c>
      <c r="R1026" s="3">
        <f t="shared" ref="R1026:R1089" si="84">24*L1026</f>
        <v>4.1333333333333337</v>
      </c>
    </row>
    <row r="1027" spans="1:18" hidden="1" x14ac:dyDescent="0.25">
      <c r="A1027" t="s">
        <v>4034</v>
      </c>
      <c r="B1027" t="s">
        <v>3746</v>
      </c>
      <c r="C1027" t="s">
        <v>3876</v>
      </c>
      <c r="D1027" s="3">
        <f t="shared" si="80"/>
        <v>6</v>
      </c>
      <c r="E1027" t="s">
        <v>64</v>
      </c>
      <c r="F1027" t="s">
        <v>34</v>
      </c>
      <c r="G1027" t="str">
        <f t="shared" si="81"/>
        <v/>
      </c>
      <c r="H1027" t="s">
        <v>14</v>
      </c>
      <c r="I1027" t="s">
        <v>4035</v>
      </c>
      <c r="J1027" s="2">
        <f t="shared" si="82"/>
        <v>500000</v>
      </c>
      <c r="K1027" t="s">
        <v>16</v>
      </c>
      <c r="L1027">
        <f t="shared" si="83"/>
        <v>0.20833333333333334</v>
      </c>
      <c r="M1027" s="5">
        <v>0.20833333333333334</v>
      </c>
      <c r="N1027" t="s">
        <v>37</v>
      </c>
      <c r="R1027" s="3">
        <f t="shared" si="84"/>
        <v>5</v>
      </c>
    </row>
    <row r="1028" spans="1:18" hidden="1" x14ac:dyDescent="0.25">
      <c r="A1028" t="s">
        <v>3062</v>
      </c>
      <c r="B1028" t="s">
        <v>3206</v>
      </c>
      <c r="C1028" t="s">
        <v>2772</v>
      </c>
      <c r="D1028" s="3">
        <f t="shared" si="80"/>
        <v>7.5</v>
      </c>
      <c r="E1028" t="s">
        <v>178</v>
      </c>
      <c r="F1028" t="s">
        <v>34</v>
      </c>
      <c r="G1028" t="str">
        <f t="shared" si="81"/>
        <v/>
      </c>
      <c r="H1028" t="s">
        <v>14</v>
      </c>
      <c r="I1028" t="s">
        <v>3063</v>
      </c>
      <c r="J1028" s="2">
        <f t="shared" si="82"/>
        <v>1300000</v>
      </c>
      <c r="K1028" t="s">
        <v>17</v>
      </c>
      <c r="L1028">
        <f t="shared" si="83"/>
        <v>0.20833333333333334</v>
      </c>
      <c r="M1028" s="5">
        <v>0.20833333333333334</v>
      </c>
      <c r="N1028" t="s">
        <v>43</v>
      </c>
      <c r="R1028" s="3">
        <f t="shared" si="84"/>
        <v>5</v>
      </c>
    </row>
    <row r="1029" spans="1:18" hidden="1" x14ac:dyDescent="0.25">
      <c r="A1029" t="s">
        <v>3670</v>
      </c>
      <c r="B1029" t="s">
        <v>3233</v>
      </c>
      <c r="C1029" t="s">
        <v>3329</v>
      </c>
      <c r="D1029" s="3">
        <f t="shared" si="80"/>
        <v>17.5</v>
      </c>
      <c r="E1029" t="s">
        <v>1839</v>
      </c>
      <c r="F1029" t="s">
        <v>13</v>
      </c>
      <c r="G1029" t="str">
        <f t="shared" si="81"/>
        <v/>
      </c>
      <c r="H1029" t="s">
        <v>14</v>
      </c>
      <c r="I1029" t="s">
        <v>3671</v>
      </c>
      <c r="J1029" s="2">
        <f t="shared" si="82"/>
        <v>1400000</v>
      </c>
      <c r="K1029" t="s">
        <v>81</v>
      </c>
      <c r="L1029">
        <f t="shared" si="83"/>
        <v>0</v>
      </c>
      <c r="N1029" t="s">
        <v>43</v>
      </c>
      <c r="R1029" s="3">
        <f t="shared" si="84"/>
        <v>0</v>
      </c>
    </row>
    <row r="1030" spans="1:18" x14ac:dyDescent="0.25">
      <c r="A1030" t="s">
        <v>987</v>
      </c>
      <c r="B1030" t="s">
        <v>640</v>
      </c>
      <c r="C1030" t="s">
        <v>959</v>
      </c>
      <c r="D1030" s="3">
        <f t="shared" si="80"/>
        <v>9</v>
      </c>
      <c r="E1030" t="s">
        <v>12</v>
      </c>
      <c r="F1030" t="s">
        <v>13</v>
      </c>
      <c r="G1030" t="str">
        <f t="shared" si="81"/>
        <v/>
      </c>
      <c r="H1030" t="s">
        <v>14</v>
      </c>
      <c r="I1030" t="s">
        <v>988</v>
      </c>
      <c r="J1030" s="2">
        <f t="shared" si="82"/>
        <v>1500000</v>
      </c>
      <c r="K1030" t="s">
        <v>66</v>
      </c>
      <c r="L1030">
        <f t="shared" si="83"/>
        <v>0</v>
      </c>
      <c r="N1030" t="s">
        <v>18</v>
      </c>
      <c r="R1030" s="3">
        <f t="shared" si="84"/>
        <v>0</v>
      </c>
    </row>
    <row r="1031" spans="1:18" hidden="1" x14ac:dyDescent="0.25">
      <c r="A1031" t="s">
        <v>1200</v>
      </c>
      <c r="B1031" t="s">
        <v>640</v>
      </c>
      <c r="C1031" t="s">
        <v>664</v>
      </c>
      <c r="D1031" s="3">
        <f t="shared" si="80"/>
        <v>9</v>
      </c>
      <c r="E1031" t="s">
        <v>12</v>
      </c>
      <c r="F1031" t="s">
        <v>13</v>
      </c>
      <c r="G1031" t="str">
        <f t="shared" si="81"/>
        <v/>
      </c>
      <c r="H1031" t="s">
        <v>14</v>
      </c>
      <c r="I1031" t="s">
        <v>1201</v>
      </c>
      <c r="J1031" s="2">
        <f t="shared" si="82"/>
        <v>700000</v>
      </c>
      <c r="K1031" t="s">
        <v>157</v>
      </c>
      <c r="L1031">
        <f t="shared" si="83"/>
        <v>0.13055555555555556</v>
      </c>
      <c r="M1031" s="5">
        <v>0.13055555555555556</v>
      </c>
      <c r="N1031" t="s">
        <v>43</v>
      </c>
      <c r="R1031" s="3">
        <f t="shared" si="84"/>
        <v>3.1333333333333337</v>
      </c>
    </row>
    <row r="1032" spans="1:18" hidden="1" x14ac:dyDescent="0.25">
      <c r="A1032" t="s">
        <v>413</v>
      </c>
      <c r="B1032" t="s">
        <v>20</v>
      </c>
      <c r="C1032" t="s">
        <v>84</v>
      </c>
      <c r="D1032" s="3">
        <f t="shared" si="80"/>
        <v>10</v>
      </c>
      <c r="E1032" t="s">
        <v>414</v>
      </c>
      <c r="F1032" t="s">
        <v>34</v>
      </c>
      <c r="G1032" t="str">
        <f t="shared" si="81"/>
        <v/>
      </c>
      <c r="H1032" t="s">
        <v>14</v>
      </c>
      <c r="I1032" t="s">
        <v>415</v>
      </c>
      <c r="J1032" s="2">
        <f t="shared" si="82"/>
        <v>500000</v>
      </c>
      <c r="K1032" t="s">
        <v>16</v>
      </c>
      <c r="L1032">
        <f t="shared" si="83"/>
        <v>0.20833333333333334</v>
      </c>
      <c r="M1032" s="5">
        <v>0.20833333333333334</v>
      </c>
      <c r="N1032" t="s">
        <v>18</v>
      </c>
      <c r="R1032" s="3">
        <f t="shared" si="84"/>
        <v>5</v>
      </c>
    </row>
    <row r="1033" spans="1:18" hidden="1" x14ac:dyDescent="0.25">
      <c r="A1033" t="s">
        <v>250</v>
      </c>
      <c r="B1033" t="s">
        <v>20</v>
      </c>
      <c r="C1033" t="s">
        <v>236</v>
      </c>
      <c r="D1033" s="3">
        <f t="shared" si="80"/>
        <v>12</v>
      </c>
      <c r="E1033" t="s">
        <v>33</v>
      </c>
      <c r="F1033" t="s">
        <v>13</v>
      </c>
      <c r="G1033" t="str">
        <f t="shared" si="81"/>
        <v/>
      </c>
      <c r="H1033" t="s">
        <v>14</v>
      </c>
      <c r="I1033" t="s">
        <v>251</v>
      </c>
      <c r="J1033" s="2">
        <f t="shared" si="82"/>
        <v>970000</v>
      </c>
      <c r="K1033" t="s">
        <v>252</v>
      </c>
      <c r="L1033">
        <f t="shared" si="83"/>
        <v>0</v>
      </c>
      <c r="N1033" t="s">
        <v>43</v>
      </c>
      <c r="R1033" s="3">
        <f t="shared" si="84"/>
        <v>0</v>
      </c>
    </row>
    <row r="1034" spans="1:18" hidden="1" x14ac:dyDescent="0.25">
      <c r="A1034" t="s">
        <v>4617</v>
      </c>
      <c r="B1034" t="s">
        <v>4272</v>
      </c>
      <c r="C1034" t="s">
        <v>4334</v>
      </c>
      <c r="D1034" s="3">
        <f t="shared" si="80"/>
        <v>9</v>
      </c>
      <c r="E1034" t="s">
        <v>12</v>
      </c>
      <c r="F1034" t="s">
        <v>34</v>
      </c>
      <c r="G1034" t="str">
        <f t="shared" si="81"/>
        <v/>
      </c>
      <c r="H1034" t="s">
        <v>14</v>
      </c>
      <c r="I1034" t="s">
        <v>4618</v>
      </c>
      <c r="J1034" s="2">
        <f t="shared" si="82"/>
        <v>1200000</v>
      </c>
      <c r="K1034" t="s">
        <v>36</v>
      </c>
      <c r="L1034">
        <f t="shared" si="83"/>
        <v>0</v>
      </c>
      <c r="N1034" t="s">
        <v>18</v>
      </c>
      <c r="R1034" s="3">
        <f t="shared" si="84"/>
        <v>0</v>
      </c>
    </row>
    <row r="1035" spans="1:18" hidden="1" x14ac:dyDescent="0.25">
      <c r="A1035" t="s">
        <v>4596</v>
      </c>
      <c r="B1035" t="s">
        <v>4272</v>
      </c>
      <c r="C1035" t="s">
        <v>4417</v>
      </c>
      <c r="D1035" s="3">
        <f t="shared" ref="D1035:D1098" si="85">VALUE(LEFT(E1035,SEARCH(" x ",E1035)-1))*VALUE(MID(E1035,SEARCH(" x ",E1035)+3,SEARCH(" meter",E1035)-SEARCH(" x ",E1035)-3))</f>
        <v>9</v>
      </c>
      <c r="E1035" t="s">
        <v>12</v>
      </c>
      <c r="F1035" t="s">
        <v>13</v>
      </c>
      <c r="G1035" t="str">
        <f t="shared" ref="G1035:G1098" si="86">IF(H1035="N/A","",VALUE(SUBSTITUTE(SUBSTITUTE(H1035,"Rp",""),".","")))</f>
        <v/>
      </c>
      <c r="H1035" t="s">
        <v>14</v>
      </c>
      <c r="I1035" t="s">
        <v>4597</v>
      </c>
      <c r="J1035" s="2">
        <f t="shared" ref="J1035:J1098" si="87">VALUE(SUBSTITUTE(SUBSTITUTE(K1035,"Rp",""),".",""))</f>
        <v>1400000</v>
      </c>
      <c r="K1035" t="s">
        <v>81</v>
      </c>
      <c r="L1035">
        <f t="shared" ref="L1035:L1098" si="88">M1035:M3375</f>
        <v>0</v>
      </c>
      <c r="N1035" t="s">
        <v>18</v>
      </c>
      <c r="R1035" s="3">
        <f t="shared" si="84"/>
        <v>0</v>
      </c>
    </row>
    <row r="1036" spans="1:18" hidden="1" x14ac:dyDescent="0.25">
      <c r="A1036" t="s">
        <v>4984</v>
      </c>
      <c r="B1036" t="s">
        <v>4806</v>
      </c>
      <c r="C1036" t="s">
        <v>4820</v>
      </c>
      <c r="D1036" s="3">
        <f t="shared" si="85"/>
        <v>24</v>
      </c>
      <c r="E1036" t="s">
        <v>598</v>
      </c>
      <c r="F1036" t="s">
        <v>13</v>
      </c>
      <c r="G1036" t="str">
        <f t="shared" si="86"/>
        <v/>
      </c>
      <c r="H1036" t="s">
        <v>14</v>
      </c>
      <c r="I1036" t="s">
        <v>4985</v>
      </c>
      <c r="J1036" s="2">
        <f t="shared" si="87"/>
        <v>1350000</v>
      </c>
      <c r="K1036" t="s">
        <v>257</v>
      </c>
      <c r="L1036">
        <f t="shared" si="88"/>
        <v>0</v>
      </c>
      <c r="N1036" t="s">
        <v>18</v>
      </c>
      <c r="R1036" s="3">
        <f t="shared" si="84"/>
        <v>0</v>
      </c>
    </row>
    <row r="1037" spans="1:18" hidden="1" x14ac:dyDescent="0.25">
      <c r="A1037" t="s">
        <v>5001</v>
      </c>
      <c r="B1037" t="s">
        <v>4806</v>
      </c>
      <c r="C1037" t="s">
        <v>4830</v>
      </c>
      <c r="D1037" s="3">
        <f t="shared" si="85"/>
        <v>12</v>
      </c>
      <c r="E1037" t="s">
        <v>33</v>
      </c>
      <c r="F1037" t="s">
        <v>13</v>
      </c>
      <c r="G1037" t="str">
        <f t="shared" si="86"/>
        <v/>
      </c>
      <c r="H1037" t="s">
        <v>14</v>
      </c>
      <c r="I1037" t="s">
        <v>5002</v>
      </c>
      <c r="J1037" s="2">
        <f t="shared" si="87"/>
        <v>650000</v>
      </c>
      <c r="K1037" t="s">
        <v>105</v>
      </c>
      <c r="L1037">
        <f t="shared" si="88"/>
        <v>0</v>
      </c>
      <c r="N1037" t="s">
        <v>18</v>
      </c>
      <c r="R1037" s="3">
        <f t="shared" si="84"/>
        <v>0</v>
      </c>
    </row>
    <row r="1038" spans="1:18" hidden="1" x14ac:dyDescent="0.25">
      <c r="A1038" t="s">
        <v>877</v>
      </c>
      <c r="B1038" t="s">
        <v>640</v>
      </c>
      <c r="C1038" t="s">
        <v>749</v>
      </c>
      <c r="D1038" s="3">
        <f t="shared" si="85"/>
        <v>12</v>
      </c>
      <c r="E1038" t="s">
        <v>33</v>
      </c>
      <c r="F1038" t="s">
        <v>13</v>
      </c>
      <c r="G1038" t="str">
        <f t="shared" si="86"/>
        <v/>
      </c>
      <c r="H1038" t="s">
        <v>14</v>
      </c>
      <c r="I1038" t="s">
        <v>878</v>
      </c>
      <c r="J1038" s="2">
        <f t="shared" si="87"/>
        <v>2200000</v>
      </c>
      <c r="K1038" t="s">
        <v>849</v>
      </c>
      <c r="L1038">
        <f t="shared" si="88"/>
        <v>0.17291666666666669</v>
      </c>
      <c r="M1038" s="5">
        <v>0.17291666666666669</v>
      </c>
      <c r="N1038" t="s">
        <v>43</v>
      </c>
      <c r="P1038" t="s">
        <v>823</v>
      </c>
      <c r="R1038" s="3">
        <f t="shared" si="84"/>
        <v>4.1500000000000004</v>
      </c>
    </row>
    <row r="1039" spans="1:18" hidden="1" x14ac:dyDescent="0.25">
      <c r="A1039" t="s">
        <v>1069</v>
      </c>
      <c r="B1039" t="s">
        <v>640</v>
      </c>
      <c r="C1039" t="s">
        <v>749</v>
      </c>
      <c r="D1039" s="3">
        <f t="shared" si="85"/>
        <v>9</v>
      </c>
      <c r="E1039" t="s">
        <v>12</v>
      </c>
      <c r="F1039" t="s">
        <v>13</v>
      </c>
      <c r="G1039" t="str">
        <f t="shared" si="86"/>
        <v/>
      </c>
      <c r="H1039" t="s">
        <v>14</v>
      </c>
      <c r="I1039" t="s">
        <v>1070</v>
      </c>
      <c r="J1039" s="2">
        <f t="shared" si="87"/>
        <v>2700000</v>
      </c>
      <c r="K1039" t="s">
        <v>1071</v>
      </c>
      <c r="L1039">
        <f t="shared" si="88"/>
        <v>0.17291666666666669</v>
      </c>
      <c r="M1039" s="5">
        <v>0.17291666666666669</v>
      </c>
      <c r="N1039" t="s">
        <v>18</v>
      </c>
      <c r="P1039" t="s">
        <v>134</v>
      </c>
      <c r="R1039" s="3">
        <f t="shared" si="84"/>
        <v>4.1500000000000004</v>
      </c>
    </row>
    <row r="1040" spans="1:18" hidden="1" x14ac:dyDescent="0.25">
      <c r="A1040" t="s">
        <v>3310</v>
      </c>
      <c r="B1040" t="s">
        <v>3233</v>
      </c>
      <c r="C1040" t="s">
        <v>3248</v>
      </c>
      <c r="D1040" s="3">
        <f t="shared" si="85"/>
        <v>9</v>
      </c>
      <c r="E1040" t="s">
        <v>12</v>
      </c>
      <c r="F1040" t="s">
        <v>13</v>
      </c>
      <c r="G1040" t="str">
        <f t="shared" si="86"/>
        <v/>
      </c>
      <c r="H1040" t="s">
        <v>14</v>
      </c>
      <c r="I1040" t="s">
        <v>3311</v>
      </c>
      <c r="J1040" s="2">
        <f t="shared" si="87"/>
        <v>2000000</v>
      </c>
      <c r="K1040" t="s">
        <v>128</v>
      </c>
      <c r="L1040">
        <f t="shared" si="88"/>
        <v>0.17222222222222225</v>
      </c>
      <c r="M1040" s="5">
        <v>0.17222222222222225</v>
      </c>
      <c r="N1040" t="s">
        <v>43</v>
      </c>
      <c r="P1040" t="s">
        <v>840</v>
      </c>
      <c r="R1040" s="3">
        <f t="shared" si="84"/>
        <v>4.1333333333333337</v>
      </c>
    </row>
    <row r="1041" spans="1:18" hidden="1" x14ac:dyDescent="0.25">
      <c r="A1041" t="s">
        <v>5693</v>
      </c>
      <c r="B1041" t="s">
        <v>5848</v>
      </c>
      <c r="C1041" t="s">
        <v>5339</v>
      </c>
      <c r="D1041" s="3">
        <f t="shared" si="85"/>
        <v>12</v>
      </c>
      <c r="E1041" t="s">
        <v>33</v>
      </c>
      <c r="F1041" t="s">
        <v>13</v>
      </c>
      <c r="G1041" t="str">
        <f t="shared" si="86"/>
        <v/>
      </c>
      <c r="H1041" t="s">
        <v>14</v>
      </c>
      <c r="I1041" t="s">
        <v>5694</v>
      </c>
      <c r="J1041" s="2">
        <f t="shared" si="87"/>
        <v>1200000</v>
      </c>
      <c r="K1041" t="s">
        <v>36</v>
      </c>
      <c r="L1041">
        <f t="shared" si="88"/>
        <v>0.17222222222222225</v>
      </c>
      <c r="M1041" s="5">
        <v>0.17222222222222225</v>
      </c>
      <c r="N1041" t="s">
        <v>43</v>
      </c>
      <c r="R1041" s="3">
        <f t="shared" si="84"/>
        <v>4.1333333333333337</v>
      </c>
    </row>
    <row r="1042" spans="1:18" hidden="1" x14ac:dyDescent="0.25">
      <c r="A1042" t="s">
        <v>3629</v>
      </c>
      <c r="B1042" t="s">
        <v>3233</v>
      </c>
      <c r="C1042" t="s">
        <v>3237</v>
      </c>
      <c r="D1042" s="3">
        <f t="shared" si="85"/>
        <v>12</v>
      </c>
      <c r="E1042" t="s">
        <v>33</v>
      </c>
      <c r="F1042" t="s">
        <v>13</v>
      </c>
      <c r="G1042" t="str">
        <f t="shared" si="86"/>
        <v/>
      </c>
      <c r="H1042" t="s">
        <v>14</v>
      </c>
      <c r="I1042" t="s">
        <v>3630</v>
      </c>
      <c r="J1042" s="2">
        <f t="shared" si="87"/>
        <v>900000</v>
      </c>
      <c r="K1042" t="s">
        <v>101</v>
      </c>
      <c r="L1042">
        <f t="shared" si="88"/>
        <v>0.17013888888888887</v>
      </c>
      <c r="M1042" s="5">
        <v>0.17013888888888887</v>
      </c>
      <c r="N1042" t="s">
        <v>43</v>
      </c>
      <c r="P1042" t="s">
        <v>2198</v>
      </c>
      <c r="R1042" s="3">
        <f t="shared" si="84"/>
        <v>4.083333333333333</v>
      </c>
    </row>
    <row r="1043" spans="1:18" hidden="1" x14ac:dyDescent="0.25">
      <c r="A1043" t="s">
        <v>5515</v>
      </c>
      <c r="B1043" t="s">
        <v>5848</v>
      </c>
      <c r="C1043" t="s">
        <v>5409</v>
      </c>
      <c r="D1043" s="3">
        <f t="shared" si="85"/>
        <v>9</v>
      </c>
      <c r="E1043" t="s">
        <v>12</v>
      </c>
      <c r="F1043" t="s">
        <v>34</v>
      </c>
      <c r="G1043" t="str">
        <f t="shared" si="86"/>
        <v/>
      </c>
      <c r="H1043" t="s">
        <v>14</v>
      </c>
      <c r="I1043" t="s">
        <v>5516</v>
      </c>
      <c r="J1043" s="2">
        <f t="shared" si="87"/>
        <v>1350000</v>
      </c>
      <c r="K1043" t="s">
        <v>257</v>
      </c>
      <c r="L1043">
        <f t="shared" si="88"/>
        <v>0</v>
      </c>
      <c r="N1043" t="s">
        <v>18</v>
      </c>
      <c r="R1043" s="3">
        <f t="shared" si="84"/>
        <v>0</v>
      </c>
    </row>
    <row r="1044" spans="1:18" x14ac:dyDescent="0.25">
      <c r="A1044" t="s">
        <v>5610</v>
      </c>
      <c r="B1044" t="s">
        <v>5848</v>
      </c>
      <c r="C1044" t="s">
        <v>5461</v>
      </c>
      <c r="D1044" s="3">
        <f t="shared" si="85"/>
        <v>9</v>
      </c>
      <c r="E1044" t="s">
        <v>12</v>
      </c>
      <c r="F1044" t="s">
        <v>13</v>
      </c>
      <c r="G1044" t="str">
        <f t="shared" si="86"/>
        <v/>
      </c>
      <c r="H1044" t="s">
        <v>14</v>
      </c>
      <c r="I1044" t="s">
        <v>5611</v>
      </c>
      <c r="J1044" s="2">
        <f t="shared" si="87"/>
        <v>1500000</v>
      </c>
      <c r="K1044" t="s">
        <v>66</v>
      </c>
      <c r="L1044">
        <f t="shared" si="88"/>
        <v>0.20833333333333334</v>
      </c>
      <c r="M1044" s="5">
        <v>0.20833333333333334</v>
      </c>
      <c r="N1044" t="s">
        <v>43</v>
      </c>
      <c r="R1044" s="3">
        <f t="shared" si="84"/>
        <v>5</v>
      </c>
    </row>
    <row r="1045" spans="1:18" hidden="1" x14ac:dyDescent="0.25">
      <c r="A1045" t="s">
        <v>1913</v>
      </c>
      <c r="B1045" t="s">
        <v>1303</v>
      </c>
      <c r="C1045" t="s">
        <v>1915</v>
      </c>
      <c r="D1045" s="3">
        <f t="shared" si="85"/>
        <v>9</v>
      </c>
      <c r="E1045" t="s">
        <v>12</v>
      </c>
      <c r="F1045" t="s">
        <v>13</v>
      </c>
      <c r="G1045" t="str">
        <f t="shared" si="86"/>
        <v/>
      </c>
      <c r="H1045" t="s">
        <v>14</v>
      </c>
      <c r="I1045" t="s">
        <v>1914</v>
      </c>
      <c r="J1045" s="2">
        <f t="shared" si="87"/>
        <v>1600000</v>
      </c>
      <c r="K1045" t="s">
        <v>95</v>
      </c>
      <c r="L1045">
        <f t="shared" si="88"/>
        <v>0.17083333333333331</v>
      </c>
      <c r="M1045" s="5">
        <v>0.17083333333333331</v>
      </c>
      <c r="N1045" t="s">
        <v>43</v>
      </c>
      <c r="P1045" t="s">
        <v>979</v>
      </c>
      <c r="R1045" s="3">
        <f t="shared" si="84"/>
        <v>4.0999999999999996</v>
      </c>
    </row>
    <row r="1046" spans="1:18" hidden="1" x14ac:dyDescent="0.25">
      <c r="A1046" t="s">
        <v>2986</v>
      </c>
      <c r="B1046" t="s">
        <v>3206</v>
      </c>
      <c r="C1046" t="s">
        <v>2734</v>
      </c>
      <c r="D1046" s="3">
        <f t="shared" si="85"/>
        <v>25</v>
      </c>
      <c r="E1046" t="s">
        <v>481</v>
      </c>
      <c r="F1046" t="s">
        <v>13</v>
      </c>
      <c r="G1046" t="str">
        <f t="shared" si="86"/>
        <v/>
      </c>
      <c r="H1046" t="s">
        <v>14</v>
      </c>
      <c r="I1046" t="s">
        <v>2987</v>
      </c>
      <c r="J1046" s="2">
        <f t="shared" si="87"/>
        <v>6499000</v>
      </c>
      <c r="K1046" t="s">
        <v>2988</v>
      </c>
      <c r="L1046">
        <f t="shared" si="88"/>
        <v>0.17013888888888887</v>
      </c>
      <c r="M1046" s="5">
        <v>0.17013888888888887</v>
      </c>
      <c r="N1046" t="s">
        <v>43</v>
      </c>
      <c r="R1046" s="3">
        <f t="shared" si="84"/>
        <v>4.083333333333333</v>
      </c>
    </row>
    <row r="1047" spans="1:18" hidden="1" x14ac:dyDescent="0.25">
      <c r="A1047" t="s">
        <v>4714</v>
      </c>
      <c r="B1047" t="s">
        <v>4272</v>
      </c>
      <c r="C1047" t="s">
        <v>4281</v>
      </c>
      <c r="D1047" s="3">
        <f t="shared" si="85"/>
        <v>12</v>
      </c>
      <c r="E1047" t="s">
        <v>33</v>
      </c>
      <c r="F1047" t="s">
        <v>13</v>
      </c>
      <c r="G1047" t="str">
        <f t="shared" si="86"/>
        <v/>
      </c>
      <c r="H1047" t="s">
        <v>14</v>
      </c>
      <c r="I1047" t="s">
        <v>4715</v>
      </c>
      <c r="J1047" s="2">
        <f t="shared" si="87"/>
        <v>1400000</v>
      </c>
      <c r="K1047" t="s">
        <v>81</v>
      </c>
      <c r="L1047">
        <f t="shared" si="88"/>
        <v>0.17222222222222225</v>
      </c>
      <c r="M1047" s="5">
        <v>0.17222222222222225</v>
      </c>
      <c r="N1047" t="s">
        <v>18</v>
      </c>
      <c r="R1047" s="3">
        <f t="shared" si="84"/>
        <v>4.1333333333333337</v>
      </c>
    </row>
    <row r="1048" spans="1:18" hidden="1" x14ac:dyDescent="0.25">
      <c r="A1048" t="s">
        <v>4730</v>
      </c>
      <c r="B1048" t="s">
        <v>4272</v>
      </c>
      <c r="C1048" t="s">
        <v>4271</v>
      </c>
      <c r="D1048" s="3">
        <f t="shared" si="85"/>
        <v>9</v>
      </c>
      <c r="E1048" t="s">
        <v>12</v>
      </c>
      <c r="F1048" t="s">
        <v>13</v>
      </c>
      <c r="G1048" t="str">
        <f t="shared" si="86"/>
        <v/>
      </c>
      <c r="H1048" t="s">
        <v>14</v>
      </c>
      <c r="I1048" t="s">
        <v>4731</v>
      </c>
      <c r="J1048" s="2">
        <f t="shared" si="87"/>
        <v>1500000</v>
      </c>
      <c r="K1048" t="s">
        <v>66</v>
      </c>
      <c r="L1048">
        <f t="shared" si="88"/>
        <v>0.20833333333333334</v>
      </c>
      <c r="M1048" s="5">
        <v>0.20833333333333334</v>
      </c>
      <c r="N1048" t="s">
        <v>18</v>
      </c>
      <c r="R1048" s="3">
        <f t="shared" si="84"/>
        <v>5</v>
      </c>
    </row>
    <row r="1049" spans="1:18" hidden="1" x14ac:dyDescent="0.25">
      <c r="A1049" t="s">
        <v>4677</v>
      </c>
      <c r="B1049" t="s">
        <v>4272</v>
      </c>
      <c r="C1049" t="s">
        <v>4271</v>
      </c>
      <c r="D1049" s="3">
        <f t="shared" si="85"/>
        <v>10.5</v>
      </c>
      <c r="E1049" t="s">
        <v>653</v>
      </c>
      <c r="F1049" t="s">
        <v>13</v>
      </c>
      <c r="G1049" t="str">
        <f t="shared" si="86"/>
        <v/>
      </c>
      <c r="H1049" t="s">
        <v>14</v>
      </c>
      <c r="I1049" t="s">
        <v>4678</v>
      </c>
      <c r="J1049" s="2">
        <f t="shared" si="87"/>
        <v>1700000</v>
      </c>
      <c r="K1049" t="s">
        <v>23</v>
      </c>
      <c r="L1049">
        <f t="shared" si="88"/>
        <v>0.20833333333333334</v>
      </c>
      <c r="M1049" s="5">
        <v>0.20833333333333334</v>
      </c>
      <c r="N1049" t="s">
        <v>18</v>
      </c>
      <c r="R1049" s="3">
        <f t="shared" si="84"/>
        <v>5</v>
      </c>
    </row>
    <row r="1050" spans="1:18" hidden="1" x14ac:dyDescent="0.25">
      <c r="A1050" t="s">
        <v>457</v>
      </c>
      <c r="B1050" t="s">
        <v>20</v>
      </c>
      <c r="C1050" t="s">
        <v>459</v>
      </c>
      <c r="D1050" s="3">
        <f t="shared" si="85"/>
        <v>9</v>
      </c>
      <c r="E1050" t="s">
        <v>12</v>
      </c>
      <c r="F1050" t="s">
        <v>13</v>
      </c>
      <c r="G1050" t="str">
        <f t="shared" si="86"/>
        <v/>
      </c>
      <c r="H1050" t="s">
        <v>14</v>
      </c>
      <c r="I1050" t="s">
        <v>458</v>
      </c>
      <c r="J1050" s="2">
        <f t="shared" si="87"/>
        <v>1300000</v>
      </c>
      <c r="K1050" t="s">
        <v>17</v>
      </c>
      <c r="L1050">
        <f t="shared" si="88"/>
        <v>0</v>
      </c>
      <c r="N1050" t="s">
        <v>43</v>
      </c>
      <c r="R1050" s="3">
        <f t="shared" si="84"/>
        <v>0</v>
      </c>
    </row>
    <row r="1051" spans="1:18" hidden="1" x14ac:dyDescent="0.25">
      <c r="A1051" t="s">
        <v>590</v>
      </c>
      <c r="B1051" t="s">
        <v>20</v>
      </c>
      <c r="C1051" t="s">
        <v>77</v>
      </c>
      <c r="D1051" s="3">
        <f t="shared" si="85"/>
        <v>12</v>
      </c>
      <c r="E1051" t="s">
        <v>33</v>
      </c>
      <c r="F1051" t="s">
        <v>34</v>
      </c>
      <c r="G1051" t="str">
        <f t="shared" si="86"/>
        <v/>
      </c>
      <c r="H1051" t="s">
        <v>14</v>
      </c>
      <c r="I1051" t="s">
        <v>591</v>
      </c>
      <c r="J1051" s="2">
        <f t="shared" si="87"/>
        <v>1000000</v>
      </c>
      <c r="K1051" t="s">
        <v>52</v>
      </c>
      <c r="L1051">
        <f t="shared" si="88"/>
        <v>0.20833333333333334</v>
      </c>
      <c r="M1051" s="5">
        <v>0.20833333333333334</v>
      </c>
      <c r="N1051" t="s">
        <v>43</v>
      </c>
      <c r="R1051" s="3">
        <f t="shared" si="84"/>
        <v>5</v>
      </c>
    </row>
    <row r="1052" spans="1:18" hidden="1" x14ac:dyDescent="0.25">
      <c r="A1052" t="s">
        <v>1176</v>
      </c>
      <c r="B1052" t="s">
        <v>640</v>
      </c>
      <c r="C1052" t="s">
        <v>643</v>
      </c>
      <c r="D1052" s="3">
        <f t="shared" si="85"/>
        <v>12</v>
      </c>
      <c r="E1052" t="s">
        <v>33</v>
      </c>
      <c r="F1052" t="s">
        <v>13</v>
      </c>
      <c r="G1052" t="str">
        <f t="shared" si="86"/>
        <v/>
      </c>
      <c r="H1052" t="s">
        <v>14</v>
      </c>
      <c r="I1052" t="s">
        <v>1177</v>
      </c>
      <c r="J1052" s="2">
        <f t="shared" si="87"/>
        <v>1300000</v>
      </c>
      <c r="K1052" t="s">
        <v>17</v>
      </c>
      <c r="L1052">
        <f t="shared" si="88"/>
        <v>0.17083333333333331</v>
      </c>
      <c r="M1052" s="5">
        <v>0.17083333333333331</v>
      </c>
      <c r="N1052" t="s">
        <v>37</v>
      </c>
      <c r="P1052" t="s">
        <v>727</v>
      </c>
      <c r="R1052" s="3">
        <f t="shared" si="84"/>
        <v>4.0999999999999996</v>
      </c>
    </row>
    <row r="1053" spans="1:18" hidden="1" x14ac:dyDescent="0.25">
      <c r="A1053" t="s">
        <v>4197</v>
      </c>
      <c r="B1053" t="s">
        <v>3746</v>
      </c>
      <c r="C1053" t="s">
        <v>3884</v>
      </c>
      <c r="D1053" s="3">
        <f t="shared" si="85"/>
        <v>12</v>
      </c>
      <c r="E1053" t="s">
        <v>33</v>
      </c>
      <c r="F1053" t="s">
        <v>13</v>
      </c>
      <c r="G1053" t="str">
        <f t="shared" si="86"/>
        <v/>
      </c>
      <c r="H1053" t="s">
        <v>14</v>
      </c>
      <c r="I1053" t="s">
        <v>4198</v>
      </c>
      <c r="J1053" s="2">
        <f t="shared" si="87"/>
        <v>850000</v>
      </c>
      <c r="K1053" t="s">
        <v>185</v>
      </c>
      <c r="L1053">
        <f t="shared" si="88"/>
        <v>0.20833333333333334</v>
      </c>
      <c r="M1053" s="5">
        <v>0.20833333333333334</v>
      </c>
      <c r="N1053" t="s">
        <v>43</v>
      </c>
      <c r="R1053" s="3">
        <f t="shared" si="84"/>
        <v>5</v>
      </c>
    </row>
    <row r="1054" spans="1:18" hidden="1" x14ac:dyDescent="0.25">
      <c r="A1054" t="s">
        <v>4654</v>
      </c>
      <c r="B1054" t="s">
        <v>4272</v>
      </c>
      <c r="C1054" t="s">
        <v>4417</v>
      </c>
      <c r="D1054" s="3">
        <f t="shared" si="85"/>
        <v>12</v>
      </c>
      <c r="E1054" t="s">
        <v>33</v>
      </c>
      <c r="F1054" t="s">
        <v>13</v>
      </c>
      <c r="G1054" t="str">
        <f t="shared" si="86"/>
        <v/>
      </c>
      <c r="H1054" t="s">
        <v>14</v>
      </c>
      <c r="I1054" t="s">
        <v>4655</v>
      </c>
      <c r="J1054" s="2">
        <f t="shared" si="87"/>
        <v>1100000</v>
      </c>
      <c r="K1054" t="s">
        <v>42</v>
      </c>
      <c r="L1054">
        <f t="shared" si="88"/>
        <v>0</v>
      </c>
      <c r="N1054" t="s">
        <v>18</v>
      </c>
      <c r="R1054" s="3">
        <f t="shared" si="84"/>
        <v>0</v>
      </c>
    </row>
    <row r="1055" spans="1:18" x14ac:dyDescent="0.25">
      <c r="A1055" t="s">
        <v>5150</v>
      </c>
      <c r="B1055" t="s">
        <v>4806</v>
      </c>
      <c r="C1055" t="s">
        <v>4805</v>
      </c>
      <c r="D1055" s="3">
        <f t="shared" si="85"/>
        <v>8.3999999999999986</v>
      </c>
      <c r="E1055" t="s">
        <v>723</v>
      </c>
      <c r="F1055" t="s">
        <v>13</v>
      </c>
      <c r="G1055" t="str">
        <f t="shared" si="86"/>
        <v/>
      </c>
      <c r="H1055" t="s">
        <v>14</v>
      </c>
      <c r="I1055" t="s">
        <v>5151</v>
      </c>
      <c r="J1055" s="2">
        <f t="shared" si="87"/>
        <v>1500000</v>
      </c>
      <c r="K1055" t="s">
        <v>66</v>
      </c>
      <c r="L1055">
        <f t="shared" si="88"/>
        <v>0.16874999999999998</v>
      </c>
      <c r="M1055" s="5">
        <v>0.16874999999999998</v>
      </c>
      <c r="N1055" t="s">
        <v>43</v>
      </c>
      <c r="R1055" s="3">
        <f t="shared" si="84"/>
        <v>4.05</v>
      </c>
    </row>
    <row r="1056" spans="1:18" hidden="1" x14ac:dyDescent="0.25">
      <c r="A1056" t="s">
        <v>4487</v>
      </c>
      <c r="B1056" t="s">
        <v>4272</v>
      </c>
      <c r="C1056" t="s">
        <v>4354</v>
      </c>
      <c r="D1056" s="3">
        <f t="shared" si="85"/>
        <v>12</v>
      </c>
      <c r="E1056" t="s">
        <v>33</v>
      </c>
      <c r="F1056" t="s">
        <v>13</v>
      </c>
      <c r="G1056" t="str">
        <f t="shared" si="86"/>
        <v/>
      </c>
      <c r="H1056" t="s">
        <v>14</v>
      </c>
      <c r="I1056" t="s">
        <v>4488</v>
      </c>
      <c r="J1056" s="2">
        <f t="shared" si="87"/>
        <v>1500000</v>
      </c>
      <c r="K1056" t="s">
        <v>66</v>
      </c>
      <c r="L1056">
        <f t="shared" si="88"/>
        <v>0.20833333333333334</v>
      </c>
      <c r="M1056" s="5">
        <v>0.20833333333333334</v>
      </c>
      <c r="N1056" t="s">
        <v>43</v>
      </c>
      <c r="R1056" s="3">
        <f t="shared" si="84"/>
        <v>5</v>
      </c>
    </row>
    <row r="1057" spans="1:18" hidden="1" x14ac:dyDescent="0.25">
      <c r="A1057" t="s">
        <v>5660</v>
      </c>
      <c r="B1057" t="s">
        <v>5848</v>
      </c>
      <c r="C1057" t="s">
        <v>5363</v>
      </c>
      <c r="D1057" s="3">
        <f t="shared" si="85"/>
        <v>9</v>
      </c>
      <c r="E1057" t="s">
        <v>12</v>
      </c>
      <c r="F1057" t="s">
        <v>34</v>
      </c>
      <c r="G1057" t="str">
        <f t="shared" si="86"/>
        <v/>
      </c>
      <c r="H1057" t="s">
        <v>14</v>
      </c>
      <c r="I1057" t="s">
        <v>5661</v>
      </c>
      <c r="J1057" s="2">
        <f t="shared" si="87"/>
        <v>1975000</v>
      </c>
      <c r="K1057" t="s">
        <v>956</v>
      </c>
      <c r="L1057">
        <f t="shared" si="88"/>
        <v>0</v>
      </c>
      <c r="N1057" t="s">
        <v>37</v>
      </c>
      <c r="R1057" s="3">
        <f t="shared" si="84"/>
        <v>0</v>
      </c>
    </row>
    <row r="1058" spans="1:18" hidden="1" x14ac:dyDescent="0.25">
      <c r="A1058" t="s">
        <v>4332</v>
      </c>
      <c r="B1058" t="s">
        <v>4272</v>
      </c>
      <c r="C1058" t="s">
        <v>4334</v>
      </c>
      <c r="D1058" s="3">
        <f t="shared" si="85"/>
        <v>15</v>
      </c>
      <c r="E1058" t="s">
        <v>71</v>
      </c>
      <c r="F1058" t="s">
        <v>13</v>
      </c>
      <c r="G1058" t="str">
        <f t="shared" si="86"/>
        <v/>
      </c>
      <c r="H1058" t="s">
        <v>14</v>
      </c>
      <c r="I1058" t="s">
        <v>4333</v>
      </c>
      <c r="J1058" s="2">
        <f t="shared" si="87"/>
        <v>1100000</v>
      </c>
      <c r="K1058" t="s">
        <v>42</v>
      </c>
      <c r="L1058">
        <f t="shared" si="88"/>
        <v>0</v>
      </c>
      <c r="N1058" t="s">
        <v>43</v>
      </c>
      <c r="R1058" s="3">
        <f t="shared" si="84"/>
        <v>0</v>
      </c>
    </row>
    <row r="1059" spans="1:18" hidden="1" x14ac:dyDescent="0.25">
      <c r="A1059" t="s">
        <v>5046</v>
      </c>
      <c r="B1059" t="s">
        <v>4806</v>
      </c>
      <c r="C1059" t="s">
        <v>4805</v>
      </c>
      <c r="D1059" s="3">
        <f t="shared" si="85"/>
        <v>12</v>
      </c>
      <c r="E1059" t="s">
        <v>33</v>
      </c>
      <c r="F1059" t="s">
        <v>13</v>
      </c>
      <c r="G1059" t="str">
        <f t="shared" si="86"/>
        <v/>
      </c>
      <c r="H1059" t="s">
        <v>14</v>
      </c>
      <c r="I1059" t="s">
        <v>5047</v>
      </c>
      <c r="J1059" s="2">
        <f t="shared" si="87"/>
        <v>1500000</v>
      </c>
      <c r="K1059" t="s">
        <v>66</v>
      </c>
      <c r="L1059">
        <f t="shared" si="88"/>
        <v>0.17222222222222225</v>
      </c>
      <c r="M1059" s="5">
        <v>0.17222222222222225</v>
      </c>
      <c r="N1059" t="s">
        <v>43</v>
      </c>
      <c r="R1059" s="3">
        <f t="shared" si="84"/>
        <v>4.1333333333333337</v>
      </c>
    </row>
    <row r="1060" spans="1:18" hidden="1" x14ac:dyDescent="0.25">
      <c r="A1060" t="s">
        <v>4831</v>
      </c>
      <c r="B1060" t="s">
        <v>4806</v>
      </c>
      <c r="C1060" t="s">
        <v>4805</v>
      </c>
      <c r="D1060" s="3">
        <f t="shared" si="85"/>
        <v>12</v>
      </c>
      <c r="E1060" t="s">
        <v>33</v>
      </c>
      <c r="F1060" t="s">
        <v>13</v>
      </c>
      <c r="G1060" t="str">
        <f t="shared" si="86"/>
        <v/>
      </c>
      <c r="H1060" t="s">
        <v>14</v>
      </c>
      <c r="I1060" t="s">
        <v>4832</v>
      </c>
      <c r="J1060" s="2">
        <f t="shared" si="87"/>
        <v>2800000</v>
      </c>
      <c r="K1060" t="s">
        <v>1166</v>
      </c>
      <c r="L1060">
        <f t="shared" si="88"/>
        <v>0.20833333333333334</v>
      </c>
      <c r="M1060" s="5">
        <v>0.20833333333333334</v>
      </c>
      <c r="N1060" t="s">
        <v>43</v>
      </c>
      <c r="R1060" s="3">
        <f t="shared" si="84"/>
        <v>5</v>
      </c>
    </row>
    <row r="1061" spans="1:18" hidden="1" x14ac:dyDescent="0.25">
      <c r="A1061" t="s">
        <v>5167</v>
      </c>
      <c r="B1061" t="s">
        <v>4806</v>
      </c>
      <c r="C1061" t="s">
        <v>4805</v>
      </c>
      <c r="D1061" s="3">
        <f t="shared" si="85"/>
        <v>9</v>
      </c>
      <c r="E1061" t="s">
        <v>12</v>
      </c>
      <c r="F1061" t="s">
        <v>13</v>
      </c>
      <c r="G1061" t="str">
        <f t="shared" si="86"/>
        <v/>
      </c>
      <c r="H1061" t="s">
        <v>14</v>
      </c>
      <c r="I1061" t="s">
        <v>5168</v>
      </c>
      <c r="J1061" s="2">
        <f t="shared" si="87"/>
        <v>1400000</v>
      </c>
      <c r="K1061" t="s">
        <v>81</v>
      </c>
      <c r="L1061">
        <f t="shared" si="88"/>
        <v>0.20833333333333334</v>
      </c>
      <c r="M1061" s="5">
        <v>0.20833333333333334</v>
      </c>
      <c r="N1061" t="s">
        <v>43</v>
      </c>
      <c r="R1061" s="3">
        <f t="shared" si="84"/>
        <v>5</v>
      </c>
    </row>
    <row r="1062" spans="1:18" hidden="1" x14ac:dyDescent="0.25">
      <c r="A1062" t="s">
        <v>4994</v>
      </c>
      <c r="B1062" t="s">
        <v>4806</v>
      </c>
      <c r="C1062" t="s">
        <v>4805</v>
      </c>
      <c r="D1062" s="3">
        <f t="shared" si="85"/>
        <v>12</v>
      </c>
      <c r="E1062" t="s">
        <v>33</v>
      </c>
      <c r="F1062" t="s">
        <v>13</v>
      </c>
      <c r="G1062" t="str">
        <f t="shared" si="86"/>
        <v/>
      </c>
      <c r="H1062" t="s">
        <v>14</v>
      </c>
      <c r="I1062" t="s">
        <v>4995</v>
      </c>
      <c r="J1062" s="2">
        <f t="shared" si="87"/>
        <v>2000000</v>
      </c>
      <c r="K1062" t="s">
        <v>128</v>
      </c>
      <c r="L1062">
        <f t="shared" si="88"/>
        <v>0.17291666666666669</v>
      </c>
      <c r="M1062" s="5">
        <v>0.17291666666666669</v>
      </c>
      <c r="N1062" t="s">
        <v>43</v>
      </c>
      <c r="R1062" s="3">
        <f t="shared" si="84"/>
        <v>4.1500000000000004</v>
      </c>
    </row>
    <row r="1063" spans="1:18" hidden="1" x14ac:dyDescent="0.25">
      <c r="A1063" t="s">
        <v>4855</v>
      </c>
      <c r="B1063" t="s">
        <v>4806</v>
      </c>
      <c r="C1063" t="s">
        <v>4805</v>
      </c>
      <c r="D1063" s="3">
        <f t="shared" si="85"/>
        <v>12</v>
      </c>
      <c r="E1063" t="s">
        <v>33</v>
      </c>
      <c r="F1063" t="s">
        <v>34</v>
      </c>
      <c r="G1063" t="str">
        <f t="shared" si="86"/>
        <v/>
      </c>
      <c r="H1063" t="s">
        <v>14</v>
      </c>
      <c r="I1063" t="s">
        <v>4856</v>
      </c>
      <c r="J1063" s="2">
        <f t="shared" si="87"/>
        <v>1200000</v>
      </c>
      <c r="K1063" t="s">
        <v>36</v>
      </c>
      <c r="L1063">
        <f t="shared" si="88"/>
        <v>0.20833333333333334</v>
      </c>
      <c r="M1063" s="5">
        <v>0.20833333333333334</v>
      </c>
      <c r="N1063" t="s">
        <v>18</v>
      </c>
      <c r="R1063" s="3">
        <f t="shared" si="84"/>
        <v>5</v>
      </c>
    </row>
    <row r="1064" spans="1:18" hidden="1" x14ac:dyDescent="0.25">
      <c r="A1064" t="s">
        <v>5016</v>
      </c>
      <c r="B1064" t="s">
        <v>4806</v>
      </c>
      <c r="C1064" t="s">
        <v>4805</v>
      </c>
      <c r="D1064" s="3">
        <f t="shared" si="85"/>
        <v>12</v>
      </c>
      <c r="E1064" t="s">
        <v>33</v>
      </c>
      <c r="F1064" t="s">
        <v>34</v>
      </c>
      <c r="G1064" t="str">
        <f t="shared" si="86"/>
        <v/>
      </c>
      <c r="H1064" t="s">
        <v>14</v>
      </c>
      <c r="I1064" t="s">
        <v>5017</v>
      </c>
      <c r="J1064" s="2">
        <f t="shared" si="87"/>
        <v>1400000</v>
      </c>
      <c r="K1064" t="s">
        <v>81</v>
      </c>
      <c r="L1064">
        <f t="shared" si="88"/>
        <v>0.20833333333333334</v>
      </c>
      <c r="M1064" s="5">
        <v>0.20833333333333334</v>
      </c>
      <c r="N1064" t="s">
        <v>43</v>
      </c>
      <c r="R1064" s="3">
        <f t="shared" si="84"/>
        <v>5</v>
      </c>
    </row>
    <row r="1065" spans="1:18" x14ac:dyDescent="0.25">
      <c r="A1065" t="s">
        <v>1196</v>
      </c>
      <c r="B1065" t="s">
        <v>640</v>
      </c>
      <c r="C1065" t="s">
        <v>643</v>
      </c>
      <c r="D1065" s="3">
        <f t="shared" si="85"/>
        <v>9</v>
      </c>
      <c r="E1065" t="s">
        <v>12</v>
      </c>
      <c r="F1065" t="s">
        <v>34</v>
      </c>
      <c r="G1065" t="str">
        <f t="shared" si="86"/>
        <v/>
      </c>
      <c r="H1065" t="s">
        <v>14</v>
      </c>
      <c r="I1065" t="s">
        <v>1197</v>
      </c>
      <c r="J1065" s="2">
        <f t="shared" si="87"/>
        <v>1500000</v>
      </c>
      <c r="K1065" t="s">
        <v>66</v>
      </c>
      <c r="L1065">
        <f t="shared" si="88"/>
        <v>0.1277777777777778</v>
      </c>
      <c r="M1065" s="5">
        <v>0.1277777777777778</v>
      </c>
      <c r="N1065" t="s">
        <v>37</v>
      </c>
      <c r="R1065" s="3">
        <f t="shared" si="84"/>
        <v>3.0666666666666673</v>
      </c>
    </row>
    <row r="1066" spans="1:18" hidden="1" x14ac:dyDescent="0.25">
      <c r="A1066" t="s">
        <v>4982</v>
      </c>
      <c r="B1066" t="s">
        <v>4806</v>
      </c>
      <c r="C1066" t="s">
        <v>4805</v>
      </c>
      <c r="D1066" s="3">
        <f t="shared" si="85"/>
        <v>4</v>
      </c>
      <c r="E1066" t="s">
        <v>313</v>
      </c>
      <c r="F1066" t="s">
        <v>34</v>
      </c>
      <c r="G1066" t="str">
        <f t="shared" si="86"/>
        <v/>
      </c>
      <c r="H1066" t="s">
        <v>14</v>
      </c>
      <c r="I1066" t="s">
        <v>4983</v>
      </c>
      <c r="J1066" s="2">
        <f t="shared" si="87"/>
        <v>1350000</v>
      </c>
      <c r="K1066" t="s">
        <v>257</v>
      </c>
      <c r="L1066">
        <f t="shared" si="88"/>
        <v>0</v>
      </c>
      <c r="N1066" t="s">
        <v>18</v>
      </c>
      <c r="R1066" s="3">
        <f t="shared" si="84"/>
        <v>0</v>
      </c>
    </row>
    <row r="1067" spans="1:18" hidden="1" x14ac:dyDescent="0.25">
      <c r="A1067" t="s">
        <v>5311</v>
      </c>
      <c r="B1067" t="s">
        <v>4806</v>
      </c>
      <c r="C1067" t="s">
        <v>4805</v>
      </c>
      <c r="D1067" s="3">
        <f t="shared" si="85"/>
        <v>9</v>
      </c>
      <c r="E1067" t="s">
        <v>12</v>
      </c>
      <c r="F1067" t="s">
        <v>13</v>
      </c>
      <c r="G1067" t="str">
        <f t="shared" si="86"/>
        <v/>
      </c>
      <c r="H1067" t="s">
        <v>14</v>
      </c>
      <c r="I1067" t="s">
        <v>5312</v>
      </c>
      <c r="J1067" s="2">
        <f t="shared" si="87"/>
        <v>1200000</v>
      </c>
      <c r="K1067" t="s">
        <v>36</v>
      </c>
      <c r="L1067">
        <f t="shared" si="88"/>
        <v>0</v>
      </c>
      <c r="N1067" t="s">
        <v>37</v>
      </c>
      <c r="R1067" s="3">
        <f t="shared" si="84"/>
        <v>0</v>
      </c>
    </row>
    <row r="1068" spans="1:18" hidden="1" x14ac:dyDescent="0.25">
      <c r="A1068" t="s">
        <v>5311</v>
      </c>
      <c r="B1068" t="s">
        <v>4806</v>
      </c>
      <c r="C1068" t="s">
        <v>4805</v>
      </c>
      <c r="D1068" s="3">
        <f t="shared" si="85"/>
        <v>9</v>
      </c>
      <c r="E1068" t="s">
        <v>12</v>
      </c>
      <c r="F1068" t="s">
        <v>13</v>
      </c>
      <c r="G1068" t="str">
        <f t="shared" si="86"/>
        <v/>
      </c>
      <c r="H1068" t="s">
        <v>14</v>
      </c>
      <c r="I1068" t="s">
        <v>5324</v>
      </c>
      <c r="J1068" s="2">
        <f t="shared" si="87"/>
        <v>1200000</v>
      </c>
      <c r="K1068" t="s">
        <v>36</v>
      </c>
      <c r="L1068">
        <f t="shared" si="88"/>
        <v>0</v>
      </c>
      <c r="N1068" t="s">
        <v>37</v>
      </c>
      <c r="R1068" s="3">
        <f t="shared" si="84"/>
        <v>0</v>
      </c>
    </row>
    <row r="1069" spans="1:18" hidden="1" x14ac:dyDescent="0.25">
      <c r="A1069" t="s">
        <v>214</v>
      </c>
      <c r="B1069" t="s">
        <v>20</v>
      </c>
      <c r="C1069" t="s">
        <v>67</v>
      </c>
      <c r="D1069" s="3">
        <f t="shared" si="85"/>
        <v>12</v>
      </c>
      <c r="E1069" t="s">
        <v>33</v>
      </c>
      <c r="F1069" t="s">
        <v>13</v>
      </c>
      <c r="G1069" t="str">
        <f t="shared" si="86"/>
        <v/>
      </c>
      <c r="H1069" t="s">
        <v>14</v>
      </c>
      <c r="I1069" t="s">
        <v>215</v>
      </c>
      <c r="J1069" s="2">
        <f t="shared" si="87"/>
        <v>2000000</v>
      </c>
      <c r="K1069" t="s">
        <v>128</v>
      </c>
      <c r="L1069">
        <f t="shared" si="88"/>
        <v>0</v>
      </c>
      <c r="N1069" t="s">
        <v>18</v>
      </c>
      <c r="R1069" s="3">
        <f t="shared" si="84"/>
        <v>0</v>
      </c>
    </row>
    <row r="1070" spans="1:18" hidden="1" x14ac:dyDescent="0.25">
      <c r="A1070" t="s">
        <v>1780</v>
      </c>
      <c r="B1070" t="s">
        <v>1303</v>
      </c>
      <c r="C1070" t="s">
        <v>1362</v>
      </c>
      <c r="D1070" s="3">
        <f t="shared" si="85"/>
        <v>14</v>
      </c>
      <c r="E1070" t="s">
        <v>875</v>
      </c>
      <c r="F1070" t="s">
        <v>13</v>
      </c>
      <c r="G1070" t="str">
        <f t="shared" si="86"/>
        <v/>
      </c>
      <c r="H1070" t="s">
        <v>14</v>
      </c>
      <c r="I1070" t="s">
        <v>1781</v>
      </c>
      <c r="J1070" s="2">
        <f t="shared" si="87"/>
        <v>2200000</v>
      </c>
      <c r="K1070" t="s">
        <v>849</v>
      </c>
      <c r="L1070">
        <f t="shared" si="88"/>
        <v>0</v>
      </c>
      <c r="N1070" t="s">
        <v>43</v>
      </c>
      <c r="R1070" s="3">
        <f t="shared" si="84"/>
        <v>0</v>
      </c>
    </row>
    <row r="1071" spans="1:18" hidden="1" x14ac:dyDescent="0.25">
      <c r="A1071" t="s">
        <v>2553</v>
      </c>
      <c r="B1071" t="s">
        <v>2596</v>
      </c>
      <c r="C1071" t="s">
        <v>2053</v>
      </c>
      <c r="D1071" s="3">
        <f t="shared" si="85"/>
        <v>16.5</v>
      </c>
      <c r="E1071" t="s">
        <v>2554</v>
      </c>
      <c r="F1071" t="s">
        <v>34</v>
      </c>
      <c r="G1071" t="str">
        <f t="shared" si="86"/>
        <v/>
      </c>
      <c r="H1071" t="s">
        <v>14</v>
      </c>
      <c r="I1071" t="s">
        <v>2555</v>
      </c>
      <c r="J1071" s="2">
        <f t="shared" si="87"/>
        <v>4700000</v>
      </c>
      <c r="K1071" t="s">
        <v>2556</v>
      </c>
      <c r="L1071">
        <f t="shared" si="88"/>
        <v>0.20833333333333334</v>
      </c>
      <c r="M1071" s="5">
        <v>0.20833333333333334</v>
      </c>
      <c r="N1071" t="s">
        <v>43</v>
      </c>
      <c r="R1071" s="3">
        <f t="shared" si="84"/>
        <v>5</v>
      </c>
    </row>
    <row r="1072" spans="1:18" hidden="1" x14ac:dyDescent="0.25">
      <c r="A1072" t="s">
        <v>2543</v>
      </c>
      <c r="B1072" t="s">
        <v>2596</v>
      </c>
      <c r="C1072" t="s">
        <v>2053</v>
      </c>
      <c r="D1072" s="3">
        <f t="shared" si="85"/>
        <v>13.5</v>
      </c>
      <c r="E1072" t="s">
        <v>667</v>
      </c>
      <c r="F1072" t="s">
        <v>34</v>
      </c>
      <c r="G1072" t="str">
        <f t="shared" si="86"/>
        <v/>
      </c>
      <c r="H1072" t="s">
        <v>14</v>
      </c>
      <c r="I1072" t="s">
        <v>2544</v>
      </c>
      <c r="J1072" s="2">
        <f t="shared" si="87"/>
        <v>3750000</v>
      </c>
      <c r="K1072" t="s">
        <v>2250</v>
      </c>
      <c r="L1072">
        <f t="shared" si="88"/>
        <v>0.17222222222222225</v>
      </c>
      <c r="M1072" s="5">
        <v>0.17222222222222225</v>
      </c>
      <c r="N1072" t="s">
        <v>43</v>
      </c>
      <c r="P1072" t="s">
        <v>1306</v>
      </c>
      <c r="R1072" s="3">
        <f t="shared" si="84"/>
        <v>4.1333333333333337</v>
      </c>
    </row>
    <row r="1073" spans="1:18" hidden="1" x14ac:dyDescent="0.25">
      <c r="A1073" t="s">
        <v>2589</v>
      </c>
      <c r="B1073" t="s">
        <v>2596</v>
      </c>
      <c r="C1073" t="s">
        <v>2053</v>
      </c>
      <c r="D1073" s="3">
        <f t="shared" si="85"/>
        <v>30</v>
      </c>
      <c r="E1073" t="s">
        <v>141</v>
      </c>
      <c r="F1073" t="s">
        <v>34</v>
      </c>
      <c r="G1073" t="str">
        <f t="shared" si="86"/>
        <v/>
      </c>
      <c r="H1073" t="s">
        <v>14</v>
      </c>
      <c r="I1073" t="s">
        <v>2590</v>
      </c>
      <c r="J1073" s="2">
        <f t="shared" si="87"/>
        <v>3500000</v>
      </c>
      <c r="K1073" t="s">
        <v>143</v>
      </c>
      <c r="L1073">
        <f t="shared" si="88"/>
        <v>0.17291666666666669</v>
      </c>
      <c r="M1073" s="5">
        <v>0.17291666666666669</v>
      </c>
      <c r="N1073" t="s">
        <v>18</v>
      </c>
      <c r="R1073" s="3">
        <f t="shared" si="84"/>
        <v>4.1500000000000004</v>
      </c>
    </row>
    <row r="1074" spans="1:18" hidden="1" x14ac:dyDescent="0.25">
      <c r="A1074" t="s">
        <v>4803</v>
      </c>
      <c r="B1074" t="s">
        <v>4806</v>
      </c>
      <c r="C1074" t="s">
        <v>4805</v>
      </c>
      <c r="D1074" s="3">
        <f t="shared" si="85"/>
        <v>20</v>
      </c>
      <c r="E1074" t="s">
        <v>159</v>
      </c>
      <c r="F1074" t="s">
        <v>13</v>
      </c>
      <c r="G1074" t="str">
        <f t="shared" si="86"/>
        <v/>
      </c>
      <c r="H1074" t="s">
        <v>14</v>
      </c>
      <c r="I1074" t="s">
        <v>4804</v>
      </c>
      <c r="J1074" s="2">
        <f t="shared" si="87"/>
        <v>3000000</v>
      </c>
      <c r="K1074" t="s">
        <v>1513</v>
      </c>
      <c r="L1074">
        <f t="shared" si="88"/>
        <v>0.17291666666666669</v>
      </c>
      <c r="M1074" s="5">
        <v>0.17291666666666669</v>
      </c>
      <c r="N1074" t="s">
        <v>43</v>
      </c>
      <c r="R1074" s="3">
        <f t="shared" si="84"/>
        <v>4.1500000000000004</v>
      </c>
    </row>
    <row r="1075" spans="1:18" hidden="1" x14ac:dyDescent="0.25">
      <c r="A1075" t="s">
        <v>5037</v>
      </c>
      <c r="B1075" t="s">
        <v>4806</v>
      </c>
      <c r="C1075" t="s">
        <v>4805</v>
      </c>
      <c r="D1075" s="3">
        <f t="shared" si="85"/>
        <v>20</v>
      </c>
      <c r="E1075" t="s">
        <v>159</v>
      </c>
      <c r="F1075" t="s">
        <v>13</v>
      </c>
      <c r="G1075" t="str">
        <f t="shared" si="86"/>
        <v/>
      </c>
      <c r="H1075" t="s">
        <v>14</v>
      </c>
      <c r="I1075" t="s">
        <v>4804</v>
      </c>
      <c r="J1075" s="2">
        <f t="shared" si="87"/>
        <v>4000000</v>
      </c>
      <c r="K1075" t="s">
        <v>2179</v>
      </c>
      <c r="L1075">
        <f t="shared" si="88"/>
        <v>0</v>
      </c>
      <c r="N1075" t="s">
        <v>43</v>
      </c>
      <c r="R1075" s="3">
        <f t="shared" si="84"/>
        <v>0</v>
      </c>
    </row>
    <row r="1076" spans="1:18" hidden="1" x14ac:dyDescent="0.25">
      <c r="A1076" t="s">
        <v>5037</v>
      </c>
      <c r="B1076" t="s">
        <v>4806</v>
      </c>
      <c r="C1076" t="s">
        <v>4805</v>
      </c>
      <c r="D1076" s="3">
        <f t="shared" si="85"/>
        <v>20</v>
      </c>
      <c r="E1076" t="s">
        <v>159</v>
      </c>
      <c r="F1076" t="s">
        <v>13</v>
      </c>
      <c r="G1076" t="str">
        <f t="shared" si="86"/>
        <v/>
      </c>
      <c r="H1076" t="s">
        <v>14</v>
      </c>
      <c r="I1076" t="s">
        <v>5038</v>
      </c>
      <c r="J1076" s="2">
        <f t="shared" si="87"/>
        <v>4000000</v>
      </c>
      <c r="K1076" t="s">
        <v>2179</v>
      </c>
      <c r="L1076">
        <f t="shared" si="88"/>
        <v>0</v>
      </c>
      <c r="N1076" t="s">
        <v>43</v>
      </c>
      <c r="R1076" s="3">
        <f t="shared" si="84"/>
        <v>0</v>
      </c>
    </row>
    <row r="1077" spans="1:18" hidden="1" x14ac:dyDescent="0.25">
      <c r="A1077" t="s">
        <v>583</v>
      </c>
      <c r="B1077" t="s">
        <v>20</v>
      </c>
      <c r="C1077" t="s">
        <v>218</v>
      </c>
      <c r="D1077" s="3">
        <f t="shared" si="85"/>
        <v>24</v>
      </c>
      <c r="E1077" t="s">
        <v>584</v>
      </c>
      <c r="F1077" t="s">
        <v>13</v>
      </c>
      <c r="G1077" t="str">
        <f t="shared" si="86"/>
        <v/>
      </c>
      <c r="H1077" t="s">
        <v>14</v>
      </c>
      <c r="I1077" t="s">
        <v>585</v>
      </c>
      <c r="J1077" s="2">
        <f t="shared" si="87"/>
        <v>1000000</v>
      </c>
      <c r="K1077" t="s">
        <v>52</v>
      </c>
      <c r="L1077">
        <f t="shared" si="88"/>
        <v>0</v>
      </c>
      <c r="N1077" t="s">
        <v>43</v>
      </c>
      <c r="R1077" s="3">
        <f t="shared" si="84"/>
        <v>0</v>
      </c>
    </row>
    <row r="1078" spans="1:18" hidden="1" x14ac:dyDescent="0.25">
      <c r="A1078" t="s">
        <v>3577</v>
      </c>
      <c r="B1078" t="s">
        <v>3233</v>
      </c>
      <c r="C1078" t="s">
        <v>3232</v>
      </c>
      <c r="D1078" s="3">
        <f t="shared" si="85"/>
        <v>9</v>
      </c>
      <c r="E1078" t="s">
        <v>12</v>
      </c>
      <c r="F1078" t="s">
        <v>34</v>
      </c>
      <c r="G1078" t="str">
        <f t="shared" si="86"/>
        <v/>
      </c>
      <c r="H1078" t="s">
        <v>14</v>
      </c>
      <c r="I1078" t="s">
        <v>3578</v>
      </c>
      <c r="J1078" s="2">
        <f t="shared" si="87"/>
        <v>1550000</v>
      </c>
      <c r="K1078" t="s">
        <v>137</v>
      </c>
      <c r="L1078">
        <f t="shared" si="88"/>
        <v>0.20833333333333334</v>
      </c>
      <c r="M1078" s="5">
        <v>0.20833333333333334</v>
      </c>
      <c r="N1078" t="s">
        <v>18</v>
      </c>
      <c r="R1078" s="3">
        <f t="shared" si="84"/>
        <v>5</v>
      </c>
    </row>
    <row r="1079" spans="1:18" hidden="1" x14ac:dyDescent="0.25">
      <c r="A1079" t="s">
        <v>569</v>
      </c>
      <c r="B1079" t="s">
        <v>20</v>
      </c>
      <c r="C1079" t="s">
        <v>218</v>
      </c>
      <c r="D1079" s="3">
        <f t="shared" si="85"/>
        <v>32</v>
      </c>
      <c r="E1079" t="s">
        <v>570</v>
      </c>
      <c r="F1079" t="s">
        <v>13</v>
      </c>
      <c r="G1079" t="str">
        <f t="shared" si="86"/>
        <v/>
      </c>
      <c r="H1079" t="s">
        <v>14</v>
      </c>
      <c r="I1079" t="s">
        <v>571</v>
      </c>
      <c r="J1079" s="2">
        <f t="shared" si="87"/>
        <v>1000000</v>
      </c>
      <c r="K1079" t="s">
        <v>52</v>
      </c>
      <c r="L1079">
        <f t="shared" si="88"/>
        <v>0</v>
      </c>
      <c r="N1079" t="s">
        <v>37</v>
      </c>
      <c r="R1079" s="3">
        <f t="shared" si="84"/>
        <v>0</v>
      </c>
    </row>
    <row r="1080" spans="1:18" hidden="1" x14ac:dyDescent="0.25">
      <c r="A1080" t="s">
        <v>4863</v>
      </c>
      <c r="B1080" t="s">
        <v>4806</v>
      </c>
      <c r="C1080" t="s">
        <v>4865</v>
      </c>
      <c r="D1080" s="3">
        <f t="shared" si="85"/>
        <v>9</v>
      </c>
      <c r="E1080" t="s">
        <v>12</v>
      </c>
      <c r="F1080" t="s">
        <v>13</v>
      </c>
      <c r="G1080" t="str">
        <f t="shared" si="86"/>
        <v/>
      </c>
      <c r="H1080" t="s">
        <v>14</v>
      </c>
      <c r="I1080" t="s">
        <v>4864</v>
      </c>
      <c r="J1080" s="2">
        <f t="shared" si="87"/>
        <v>1100000</v>
      </c>
      <c r="K1080" t="s">
        <v>42</v>
      </c>
      <c r="L1080">
        <f t="shared" si="88"/>
        <v>0.20833333333333334</v>
      </c>
      <c r="M1080" s="5">
        <v>0.20833333333333334</v>
      </c>
      <c r="N1080" t="s">
        <v>37</v>
      </c>
      <c r="R1080" s="3">
        <f t="shared" si="84"/>
        <v>5</v>
      </c>
    </row>
    <row r="1081" spans="1:18" x14ac:dyDescent="0.25">
      <c r="A1081" t="s">
        <v>5259</v>
      </c>
      <c r="B1081" t="s">
        <v>4806</v>
      </c>
      <c r="C1081" t="s">
        <v>4820</v>
      </c>
      <c r="D1081" s="3">
        <f t="shared" si="85"/>
        <v>12</v>
      </c>
      <c r="E1081" t="s">
        <v>33</v>
      </c>
      <c r="F1081" t="s">
        <v>13</v>
      </c>
      <c r="G1081" t="str">
        <f t="shared" si="86"/>
        <v/>
      </c>
      <c r="H1081" t="s">
        <v>14</v>
      </c>
      <c r="I1081" t="s">
        <v>5260</v>
      </c>
      <c r="J1081" s="2">
        <f t="shared" si="87"/>
        <v>1500000</v>
      </c>
      <c r="K1081" t="s">
        <v>66</v>
      </c>
      <c r="L1081">
        <f t="shared" si="88"/>
        <v>0</v>
      </c>
      <c r="N1081" t="s">
        <v>18</v>
      </c>
      <c r="R1081" s="3">
        <f t="shared" si="84"/>
        <v>0</v>
      </c>
    </row>
    <row r="1082" spans="1:18" hidden="1" x14ac:dyDescent="0.25">
      <c r="A1082" t="s">
        <v>4924</v>
      </c>
      <c r="B1082" t="s">
        <v>4806</v>
      </c>
      <c r="C1082" t="s">
        <v>4915</v>
      </c>
      <c r="D1082" s="3">
        <f t="shared" si="85"/>
        <v>12</v>
      </c>
      <c r="E1082" t="s">
        <v>33</v>
      </c>
      <c r="F1082" t="s">
        <v>13</v>
      </c>
      <c r="G1082" t="str">
        <f t="shared" si="86"/>
        <v/>
      </c>
      <c r="H1082" t="s">
        <v>14</v>
      </c>
      <c r="I1082" t="s">
        <v>4925</v>
      </c>
      <c r="J1082" s="2">
        <f t="shared" si="87"/>
        <v>1100000</v>
      </c>
      <c r="K1082" t="s">
        <v>42</v>
      </c>
      <c r="L1082">
        <f t="shared" si="88"/>
        <v>0</v>
      </c>
      <c r="N1082" t="s">
        <v>43</v>
      </c>
      <c r="R1082" s="3">
        <f t="shared" si="84"/>
        <v>0</v>
      </c>
    </row>
    <row r="1083" spans="1:18" x14ac:dyDescent="0.25">
      <c r="A1083" t="s">
        <v>3267</v>
      </c>
      <c r="B1083" t="s">
        <v>3233</v>
      </c>
      <c r="C1083" t="s">
        <v>3248</v>
      </c>
      <c r="D1083" s="3">
        <f t="shared" si="85"/>
        <v>9</v>
      </c>
      <c r="E1083" t="s">
        <v>12</v>
      </c>
      <c r="F1083" t="s">
        <v>13</v>
      </c>
      <c r="G1083" t="str">
        <f t="shared" si="86"/>
        <v/>
      </c>
      <c r="H1083" t="s">
        <v>14</v>
      </c>
      <c r="I1083" t="s">
        <v>3268</v>
      </c>
      <c r="J1083" s="2">
        <f t="shared" si="87"/>
        <v>1500000</v>
      </c>
      <c r="K1083" t="s">
        <v>66</v>
      </c>
      <c r="L1083">
        <f t="shared" si="88"/>
        <v>0</v>
      </c>
      <c r="N1083" t="s">
        <v>43</v>
      </c>
      <c r="R1083" s="3">
        <f t="shared" si="84"/>
        <v>0</v>
      </c>
    </row>
    <row r="1084" spans="1:18" hidden="1" x14ac:dyDescent="0.25">
      <c r="A1084" t="s">
        <v>1847</v>
      </c>
      <c r="B1084" t="s">
        <v>1303</v>
      </c>
      <c r="C1084" t="s">
        <v>1322</v>
      </c>
      <c r="D1084" s="3">
        <f t="shared" si="85"/>
        <v>12</v>
      </c>
      <c r="E1084" t="s">
        <v>33</v>
      </c>
      <c r="F1084" t="s">
        <v>13</v>
      </c>
      <c r="G1084" t="str">
        <f t="shared" si="86"/>
        <v/>
      </c>
      <c r="H1084" t="s">
        <v>14</v>
      </c>
      <c r="I1084" t="s">
        <v>1848</v>
      </c>
      <c r="J1084" s="2">
        <f t="shared" si="87"/>
        <v>2600000</v>
      </c>
      <c r="K1084" t="s">
        <v>1336</v>
      </c>
      <c r="L1084">
        <f t="shared" si="88"/>
        <v>0.17083333333333331</v>
      </c>
      <c r="M1084" s="5">
        <v>0.17083333333333331</v>
      </c>
      <c r="N1084" t="s">
        <v>43</v>
      </c>
      <c r="P1084" t="s">
        <v>1547</v>
      </c>
      <c r="R1084" s="3">
        <f t="shared" si="84"/>
        <v>4.0999999999999996</v>
      </c>
    </row>
    <row r="1085" spans="1:18" hidden="1" x14ac:dyDescent="0.25">
      <c r="A1085" t="s">
        <v>3257</v>
      </c>
      <c r="B1085" t="s">
        <v>3233</v>
      </c>
      <c r="C1085" t="s">
        <v>3261</v>
      </c>
      <c r="D1085" s="3">
        <f t="shared" si="85"/>
        <v>9.3600000000000012</v>
      </c>
      <c r="E1085" t="s">
        <v>3258</v>
      </c>
      <c r="F1085" t="s">
        <v>34</v>
      </c>
      <c r="G1085" t="str">
        <f t="shared" si="86"/>
        <v/>
      </c>
      <c r="H1085" t="s">
        <v>14</v>
      </c>
      <c r="I1085" t="s">
        <v>3259</v>
      </c>
      <c r="J1085" s="2">
        <f t="shared" si="87"/>
        <v>860000</v>
      </c>
      <c r="K1085" t="s">
        <v>3260</v>
      </c>
      <c r="L1085">
        <f t="shared" si="88"/>
        <v>0</v>
      </c>
      <c r="N1085" t="s">
        <v>43</v>
      </c>
      <c r="R1085" s="3">
        <f t="shared" si="84"/>
        <v>0</v>
      </c>
    </row>
    <row r="1086" spans="1:18" hidden="1" x14ac:dyDescent="0.25">
      <c r="A1086" t="s">
        <v>4122</v>
      </c>
      <c r="B1086" t="s">
        <v>3746</v>
      </c>
      <c r="C1086" t="s">
        <v>3775</v>
      </c>
      <c r="D1086" s="3">
        <f t="shared" si="85"/>
        <v>12</v>
      </c>
      <c r="E1086" t="s">
        <v>33</v>
      </c>
      <c r="F1086" t="s">
        <v>13</v>
      </c>
      <c r="G1086" t="str">
        <f t="shared" si="86"/>
        <v/>
      </c>
      <c r="H1086" t="s">
        <v>14</v>
      </c>
      <c r="I1086" t="s">
        <v>4123</v>
      </c>
      <c r="J1086" s="2">
        <f t="shared" si="87"/>
        <v>1250000</v>
      </c>
      <c r="K1086" t="s">
        <v>202</v>
      </c>
      <c r="L1086">
        <f t="shared" si="88"/>
        <v>0.16874999999999998</v>
      </c>
      <c r="M1086" s="5">
        <v>0.16874999999999998</v>
      </c>
      <c r="N1086" t="s">
        <v>43</v>
      </c>
      <c r="R1086" s="3">
        <f t="shared" si="84"/>
        <v>4.05</v>
      </c>
    </row>
    <row r="1087" spans="1:18" hidden="1" x14ac:dyDescent="0.25">
      <c r="A1087" t="s">
        <v>1715</v>
      </c>
      <c r="B1087" t="s">
        <v>1303</v>
      </c>
      <c r="C1087" t="s">
        <v>1683</v>
      </c>
      <c r="D1087" s="3" t="e">
        <f t="shared" si="85"/>
        <v>#VALUE!</v>
      </c>
      <c r="E1087" t="s">
        <v>14</v>
      </c>
      <c r="F1087" t="s">
        <v>14</v>
      </c>
      <c r="G1087" t="str">
        <f t="shared" si="86"/>
        <v/>
      </c>
      <c r="H1087" t="s">
        <v>14</v>
      </c>
      <c r="I1087" t="s">
        <v>110</v>
      </c>
      <c r="J1087" s="2">
        <f t="shared" si="87"/>
        <v>1400000</v>
      </c>
      <c r="K1087" t="s">
        <v>81</v>
      </c>
      <c r="L1087">
        <f t="shared" si="88"/>
        <v>0</v>
      </c>
      <c r="N1087" t="s">
        <v>37</v>
      </c>
      <c r="R1087" s="3">
        <f t="shared" si="84"/>
        <v>0</v>
      </c>
    </row>
    <row r="1088" spans="1:18" hidden="1" x14ac:dyDescent="0.25">
      <c r="A1088" t="s">
        <v>3732</v>
      </c>
      <c r="B1088" t="s">
        <v>3233</v>
      </c>
      <c r="C1088" t="s">
        <v>3261</v>
      </c>
      <c r="D1088" s="3">
        <f t="shared" si="85"/>
        <v>12</v>
      </c>
      <c r="E1088" t="s">
        <v>33</v>
      </c>
      <c r="F1088" t="s">
        <v>13</v>
      </c>
      <c r="G1088" t="str">
        <f t="shared" si="86"/>
        <v/>
      </c>
      <c r="H1088" t="s">
        <v>14</v>
      </c>
      <c r="I1088" t="s">
        <v>3733</v>
      </c>
      <c r="J1088" s="2">
        <f t="shared" si="87"/>
        <v>1400000</v>
      </c>
      <c r="K1088" t="s">
        <v>81</v>
      </c>
      <c r="L1088">
        <f t="shared" si="88"/>
        <v>0</v>
      </c>
      <c r="N1088" t="s">
        <v>18</v>
      </c>
      <c r="R1088" s="3">
        <f t="shared" si="84"/>
        <v>0</v>
      </c>
    </row>
    <row r="1089" spans="1:18" hidden="1" x14ac:dyDescent="0.25">
      <c r="A1089" t="s">
        <v>4425</v>
      </c>
      <c r="B1089" t="s">
        <v>4272</v>
      </c>
      <c r="C1089" t="s">
        <v>4281</v>
      </c>
      <c r="D1089" s="3">
        <f t="shared" si="85"/>
        <v>16</v>
      </c>
      <c r="E1089" t="s">
        <v>79</v>
      </c>
      <c r="F1089" t="s">
        <v>13</v>
      </c>
      <c r="G1089" t="str">
        <f t="shared" si="86"/>
        <v/>
      </c>
      <c r="H1089" t="s">
        <v>14</v>
      </c>
      <c r="I1089" t="s">
        <v>4426</v>
      </c>
      <c r="J1089" s="2">
        <f t="shared" si="87"/>
        <v>1600000</v>
      </c>
      <c r="K1089" t="s">
        <v>95</v>
      </c>
      <c r="L1089">
        <f t="shared" si="88"/>
        <v>0.17222222222222225</v>
      </c>
      <c r="M1089" s="5">
        <v>0.17222222222222225</v>
      </c>
      <c r="N1089" t="s">
        <v>37</v>
      </c>
      <c r="R1089" s="3">
        <f t="shared" si="84"/>
        <v>4.1333333333333337</v>
      </c>
    </row>
    <row r="1090" spans="1:18" hidden="1" x14ac:dyDescent="0.25">
      <c r="A1090" t="s">
        <v>3579</v>
      </c>
      <c r="B1090" t="s">
        <v>3233</v>
      </c>
      <c r="C1090" t="s">
        <v>3248</v>
      </c>
      <c r="D1090" s="3">
        <f t="shared" si="85"/>
        <v>9</v>
      </c>
      <c r="E1090" t="s">
        <v>12</v>
      </c>
      <c r="F1090" t="s">
        <v>13</v>
      </c>
      <c r="G1090" t="str">
        <f t="shared" si="86"/>
        <v/>
      </c>
      <c r="H1090" t="s">
        <v>14</v>
      </c>
      <c r="I1090" t="s">
        <v>3580</v>
      </c>
      <c r="J1090" s="2">
        <f t="shared" si="87"/>
        <v>2000000</v>
      </c>
      <c r="K1090" t="s">
        <v>128</v>
      </c>
      <c r="L1090">
        <f t="shared" si="88"/>
        <v>0.20833333333333334</v>
      </c>
      <c r="M1090" s="5">
        <v>0.20833333333333334</v>
      </c>
      <c r="N1090" t="s">
        <v>18</v>
      </c>
      <c r="R1090" s="3">
        <f t="shared" ref="R1090:R1153" si="89">24*L1090</f>
        <v>5</v>
      </c>
    </row>
    <row r="1091" spans="1:18" hidden="1" x14ac:dyDescent="0.25">
      <c r="A1091" t="s">
        <v>3446</v>
      </c>
      <c r="B1091" t="s">
        <v>3233</v>
      </c>
      <c r="C1091" t="s">
        <v>3248</v>
      </c>
      <c r="D1091" s="3">
        <f t="shared" si="85"/>
        <v>9</v>
      </c>
      <c r="E1091" t="s">
        <v>12</v>
      </c>
      <c r="F1091" t="s">
        <v>13</v>
      </c>
      <c r="G1091" t="str">
        <f t="shared" si="86"/>
        <v/>
      </c>
      <c r="H1091" t="s">
        <v>14</v>
      </c>
      <c r="I1091" t="s">
        <v>3447</v>
      </c>
      <c r="J1091" s="2">
        <f t="shared" si="87"/>
        <v>2100000</v>
      </c>
      <c r="K1091" t="s">
        <v>451</v>
      </c>
      <c r="L1091">
        <f t="shared" si="88"/>
        <v>0</v>
      </c>
      <c r="N1091" t="s">
        <v>18</v>
      </c>
      <c r="R1091" s="3">
        <f t="shared" si="89"/>
        <v>0</v>
      </c>
    </row>
    <row r="1092" spans="1:18" hidden="1" x14ac:dyDescent="0.25">
      <c r="A1092" t="s">
        <v>4710</v>
      </c>
      <c r="B1092" t="s">
        <v>4272</v>
      </c>
      <c r="C1092" t="s">
        <v>4337</v>
      </c>
      <c r="D1092" s="3">
        <f t="shared" si="85"/>
        <v>12</v>
      </c>
      <c r="E1092" t="s">
        <v>33</v>
      </c>
      <c r="F1092" t="s">
        <v>34</v>
      </c>
      <c r="G1092" t="str">
        <f t="shared" si="86"/>
        <v/>
      </c>
      <c r="H1092" t="s">
        <v>14</v>
      </c>
      <c r="I1092" t="s">
        <v>4711</v>
      </c>
      <c r="J1092" s="2">
        <f t="shared" si="87"/>
        <v>1200000</v>
      </c>
      <c r="K1092" t="s">
        <v>36</v>
      </c>
      <c r="L1092">
        <f t="shared" si="88"/>
        <v>0.20833333333333334</v>
      </c>
      <c r="M1092" s="5">
        <v>0.20833333333333334</v>
      </c>
      <c r="N1092" t="s">
        <v>18</v>
      </c>
      <c r="P1092" t="s">
        <v>2166</v>
      </c>
      <c r="R1092" s="3">
        <f t="shared" si="89"/>
        <v>5</v>
      </c>
    </row>
    <row r="1093" spans="1:18" hidden="1" x14ac:dyDescent="0.25">
      <c r="A1093" t="s">
        <v>3420</v>
      </c>
      <c r="B1093" t="s">
        <v>3233</v>
      </c>
      <c r="C1093" t="s">
        <v>3261</v>
      </c>
      <c r="D1093" s="3">
        <f t="shared" si="85"/>
        <v>6</v>
      </c>
      <c r="E1093" t="s">
        <v>64</v>
      </c>
      <c r="F1093" t="s">
        <v>34</v>
      </c>
      <c r="G1093" t="str">
        <f t="shared" si="86"/>
        <v/>
      </c>
      <c r="H1093" t="s">
        <v>14</v>
      </c>
      <c r="I1093" t="s">
        <v>3421</v>
      </c>
      <c r="J1093" s="2">
        <f t="shared" si="87"/>
        <v>1300000</v>
      </c>
      <c r="K1093" t="s">
        <v>17</v>
      </c>
      <c r="L1093">
        <f t="shared" si="88"/>
        <v>0.17083333333333331</v>
      </c>
      <c r="M1093" s="5">
        <v>0.17083333333333331</v>
      </c>
      <c r="N1093" t="s">
        <v>43</v>
      </c>
      <c r="P1093" t="s">
        <v>1774</v>
      </c>
      <c r="R1093" s="3">
        <f t="shared" si="89"/>
        <v>4.0999999999999996</v>
      </c>
    </row>
    <row r="1094" spans="1:18" hidden="1" x14ac:dyDescent="0.25">
      <c r="A1094" t="s">
        <v>5393</v>
      </c>
      <c r="B1094" t="s">
        <v>5848</v>
      </c>
      <c r="C1094" t="s">
        <v>5331</v>
      </c>
      <c r="D1094" s="3">
        <f t="shared" si="85"/>
        <v>12</v>
      </c>
      <c r="E1094" t="s">
        <v>33</v>
      </c>
      <c r="F1094" t="s">
        <v>34</v>
      </c>
      <c r="G1094" t="str">
        <f t="shared" si="86"/>
        <v/>
      </c>
      <c r="H1094" t="s">
        <v>14</v>
      </c>
      <c r="I1094" t="s">
        <v>5394</v>
      </c>
      <c r="J1094" s="2">
        <f t="shared" si="87"/>
        <v>1000000</v>
      </c>
      <c r="K1094" t="s">
        <v>52</v>
      </c>
      <c r="L1094">
        <f t="shared" si="88"/>
        <v>0</v>
      </c>
      <c r="N1094" t="s">
        <v>43</v>
      </c>
      <c r="R1094" s="3">
        <f t="shared" si="89"/>
        <v>0</v>
      </c>
    </row>
    <row r="1095" spans="1:18" hidden="1" x14ac:dyDescent="0.25">
      <c r="A1095" t="s">
        <v>3633</v>
      </c>
      <c r="B1095" t="s">
        <v>3233</v>
      </c>
      <c r="C1095" t="s">
        <v>3329</v>
      </c>
      <c r="D1095" s="3">
        <f t="shared" si="85"/>
        <v>12</v>
      </c>
      <c r="E1095" t="s">
        <v>33</v>
      </c>
      <c r="F1095" t="s">
        <v>13</v>
      </c>
      <c r="G1095" t="str">
        <f t="shared" si="86"/>
        <v/>
      </c>
      <c r="H1095" t="s">
        <v>14</v>
      </c>
      <c r="I1095" t="s">
        <v>3634</v>
      </c>
      <c r="J1095" s="2">
        <f t="shared" si="87"/>
        <v>1600000</v>
      </c>
      <c r="K1095" t="s">
        <v>95</v>
      </c>
      <c r="L1095">
        <f t="shared" si="88"/>
        <v>0</v>
      </c>
      <c r="N1095" t="s">
        <v>43</v>
      </c>
      <c r="R1095" s="3">
        <f t="shared" si="89"/>
        <v>0</v>
      </c>
    </row>
    <row r="1096" spans="1:18" hidden="1" x14ac:dyDescent="0.25">
      <c r="A1096" t="s">
        <v>535</v>
      </c>
      <c r="B1096" t="s">
        <v>20</v>
      </c>
      <c r="C1096" t="s">
        <v>84</v>
      </c>
      <c r="D1096" s="3">
        <f t="shared" si="85"/>
        <v>9</v>
      </c>
      <c r="E1096" t="s">
        <v>12</v>
      </c>
      <c r="F1096" t="s">
        <v>34</v>
      </c>
      <c r="G1096" t="str">
        <f t="shared" si="86"/>
        <v/>
      </c>
      <c r="H1096" t="s">
        <v>14</v>
      </c>
      <c r="I1096" t="s">
        <v>536</v>
      </c>
      <c r="J1096" s="2">
        <f t="shared" si="87"/>
        <v>700000</v>
      </c>
      <c r="K1096" t="s">
        <v>157</v>
      </c>
      <c r="L1096">
        <f t="shared" si="88"/>
        <v>0</v>
      </c>
      <c r="N1096" t="s">
        <v>18</v>
      </c>
      <c r="R1096" s="3">
        <f t="shared" si="89"/>
        <v>0</v>
      </c>
    </row>
    <row r="1097" spans="1:18" hidden="1" x14ac:dyDescent="0.25">
      <c r="A1097" t="s">
        <v>145</v>
      </c>
      <c r="B1097" t="s">
        <v>20</v>
      </c>
      <c r="C1097" t="s">
        <v>113</v>
      </c>
      <c r="D1097" s="3">
        <f t="shared" si="85"/>
        <v>9</v>
      </c>
      <c r="E1097" t="s">
        <v>12</v>
      </c>
      <c r="F1097" t="s">
        <v>34</v>
      </c>
      <c r="G1097" t="str">
        <f t="shared" si="86"/>
        <v/>
      </c>
      <c r="H1097" t="s">
        <v>14</v>
      </c>
      <c r="I1097" t="s">
        <v>146</v>
      </c>
      <c r="J1097" s="2">
        <f t="shared" si="87"/>
        <v>800000</v>
      </c>
      <c r="K1097" t="s">
        <v>109</v>
      </c>
      <c r="L1097">
        <f t="shared" si="88"/>
        <v>0</v>
      </c>
      <c r="N1097" t="s">
        <v>18</v>
      </c>
      <c r="R1097" s="3">
        <f t="shared" si="89"/>
        <v>0</v>
      </c>
    </row>
    <row r="1098" spans="1:18" hidden="1" x14ac:dyDescent="0.25">
      <c r="A1098" t="s">
        <v>138</v>
      </c>
      <c r="B1098" t="s">
        <v>20</v>
      </c>
      <c r="C1098" t="s">
        <v>67</v>
      </c>
      <c r="D1098" s="3">
        <f t="shared" si="85"/>
        <v>12</v>
      </c>
      <c r="E1098" t="s">
        <v>33</v>
      </c>
      <c r="F1098" t="s">
        <v>13</v>
      </c>
      <c r="G1098" t="str">
        <f t="shared" si="86"/>
        <v/>
      </c>
      <c r="H1098" t="s">
        <v>14</v>
      </c>
      <c r="I1098" t="s">
        <v>139</v>
      </c>
      <c r="J1098" s="2">
        <f t="shared" si="87"/>
        <v>1850000</v>
      </c>
      <c r="K1098" t="s">
        <v>87</v>
      </c>
      <c r="L1098">
        <f t="shared" si="88"/>
        <v>0</v>
      </c>
      <c r="N1098" t="s">
        <v>18</v>
      </c>
      <c r="R1098" s="3">
        <f t="shared" si="89"/>
        <v>0</v>
      </c>
    </row>
    <row r="1099" spans="1:18" x14ac:dyDescent="0.25">
      <c r="A1099" t="s">
        <v>268</v>
      </c>
      <c r="B1099" t="s">
        <v>20</v>
      </c>
      <c r="C1099" t="s">
        <v>218</v>
      </c>
      <c r="D1099" s="3">
        <f t="shared" ref="D1099:D1162" si="90">VALUE(LEFT(E1099,SEARCH(" x ",E1099)-1))*VALUE(MID(E1099,SEARCH(" x ",E1099)+3,SEARCH(" meter",E1099)-SEARCH(" x ",E1099)-3))</f>
        <v>12</v>
      </c>
      <c r="E1099" t="s">
        <v>33</v>
      </c>
      <c r="F1099" t="s">
        <v>34</v>
      </c>
      <c r="G1099" t="str">
        <f t="shared" ref="G1099:G1162" si="91">IF(H1099="N/A","",VALUE(SUBSTITUTE(SUBSTITUTE(H1099,"Rp",""),".","")))</f>
        <v/>
      </c>
      <c r="H1099" t="s">
        <v>14</v>
      </c>
      <c r="I1099" t="s">
        <v>269</v>
      </c>
      <c r="J1099" s="2">
        <f t="shared" ref="J1099:J1162" si="92">VALUE(SUBSTITUTE(SUBSTITUTE(K1099,"Rp",""),".",""))</f>
        <v>1500000</v>
      </c>
      <c r="K1099" t="s">
        <v>66</v>
      </c>
      <c r="L1099">
        <f t="shared" ref="L1099:L1162" si="93">M1099:M3439</f>
        <v>0.17013888888888887</v>
      </c>
      <c r="M1099" s="5">
        <v>0.17013888888888887</v>
      </c>
      <c r="N1099" t="s">
        <v>43</v>
      </c>
      <c r="R1099" s="3">
        <f t="shared" si="89"/>
        <v>4.083333333333333</v>
      </c>
    </row>
    <row r="1100" spans="1:18" hidden="1" x14ac:dyDescent="0.25">
      <c r="A1100" t="s">
        <v>4823</v>
      </c>
      <c r="B1100" t="s">
        <v>4806</v>
      </c>
      <c r="C1100" t="s">
        <v>4825</v>
      </c>
      <c r="D1100" s="3">
        <f t="shared" si="90"/>
        <v>12</v>
      </c>
      <c r="E1100" t="s">
        <v>33</v>
      </c>
      <c r="F1100" t="s">
        <v>13</v>
      </c>
      <c r="G1100" t="str">
        <f t="shared" si="91"/>
        <v/>
      </c>
      <c r="H1100" t="s">
        <v>14</v>
      </c>
      <c r="I1100" t="s">
        <v>4824</v>
      </c>
      <c r="J1100" s="2">
        <f t="shared" si="92"/>
        <v>550000</v>
      </c>
      <c r="K1100" t="s">
        <v>62</v>
      </c>
      <c r="L1100">
        <f t="shared" si="93"/>
        <v>0</v>
      </c>
      <c r="N1100" t="s">
        <v>43</v>
      </c>
      <c r="R1100" s="3">
        <f t="shared" si="89"/>
        <v>0</v>
      </c>
    </row>
    <row r="1101" spans="1:18" hidden="1" x14ac:dyDescent="0.25">
      <c r="A1101" t="s">
        <v>4175</v>
      </c>
      <c r="B1101" t="s">
        <v>3746</v>
      </c>
      <c r="C1101" t="s">
        <v>4038</v>
      </c>
      <c r="D1101" s="3">
        <f t="shared" si="90"/>
        <v>9</v>
      </c>
      <c r="E1101" t="s">
        <v>12</v>
      </c>
      <c r="F1101" t="s">
        <v>34</v>
      </c>
      <c r="G1101" t="str">
        <f t="shared" si="91"/>
        <v/>
      </c>
      <c r="H1101" t="s">
        <v>14</v>
      </c>
      <c r="I1101" t="s">
        <v>4176</v>
      </c>
      <c r="J1101" s="2">
        <f t="shared" si="92"/>
        <v>700000</v>
      </c>
      <c r="K1101" t="s">
        <v>157</v>
      </c>
      <c r="L1101">
        <f t="shared" si="93"/>
        <v>0.20833333333333334</v>
      </c>
      <c r="M1101" s="5">
        <v>0.20833333333333334</v>
      </c>
      <c r="N1101" t="s">
        <v>37</v>
      </c>
      <c r="R1101" s="3">
        <f t="shared" si="89"/>
        <v>5</v>
      </c>
    </row>
    <row r="1102" spans="1:18" hidden="1" x14ac:dyDescent="0.25">
      <c r="A1102" t="s">
        <v>3650</v>
      </c>
      <c r="B1102" t="s">
        <v>3233</v>
      </c>
      <c r="C1102" t="s">
        <v>3376</v>
      </c>
      <c r="D1102" s="3">
        <f t="shared" si="90"/>
        <v>9</v>
      </c>
      <c r="E1102" t="s">
        <v>12</v>
      </c>
      <c r="F1102" t="s">
        <v>34</v>
      </c>
      <c r="G1102" t="str">
        <f t="shared" si="91"/>
        <v/>
      </c>
      <c r="H1102" t="s">
        <v>14</v>
      </c>
      <c r="I1102" t="s">
        <v>3651</v>
      </c>
      <c r="J1102" s="2">
        <f t="shared" si="92"/>
        <v>2300000</v>
      </c>
      <c r="K1102" t="s">
        <v>820</v>
      </c>
      <c r="L1102">
        <f t="shared" si="93"/>
        <v>0.16666666666666666</v>
      </c>
      <c r="M1102" s="5">
        <v>0.16666666666666666</v>
      </c>
      <c r="N1102" t="s">
        <v>43</v>
      </c>
      <c r="P1102" t="s">
        <v>1328</v>
      </c>
      <c r="R1102" s="3">
        <f t="shared" si="89"/>
        <v>4</v>
      </c>
    </row>
    <row r="1103" spans="1:18" hidden="1" x14ac:dyDescent="0.25">
      <c r="A1103" t="s">
        <v>326</v>
      </c>
      <c r="B1103" t="s">
        <v>20</v>
      </c>
      <c r="C1103" t="s">
        <v>236</v>
      </c>
      <c r="D1103" s="3">
        <f t="shared" si="90"/>
        <v>9</v>
      </c>
      <c r="E1103" t="s">
        <v>12</v>
      </c>
      <c r="F1103" t="s">
        <v>34</v>
      </c>
      <c r="G1103" t="str">
        <f t="shared" si="91"/>
        <v/>
      </c>
      <c r="H1103" t="s">
        <v>14</v>
      </c>
      <c r="I1103" t="s">
        <v>327</v>
      </c>
      <c r="J1103" s="2">
        <f t="shared" si="92"/>
        <v>550000</v>
      </c>
      <c r="K1103" t="s">
        <v>62</v>
      </c>
      <c r="L1103">
        <f t="shared" si="93"/>
        <v>0</v>
      </c>
      <c r="N1103" t="s">
        <v>37</v>
      </c>
      <c r="R1103" s="3">
        <f t="shared" si="89"/>
        <v>0</v>
      </c>
    </row>
    <row r="1104" spans="1:18" hidden="1" x14ac:dyDescent="0.25">
      <c r="A1104" t="s">
        <v>443</v>
      </c>
      <c r="B1104" t="s">
        <v>20</v>
      </c>
      <c r="C1104" t="s">
        <v>218</v>
      </c>
      <c r="D1104" s="3">
        <f t="shared" si="90"/>
        <v>9</v>
      </c>
      <c r="E1104" t="s">
        <v>12</v>
      </c>
      <c r="F1104" t="s">
        <v>34</v>
      </c>
      <c r="G1104" t="str">
        <f t="shared" si="91"/>
        <v/>
      </c>
      <c r="H1104" t="s">
        <v>14</v>
      </c>
      <c r="I1104" t="s">
        <v>444</v>
      </c>
      <c r="J1104" s="2">
        <f t="shared" si="92"/>
        <v>1400000</v>
      </c>
      <c r="K1104" t="s">
        <v>81</v>
      </c>
      <c r="L1104">
        <f t="shared" si="93"/>
        <v>0</v>
      </c>
      <c r="N1104" t="s">
        <v>18</v>
      </c>
      <c r="R1104" s="3">
        <f t="shared" si="89"/>
        <v>0</v>
      </c>
    </row>
    <row r="1105" spans="1:18" hidden="1" x14ac:dyDescent="0.25">
      <c r="A1105" t="s">
        <v>299</v>
      </c>
      <c r="B1105" t="s">
        <v>20</v>
      </c>
      <c r="C1105" t="s">
        <v>24</v>
      </c>
      <c r="D1105" s="3">
        <f t="shared" si="90"/>
        <v>9</v>
      </c>
      <c r="E1105" t="s">
        <v>12</v>
      </c>
      <c r="F1105" t="s">
        <v>13</v>
      </c>
      <c r="G1105" t="str">
        <f t="shared" si="91"/>
        <v/>
      </c>
      <c r="H1105" t="s">
        <v>14</v>
      </c>
      <c r="I1105" t="s">
        <v>300</v>
      </c>
      <c r="J1105" s="2">
        <f t="shared" si="92"/>
        <v>750000</v>
      </c>
      <c r="K1105" t="s">
        <v>76</v>
      </c>
      <c r="L1105">
        <f t="shared" si="93"/>
        <v>0</v>
      </c>
      <c r="N1105" t="s">
        <v>18</v>
      </c>
      <c r="R1105" s="3">
        <f t="shared" si="89"/>
        <v>0</v>
      </c>
    </row>
    <row r="1106" spans="1:18" hidden="1" x14ac:dyDescent="0.25">
      <c r="A1106" t="s">
        <v>2789</v>
      </c>
      <c r="B1106" t="s">
        <v>3206</v>
      </c>
      <c r="C1106" t="s">
        <v>2640</v>
      </c>
      <c r="D1106" s="3">
        <f t="shared" si="90"/>
        <v>16</v>
      </c>
      <c r="E1106" t="s">
        <v>79</v>
      </c>
      <c r="F1106" t="s">
        <v>13</v>
      </c>
      <c r="G1106" t="str">
        <f t="shared" si="91"/>
        <v/>
      </c>
      <c r="H1106" t="s">
        <v>14</v>
      </c>
      <c r="I1106" t="s">
        <v>2790</v>
      </c>
      <c r="J1106" s="2">
        <f t="shared" si="92"/>
        <v>2500000</v>
      </c>
      <c r="K1106" t="s">
        <v>272</v>
      </c>
      <c r="L1106">
        <f t="shared" si="93"/>
        <v>0.17083333333333331</v>
      </c>
      <c r="M1106" s="5">
        <v>0.17083333333333331</v>
      </c>
      <c r="N1106" t="s">
        <v>18</v>
      </c>
      <c r="R1106" s="3">
        <f t="shared" si="89"/>
        <v>4.0999999999999996</v>
      </c>
    </row>
    <row r="1107" spans="1:18" hidden="1" x14ac:dyDescent="0.25">
      <c r="A1107" t="s">
        <v>816</v>
      </c>
      <c r="B1107" t="s">
        <v>640</v>
      </c>
      <c r="C1107" t="s">
        <v>657</v>
      </c>
      <c r="D1107" s="3">
        <f t="shared" si="90"/>
        <v>12</v>
      </c>
      <c r="E1107" t="s">
        <v>33</v>
      </c>
      <c r="F1107" t="s">
        <v>13</v>
      </c>
      <c r="G1107" t="str">
        <f t="shared" si="91"/>
        <v/>
      </c>
      <c r="H1107" t="s">
        <v>14</v>
      </c>
      <c r="I1107" t="s">
        <v>817</v>
      </c>
      <c r="J1107" s="2">
        <f t="shared" si="92"/>
        <v>1400000</v>
      </c>
      <c r="K1107" t="s">
        <v>81</v>
      </c>
      <c r="L1107">
        <f t="shared" si="93"/>
        <v>0.17083333333333331</v>
      </c>
      <c r="M1107" s="5">
        <v>0.17083333333333331</v>
      </c>
      <c r="N1107" t="s">
        <v>18</v>
      </c>
      <c r="P1107" t="s">
        <v>665</v>
      </c>
      <c r="R1107" s="3">
        <f t="shared" si="89"/>
        <v>4.0999999999999996</v>
      </c>
    </row>
    <row r="1108" spans="1:18" hidden="1" x14ac:dyDescent="0.25">
      <c r="A1108" t="s">
        <v>1156</v>
      </c>
      <c r="B1108" t="s">
        <v>640</v>
      </c>
      <c r="C1108" t="s">
        <v>643</v>
      </c>
      <c r="D1108" s="3">
        <f t="shared" si="90"/>
        <v>9</v>
      </c>
      <c r="E1108" t="s">
        <v>12</v>
      </c>
      <c r="F1108" t="s">
        <v>13</v>
      </c>
      <c r="G1108" t="str">
        <f t="shared" si="91"/>
        <v/>
      </c>
      <c r="H1108" t="s">
        <v>14</v>
      </c>
      <c r="I1108" t="s">
        <v>1157</v>
      </c>
      <c r="J1108" s="2">
        <f t="shared" si="92"/>
        <v>1300000</v>
      </c>
      <c r="K1108" t="s">
        <v>17</v>
      </c>
      <c r="L1108">
        <f t="shared" si="93"/>
        <v>0.17083333333333331</v>
      </c>
      <c r="M1108" s="5">
        <v>0.17083333333333331</v>
      </c>
      <c r="N1108" t="s">
        <v>18</v>
      </c>
      <c r="P1108" t="s">
        <v>665</v>
      </c>
      <c r="R1108" s="3">
        <f t="shared" si="89"/>
        <v>4.0999999999999996</v>
      </c>
    </row>
    <row r="1109" spans="1:18" hidden="1" x14ac:dyDescent="0.25">
      <c r="A1109" t="s">
        <v>1101</v>
      </c>
      <c r="B1109" t="s">
        <v>640</v>
      </c>
      <c r="C1109" t="s">
        <v>657</v>
      </c>
      <c r="D1109" s="3">
        <f t="shared" si="90"/>
        <v>9</v>
      </c>
      <c r="E1109" t="s">
        <v>12</v>
      </c>
      <c r="F1109" t="s">
        <v>13</v>
      </c>
      <c r="G1109" t="str">
        <f t="shared" si="91"/>
        <v/>
      </c>
      <c r="H1109" t="s">
        <v>14</v>
      </c>
      <c r="I1109" t="s">
        <v>1102</v>
      </c>
      <c r="J1109" s="2">
        <f t="shared" si="92"/>
        <v>1250000</v>
      </c>
      <c r="K1109" t="s">
        <v>202</v>
      </c>
      <c r="L1109">
        <f t="shared" si="93"/>
        <v>0.17083333333333331</v>
      </c>
      <c r="M1109" s="5">
        <v>0.17083333333333331</v>
      </c>
      <c r="N1109" t="s">
        <v>18</v>
      </c>
      <c r="P1109" t="s">
        <v>665</v>
      </c>
      <c r="R1109" s="3">
        <f t="shared" si="89"/>
        <v>4.0999999999999996</v>
      </c>
    </row>
    <row r="1110" spans="1:18" hidden="1" x14ac:dyDescent="0.25">
      <c r="A1110" t="s">
        <v>4003</v>
      </c>
      <c r="B1110" t="s">
        <v>3746</v>
      </c>
      <c r="C1110" t="s">
        <v>4005</v>
      </c>
      <c r="D1110" s="3">
        <f t="shared" si="90"/>
        <v>27</v>
      </c>
      <c r="E1110" t="s">
        <v>427</v>
      </c>
      <c r="F1110" t="s">
        <v>13</v>
      </c>
      <c r="G1110" t="str">
        <f t="shared" si="91"/>
        <v/>
      </c>
      <c r="H1110" t="s">
        <v>14</v>
      </c>
      <c r="I1110" t="s">
        <v>4004</v>
      </c>
      <c r="J1110" s="2">
        <f t="shared" si="92"/>
        <v>1000000</v>
      </c>
      <c r="K1110" t="s">
        <v>52</v>
      </c>
      <c r="L1110">
        <f t="shared" si="93"/>
        <v>0</v>
      </c>
      <c r="N1110" t="s">
        <v>43</v>
      </c>
      <c r="R1110" s="3">
        <f t="shared" si="89"/>
        <v>0</v>
      </c>
    </row>
    <row r="1111" spans="1:18" hidden="1" x14ac:dyDescent="0.25">
      <c r="A1111" t="s">
        <v>5060</v>
      </c>
      <c r="B1111" t="s">
        <v>4806</v>
      </c>
      <c r="C1111" t="s">
        <v>4939</v>
      </c>
      <c r="D1111" s="3">
        <f t="shared" si="90"/>
        <v>9</v>
      </c>
      <c r="E1111" t="s">
        <v>12</v>
      </c>
      <c r="F1111" t="s">
        <v>34</v>
      </c>
      <c r="G1111" t="str">
        <f t="shared" si="91"/>
        <v/>
      </c>
      <c r="H1111" t="s">
        <v>14</v>
      </c>
      <c r="I1111" t="s">
        <v>5061</v>
      </c>
      <c r="J1111" s="2">
        <f t="shared" si="92"/>
        <v>750000</v>
      </c>
      <c r="K1111" t="s">
        <v>76</v>
      </c>
      <c r="L1111">
        <f t="shared" si="93"/>
        <v>0</v>
      </c>
      <c r="N1111" t="s">
        <v>37</v>
      </c>
      <c r="R1111" s="3">
        <f t="shared" si="89"/>
        <v>0</v>
      </c>
    </row>
    <row r="1112" spans="1:18" hidden="1" x14ac:dyDescent="0.25">
      <c r="A1112" t="s">
        <v>5220</v>
      </c>
      <c r="B1112" t="s">
        <v>4806</v>
      </c>
      <c r="C1112" t="s">
        <v>4939</v>
      </c>
      <c r="D1112" s="3">
        <f t="shared" si="90"/>
        <v>9</v>
      </c>
      <c r="E1112" t="s">
        <v>12</v>
      </c>
      <c r="F1112" t="s">
        <v>34</v>
      </c>
      <c r="G1112" t="str">
        <f t="shared" si="91"/>
        <v/>
      </c>
      <c r="H1112" t="s">
        <v>14</v>
      </c>
      <c r="I1112" t="s">
        <v>5221</v>
      </c>
      <c r="J1112" s="2">
        <f t="shared" si="92"/>
        <v>750000</v>
      </c>
      <c r="K1112" t="s">
        <v>76</v>
      </c>
      <c r="L1112">
        <f t="shared" si="93"/>
        <v>0</v>
      </c>
      <c r="N1112" t="s">
        <v>37</v>
      </c>
      <c r="R1112" s="3">
        <f t="shared" si="89"/>
        <v>0</v>
      </c>
    </row>
    <row r="1113" spans="1:18" hidden="1" x14ac:dyDescent="0.25">
      <c r="A1113" t="s">
        <v>1459</v>
      </c>
      <c r="B1113" t="s">
        <v>1303</v>
      </c>
      <c r="C1113" t="s">
        <v>1322</v>
      </c>
      <c r="D1113" s="3">
        <f t="shared" si="90"/>
        <v>8.1000000000000014</v>
      </c>
      <c r="E1113" t="s">
        <v>40</v>
      </c>
      <c r="F1113" t="s">
        <v>13</v>
      </c>
      <c r="G1113" t="str">
        <f t="shared" si="91"/>
        <v/>
      </c>
      <c r="H1113" t="s">
        <v>14</v>
      </c>
      <c r="I1113" t="s">
        <v>1460</v>
      </c>
      <c r="J1113" s="2">
        <f t="shared" si="92"/>
        <v>2000000</v>
      </c>
      <c r="K1113" t="s">
        <v>128</v>
      </c>
      <c r="L1113">
        <f t="shared" si="93"/>
        <v>0.17291666666666669</v>
      </c>
      <c r="M1113" s="5">
        <v>0.17291666666666669</v>
      </c>
      <c r="N1113" t="s">
        <v>18</v>
      </c>
      <c r="P1113" t="s">
        <v>1461</v>
      </c>
      <c r="R1113" s="3">
        <f t="shared" si="89"/>
        <v>4.1500000000000004</v>
      </c>
    </row>
    <row r="1114" spans="1:18" hidden="1" x14ac:dyDescent="0.25">
      <c r="A1114" t="s">
        <v>3498</v>
      </c>
      <c r="B1114" t="s">
        <v>3233</v>
      </c>
      <c r="C1114" t="s">
        <v>3248</v>
      </c>
      <c r="D1114" s="3">
        <f t="shared" si="90"/>
        <v>9</v>
      </c>
      <c r="E1114" t="s">
        <v>12</v>
      </c>
      <c r="F1114" t="s">
        <v>13</v>
      </c>
      <c r="G1114" t="str">
        <f t="shared" si="91"/>
        <v/>
      </c>
      <c r="H1114" t="s">
        <v>14</v>
      </c>
      <c r="I1114" t="s">
        <v>3499</v>
      </c>
      <c r="J1114" s="2">
        <f t="shared" si="92"/>
        <v>1300000</v>
      </c>
      <c r="K1114" t="s">
        <v>17</v>
      </c>
      <c r="L1114">
        <f t="shared" si="93"/>
        <v>0.1277777777777778</v>
      </c>
      <c r="M1114" s="5">
        <v>0.1277777777777778</v>
      </c>
      <c r="N1114" t="s">
        <v>43</v>
      </c>
      <c r="R1114" s="3">
        <f t="shared" si="89"/>
        <v>3.0666666666666673</v>
      </c>
    </row>
    <row r="1115" spans="1:18" x14ac:dyDescent="0.25">
      <c r="A1115" t="s">
        <v>1928</v>
      </c>
      <c r="B1115" t="s">
        <v>1303</v>
      </c>
      <c r="C1115" t="s">
        <v>1930</v>
      </c>
      <c r="D1115" s="3">
        <f t="shared" si="90"/>
        <v>9</v>
      </c>
      <c r="E1115" t="s">
        <v>12</v>
      </c>
      <c r="F1115" t="s">
        <v>13</v>
      </c>
      <c r="G1115" t="str">
        <f t="shared" si="91"/>
        <v/>
      </c>
      <c r="H1115" t="s">
        <v>14</v>
      </c>
      <c r="I1115" t="s">
        <v>1929</v>
      </c>
      <c r="J1115" s="2">
        <f t="shared" si="92"/>
        <v>1500000</v>
      </c>
      <c r="K1115" t="s">
        <v>66</v>
      </c>
      <c r="L1115">
        <f t="shared" si="93"/>
        <v>0.16666666666666666</v>
      </c>
      <c r="M1115" s="5">
        <v>0.16666666666666666</v>
      </c>
      <c r="N1115" t="s">
        <v>43</v>
      </c>
      <c r="P1115" t="s">
        <v>979</v>
      </c>
      <c r="R1115" s="3">
        <f t="shared" si="89"/>
        <v>4</v>
      </c>
    </row>
    <row r="1116" spans="1:18" x14ac:dyDescent="0.25">
      <c r="A1116" t="s">
        <v>390</v>
      </c>
      <c r="B1116" t="s">
        <v>20</v>
      </c>
      <c r="C1116" t="s">
        <v>24</v>
      </c>
      <c r="D1116" s="3">
        <f t="shared" si="90"/>
        <v>12</v>
      </c>
      <c r="E1116" t="s">
        <v>347</v>
      </c>
      <c r="F1116" t="s">
        <v>34</v>
      </c>
      <c r="G1116" t="str">
        <f t="shared" si="91"/>
        <v/>
      </c>
      <c r="H1116" t="s">
        <v>14</v>
      </c>
      <c r="I1116" t="s">
        <v>391</v>
      </c>
      <c r="J1116" s="2">
        <f t="shared" si="92"/>
        <v>1500000</v>
      </c>
      <c r="K1116" t="s">
        <v>66</v>
      </c>
      <c r="L1116">
        <f t="shared" si="93"/>
        <v>0</v>
      </c>
      <c r="N1116" t="s">
        <v>43</v>
      </c>
      <c r="R1116" s="3">
        <f t="shared" si="89"/>
        <v>0</v>
      </c>
    </row>
    <row r="1117" spans="1:18" hidden="1" x14ac:dyDescent="0.25">
      <c r="A1117" t="s">
        <v>125</v>
      </c>
      <c r="B1117" t="s">
        <v>20</v>
      </c>
      <c r="C1117" t="s">
        <v>58</v>
      </c>
      <c r="D1117" s="3">
        <f t="shared" si="90"/>
        <v>18</v>
      </c>
      <c r="E1117" t="s">
        <v>126</v>
      </c>
      <c r="F1117" t="s">
        <v>34</v>
      </c>
      <c r="G1117" t="str">
        <f t="shared" si="91"/>
        <v/>
      </c>
      <c r="H1117" t="s">
        <v>14</v>
      </c>
      <c r="I1117" t="s">
        <v>127</v>
      </c>
      <c r="J1117" s="2">
        <f t="shared" si="92"/>
        <v>2000000</v>
      </c>
      <c r="K1117" t="s">
        <v>128</v>
      </c>
      <c r="L1117">
        <f t="shared" si="93"/>
        <v>0</v>
      </c>
      <c r="N1117" t="s">
        <v>18</v>
      </c>
      <c r="R1117" s="3">
        <f t="shared" si="89"/>
        <v>0</v>
      </c>
    </row>
    <row r="1118" spans="1:18" x14ac:dyDescent="0.25">
      <c r="A1118" t="s">
        <v>4782</v>
      </c>
      <c r="B1118" t="s">
        <v>4272</v>
      </c>
      <c r="C1118" t="s">
        <v>4417</v>
      </c>
      <c r="D1118" s="3">
        <f t="shared" si="90"/>
        <v>9</v>
      </c>
      <c r="E1118" t="s">
        <v>12</v>
      </c>
      <c r="F1118" t="s">
        <v>13</v>
      </c>
      <c r="G1118" t="str">
        <f t="shared" si="91"/>
        <v/>
      </c>
      <c r="H1118" t="s">
        <v>14</v>
      </c>
      <c r="I1118" t="s">
        <v>4783</v>
      </c>
      <c r="J1118" s="2">
        <f t="shared" si="92"/>
        <v>1500000</v>
      </c>
      <c r="K1118" t="s">
        <v>66</v>
      </c>
      <c r="L1118">
        <f t="shared" si="93"/>
        <v>0</v>
      </c>
      <c r="N1118" t="s">
        <v>18</v>
      </c>
      <c r="R1118" s="3">
        <f t="shared" si="89"/>
        <v>0</v>
      </c>
    </row>
    <row r="1119" spans="1:18" x14ac:dyDescent="0.25">
      <c r="A1119" t="s">
        <v>3966</v>
      </c>
      <c r="B1119" t="s">
        <v>3746</v>
      </c>
      <c r="C1119" t="s">
        <v>3753</v>
      </c>
      <c r="D1119" s="3">
        <f t="shared" si="90"/>
        <v>10</v>
      </c>
      <c r="E1119" t="s">
        <v>1457</v>
      </c>
      <c r="F1119" t="s">
        <v>13</v>
      </c>
      <c r="G1119" t="str">
        <f t="shared" si="91"/>
        <v/>
      </c>
      <c r="H1119" t="s">
        <v>14</v>
      </c>
      <c r="I1119" t="s">
        <v>3967</v>
      </c>
      <c r="J1119" s="2">
        <f t="shared" si="92"/>
        <v>1507500</v>
      </c>
      <c r="K1119" t="s">
        <v>3968</v>
      </c>
      <c r="L1119">
        <f t="shared" si="93"/>
        <v>0.1277777777777778</v>
      </c>
      <c r="M1119" s="5">
        <v>0.1277777777777778</v>
      </c>
      <c r="N1119" t="s">
        <v>37</v>
      </c>
      <c r="R1119" s="3">
        <f t="shared" si="89"/>
        <v>3.0666666666666673</v>
      </c>
    </row>
    <row r="1120" spans="1:18" hidden="1" x14ac:dyDescent="0.25">
      <c r="A1120" t="s">
        <v>1519</v>
      </c>
      <c r="B1120" t="s">
        <v>1303</v>
      </c>
      <c r="C1120" t="s">
        <v>1350</v>
      </c>
      <c r="D1120" s="3">
        <f t="shared" si="90"/>
        <v>14</v>
      </c>
      <c r="E1120" t="s">
        <v>238</v>
      </c>
      <c r="F1120" t="s">
        <v>13</v>
      </c>
      <c r="G1120" t="str">
        <f t="shared" si="91"/>
        <v/>
      </c>
      <c r="H1120" t="s">
        <v>14</v>
      </c>
      <c r="I1120" t="s">
        <v>1520</v>
      </c>
      <c r="J1120" s="2">
        <f t="shared" si="92"/>
        <v>2800000</v>
      </c>
      <c r="K1120" t="s">
        <v>1166</v>
      </c>
      <c r="L1120">
        <f t="shared" si="93"/>
        <v>0.17291666666666669</v>
      </c>
      <c r="M1120" s="5">
        <v>0.17291666666666669</v>
      </c>
      <c r="N1120" t="s">
        <v>43</v>
      </c>
      <c r="R1120" s="3">
        <f t="shared" si="89"/>
        <v>4.1500000000000004</v>
      </c>
    </row>
    <row r="1121" spans="1:18" x14ac:dyDescent="0.25">
      <c r="A1121" t="s">
        <v>5551</v>
      </c>
      <c r="B1121" t="s">
        <v>5848</v>
      </c>
      <c r="C1121" t="s">
        <v>5360</v>
      </c>
      <c r="D1121" s="3">
        <f t="shared" si="90"/>
        <v>12</v>
      </c>
      <c r="E1121" t="s">
        <v>347</v>
      </c>
      <c r="F1121" t="s">
        <v>13</v>
      </c>
      <c r="G1121">
        <f t="shared" si="91"/>
        <v>1625000</v>
      </c>
      <c r="H1121" t="s">
        <v>702</v>
      </c>
      <c r="I1121" t="s">
        <v>5552</v>
      </c>
      <c r="J1121" s="2">
        <f t="shared" si="92"/>
        <v>1545000</v>
      </c>
      <c r="K1121" t="s">
        <v>1503</v>
      </c>
      <c r="L1121">
        <f t="shared" si="93"/>
        <v>0.17291666666666669</v>
      </c>
      <c r="M1121" s="5">
        <v>0.17291666666666669</v>
      </c>
      <c r="N1121" t="s">
        <v>43</v>
      </c>
      <c r="P1121" t="s">
        <v>719</v>
      </c>
      <c r="R1121" s="3">
        <f t="shared" si="89"/>
        <v>4.1500000000000004</v>
      </c>
    </row>
    <row r="1122" spans="1:18" hidden="1" x14ac:dyDescent="0.25">
      <c r="A1122" t="s">
        <v>2575</v>
      </c>
      <c r="B1122" t="s">
        <v>2596</v>
      </c>
      <c r="C1122" t="s">
        <v>1981</v>
      </c>
      <c r="D1122" s="3">
        <f t="shared" si="90"/>
        <v>12</v>
      </c>
      <c r="E1122" t="s">
        <v>33</v>
      </c>
      <c r="F1122" t="s">
        <v>13</v>
      </c>
      <c r="G1122" t="str">
        <f t="shared" si="91"/>
        <v/>
      </c>
      <c r="H1122" t="s">
        <v>14</v>
      </c>
      <c r="I1122" t="s">
        <v>2576</v>
      </c>
      <c r="J1122" s="2">
        <f t="shared" si="92"/>
        <v>3500000</v>
      </c>
      <c r="K1122" t="s">
        <v>143</v>
      </c>
      <c r="L1122">
        <f t="shared" si="93"/>
        <v>0</v>
      </c>
      <c r="N1122" t="s">
        <v>43</v>
      </c>
      <c r="R1122" s="3">
        <f t="shared" si="89"/>
        <v>0</v>
      </c>
    </row>
    <row r="1123" spans="1:18" hidden="1" x14ac:dyDescent="0.25">
      <c r="A1123" t="s">
        <v>2557</v>
      </c>
      <c r="B1123" t="s">
        <v>2596</v>
      </c>
      <c r="C1123" t="s">
        <v>1981</v>
      </c>
      <c r="D1123" s="3">
        <f t="shared" si="90"/>
        <v>24</v>
      </c>
      <c r="E1123" t="s">
        <v>601</v>
      </c>
      <c r="F1123" t="s">
        <v>13</v>
      </c>
      <c r="G1123" t="str">
        <f t="shared" si="91"/>
        <v/>
      </c>
      <c r="H1123" t="s">
        <v>14</v>
      </c>
      <c r="I1123" t="s">
        <v>2558</v>
      </c>
      <c r="J1123" s="2">
        <f t="shared" si="92"/>
        <v>4000000</v>
      </c>
      <c r="K1123" t="s">
        <v>2179</v>
      </c>
      <c r="L1123">
        <f t="shared" si="93"/>
        <v>0</v>
      </c>
      <c r="N1123" t="s">
        <v>43</v>
      </c>
      <c r="R1123" s="3">
        <f t="shared" si="89"/>
        <v>0</v>
      </c>
    </row>
    <row r="1124" spans="1:18" hidden="1" x14ac:dyDescent="0.25">
      <c r="A1124" t="s">
        <v>931</v>
      </c>
      <c r="B1124" t="s">
        <v>640</v>
      </c>
      <c r="C1124" t="s">
        <v>643</v>
      </c>
      <c r="D1124" s="3">
        <f t="shared" si="90"/>
        <v>12</v>
      </c>
      <c r="E1124" t="s">
        <v>33</v>
      </c>
      <c r="F1124" t="s">
        <v>13</v>
      </c>
      <c r="G1124" t="str">
        <f t="shared" si="91"/>
        <v/>
      </c>
      <c r="H1124" t="s">
        <v>14</v>
      </c>
      <c r="I1124" t="s">
        <v>932</v>
      </c>
      <c r="J1124" s="2">
        <f t="shared" si="92"/>
        <v>1000000</v>
      </c>
      <c r="K1124" t="s">
        <v>52</v>
      </c>
      <c r="L1124">
        <f t="shared" si="93"/>
        <v>0.17083333333333331</v>
      </c>
      <c r="M1124" s="5">
        <v>0.17083333333333331</v>
      </c>
      <c r="N1124" t="s">
        <v>37</v>
      </c>
      <c r="P1124" t="s">
        <v>727</v>
      </c>
      <c r="R1124" s="3">
        <f t="shared" si="89"/>
        <v>4.0999999999999996</v>
      </c>
    </row>
    <row r="1125" spans="1:18" hidden="1" x14ac:dyDescent="0.25">
      <c r="A1125" t="s">
        <v>4759</v>
      </c>
      <c r="B1125" t="s">
        <v>4272</v>
      </c>
      <c r="C1125" t="s">
        <v>4354</v>
      </c>
      <c r="D1125" s="3">
        <f t="shared" si="90"/>
        <v>20</v>
      </c>
      <c r="E1125" t="s">
        <v>159</v>
      </c>
      <c r="F1125" t="s">
        <v>13</v>
      </c>
      <c r="G1125" t="str">
        <f t="shared" si="91"/>
        <v/>
      </c>
      <c r="H1125" t="s">
        <v>14</v>
      </c>
      <c r="I1125" t="s">
        <v>4760</v>
      </c>
      <c r="J1125" s="2">
        <f t="shared" si="92"/>
        <v>1400000</v>
      </c>
      <c r="K1125" t="s">
        <v>81</v>
      </c>
      <c r="L1125">
        <f t="shared" si="93"/>
        <v>0.20833333333333334</v>
      </c>
      <c r="M1125" s="5">
        <v>0.20833333333333334</v>
      </c>
      <c r="N1125" t="s">
        <v>43</v>
      </c>
      <c r="R1125" s="3">
        <f t="shared" si="89"/>
        <v>5</v>
      </c>
    </row>
    <row r="1126" spans="1:18" hidden="1" x14ac:dyDescent="0.25">
      <c r="A1126" t="s">
        <v>4241</v>
      </c>
      <c r="B1126" t="s">
        <v>3746</v>
      </c>
      <c r="C1126" t="s">
        <v>3833</v>
      </c>
      <c r="D1126" s="3">
        <f t="shared" si="90"/>
        <v>9</v>
      </c>
      <c r="E1126" t="s">
        <v>12</v>
      </c>
      <c r="F1126" t="s">
        <v>34</v>
      </c>
      <c r="G1126" t="str">
        <f t="shared" si="91"/>
        <v/>
      </c>
      <c r="H1126" t="s">
        <v>14</v>
      </c>
      <c r="I1126" t="s">
        <v>4242</v>
      </c>
      <c r="J1126" s="2">
        <f t="shared" si="92"/>
        <v>850000</v>
      </c>
      <c r="K1126" t="s">
        <v>185</v>
      </c>
      <c r="L1126">
        <f t="shared" si="93"/>
        <v>0.1673611111111111</v>
      </c>
      <c r="M1126" s="5">
        <v>0.1673611111111111</v>
      </c>
      <c r="N1126" t="s">
        <v>43</v>
      </c>
      <c r="R1126" s="3">
        <f t="shared" si="89"/>
        <v>4.0166666666666666</v>
      </c>
    </row>
    <row r="1127" spans="1:18" x14ac:dyDescent="0.25">
      <c r="A1127" t="s">
        <v>499</v>
      </c>
      <c r="B1127" t="s">
        <v>20</v>
      </c>
      <c r="C1127" t="s">
        <v>24</v>
      </c>
      <c r="D1127" s="3">
        <f t="shared" si="90"/>
        <v>12</v>
      </c>
      <c r="E1127" t="s">
        <v>33</v>
      </c>
      <c r="F1127" t="s">
        <v>13</v>
      </c>
      <c r="G1127" t="str">
        <f t="shared" si="91"/>
        <v/>
      </c>
      <c r="H1127" t="s">
        <v>14</v>
      </c>
      <c r="I1127" t="s">
        <v>500</v>
      </c>
      <c r="J1127" s="2">
        <f t="shared" si="92"/>
        <v>1550000</v>
      </c>
      <c r="K1127" t="s">
        <v>137</v>
      </c>
      <c r="L1127">
        <f t="shared" si="93"/>
        <v>0</v>
      </c>
      <c r="N1127" t="s">
        <v>18</v>
      </c>
      <c r="R1127" s="3">
        <f t="shared" si="89"/>
        <v>0</v>
      </c>
    </row>
    <row r="1128" spans="1:18" hidden="1" x14ac:dyDescent="0.25">
      <c r="A1128" t="s">
        <v>801</v>
      </c>
      <c r="B1128" t="s">
        <v>640</v>
      </c>
      <c r="C1128" t="s">
        <v>803</v>
      </c>
      <c r="D1128" s="3">
        <f t="shared" si="90"/>
        <v>9</v>
      </c>
      <c r="E1128" t="s">
        <v>12</v>
      </c>
      <c r="F1128" t="s">
        <v>13</v>
      </c>
      <c r="G1128" t="str">
        <f t="shared" si="91"/>
        <v/>
      </c>
      <c r="H1128" t="s">
        <v>14</v>
      </c>
      <c r="I1128" t="s">
        <v>802</v>
      </c>
      <c r="J1128" s="2">
        <f t="shared" si="92"/>
        <v>1500000</v>
      </c>
      <c r="K1128" t="s">
        <v>66</v>
      </c>
      <c r="L1128">
        <f t="shared" si="93"/>
        <v>0</v>
      </c>
      <c r="N1128" t="s">
        <v>18</v>
      </c>
      <c r="R1128" s="3">
        <f t="shared" si="89"/>
        <v>0</v>
      </c>
    </row>
    <row r="1129" spans="1:18" hidden="1" x14ac:dyDescent="0.25">
      <c r="A1129" t="s">
        <v>5257</v>
      </c>
      <c r="B1129" t="s">
        <v>4806</v>
      </c>
      <c r="C1129" t="s">
        <v>4805</v>
      </c>
      <c r="D1129" s="3">
        <f t="shared" si="90"/>
        <v>9</v>
      </c>
      <c r="E1129" t="s">
        <v>12</v>
      </c>
      <c r="F1129" t="s">
        <v>13</v>
      </c>
      <c r="G1129" t="str">
        <f t="shared" si="91"/>
        <v/>
      </c>
      <c r="H1129" t="s">
        <v>14</v>
      </c>
      <c r="I1129" t="s">
        <v>5258</v>
      </c>
      <c r="J1129" s="2">
        <f t="shared" si="92"/>
        <v>1600000</v>
      </c>
      <c r="K1129" t="s">
        <v>95</v>
      </c>
      <c r="L1129">
        <f t="shared" si="93"/>
        <v>0</v>
      </c>
      <c r="N1129" t="s">
        <v>18</v>
      </c>
      <c r="R1129" s="3">
        <f t="shared" si="89"/>
        <v>0</v>
      </c>
    </row>
    <row r="1130" spans="1:18" hidden="1" x14ac:dyDescent="0.25">
      <c r="A1130" t="s">
        <v>3207</v>
      </c>
      <c r="B1130" t="s">
        <v>3206</v>
      </c>
      <c r="C1130" t="s">
        <v>2847</v>
      </c>
      <c r="D1130" s="3">
        <f t="shared" si="90"/>
        <v>23.099999999999998</v>
      </c>
      <c r="E1130" t="s">
        <v>3208</v>
      </c>
      <c r="F1130" t="s">
        <v>13</v>
      </c>
      <c r="G1130" t="str">
        <f t="shared" si="91"/>
        <v/>
      </c>
      <c r="H1130" t="s">
        <v>14</v>
      </c>
      <c r="I1130" t="s">
        <v>3209</v>
      </c>
      <c r="J1130" s="2">
        <f t="shared" si="92"/>
        <v>2100000</v>
      </c>
      <c r="K1130" t="s">
        <v>451</v>
      </c>
      <c r="L1130">
        <f t="shared" si="93"/>
        <v>0.17083333333333331</v>
      </c>
      <c r="M1130" s="5">
        <v>0.17083333333333331</v>
      </c>
      <c r="N1130" t="s">
        <v>18</v>
      </c>
      <c r="P1130" t="s">
        <v>727</v>
      </c>
      <c r="R1130" s="3">
        <f t="shared" si="89"/>
        <v>4.0999999999999996</v>
      </c>
    </row>
    <row r="1131" spans="1:18" hidden="1" x14ac:dyDescent="0.25">
      <c r="A1131" t="s">
        <v>3394</v>
      </c>
      <c r="B1131" t="s">
        <v>3233</v>
      </c>
      <c r="C1131" t="s">
        <v>3248</v>
      </c>
      <c r="D1131" s="3">
        <f t="shared" si="90"/>
        <v>9</v>
      </c>
      <c r="E1131" t="s">
        <v>12</v>
      </c>
      <c r="F1131" t="s">
        <v>13</v>
      </c>
      <c r="G1131" t="str">
        <f t="shared" si="91"/>
        <v/>
      </c>
      <c r="H1131" t="s">
        <v>14</v>
      </c>
      <c r="I1131" t="s">
        <v>3395</v>
      </c>
      <c r="J1131" s="2">
        <f t="shared" si="92"/>
        <v>1400000</v>
      </c>
      <c r="K1131" t="s">
        <v>81</v>
      </c>
      <c r="L1131">
        <f t="shared" si="93"/>
        <v>0.17291666666666669</v>
      </c>
      <c r="M1131" s="5">
        <v>0.17291666666666669</v>
      </c>
      <c r="N1131" t="s">
        <v>18</v>
      </c>
      <c r="R1131" s="3">
        <f t="shared" si="89"/>
        <v>4.1500000000000004</v>
      </c>
    </row>
    <row r="1132" spans="1:18" hidden="1" x14ac:dyDescent="0.25">
      <c r="A1132" t="s">
        <v>5011</v>
      </c>
      <c r="B1132" t="s">
        <v>4806</v>
      </c>
      <c r="C1132" t="s">
        <v>4825</v>
      </c>
      <c r="D1132" s="3">
        <f t="shared" si="90"/>
        <v>12</v>
      </c>
      <c r="E1132" t="s">
        <v>33</v>
      </c>
      <c r="F1132" t="s">
        <v>13</v>
      </c>
      <c r="G1132" t="str">
        <f t="shared" si="91"/>
        <v/>
      </c>
      <c r="H1132" t="s">
        <v>14</v>
      </c>
      <c r="I1132" t="s">
        <v>5012</v>
      </c>
      <c r="J1132" s="2">
        <f t="shared" si="92"/>
        <v>1700000</v>
      </c>
      <c r="K1132" t="s">
        <v>23</v>
      </c>
      <c r="L1132">
        <f t="shared" si="93"/>
        <v>0</v>
      </c>
      <c r="N1132" t="s">
        <v>18</v>
      </c>
      <c r="R1132" s="3">
        <f t="shared" si="89"/>
        <v>0</v>
      </c>
    </row>
    <row r="1133" spans="1:18" x14ac:dyDescent="0.25">
      <c r="A1133" t="s">
        <v>5578</v>
      </c>
      <c r="B1133" t="s">
        <v>5848</v>
      </c>
      <c r="C1133" t="s">
        <v>5342</v>
      </c>
      <c r="D1133" s="3">
        <f t="shared" si="90"/>
        <v>7.5</v>
      </c>
      <c r="E1133" t="s">
        <v>178</v>
      </c>
      <c r="F1133" t="s">
        <v>34</v>
      </c>
      <c r="G1133">
        <f t="shared" si="91"/>
        <v>1675000</v>
      </c>
      <c r="H1133" t="s">
        <v>1119</v>
      </c>
      <c r="I1133" t="s">
        <v>5579</v>
      </c>
      <c r="J1133" s="2">
        <f t="shared" si="92"/>
        <v>1592500</v>
      </c>
      <c r="K1133" t="s">
        <v>1448</v>
      </c>
      <c r="L1133">
        <f t="shared" si="93"/>
        <v>0.17013888888888887</v>
      </c>
      <c r="M1133" s="5">
        <v>0.17013888888888887</v>
      </c>
      <c r="N1133" t="s">
        <v>43</v>
      </c>
      <c r="P1133" t="s">
        <v>1449</v>
      </c>
      <c r="R1133" s="3">
        <f t="shared" si="89"/>
        <v>4.083333333333333</v>
      </c>
    </row>
    <row r="1134" spans="1:18" hidden="1" x14ac:dyDescent="0.25">
      <c r="A1134" t="s">
        <v>5727</v>
      </c>
      <c r="B1134" t="s">
        <v>5848</v>
      </c>
      <c r="C1134" t="s">
        <v>5406</v>
      </c>
      <c r="D1134" s="3">
        <f t="shared" si="90"/>
        <v>20</v>
      </c>
      <c r="E1134" t="s">
        <v>565</v>
      </c>
      <c r="F1134" t="s">
        <v>13</v>
      </c>
      <c r="G1134" t="str">
        <f t="shared" si="91"/>
        <v/>
      </c>
      <c r="H1134" t="s">
        <v>14</v>
      </c>
      <c r="I1134" t="s">
        <v>5728</v>
      </c>
      <c r="J1134" s="2">
        <f t="shared" si="92"/>
        <v>3650000</v>
      </c>
      <c r="K1134" t="s">
        <v>5729</v>
      </c>
      <c r="L1134">
        <f t="shared" si="93"/>
        <v>0.20833333333333334</v>
      </c>
      <c r="M1134" s="5">
        <v>0.20833333333333334</v>
      </c>
      <c r="N1134" t="s">
        <v>43</v>
      </c>
      <c r="R1134" s="3">
        <f t="shared" si="89"/>
        <v>5</v>
      </c>
    </row>
    <row r="1135" spans="1:18" x14ac:dyDescent="0.25">
      <c r="A1135" t="s">
        <v>1446</v>
      </c>
      <c r="B1135" t="s">
        <v>1303</v>
      </c>
      <c r="C1135" t="s">
        <v>1316</v>
      </c>
      <c r="D1135" s="3">
        <f t="shared" si="90"/>
        <v>7.5</v>
      </c>
      <c r="E1135" t="s">
        <v>178</v>
      </c>
      <c r="F1135" t="s">
        <v>34</v>
      </c>
      <c r="G1135">
        <f t="shared" si="91"/>
        <v>1675000</v>
      </c>
      <c r="H1135" t="s">
        <v>1119</v>
      </c>
      <c r="I1135" t="s">
        <v>1447</v>
      </c>
      <c r="J1135" s="2">
        <f t="shared" si="92"/>
        <v>1592500</v>
      </c>
      <c r="K1135" t="s">
        <v>1448</v>
      </c>
      <c r="L1135">
        <f t="shared" si="93"/>
        <v>0.17083333333333331</v>
      </c>
      <c r="M1135" s="5">
        <v>0.17083333333333331</v>
      </c>
      <c r="N1135" t="s">
        <v>43</v>
      </c>
      <c r="P1135" t="s">
        <v>1449</v>
      </c>
      <c r="R1135" s="3">
        <f t="shared" si="89"/>
        <v>4.0999999999999996</v>
      </c>
    </row>
    <row r="1136" spans="1:18" hidden="1" x14ac:dyDescent="0.25">
      <c r="A1136" t="s">
        <v>4211</v>
      </c>
      <c r="B1136" t="s">
        <v>3746</v>
      </c>
      <c r="C1136" t="s">
        <v>3821</v>
      </c>
      <c r="D1136" s="3" t="e">
        <f t="shared" si="90"/>
        <v>#VALUE!</v>
      </c>
      <c r="E1136" t="s">
        <v>4212</v>
      </c>
      <c r="F1136" t="s">
        <v>13</v>
      </c>
      <c r="G1136" t="str">
        <f t="shared" si="91"/>
        <v/>
      </c>
      <c r="H1136" t="s">
        <v>14</v>
      </c>
      <c r="I1136" t="s">
        <v>4213</v>
      </c>
      <c r="J1136" s="2">
        <f t="shared" si="92"/>
        <v>700000</v>
      </c>
      <c r="K1136" t="s">
        <v>157</v>
      </c>
      <c r="L1136">
        <f t="shared" si="93"/>
        <v>0.16666666666666666</v>
      </c>
      <c r="M1136" s="5">
        <v>0.16666666666666666</v>
      </c>
      <c r="N1136" t="s">
        <v>43</v>
      </c>
      <c r="R1136" s="3">
        <f t="shared" si="89"/>
        <v>4</v>
      </c>
    </row>
    <row r="1137" spans="1:18" hidden="1" x14ac:dyDescent="0.25">
      <c r="A1137" t="s">
        <v>1117</v>
      </c>
      <c r="B1137" t="s">
        <v>640</v>
      </c>
      <c r="C1137" t="s">
        <v>664</v>
      </c>
      <c r="D1137" s="3">
        <f t="shared" si="90"/>
        <v>14</v>
      </c>
      <c r="E1137" t="s">
        <v>238</v>
      </c>
      <c r="F1137" t="s">
        <v>13</v>
      </c>
      <c r="G1137" t="str">
        <f t="shared" si="91"/>
        <v/>
      </c>
      <c r="H1137" t="s">
        <v>14</v>
      </c>
      <c r="I1137" t="s">
        <v>1118</v>
      </c>
      <c r="J1137" s="2">
        <f t="shared" si="92"/>
        <v>1675000</v>
      </c>
      <c r="K1137" t="s">
        <v>1119</v>
      </c>
      <c r="L1137">
        <f t="shared" si="93"/>
        <v>0.17013888888888887</v>
      </c>
      <c r="M1137" s="5">
        <v>0.17013888888888887</v>
      </c>
      <c r="N1137" t="s">
        <v>18</v>
      </c>
      <c r="P1137" t="s">
        <v>762</v>
      </c>
      <c r="R1137" s="3">
        <f t="shared" si="89"/>
        <v>4.083333333333333</v>
      </c>
    </row>
    <row r="1138" spans="1:18" hidden="1" x14ac:dyDescent="0.25">
      <c r="A1138" t="s">
        <v>291</v>
      </c>
      <c r="B1138" t="s">
        <v>20</v>
      </c>
      <c r="C1138" t="s">
        <v>293</v>
      </c>
      <c r="D1138" s="3">
        <f t="shared" si="90"/>
        <v>9</v>
      </c>
      <c r="E1138" t="s">
        <v>12</v>
      </c>
      <c r="F1138" t="s">
        <v>13</v>
      </c>
      <c r="G1138" t="str">
        <f t="shared" si="91"/>
        <v/>
      </c>
      <c r="H1138" t="s">
        <v>14</v>
      </c>
      <c r="I1138" t="s">
        <v>292</v>
      </c>
      <c r="J1138" s="2">
        <f t="shared" si="92"/>
        <v>1300000</v>
      </c>
      <c r="K1138" t="s">
        <v>17</v>
      </c>
      <c r="L1138">
        <f t="shared" si="93"/>
        <v>0.17083333333333331</v>
      </c>
      <c r="M1138" s="5">
        <v>0.17083333333333331</v>
      </c>
      <c r="N1138" t="s">
        <v>43</v>
      </c>
      <c r="R1138" s="3">
        <f t="shared" si="89"/>
        <v>4.0999999999999996</v>
      </c>
    </row>
    <row r="1139" spans="1:18" x14ac:dyDescent="0.25">
      <c r="A1139" t="s">
        <v>3848</v>
      </c>
      <c r="B1139" t="s">
        <v>3746</v>
      </c>
      <c r="C1139" t="s">
        <v>3821</v>
      </c>
      <c r="D1139" s="3">
        <f t="shared" si="90"/>
        <v>9</v>
      </c>
      <c r="E1139" t="s">
        <v>12</v>
      </c>
      <c r="F1139" t="s">
        <v>13</v>
      </c>
      <c r="G1139">
        <f t="shared" si="91"/>
        <v>1675000</v>
      </c>
      <c r="H1139" t="s">
        <v>1119</v>
      </c>
      <c r="I1139" t="s">
        <v>3849</v>
      </c>
      <c r="J1139" s="2">
        <f t="shared" si="92"/>
        <v>1592500</v>
      </c>
      <c r="K1139" t="s">
        <v>1448</v>
      </c>
      <c r="L1139">
        <f t="shared" si="93"/>
        <v>0.17083333333333331</v>
      </c>
      <c r="M1139" s="5">
        <v>0.17083333333333331</v>
      </c>
      <c r="N1139" t="s">
        <v>43</v>
      </c>
      <c r="P1139" t="s">
        <v>1449</v>
      </c>
      <c r="R1139" s="3">
        <f t="shared" si="89"/>
        <v>4.0999999999999996</v>
      </c>
    </row>
    <row r="1140" spans="1:18" x14ac:dyDescent="0.25">
      <c r="A1140" t="s">
        <v>5224</v>
      </c>
      <c r="B1140" t="s">
        <v>4806</v>
      </c>
      <c r="C1140" t="s">
        <v>4939</v>
      </c>
      <c r="D1140" s="3">
        <f t="shared" si="90"/>
        <v>9</v>
      </c>
      <c r="E1140" t="s">
        <v>12</v>
      </c>
      <c r="F1140" t="s">
        <v>13</v>
      </c>
      <c r="G1140" t="str">
        <f t="shared" si="91"/>
        <v/>
      </c>
      <c r="H1140" t="s">
        <v>14</v>
      </c>
      <c r="I1140" t="s">
        <v>5225</v>
      </c>
      <c r="J1140" s="2">
        <f t="shared" si="92"/>
        <v>1600000</v>
      </c>
      <c r="K1140" t="s">
        <v>95</v>
      </c>
      <c r="L1140">
        <f t="shared" si="93"/>
        <v>0</v>
      </c>
      <c r="N1140" t="s">
        <v>18</v>
      </c>
      <c r="R1140" s="3">
        <f t="shared" si="89"/>
        <v>0</v>
      </c>
    </row>
    <row r="1141" spans="1:18" hidden="1" x14ac:dyDescent="0.25">
      <c r="A1141" t="s">
        <v>4691</v>
      </c>
      <c r="B1141" t="s">
        <v>4272</v>
      </c>
      <c r="C1141" t="s">
        <v>4334</v>
      </c>
      <c r="D1141" s="3">
        <f t="shared" si="90"/>
        <v>12</v>
      </c>
      <c r="E1141" t="s">
        <v>33</v>
      </c>
      <c r="F1141" t="s">
        <v>13</v>
      </c>
      <c r="G1141" t="str">
        <f t="shared" si="91"/>
        <v/>
      </c>
      <c r="H1141" t="s">
        <v>14</v>
      </c>
      <c r="I1141" t="s">
        <v>4692</v>
      </c>
      <c r="J1141" s="2">
        <f t="shared" si="92"/>
        <v>2200000</v>
      </c>
      <c r="K1141" t="s">
        <v>849</v>
      </c>
      <c r="L1141">
        <f t="shared" si="93"/>
        <v>0.20833333333333334</v>
      </c>
      <c r="M1141" s="5">
        <v>0.20833333333333334</v>
      </c>
      <c r="N1141" t="s">
        <v>43</v>
      </c>
      <c r="R1141" s="3">
        <f t="shared" si="89"/>
        <v>5</v>
      </c>
    </row>
    <row r="1142" spans="1:18" hidden="1" x14ac:dyDescent="0.25">
      <c r="A1142" t="s">
        <v>3635</v>
      </c>
      <c r="B1142" t="s">
        <v>3233</v>
      </c>
      <c r="C1142" t="s">
        <v>3261</v>
      </c>
      <c r="D1142" s="3">
        <f t="shared" si="90"/>
        <v>9</v>
      </c>
      <c r="E1142" t="s">
        <v>12</v>
      </c>
      <c r="F1142" t="s">
        <v>13</v>
      </c>
      <c r="G1142" t="str">
        <f t="shared" si="91"/>
        <v/>
      </c>
      <c r="H1142" t="s">
        <v>14</v>
      </c>
      <c r="I1142" t="s">
        <v>3636</v>
      </c>
      <c r="J1142" s="2">
        <f t="shared" si="92"/>
        <v>1400000</v>
      </c>
      <c r="K1142" t="s">
        <v>81</v>
      </c>
      <c r="L1142">
        <f t="shared" si="93"/>
        <v>0</v>
      </c>
      <c r="N1142" t="s">
        <v>43</v>
      </c>
      <c r="R1142" s="3">
        <f t="shared" si="89"/>
        <v>0</v>
      </c>
    </row>
    <row r="1143" spans="1:18" hidden="1" x14ac:dyDescent="0.25">
      <c r="A1143" t="s">
        <v>4173</v>
      </c>
      <c r="B1143" t="s">
        <v>3746</v>
      </c>
      <c r="C1143" t="s">
        <v>4038</v>
      </c>
      <c r="D1143" s="3">
        <f t="shared" si="90"/>
        <v>14</v>
      </c>
      <c r="E1143" t="s">
        <v>238</v>
      </c>
      <c r="F1143" t="s">
        <v>13</v>
      </c>
      <c r="G1143" t="str">
        <f t="shared" si="91"/>
        <v/>
      </c>
      <c r="H1143" t="s">
        <v>14</v>
      </c>
      <c r="I1143" t="s">
        <v>4174</v>
      </c>
      <c r="J1143" s="2">
        <f t="shared" si="92"/>
        <v>1200000</v>
      </c>
      <c r="K1143" t="s">
        <v>36</v>
      </c>
      <c r="L1143">
        <f t="shared" si="93"/>
        <v>0.16944444444444443</v>
      </c>
      <c r="M1143" s="5">
        <v>0.16944444444444443</v>
      </c>
      <c r="N1143" t="s">
        <v>43</v>
      </c>
      <c r="R1143" s="3">
        <f t="shared" si="89"/>
        <v>4.0666666666666664</v>
      </c>
    </row>
    <row r="1144" spans="1:18" hidden="1" x14ac:dyDescent="0.25">
      <c r="A1144" t="s">
        <v>999</v>
      </c>
      <c r="B1144" t="s">
        <v>640</v>
      </c>
      <c r="C1144" t="s">
        <v>749</v>
      </c>
      <c r="D1144" s="3">
        <f t="shared" si="90"/>
        <v>7.5</v>
      </c>
      <c r="E1144" t="s">
        <v>178</v>
      </c>
      <c r="F1144" t="s">
        <v>13</v>
      </c>
      <c r="G1144" t="str">
        <f t="shared" si="91"/>
        <v/>
      </c>
      <c r="H1144" t="s">
        <v>14</v>
      </c>
      <c r="I1144" t="s">
        <v>1000</v>
      </c>
      <c r="J1144" s="2">
        <f t="shared" si="92"/>
        <v>1700000</v>
      </c>
      <c r="K1144" t="s">
        <v>23</v>
      </c>
      <c r="L1144">
        <f t="shared" si="93"/>
        <v>4.7916666666666663E-2</v>
      </c>
      <c r="M1144" s="5">
        <v>4.7916666666666663E-2</v>
      </c>
      <c r="N1144" t="s">
        <v>18</v>
      </c>
      <c r="R1144" s="3">
        <f t="shared" si="89"/>
        <v>1.1499999999999999</v>
      </c>
    </row>
    <row r="1145" spans="1:18" hidden="1" x14ac:dyDescent="0.25">
      <c r="A1145" t="s">
        <v>4236</v>
      </c>
      <c r="B1145" t="s">
        <v>3746</v>
      </c>
      <c r="C1145" t="s">
        <v>3775</v>
      </c>
      <c r="D1145" s="3">
        <f t="shared" si="90"/>
        <v>12</v>
      </c>
      <c r="E1145" t="s">
        <v>33</v>
      </c>
      <c r="F1145" t="s">
        <v>13</v>
      </c>
      <c r="G1145" t="str">
        <f t="shared" si="91"/>
        <v/>
      </c>
      <c r="H1145" t="s">
        <v>14</v>
      </c>
      <c r="I1145" t="s">
        <v>4194</v>
      </c>
      <c r="J1145" s="2">
        <f t="shared" si="92"/>
        <v>2000000</v>
      </c>
      <c r="K1145" t="s">
        <v>128</v>
      </c>
      <c r="L1145">
        <f t="shared" si="93"/>
        <v>0.20833333333333334</v>
      </c>
      <c r="M1145" s="5">
        <v>0.20833333333333334</v>
      </c>
      <c r="N1145" t="s">
        <v>43</v>
      </c>
      <c r="P1145" t="s">
        <v>1171</v>
      </c>
      <c r="R1145" s="3">
        <f t="shared" si="89"/>
        <v>5</v>
      </c>
    </row>
    <row r="1146" spans="1:18" x14ac:dyDescent="0.25">
      <c r="A1146" t="s">
        <v>3612</v>
      </c>
      <c r="B1146" t="s">
        <v>3233</v>
      </c>
      <c r="C1146" t="s">
        <v>3248</v>
      </c>
      <c r="D1146" s="3">
        <f t="shared" si="90"/>
        <v>9</v>
      </c>
      <c r="E1146" t="s">
        <v>12</v>
      </c>
      <c r="F1146" t="s">
        <v>13</v>
      </c>
      <c r="G1146" t="str">
        <f t="shared" si="91"/>
        <v/>
      </c>
      <c r="H1146" t="s">
        <v>14</v>
      </c>
      <c r="I1146" t="s">
        <v>3613</v>
      </c>
      <c r="J1146" s="2">
        <f t="shared" si="92"/>
        <v>1600000</v>
      </c>
      <c r="K1146" t="s">
        <v>95</v>
      </c>
      <c r="L1146">
        <f t="shared" si="93"/>
        <v>0</v>
      </c>
      <c r="N1146" t="s">
        <v>43</v>
      </c>
      <c r="R1146" s="3">
        <f t="shared" si="89"/>
        <v>0</v>
      </c>
    </row>
    <row r="1147" spans="1:18" hidden="1" x14ac:dyDescent="0.25">
      <c r="A1147" t="s">
        <v>4167</v>
      </c>
      <c r="B1147" t="s">
        <v>3746</v>
      </c>
      <c r="C1147" t="s">
        <v>3775</v>
      </c>
      <c r="D1147" s="3">
        <f t="shared" si="90"/>
        <v>12</v>
      </c>
      <c r="E1147" t="s">
        <v>33</v>
      </c>
      <c r="F1147" t="s">
        <v>13</v>
      </c>
      <c r="G1147" t="str">
        <f t="shared" si="91"/>
        <v/>
      </c>
      <c r="H1147" t="s">
        <v>14</v>
      </c>
      <c r="I1147" t="s">
        <v>4168</v>
      </c>
      <c r="J1147" s="2">
        <f t="shared" si="92"/>
        <v>2500000</v>
      </c>
      <c r="K1147" t="s">
        <v>272</v>
      </c>
      <c r="L1147">
        <f t="shared" si="93"/>
        <v>0</v>
      </c>
      <c r="N1147" t="s">
        <v>43</v>
      </c>
      <c r="R1147" s="3">
        <f t="shared" si="89"/>
        <v>0</v>
      </c>
    </row>
    <row r="1148" spans="1:18" hidden="1" x14ac:dyDescent="0.25">
      <c r="A1148" t="s">
        <v>1296</v>
      </c>
      <c r="B1148" t="s">
        <v>640</v>
      </c>
      <c r="C1148" t="s">
        <v>643</v>
      </c>
      <c r="D1148" s="3">
        <f t="shared" si="90"/>
        <v>15.75</v>
      </c>
      <c r="E1148" t="s">
        <v>911</v>
      </c>
      <c r="F1148" t="s">
        <v>13</v>
      </c>
      <c r="G1148" t="str">
        <f t="shared" si="91"/>
        <v/>
      </c>
      <c r="H1148" t="s">
        <v>14</v>
      </c>
      <c r="I1148" t="s">
        <v>1297</v>
      </c>
      <c r="J1148" s="2">
        <f t="shared" si="92"/>
        <v>1500000</v>
      </c>
      <c r="K1148" t="s">
        <v>66</v>
      </c>
      <c r="L1148">
        <f t="shared" si="93"/>
        <v>0.17222222222222225</v>
      </c>
      <c r="M1148" s="5">
        <v>0.17222222222222225</v>
      </c>
      <c r="N1148" t="s">
        <v>37</v>
      </c>
      <c r="R1148" s="3">
        <f t="shared" si="89"/>
        <v>4.1333333333333337</v>
      </c>
    </row>
    <row r="1149" spans="1:18" hidden="1" x14ac:dyDescent="0.25">
      <c r="A1149" t="s">
        <v>852</v>
      </c>
      <c r="B1149" t="s">
        <v>640</v>
      </c>
      <c r="C1149" t="s">
        <v>643</v>
      </c>
      <c r="D1149" s="3">
        <f t="shared" si="90"/>
        <v>12</v>
      </c>
      <c r="E1149" t="s">
        <v>33</v>
      </c>
      <c r="F1149" t="s">
        <v>13</v>
      </c>
      <c r="G1149" t="str">
        <f t="shared" si="91"/>
        <v/>
      </c>
      <c r="H1149" t="s">
        <v>14</v>
      </c>
      <c r="I1149" t="s">
        <v>853</v>
      </c>
      <c r="J1149" s="2">
        <f t="shared" si="92"/>
        <v>1500000</v>
      </c>
      <c r="K1149" t="s">
        <v>66</v>
      </c>
      <c r="L1149">
        <f t="shared" si="93"/>
        <v>0.1673611111111111</v>
      </c>
      <c r="M1149" s="5">
        <v>0.1673611111111111</v>
      </c>
      <c r="N1149" t="s">
        <v>37</v>
      </c>
      <c r="R1149" s="3">
        <f t="shared" si="89"/>
        <v>4.0166666666666666</v>
      </c>
    </row>
    <row r="1150" spans="1:18" hidden="1" x14ac:dyDescent="0.25">
      <c r="A1150" t="s">
        <v>5069</v>
      </c>
      <c r="B1150" t="s">
        <v>4806</v>
      </c>
      <c r="C1150" t="s">
        <v>4820</v>
      </c>
      <c r="D1150" s="3">
        <f t="shared" si="90"/>
        <v>15</v>
      </c>
      <c r="E1150" t="s">
        <v>71</v>
      </c>
      <c r="F1150" t="s">
        <v>13</v>
      </c>
      <c r="G1150" t="str">
        <f t="shared" si="91"/>
        <v/>
      </c>
      <c r="H1150" t="s">
        <v>14</v>
      </c>
      <c r="I1150" t="s">
        <v>5070</v>
      </c>
      <c r="J1150" s="2">
        <f t="shared" si="92"/>
        <v>700000</v>
      </c>
      <c r="K1150" t="s">
        <v>157</v>
      </c>
      <c r="L1150">
        <f t="shared" si="93"/>
        <v>0</v>
      </c>
      <c r="N1150" t="s">
        <v>43</v>
      </c>
      <c r="R1150" s="3">
        <f t="shared" si="89"/>
        <v>0</v>
      </c>
    </row>
    <row r="1151" spans="1:18" hidden="1" x14ac:dyDescent="0.25">
      <c r="A1151" t="s">
        <v>372</v>
      </c>
      <c r="B1151" t="s">
        <v>20</v>
      </c>
      <c r="C1151" t="s">
        <v>67</v>
      </c>
      <c r="D1151" s="3">
        <f t="shared" si="90"/>
        <v>1.5</v>
      </c>
      <c r="E1151" t="s">
        <v>373</v>
      </c>
      <c r="F1151" t="s">
        <v>34</v>
      </c>
      <c r="G1151" t="str">
        <f t="shared" si="91"/>
        <v/>
      </c>
      <c r="H1151" t="s">
        <v>14</v>
      </c>
      <c r="I1151" t="s">
        <v>374</v>
      </c>
      <c r="J1151" s="2">
        <f t="shared" si="92"/>
        <v>800000</v>
      </c>
      <c r="K1151" t="s">
        <v>109</v>
      </c>
      <c r="L1151">
        <f t="shared" si="93"/>
        <v>0</v>
      </c>
      <c r="N1151" t="s">
        <v>37</v>
      </c>
      <c r="R1151" s="3">
        <f t="shared" si="89"/>
        <v>0</v>
      </c>
    </row>
    <row r="1152" spans="1:18" x14ac:dyDescent="0.25">
      <c r="A1152" t="s">
        <v>4403</v>
      </c>
      <c r="B1152" t="s">
        <v>4272</v>
      </c>
      <c r="C1152" t="s">
        <v>4334</v>
      </c>
      <c r="D1152" s="3">
        <f t="shared" si="90"/>
        <v>6</v>
      </c>
      <c r="E1152" t="s">
        <v>64</v>
      </c>
      <c r="F1152" t="s">
        <v>13</v>
      </c>
      <c r="G1152" t="str">
        <f t="shared" si="91"/>
        <v/>
      </c>
      <c r="H1152" t="s">
        <v>14</v>
      </c>
      <c r="I1152" t="s">
        <v>4404</v>
      </c>
      <c r="J1152" s="2">
        <f t="shared" si="92"/>
        <v>1600000</v>
      </c>
      <c r="K1152" t="s">
        <v>95</v>
      </c>
      <c r="L1152">
        <f t="shared" si="93"/>
        <v>0.20833333333333334</v>
      </c>
      <c r="M1152" s="5">
        <v>0.20833333333333334</v>
      </c>
      <c r="N1152" t="s">
        <v>43</v>
      </c>
      <c r="R1152" s="3">
        <f t="shared" si="89"/>
        <v>5</v>
      </c>
    </row>
    <row r="1153" spans="1:18" x14ac:dyDescent="0.25">
      <c r="A1153" t="s">
        <v>3433</v>
      </c>
      <c r="B1153" t="s">
        <v>3233</v>
      </c>
      <c r="C1153" t="s">
        <v>3232</v>
      </c>
      <c r="D1153" s="3">
        <f t="shared" si="90"/>
        <v>9</v>
      </c>
      <c r="E1153" t="s">
        <v>12</v>
      </c>
      <c r="F1153" t="s">
        <v>13</v>
      </c>
      <c r="G1153" t="str">
        <f t="shared" si="91"/>
        <v/>
      </c>
      <c r="H1153" t="s">
        <v>14</v>
      </c>
      <c r="I1153" t="s">
        <v>3434</v>
      </c>
      <c r="J1153" s="2">
        <f t="shared" si="92"/>
        <v>1600000</v>
      </c>
      <c r="K1153" t="s">
        <v>95</v>
      </c>
      <c r="L1153">
        <f t="shared" si="93"/>
        <v>0</v>
      </c>
      <c r="N1153" t="s">
        <v>43</v>
      </c>
      <c r="R1153" s="3">
        <f t="shared" si="89"/>
        <v>0</v>
      </c>
    </row>
    <row r="1154" spans="1:18" x14ac:dyDescent="0.25">
      <c r="A1154" t="s">
        <v>5782</v>
      </c>
      <c r="B1154" t="s">
        <v>5848</v>
      </c>
      <c r="C1154" t="s">
        <v>1163</v>
      </c>
      <c r="D1154" s="3">
        <f t="shared" si="90"/>
        <v>12</v>
      </c>
      <c r="E1154" t="s">
        <v>33</v>
      </c>
      <c r="F1154" t="s">
        <v>13</v>
      </c>
      <c r="G1154" t="str">
        <f t="shared" si="91"/>
        <v/>
      </c>
      <c r="H1154" t="s">
        <v>14</v>
      </c>
      <c r="I1154" t="s">
        <v>5783</v>
      </c>
      <c r="J1154" s="2">
        <f t="shared" si="92"/>
        <v>1600000</v>
      </c>
      <c r="K1154" t="s">
        <v>95</v>
      </c>
      <c r="L1154">
        <f t="shared" si="93"/>
        <v>0.17222222222222225</v>
      </c>
      <c r="M1154" s="5">
        <v>0.17222222222222225</v>
      </c>
      <c r="N1154" t="s">
        <v>43</v>
      </c>
      <c r="R1154" s="3">
        <f t="shared" ref="R1154:R1217" si="94">24*L1154</f>
        <v>4.1333333333333337</v>
      </c>
    </row>
    <row r="1155" spans="1:18" x14ac:dyDescent="0.25">
      <c r="A1155" t="s">
        <v>4928</v>
      </c>
      <c r="B1155" t="s">
        <v>4806</v>
      </c>
      <c r="C1155" t="s">
        <v>4930</v>
      </c>
      <c r="D1155" s="3">
        <f t="shared" si="90"/>
        <v>12</v>
      </c>
      <c r="E1155" t="s">
        <v>33</v>
      </c>
      <c r="F1155" t="s">
        <v>13</v>
      </c>
      <c r="G1155" t="str">
        <f t="shared" si="91"/>
        <v/>
      </c>
      <c r="H1155" t="s">
        <v>14</v>
      </c>
      <c r="I1155" t="s">
        <v>4929</v>
      </c>
      <c r="J1155" s="2">
        <f t="shared" si="92"/>
        <v>1600000</v>
      </c>
      <c r="K1155" t="s">
        <v>95</v>
      </c>
      <c r="L1155">
        <f t="shared" si="93"/>
        <v>0</v>
      </c>
      <c r="N1155" t="s">
        <v>37</v>
      </c>
      <c r="R1155" s="3">
        <f t="shared" si="94"/>
        <v>0</v>
      </c>
    </row>
    <row r="1156" spans="1:18" hidden="1" x14ac:dyDescent="0.25">
      <c r="A1156" t="s">
        <v>294</v>
      </c>
      <c r="B1156" t="s">
        <v>20</v>
      </c>
      <c r="C1156" t="s">
        <v>84</v>
      </c>
      <c r="D1156" s="3">
        <f t="shared" si="90"/>
        <v>12</v>
      </c>
      <c r="E1156" t="s">
        <v>33</v>
      </c>
      <c r="F1156" t="s">
        <v>13</v>
      </c>
      <c r="G1156" t="str">
        <f t="shared" si="91"/>
        <v/>
      </c>
      <c r="H1156" t="s">
        <v>14</v>
      </c>
      <c r="I1156" t="s">
        <v>295</v>
      </c>
      <c r="J1156" s="2">
        <f t="shared" si="92"/>
        <v>900000</v>
      </c>
      <c r="K1156" t="s">
        <v>101</v>
      </c>
      <c r="L1156">
        <f t="shared" si="93"/>
        <v>0</v>
      </c>
      <c r="N1156" t="s">
        <v>18</v>
      </c>
      <c r="R1156" s="3">
        <f t="shared" si="94"/>
        <v>0</v>
      </c>
    </row>
    <row r="1157" spans="1:18" x14ac:dyDescent="0.25">
      <c r="A1157" t="s">
        <v>5701</v>
      </c>
      <c r="B1157" t="s">
        <v>5848</v>
      </c>
      <c r="C1157" t="s">
        <v>5406</v>
      </c>
      <c r="D1157" s="3">
        <f t="shared" si="90"/>
        <v>12</v>
      </c>
      <c r="E1157" t="s">
        <v>33</v>
      </c>
      <c r="F1157" t="s">
        <v>13</v>
      </c>
      <c r="G1157" t="str">
        <f t="shared" si="91"/>
        <v/>
      </c>
      <c r="H1157" t="s">
        <v>14</v>
      </c>
      <c r="I1157" t="s">
        <v>5702</v>
      </c>
      <c r="J1157" s="2">
        <f t="shared" si="92"/>
        <v>1600000</v>
      </c>
      <c r="K1157" t="s">
        <v>95</v>
      </c>
      <c r="L1157">
        <f t="shared" si="93"/>
        <v>0</v>
      </c>
      <c r="N1157" t="s">
        <v>43</v>
      </c>
      <c r="R1157" s="3">
        <f t="shared" si="94"/>
        <v>0</v>
      </c>
    </row>
    <row r="1158" spans="1:18" hidden="1" x14ac:dyDescent="0.25">
      <c r="A1158" t="s">
        <v>4267</v>
      </c>
      <c r="B1158" t="s">
        <v>3746</v>
      </c>
      <c r="C1158" t="s">
        <v>3897</v>
      </c>
      <c r="D1158" s="3">
        <f t="shared" si="90"/>
        <v>9</v>
      </c>
      <c r="E1158" t="s">
        <v>12</v>
      </c>
      <c r="F1158" t="s">
        <v>13</v>
      </c>
      <c r="G1158" t="str">
        <f t="shared" si="91"/>
        <v/>
      </c>
      <c r="H1158" t="s">
        <v>14</v>
      </c>
      <c r="I1158" t="s">
        <v>4268</v>
      </c>
      <c r="J1158" s="2">
        <f t="shared" si="92"/>
        <v>1100000</v>
      </c>
      <c r="K1158" t="s">
        <v>42</v>
      </c>
      <c r="L1158">
        <f t="shared" si="93"/>
        <v>0.17083333333333331</v>
      </c>
      <c r="M1158" s="5">
        <v>0.17083333333333331</v>
      </c>
      <c r="N1158" t="s">
        <v>43</v>
      </c>
      <c r="R1158" s="3">
        <f t="shared" si="94"/>
        <v>4.0999999999999996</v>
      </c>
    </row>
    <row r="1159" spans="1:18" hidden="1" x14ac:dyDescent="0.25">
      <c r="A1159" t="s">
        <v>4179</v>
      </c>
      <c r="B1159" t="s">
        <v>3746</v>
      </c>
      <c r="C1159" t="s">
        <v>3753</v>
      </c>
      <c r="D1159" s="3">
        <f t="shared" si="90"/>
        <v>9</v>
      </c>
      <c r="E1159" t="s">
        <v>12</v>
      </c>
      <c r="F1159" t="s">
        <v>13</v>
      </c>
      <c r="G1159" t="str">
        <f t="shared" si="91"/>
        <v/>
      </c>
      <c r="H1159" t="s">
        <v>14</v>
      </c>
      <c r="I1159" t="s">
        <v>4180</v>
      </c>
      <c r="J1159" s="2">
        <f t="shared" si="92"/>
        <v>1400000</v>
      </c>
      <c r="K1159" t="s">
        <v>81</v>
      </c>
      <c r="L1159">
        <f t="shared" si="93"/>
        <v>0.1673611111111111</v>
      </c>
      <c r="M1159" s="5">
        <v>0.1673611111111111</v>
      </c>
      <c r="N1159" t="s">
        <v>43</v>
      </c>
      <c r="R1159" s="3">
        <f t="shared" si="94"/>
        <v>4.0166666666666666</v>
      </c>
    </row>
    <row r="1160" spans="1:18" hidden="1" x14ac:dyDescent="0.25">
      <c r="A1160" t="s">
        <v>3639</v>
      </c>
      <c r="B1160" t="s">
        <v>3233</v>
      </c>
      <c r="C1160" t="s">
        <v>3248</v>
      </c>
      <c r="D1160" s="3">
        <f t="shared" si="90"/>
        <v>9</v>
      </c>
      <c r="E1160" t="s">
        <v>12</v>
      </c>
      <c r="F1160" t="s">
        <v>13</v>
      </c>
      <c r="G1160" t="str">
        <f t="shared" si="91"/>
        <v/>
      </c>
      <c r="H1160" t="s">
        <v>14</v>
      </c>
      <c r="I1160" t="s">
        <v>3640</v>
      </c>
      <c r="J1160" s="2">
        <f t="shared" si="92"/>
        <v>1399999</v>
      </c>
      <c r="K1160" t="s">
        <v>3641</v>
      </c>
      <c r="L1160">
        <f t="shared" si="93"/>
        <v>0</v>
      </c>
      <c r="N1160" t="s">
        <v>43</v>
      </c>
      <c r="R1160" s="3">
        <f t="shared" si="94"/>
        <v>0</v>
      </c>
    </row>
    <row r="1161" spans="1:18" hidden="1" x14ac:dyDescent="0.25">
      <c r="A1161" t="s">
        <v>1570</v>
      </c>
      <c r="B1161" t="s">
        <v>1303</v>
      </c>
      <c r="C1161" t="s">
        <v>1316</v>
      </c>
      <c r="D1161" s="3">
        <f t="shared" si="90"/>
        <v>12</v>
      </c>
      <c r="E1161" t="s">
        <v>33</v>
      </c>
      <c r="F1161" t="s">
        <v>13</v>
      </c>
      <c r="G1161" t="str">
        <f t="shared" si="91"/>
        <v/>
      </c>
      <c r="H1161" t="s">
        <v>14</v>
      </c>
      <c r="I1161" t="s">
        <v>1571</v>
      </c>
      <c r="J1161" s="2">
        <f t="shared" si="92"/>
        <v>2650000</v>
      </c>
      <c r="K1161" t="s">
        <v>1325</v>
      </c>
      <c r="L1161">
        <f t="shared" si="93"/>
        <v>0.17083333333333331</v>
      </c>
      <c r="M1161" s="5">
        <v>0.17083333333333331</v>
      </c>
      <c r="N1161" t="s">
        <v>43</v>
      </c>
      <c r="R1161" s="3">
        <f t="shared" si="94"/>
        <v>4.0999999999999996</v>
      </c>
    </row>
    <row r="1162" spans="1:18" hidden="1" x14ac:dyDescent="0.25">
      <c r="A1162" t="s">
        <v>597</v>
      </c>
      <c r="B1162" t="s">
        <v>20</v>
      </c>
      <c r="C1162" t="s">
        <v>58</v>
      </c>
      <c r="D1162" s="3">
        <f t="shared" si="90"/>
        <v>24</v>
      </c>
      <c r="E1162" t="s">
        <v>598</v>
      </c>
      <c r="F1162" t="s">
        <v>13</v>
      </c>
      <c r="G1162" t="str">
        <f t="shared" si="91"/>
        <v/>
      </c>
      <c r="H1162" t="s">
        <v>14</v>
      </c>
      <c r="I1162" t="s">
        <v>599</v>
      </c>
      <c r="J1162" s="2">
        <f t="shared" si="92"/>
        <v>650000</v>
      </c>
      <c r="K1162" t="s">
        <v>105</v>
      </c>
      <c r="L1162">
        <f t="shared" si="93"/>
        <v>0</v>
      </c>
      <c r="N1162" t="s">
        <v>43</v>
      </c>
      <c r="R1162" s="3">
        <f t="shared" si="94"/>
        <v>0</v>
      </c>
    </row>
    <row r="1163" spans="1:18" hidden="1" x14ac:dyDescent="0.25">
      <c r="A1163" t="s">
        <v>2390</v>
      </c>
      <c r="B1163" t="s">
        <v>2596</v>
      </c>
      <c r="C1163" t="s">
        <v>2036</v>
      </c>
      <c r="D1163" s="3">
        <f t="shared" ref="D1163:D1218" si="95">VALUE(LEFT(E1163,SEARCH(" x ",E1163)-1))*VALUE(MID(E1163,SEARCH(" x ",E1163)+3,SEARCH(" meter",E1163)-SEARCH(" x ",E1163)-3))</f>
        <v>9</v>
      </c>
      <c r="E1163" t="s">
        <v>12</v>
      </c>
      <c r="F1163" t="s">
        <v>13</v>
      </c>
      <c r="G1163" t="str">
        <f t="shared" ref="G1163:G1218" si="96">IF(H1163="N/A","",VALUE(SUBSTITUTE(SUBSTITUTE(H1163,"Rp",""),".","")))</f>
        <v/>
      </c>
      <c r="H1163" t="s">
        <v>14</v>
      </c>
      <c r="I1163" t="s">
        <v>2391</v>
      </c>
      <c r="J1163" s="2">
        <f t="shared" ref="J1163:J1218" si="97">VALUE(SUBSTITUTE(SUBSTITUTE(K1163,"Rp",""),".",""))</f>
        <v>2600000</v>
      </c>
      <c r="K1163" t="s">
        <v>1336</v>
      </c>
      <c r="L1163">
        <f t="shared" ref="L1163:L1218" si="98">M1163:M3503</f>
        <v>0.17083333333333331</v>
      </c>
      <c r="M1163" s="5">
        <v>0.17083333333333331</v>
      </c>
      <c r="N1163" t="s">
        <v>43</v>
      </c>
      <c r="P1163" t="s">
        <v>134</v>
      </c>
      <c r="R1163" s="3">
        <f t="shared" si="94"/>
        <v>4.0999999999999996</v>
      </c>
    </row>
    <row r="1164" spans="1:18" hidden="1" x14ac:dyDescent="0.25">
      <c r="A1164" t="s">
        <v>4226</v>
      </c>
      <c r="B1164" t="s">
        <v>3746</v>
      </c>
      <c r="C1164" t="s">
        <v>3773</v>
      </c>
      <c r="D1164" s="3">
        <f t="shared" si="95"/>
        <v>10.5</v>
      </c>
      <c r="E1164" t="s">
        <v>653</v>
      </c>
      <c r="F1164" t="s">
        <v>13</v>
      </c>
      <c r="G1164" t="str">
        <f t="shared" si="96"/>
        <v/>
      </c>
      <c r="H1164" t="s">
        <v>14</v>
      </c>
      <c r="I1164" t="s">
        <v>4227</v>
      </c>
      <c r="J1164" s="2">
        <f t="shared" si="97"/>
        <v>1350000</v>
      </c>
      <c r="K1164" t="s">
        <v>257</v>
      </c>
      <c r="L1164">
        <f t="shared" si="98"/>
        <v>0</v>
      </c>
      <c r="N1164" t="s">
        <v>18</v>
      </c>
      <c r="R1164" s="3">
        <f t="shared" si="94"/>
        <v>0</v>
      </c>
    </row>
    <row r="1165" spans="1:18" hidden="1" x14ac:dyDescent="0.25">
      <c r="A1165" t="s">
        <v>1112</v>
      </c>
      <c r="B1165" t="s">
        <v>640</v>
      </c>
      <c r="C1165" t="s">
        <v>643</v>
      </c>
      <c r="D1165" s="3">
        <f t="shared" si="95"/>
        <v>13.5</v>
      </c>
      <c r="E1165" t="s">
        <v>667</v>
      </c>
      <c r="F1165" t="s">
        <v>13</v>
      </c>
      <c r="G1165" t="str">
        <f t="shared" si="96"/>
        <v/>
      </c>
      <c r="H1165" t="s">
        <v>14</v>
      </c>
      <c r="I1165" t="s">
        <v>1113</v>
      </c>
      <c r="J1165" s="2">
        <f t="shared" si="97"/>
        <v>2499000</v>
      </c>
      <c r="K1165" t="s">
        <v>1114</v>
      </c>
      <c r="L1165">
        <f t="shared" si="98"/>
        <v>0</v>
      </c>
      <c r="N1165" t="s">
        <v>18</v>
      </c>
      <c r="P1165" t="s">
        <v>973</v>
      </c>
      <c r="R1165" s="3">
        <f t="shared" si="94"/>
        <v>0</v>
      </c>
    </row>
    <row r="1166" spans="1:18" hidden="1" x14ac:dyDescent="0.25">
      <c r="A1166" t="s">
        <v>1164</v>
      </c>
      <c r="B1166" t="s">
        <v>640</v>
      </c>
      <c r="C1166" t="s">
        <v>657</v>
      </c>
      <c r="D1166" s="3">
        <f t="shared" si="95"/>
        <v>20.25</v>
      </c>
      <c r="E1166" t="s">
        <v>772</v>
      </c>
      <c r="F1166" t="s">
        <v>13</v>
      </c>
      <c r="G1166" t="str">
        <f t="shared" si="96"/>
        <v/>
      </c>
      <c r="H1166" t="s">
        <v>14</v>
      </c>
      <c r="I1166" t="s">
        <v>1165</v>
      </c>
      <c r="J1166" s="2">
        <f t="shared" si="97"/>
        <v>2800000</v>
      </c>
      <c r="K1166" t="s">
        <v>1166</v>
      </c>
      <c r="L1166">
        <f t="shared" si="98"/>
        <v>0</v>
      </c>
      <c r="N1166" t="s">
        <v>18</v>
      </c>
      <c r="R1166" s="3">
        <f t="shared" si="94"/>
        <v>0</v>
      </c>
    </row>
    <row r="1167" spans="1:18" hidden="1" x14ac:dyDescent="0.25">
      <c r="A1167" t="s">
        <v>5775</v>
      </c>
      <c r="B1167" t="s">
        <v>5848</v>
      </c>
      <c r="C1167" t="s">
        <v>5342</v>
      </c>
      <c r="D1167" s="3">
        <f t="shared" si="95"/>
        <v>7.5</v>
      </c>
      <c r="E1167" t="s">
        <v>178</v>
      </c>
      <c r="F1167" t="s">
        <v>13</v>
      </c>
      <c r="G1167" t="str">
        <f t="shared" si="96"/>
        <v/>
      </c>
      <c r="H1167" t="s">
        <v>14</v>
      </c>
      <c r="I1167" t="s">
        <v>5776</v>
      </c>
      <c r="J1167" s="2">
        <f t="shared" si="97"/>
        <v>1300000</v>
      </c>
      <c r="K1167" t="s">
        <v>17</v>
      </c>
      <c r="L1167">
        <f t="shared" si="98"/>
        <v>0.17291666666666669</v>
      </c>
      <c r="M1167" s="5">
        <v>0.17291666666666669</v>
      </c>
      <c r="N1167" t="s">
        <v>43</v>
      </c>
      <c r="P1167" t="s">
        <v>2065</v>
      </c>
      <c r="R1167" s="3">
        <f t="shared" si="94"/>
        <v>4.1500000000000004</v>
      </c>
    </row>
    <row r="1168" spans="1:18" hidden="1" x14ac:dyDescent="0.25">
      <c r="A1168" t="s">
        <v>5703</v>
      </c>
      <c r="B1168" t="s">
        <v>5848</v>
      </c>
      <c r="C1168" t="s">
        <v>5461</v>
      </c>
      <c r="D1168" s="3">
        <f t="shared" si="95"/>
        <v>21</v>
      </c>
      <c r="E1168" t="s">
        <v>121</v>
      </c>
      <c r="F1168" t="s">
        <v>13</v>
      </c>
      <c r="G1168" t="str">
        <f t="shared" si="96"/>
        <v/>
      </c>
      <c r="H1168" t="s">
        <v>14</v>
      </c>
      <c r="I1168" t="s">
        <v>5704</v>
      </c>
      <c r="J1168" s="2">
        <f t="shared" si="97"/>
        <v>1550000</v>
      </c>
      <c r="K1168" t="s">
        <v>137</v>
      </c>
      <c r="L1168">
        <f t="shared" si="98"/>
        <v>0.17222222222222225</v>
      </c>
      <c r="M1168" s="5">
        <v>0.17222222222222225</v>
      </c>
      <c r="N1168" t="s">
        <v>43</v>
      </c>
      <c r="P1168" t="s">
        <v>713</v>
      </c>
      <c r="R1168" s="3">
        <f t="shared" si="94"/>
        <v>4.1333333333333337</v>
      </c>
    </row>
    <row r="1169" spans="1:18" hidden="1" x14ac:dyDescent="0.25">
      <c r="A1169" t="s">
        <v>528</v>
      </c>
      <c r="B1169" t="s">
        <v>20</v>
      </c>
      <c r="C1169" t="s">
        <v>58</v>
      </c>
      <c r="D1169" s="3">
        <f t="shared" si="95"/>
        <v>20</v>
      </c>
      <c r="E1169" t="s">
        <v>529</v>
      </c>
      <c r="F1169" t="s">
        <v>13</v>
      </c>
      <c r="G1169" t="str">
        <f t="shared" si="96"/>
        <v/>
      </c>
      <c r="H1169" t="s">
        <v>14</v>
      </c>
      <c r="I1169" t="s">
        <v>530</v>
      </c>
      <c r="J1169" s="2">
        <f t="shared" si="97"/>
        <v>650000</v>
      </c>
      <c r="K1169" t="s">
        <v>105</v>
      </c>
      <c r="L1169">
        <f t="shared" si="98"/>
        <v>0</v>
      </c>
      <c r="N1169" t="s">
        <v>43</v>
      </c>
      <c r="R1169" s="3">
        <f t="shared" si="94"/>
        <v>0</v>
      </c>
    </row>
    <row r="1170" spans="1:18" hidden="1" x14ac:dyDescent="0.25">
      <c r="A1170" t="s">
        <v>3540</v>
      </c>
      <c r="B1170" t="s">
        <v>3233</v>
      </c>
      <c r="C1170" t="s">
        <v>3248</v>
      </c>
      <c r="D1170" s="3">
        <f t="shared" si="95"/>
        <v>9</v>
      </c>
      <c r="E1170" t="s">
        <v>12</v>
      </c>
      <c r="F1170" t="s">
        <v>34</v>
      </c>
      <c r="G1170" t="str">
        <f t="shared" si="96"/>
        <v/>
      </c>
      <c r="H1170" t="s">
        <v>14</v>
      </c>
      <c r="I1170" t="s">
        <v>3541</v>
      </c>
      <c r="J1170" s="2">
        <f t="shared" si="97"/>
        <v>1300000</v>
      </c>
      <c r="K1170" t="s">
        <v>17</v>
      </c>
      <c r="L1170">
        <f t="shared" si="98"/>
        <v>0.1277777777777778</v>
      </c>
      <c r="M1170" s="5">
        <v>0.1277777777777778</v>
      </c>
      <c r="N1170" t="s">
        <v>43</v>
      </c>
      <c r="R1170" s="3">
        <f t="shared" si="94"/>
        <v>3.0666666666666673</v>
      </c>
    </row>
    <row r="1171" spans="1:18" hidden="1" x14ac:dyDescent="0.25">
      <c r="A1171" t="s">
        <v>4547</v>
      </c>
      <c r="B1171" t="s">
        <v>4272</v>
      </c>
      <c r="C1171" t="s">
        <v>4337</v>
      </c>
      <c r="D1171" s="3">
        <f t="shared" si="95"/>
        <v>9</v>
      </c>
      <c r="E1171" t="s">
        <v>12</v>
      </c>
      <c r="F1171" t="s">
        <v>13</v>
      </c>
      <c r="G1171" t="str">
        <f t="shared" si="96"/>
        <v/>
      </c>
      <c r="H1171" t="s">
        <v>14</v>
      </c>
      <c r="I1171" t="s">
        <v>4548</v>
      </c>
      <c r="J1171" s="2">
        <f t="shared" si="97"/>
        <v>1100000</v>
      </c>
      <c r="K1171" t="s">
        <v>42</v>
      </c>
      <c r="L1171">
        <f t="shared" si="98"/>
        <v>0.20833333333333334</v>
      </c>
      <c r="M1171" s="5">
        <v>0.20833333333333334</v>
      </c>
      <c r="N1171" t="s">
        <v>18</v>
      </c>
      <c r="R1171" s="3">
        <f t="shared" si="94"/>
        <v>5</v>
      </c>
    </row>
    <row r="1172" spans="1:18" hidden="1" x14ac:dyDescent="0.25">
      <c r="A1172" t="s">
        <v>180</v>
      </c>
      <c r="B1172" t="s">
        <v>20</v>
      </c>
      <c r="C1172" t="s">
        <v>19</v>
      </c>
      <c r="D1172" s="3">
        <f t="shared" si="95"/>
        <v>9</v>
      </c>
      <c r="E1172" t="s">
        <v>12</v>
      </c>
      <c r="F1172" t="s">
        <v>13</v>
      </c>
      <c r="G1172" t="str">
        <f t="shared" si="96"/>
        <v/>
      </c>
      <c r="H1172" t="s">
        <v>14</v>
      </c>
      <c r="I1172" t="s">
        <v>181</v>
      </c>
      <c r="J1172" s="2">
        <f t="shared" si="97"/>
        <v>1475000</v>
      </c>
      <c r="K1172" t="s">
        <v>182</v>
      </c>
      <c r="L1172">
        <f t="shared" si="98"/>
        <v>0</v>
      </c>
      <c r="N1172" t="s">
        <v>18</v>
      </c>
      <c r="R1172" s="3">
        <f t="shared" si="94"/>
        <v>0</v>
      </c>
    </row>
    <row r="1173" spans="1:18" hidden="1" x14ac:dyDescent="0.25">
      <c r="A1173" t="s">
        <v>5250</v>
      </c>
      <c r="B1173" t="s">
        <v>4806</v>
      </c>
      <c r="C1173" t="s">
        <v>4888</v>
      </c>
      <c r="D1173" s="3">
        <f t="shared" si="95"/>
        <v>24.75</v>
      </c>
      <c r="E1173" t="s">
        <v>5251</v>
      </c>
      <c r="F1173" t="s">
        <v>13</v>
      </c>
      <c r="G1173" t="str">
        <f t="shared" si="96"/>
        <v/>
      </c>
      <c r="H1173" t="s">
        <v>14</v>
      </c>
      <c r="I1173" t="s">
        <v>5252</v>
      </c>
      <c r="J1173" s="2">
        <f t="shared" si="97"/>
        <v>700000</v>
      </c>
      <c r="K1173" t="s">
        <v>157</v>
      </c>
      <c r="L1173">
        <f t="shared" si="98"/>
        <v>0</v>
      </c>
      <c r="N1173" t="s">
        <v>43</v>
      </c>
      <c r="R1173" s="3">
        <f t="shared" si="94"/>
        <v>0</v>
      </c>
    </row>
    <row r="1174" spans="1:18" x14ac:dyDescent="0.25">
      <c r="A1174" t="s">
        <v>3379</v>
      </c>
      <c r="B1174" t="s">
        <v>3233</v>
      </c>
      <c r="C1174" t="s">
        <v>3357</v>
      </c>
      <c r="D1174" s="3">
        <f t="shared" si="95"/>
        <v>12</v>
      </c>
      <c r="E1174" t="s">
        <v>33</v>
      </c>
      <c r="F1174" t="s">
        <v>13</v>
      </c>
      <c r="G1174" t="str">
        <f t="shared" si="96"/>
        <v/>
      </c>
      <c r="H1174" t="s">
        <v>14</v>
      </c>
      <c r="I1174" t="s">
        <v>3380</v>
      </c>
      <c r="J1174" s="2">
        <f t="shared" si="97"/>
        <v>1600000</v>
      </c>
      <c r="K1174" t="s">
        <v>95</v>
      </c>
      <c r="L1174">
        <f t="shared" si="98"/>
        <v>0</v>
      </c>
      <c r="N1174" t="s">
        <v>43</v>
      </c>
      <c r="R1174" s="3">
        <f t="shared" si="94"/>
        <v>0</v>
      </c>
    </row>
    <row r="1175" spans="1:18" hidden="1" x14ac:dyDescent="0.25">
      <c r="A1175" t="s">
        <v>4415</v>
      </c>
      <c r="B1175" t="s">
        <v>4272</v>
      </c>
      <c r="C1175" t="s">
        <v>4417</v>
      </c>
      <c r="D1175" s="3">
        <f t="shared" si="95"/>
        <v>9</v>
      </c>
      <c r="E1175" t="s">
        <v>12</v>
      </c>
      <c r="F1175" t="s">
        <v>13</v>
      </c>
      <c r="G1175" t="str">
        <f t="shared" si="96"/>
        <v/>
      </c>
      <c r="H1175" t="s">
        <v>14</v>
      </c>
      <c r="I1175" t="s">
        <v>4416</v>
      </c>
      <c r="J1175" s="2">
        <f t="shared" si="97"/>
        <v>1000000</v>
      </c>
      <c r="K1175" t="s">
        <v>52</v>
      </c>
      <c r="L1175">
        <f t="shared" si="98"/>
        <v>0.16944444444444443</v>
      </c>
      <c r="M1175" s="5">
        <v>0.16944444444444443</v>
      </c>
      <c r="N1175" t="s">
        <v>18</v>
      </c>
      <c r="R1175" s="3">
        <f t="shared" si="94"/>
        <v>4.0666666666666664</v>
      </c>
    </row>
    <row r="1176" spans="1:18" hidden="1" x14ac:dyDescent="0.25">
      <c r="A1176" t="s">
        <v>322</v>
      </c>
      <c r="B1176" t="s">
        <v>20</v>
      </c>
      <c r="C1176" t="s">
        <v>218</v>
      </c>
      <c r="D1176" s="3">
        <f t="shared" si="95"/>
        <v>12</v>
      </c>
      <c r="E1176" t="s">
        <v>33</v>
      </c>
      <c r="F1176" t="s">
        <v>13</v>
      </c>
      <c r="G1176" t="str">
        <f t="shared" si="96"/>
        <v/>
      </c>
      <c r="H1176" t="s">
        <v>14</v>
      </c>
      <c r="I1176" t="s">
        <v>323</v>
      </c>
      <c r="J1176" s="2">
        <f t="shared" si="97"/>
        <v>1000000</v>
      </c>
      <c r="K1176" t="s">
        <v>52</v>
      </c>
      <c r="L1176">
        <f t="shared" si="98"/>
        <v>0</v>
      </c>
      <c r="N1176" t="s">
        <v>18</v>
      </c>
      <c r="R1176" s="3">
        <f t="shared" si="94"/>
        <v>0</v>
      </c>
    </row>
    <row r="1177" spans="1:18" hidden="1" x14ac:dyDescent="0.25">
      <c r="A1177" t="s">
        <v>1067</v>
      </c>
      <c r="B1177" t="s">
        <v>640</v>
      </c>
      <c r="C1177" t="s">
        <v>918</v>
      </c>
      <c r="D1177" s="3">
        <f t="shared" si="95"/>
        <v>12</v>
      </c>
      <c r="E1177" t="s">
        <v>33</v>
      </c>
      <c r="F1177" t="s">
        <v>13</v>
      </c>
      <c r="G1177" t="str">
        <f t="shared" si="96"/>
        <v/>
      </c>
      <c r="H1177" t="s">
        <v>14</v>
      </c>
      <c r="I1177" t="s">
        <v>1068</v>
      </c>
      <c r="J1177" s="2">
        <f t="shared" si="97"/>
        <v>2000000</v>
      </c>
      <c r="K1177" t="s">
        <v>128</v>
      </c>
      <c r="L1177">
        <f t="shared" si="98"/>
        <v>0.17291666666666669</v>
      </c>
      <c r="M1177" s="5">
        <v>0.17291666666666669</v>
      </c>
      <c r="N1177" t="s">
        <v>43</v>
      </c>
      <c r="R1177" s="3">
        <f t="shared" si="94"/>
        <v>4.1500000000000004</v>
      </c>
    </row>
    <row r="1178" spans="1:18" x14ac:dyDescent="0.25">
      <c r="A1178" t="s">
        <v>93</v>
      </c>
      <c r="B1178" t="s">
        <v>20</v>
      </c>
      <c r="C1178" t="s">
        <v>30</v>
      </c>
      <c r="D1178" s="3">
        <f t="shared" si="95"/>
        <v>12</v>
      </c>
      <c r="E1178" t="s">
        <v>33</v>
      </c>
      <c r="F1178" t="s">
        <v>34</v>
      </c>
      <c r="G1178" t="str">
        <f t="shared" si="96"/>
        <v/>
      </c>
      <c r="H1178" t="s">
        <v>14</v>
      </c>
      <c r="I1178" t="s">
        <v>94</v>
      </c>
      <c r="J1178" s="2">
        <f t="shared" si="97"/>
        <v>1600000</v>
      </c>
      <c r="K1178" t="s">
        <v>95</v>
      </c>
      <c r="L1178">
        <f t="shared" si="98"/>
        <v>0</v>
      </c>
      <c r="N1178" t="s">
        <v>43</v>
      </c>
      <c r="R1178" s="3">
        <f t="shared" si="94"/>
        <v>0</v>
      </c>
    </row>
    <row r="1179" spans="1:18" hidden="1" x14ac:dyDescent="0.25">
      <c r="A1179" t="s">
        <v>4073</v>
      </c>
      <c r="B1179" t="s">
        <v>3746</v>
      </c>
      <c r="C1179" t="s">
        <v>3746</v>
      </c>
      <c r="D1179" s="3">
        <f t="shared" si="95"/>
        <v>6</v>
      </c>
      <c r="E1179" t="s">
        <v>64</v>
      </c>
      <c r="F1179" t="s">
        <v>13</v>
      </c>
      <c r="G1179" t="str">
        <f t="shared" si="96"/>
        <v/>
      </c>
      <c r="H1179" t="s">
        <v>14</v>
      </c>
      <c r="I1179" t="s">
        <v>4074</v>
      </c>
      <c r="J1179" s="2">
        <f t="shared" si="97"/>
        <v>1100000</v>
      </c>
      <c r="K1179" t="s">
        <v>42</v>
      </c>
      <c r="L1179">
        <f t="shared" si="98"/>
        <v>0.20833333333333334</v>
      </c>
      <c r="M1179" s="5">
        <v>0.20833333333333334</v>
      </c>
      <c r="N1179" t="s">
        <v>43</v>
      </c>
      <c r="R1179" s="3">
        <f t="shared" si="94"/>
        <v>5</v>
      </c>
    </row>
    <row r="1180" spans="1:18" hidden="1" x14ac:dyDescent="0.25">
      <c r="A1180" t="s">
        <v>11</v>
      </c>
      <c r="B1180" t="s">
        <v>20</v>
      </c>
      <c r="C1180" t="s">
        <v>19</v>
      </c>
      <c r="D1180" s="3">
        <f t="shared" si="95"/>
        <v>9</v>
      </c>
      <c r="E1180" t="s">
        <v>12</v>
      </c>
      <c r="F1180" t="s">
        <v>13</v>
      </c>
      <c r="G1180" t="str">
        <f t="shared" si="96"/>
        <v/>
      </c>
      <c r="H1180" t="s">
        <v>14</v>
      </c>
      <c r="I1180" t="s">
        <v>15</v>
      </c>
      <c r="J1180" s="2">
        <f t="shared" si="97"/>
        <v>1300000</v>
      </c>
      <c r="K1180" t="s">
        <v>17</v>
      </c>
      <c r="L1180">
        <f t="shared" si="98"/>
        <v>0</v>
      </c>
      <c r="N1180" t="s">
        <v>18</v>
      </c>
      <c r="R1180" s="3">
        <f t="shared" si="94"/>
        <v>0</v>
      </c>
    </row>
    <row r="1181" spans="1:18" x14ac:dyDescent="0.25">
      <c r="A1181" t="s">
        <v>4907</v>
      </c>
      <c r="B1181" t="s">
        <v>4806</v>
      </c>
      <c r="C1181" t="s">
        <v>4825</v>
      </c>
      <c r="D1181" s="3">
        <f t="shared" si="95"/>
        <v>10.5</v>
      </c>
      <c r="E1181" t="s">
        <v>653</v>
      </c>
      <c r="F1181" t="s">
        <v>13</v>
      </c>
      <c r="G1181" t="str">
        <f t="shared" si="96"/>
        <v/>
      </c>
      <c r="H1181" t="s">
        <v>14</v>
      </c>
      <c r="I1181" t="s">
        <v>4908</v>
      </c>
      <c r="J1181" s="2">
        <f t="shared" si="97"/>
        <v>1600000</v>
      </c>
      <c r="K1181" t="s">
        <v>95</v>
      </c>
      <c r="L1181">
        <f t="shared" si="98"/>
        <v>0</v>
      </c>
      <c r="N1181" t="s">
        <v>18</v>
      </c>
      <c r="R1181" s="3">
        <f t="shared" si="94"/>
        <v>0</v>
      </c>
    </row>
    <row r="1182" spans="1:18" x14ac:dyDescent="0.25">
      <c r="A1182" t="s">
        <v>1219</v>
      </c>
      <c r="B1182" t="s">
        <v>640</v>
      </c>
      <c r="C1182" t="s">
        <v>643</v>
      </c>
      <c r="D1182" s="3">
        <f t="shared" si="95"/>
        <v>10.799999999999999</v>
      </c>
      <c r="E1182" t="s">
        <v>1220</v>
      </c>
      <c r="F1182" t="s">
        <v>13</v>
      </c>
      <c r="G1182" t="str">
        <f t="shared" si="96"/>
        <v/>
      </c>
      <c r="H1182" t="s">
        <v>14</v>
      </c>
      <c r="I1182" t="s">
        <v>1221</v>
      </c>
      <c r="J1182" s="2">
        <f t="shared" si="97"/>
        <v>1600000</v>
      </c>
      <c r="K1182" t="s">
        <v>95</v>
      </c>
      <c r="L1182">
        <f t="shared" si="98"/>
        <v>0.1673611111111111</v>
      </c>
      <c r="M1182" s="5">
        <v>0.1673611111111111</v>
      </c>
      <c r="N1182" t="s">
        <v>37</v>
      </c>
      <c r="R1182" s="3">
        <f t="shared" si="94"/>
        <v>4.0166666666666666</v>
      </c>
    </row>
    <row r="1183" spans="1:18" hidden="1" x14ac:dyDescent="0.25">
      <c r="A1183" t="s">
        <v>4306</v>
      </c>
      <c r="B1183" t="s">
        <v>4272</v>
      </c>
      <c r="C1183" t="s">
        <v>4271</v>
      </c>
      <c r="D1183" s="3">
        <f t="shared" si="95"/>
        <v>8.6999999999999993</v>
      </c>
      <c r="E1183" t="s">
        <v>4307</v>
      </c>
      <c r="F1183" t="s">
        <v>13</v>
      </c>
      <c r="G1183" t="str">
        <f t="shared" si="96"/>
        <v/>
      </c>
      <c r="H1183" t="s">
        <v>14</v>
      </c>
      <c r="I1183" t="s">
        <v>4308</v>
      </c>
      <c r="J1183" s="2">
        <f t="shared" si="97"/>
        <v>650000</v>
      </c>
      <c r="K1183" t="s">
        <v>105</v>
      </c>
      <c r="L1183">
        <f t="shared" si="98"/>
        <v>0.20833333333333334</v>
      </c>
      <c r="M1183" s="5">
        <v>0.20833333333333334</v>
      </c>
      <c r="N1183" t="s">
        <v>18</v>
      </c>
      <c r="R1183" s="3">
        <f t="shared" si="94"/>
        <v>5</v>
      </c>
    </row>
    <row r="1184" spans="1:18" x14ac:dyDescent="0.25">
      <c r="A1184" t="s">
        <v>2692</v>
      </c>
      <c r="B1184" t="s">
        <v>3206</v>
      </c>
      <c r="C1184" t="s">
        <v>2640</v>
      </c>
      <c r="D1184" s="3">
        <f t="shared" si="95"/>
        <v>6</v>
      </c>
      <c r="E1184" t="s">
        <v>285</v>
      </c>
      <c r="F1184" t="s">
        <v>13</v>
      </c>
      <c r="G1184" t="str">
        <f t="shared" si="96"/>
        <v/>
      </c>
      <c r="H1184" t="s">
        <v>14</v>
      </c>
      <c r="I1184" t="s">
        <v>2693</v>
      </c>
      <c r="J1184" s="2">
        <f t="shared" si="97"/>
        <v>1625000</v>
      </c>
      <c r="K1184" t="s">
        <v>702</v>
      </c>
      <c r="L1184">
        <f t="shared" si="98"/>
        <v>0.20833333333333334</v>
      </c>
      <c r="M1184" s="5">
        <v>0.20833333333333334</v>
      </c>
      <c r="N1184" t="s">
        <v>18</v>
      </c>
      <c r="R1184" s="3">
        <f t="shared" si="94"/>
        <v>5</v>
      </c>
    </row>
    <row r="1185" spans="1:18" x14ac:dyDescent="0.25">
      <c r="A1185" t="s">
        <v>4524</v>
      </c>
      <c r="B1185" t="s">
        <v>4272</v>
      </c>
      <c r="C1185" t="s">
        <v>4281</v>
      </c>
      <c r="D1185" s="3">
        <f t="shared" si="95"/>
        <v>12</v>
      </c>
      <c r="E1185" t="s">
        <v>347</v>
      </c>
      <c r="F1185" t="s">
        <v>13</v>
      </c>
      <c r="G1185">
        <f t="shared" si="96"/>
        <v>1775000</v>
      </c>
      <c r="H1185" t="s">
        <v>1055</v>
      </c>
      <c r="I1185" t="s">
        <v>4525</v>
      </c>
      <c r="J1185" s="2">
        <f t="shared" si="97"/>
        <v>1635000</v>
      </c>
      <c r="K1185" t="s">
        <v>4526</v>
      </c>
      <c r="L1185">
        <f t="shared" si="98"/>
        <v>0.17222222222222225</v>
      </c>
      <c r="M1185" s="5">
        <v>0.17222222222222225</v>
      </c>
      <c r="N1185" t="s">
        <v>18</v>
      </c>
      <c r="P1185" t="s">
        <v>1607</v>
      </c>
      <c r="R1185" s="3">
        <f t="shared" si="94"/>
        <v>4.1333333333333337</v>
      </c>
    </row>
    <row r="1186" spans="1:18" hidden="1" x14ac:dyDescent="0.25">
      <c r="A1186" t="s">
        <v>4821</v>
      </c>
      <c r="B1186" t="s">
        <v>4806</v>
      </c>
      <c r="C1186" t="s">
        <v>4805</v>
      </c>
      <c r="D1186" s="3">
        <f t="shared" si="95"/>
        <v>9</v>
      </c>
      <c r="E1186" t="s">
        <v>12</v>
      </c>
      <c r="F1186" t="s">
        <v>13</v>
      </c>
      <c r="G1186" t="str">
        <f t="shared" si="96"/>
        <v/>
      </c>
      <c r="H1186" t="s">
        <v>14</v>
      </c>
      <c r="I1186" t="s">
        <v>4822</v>
      </c>
      <c r="J1186" s="2">
        <f t="shared" si="97"/>
        <v>1500000</v>
      </c>
      <c r="K1186" t="s">
        <v>66</v>
      </c>
      <c r="L1186">
        <f t="shared" si="98"/>
        <v>0</v>
      </c>
      <c r="N1186" t="s">
        <v>37</v>
      </c>
      <c r="R1186" s="3">
        <f t="shared" si="94"/>
        <v>0</v>
      </c>
    </row>
    <row r="1187" spans="1:18" hidden="1" x14ac:dyDescent="0.25">
      <c r="A1187" t="s">
        <v>4105</v>
      </c>
      <c r="B1187" t="s">
        <v>3746</v>
      </c>
      <c r="C1187" t="s">
        <v>3746</v>
      </c>
      <c r="D1187" s="3">
        <f t="shared" si="95"/>
        <v>12</v>
      </c>
      <c r="E1187" t="s">
        <v>33</v>
      </c>
      <c r="F1187" t="s">
        <v>13</v>
      </c>
      <c r="G1187" t="str">
        <f t="shared" si="96"/>
        <v/>
      </c>
      <c r="H1187" t="s">
        <v>14</v>
      </c>
      <c r="I1187" t="s">
        <v>4106</v>
      </c>
      <c r="J1187" s="2">
        <f t="shared" si="97"/>
        <v>1300000</v>
      </c>
      <c r="K1187" t="s">
        <v>17</v>
      </c>
      <c r="L1187">
        <f t="shared" si="98"/>
        <v>0</v>
      </c>
      <c r="N1187" t="s">
        <v>43</v>
      </c>
      <c r="R1187" s="3">
        <f t="shared" si="94"/>
        <v>0</v>
      </c>
    </row>
    <row r="1188" spans="1:18" hidden="1" x14ac:dyDescent="0.25">
      <c r="A1188" t="s">
        <v>4114</v>
      </c>
      <c r="B1188" t="s">
        <v>3746</v>
      </c>
      <c r="C1188" t="s">
        <v>3749</v>
      </c>
      <c r="D1188" s="3">
        <f t="shared" si="95"/>
        <v>12</v>
      </c>
      <c r="E1188" t="s">
        <v>33</v>
      </c>
      <c r="F1188" t="s">
        <v>13</v>
      </c>
      <c r="G1188" t="str">
        <f t="shared" si="96"/>
        <v/>
      </c>
      <c r="H1188" t="s">
        <v>14</v>
      </c>
      <c r="I1188" t="s">
        <v>4115</v>
      </c>
      <c r="J1188" s="2">
        <f t="shared" si="97"/>
        <v>950000</v>
      </c>
      <c r="K1188" t="s">
        <v>355</v>
      </c>
      <c r="L1188">
        <f t="shared" si="98"/>
        <v>0</v>
      </c>
      <c r="N1188" t="s">
        <v>43</v>
      </c>
      <c r="R1188" s="3">
        <f t="shared" si="94"/>
        <v>0</v>
      </c>
    </row>
    <row r="1189" spans="1:18" x14ac:dyDescent="0.25">
      <c r="A1189" t="s">
        <v>832</v>
      </c>
      <c r="B1189" t="s">
        <v>640</v>
      </c>
      <c r="C1189" t="s">
        <v>643</v>
      </c>
      <c r="D1189" s="3">
        <f t="shared" si="95"/>
        <v>9</v>
      </c>
      <c r="E1189" t="s">
        <v>12</v>
      </c>
      <c r="F1189" t="s">
        <v>13</v>
      </c>
      <c r="G1189">
        <f t="shared" si="96"/>
        <v>1815000</v>
      </c>
      <c r="H1189" t="s">
        <v>833</v>
      </c>
      <c r="I1189" t="s">
        <v>834</v>
      </c>
      <c r="J1189" s="2">
        <f t="shared" si="97"/>
        <v>1636000</v>
      </c>
      <c r="K1189" t="s">
        <v>835</v>
      </c>
      <c r="L1189">
        <f t="shared" si="98"/>
        <v>0.17013888888888887</v>
      </c>
      <c r="M1189" s="5">
        <v>0.17013888888888887</v>
      </c>
      <c r="N1189" t="s">
        <v>18</v>
      </c>
      <c r="P1189" t="s">
        <v>762</v>
      </c>
      <c r="R1189" s="3">
        <f t="shared" si="94"/>
        <v>4.083333333333333</v>
      </c>
    </row>
    <row r="1190" spans="1:18" x14ac:dyDescent="0.25">
      <c r="A1190" t="s">
        <v>5377</v>
      </c>
      <c r="B1190" t="s">
        <v>5848</v>
      </c>
      <c r="C1190" t="s">
        <v>5335</v>
      </c>
      <c r="D1190" s="3">
        <f t="shared" si="95"/>
        <v>7.5</v>
      </c>
      <c r="E1190" t="s">
        <v>178</v>
      </c>
      <c r="F1190" t="s">
        <v>34</v>
      </c>
      <c r="G1190">
        <f t="shared" si="96"/>
        <v>1725000</v>
      </c>
      <c r="H1190" t="s">
        <v>897</v>
      </c>
      <c r="I1190" t="s">
        <v>5378</v>
      </c>
      <c r="J1190" s="2">
        <f t="shared" si="97"/>
        <v>1640000</v>
      </c>
      <c r="K1190" t="s">
        <v>1735</v>
      </c>
      <c r="L1190">
        <f t="shared" si="98"/>
        <v>0.17222222222222225</v>
      </c>
      <c r="M1190" s="5">
        <v>0.17222222222222225</v>
      </c>
      <c r="N1190" t="s">
        <v>43</v>
      </c>
      <c r="P1190" t="s">
        <v>713</v>
      </c>
      <c r="R1190" s="3">
        <f t="shared" si="94"/>
        <v>4.1333333333333337</v>
      </c>
    </row>
    <row r="1191" spans="1:18" hidden="1" x14ac:dyDescent="0.25">
      <c r="A1191" t="s">
        <v>1085</v>
      </c>
      <c r="B1191" t="s">
        <v>640</v>
      </c>
      <c r="C1191" t="s">
        <v>856</v>
      </c>
      <c r="D1191" s="3">
        <f t="shared" si="95"/>
        <v>20</v>
      </c>
      <c r="E1191" t="s">
        <v>159</v>
      </c>
      <c r="F1191" t="s">
        <v>34</v>
      </c>
      <c r="G1191" t="str">
        <f t="shared" si="96"/>
        <v/>
      </c>
      <c r="H1191" t="s">
        <v>14</v>
      </c>
      <c r="I1191" t="s">
        <v>1086</v>
      </c>
      <c r="J1191" s="2">
        <f t="shared" si="97"/>
        <v>800000</v>
      </c>
      <c r="K1191" t="s">
        <v>109</v>
      </c>
      <c r="L1191">
        <f t="shared" si="98"/>
        <v>0</v>
      </c>
      <c r="N1191" t="s">
        <v>43</v>
      </c>
      <c r="R1191" s="3">
        <f t="shared" si="94"/>
        <v>0</v>
      </c>
    </row>
    <row r="1192" spans="1:18" x14ac:dyDescent="0.25">
      <c r="A1192" t="s">
        <v>5829</v>
      </c>
      <c r="B1192" t="s">
        <v>5848</v>
      </c>
      <c r="C1192" t="s">
        <v>5369</v>
      </c>
      <c r="D1192" s="3">
        <f t="shared" si="95"/>
        <v>14</v>
      </c>
      <c r="E1192" t="s">
        <v>875</v>
      </c>
      <c r="F1192" t="s">
        <v>13</v>
      </c>
      <c r="G1192">
        <f t="shared" si="96"/>
        <v>1825000</v>
      </c>
      <c r="H1192" t="s">
        <v>196</v>
      </c>
      <c r="I1192" t="s">
        <v>5830</v>
      </c>
      <c r="J1192" s="2">
        <f t="shared" si="97"/>
        <v>1645000</v>
      </c>
      <c r="K1192" t="s">
        <v>1124</v>
      </c>
      <c r="L1192">
        <f t="shared" si="98"/>
        <v>0.17083333333333331</v>
      </c>
      <c r="M1192" s="5">
        <v>0.17083333333333331</v>
      </c>
      <c r="N1192" t="s">
        <v>18</v>
      </c>
      <c r="P1192" t="s">
        <v>1125</v>
      </c>
      <c r="R1192" s="3">
        <f t="shared" si="94"/>
        <v>4.0999999999999996</v>
      </c>
    </row>
    <row r="1193" spans="1:18" hidden="1" x14ac:dyDescent="0.25">
      <c r="A1193" t="s">
        <v>1007</v>
      </c>
      <c r="B1193" t="s">
        <v>640</v>
      </c>
      <c r="C1193" t="s">
        <v>657</v>
      </c>
      <c r="D1193" s="3">
        <f t="shared" si="95"/>
        <v>9</v>
      </c>
      <c r="E1193" t="s">
        <v>12</v>
      </c>
      <c r="F1193" t="s">
        <v>13</v>
      </c>
      <c r="G1193" t="str">
        <f t="shared" si="96"/>
        <v/>
      </c>
      <c r="H1193" t="s">
        <v>14</v>
      </c>
      <c r="I1193" t="s">
        <v>1008</v>
      </c>
      <c r="J1193" s="2">
        <f t="shared" si="97"/>
        <v>650000</v>
      </c>
      <c r="K1193" t="s">
        <v>105</v>
      </c>
      <c r="L1193">
        <f t="shared" si="98"/>
        <v>0</v>
      </c>
      <c r="N1193" t="s">
        <v>18</v>
      </c>
      <c r="R1193" s="3">
        <f t="shared" si="94"/>
        <v>0</v>
      </c>
    </row>
    <row r="1194" spans="1:18" x14ac:dyDescent="0.25">
      <c r="A1194" t="s">
        <v>3956</v>
      </c>
      <c r="B1194" t="s">
        <v>3746</v>
      </c>
      <c r="C1194" t="s">
        <v>3763</v>
      </c>
      <c r="D1194" s="3">
        <f t="shared" si="95"/>
        <v>8.1000000000000014</v>
      </c>
      <c r="E1194" t="s">
        <v>1168</v>
      </c>
      <c r="F1194" t="s">
        <v>13</v>
      </c>
      <c r="G1194">
        <f t="shared" si="96"/>
        <v>1825000</v>
      </c>
      <c r="H1194" t="s">
        <v>196</v>
      </c>
      <c r="I1194" t="s">
        <v>3957</v>
      </c>
      <c r="J1194" s="2">
        <f t="shared" si="97"/>
        <v>1645000</v>
      </c>
      <c r="K1194" t="s">
        <v>1124</v>
      </c>
      <c r="L1194">
        <f t="shared" si="98"/>
        <v>0.17083333333333331</v>
      </c>
      <c r="M1194" s="5">
        <v>0.17083333333333331</v>
      </c>
      <c r="N1194" t="s">
        <v>18</v>
      </c>
      <c r="P1194" t="s">
        <v>1125</v>
      </c>
      <c r="R1194" s="3">
        <f t="shared" si="94"/>
        <v>4.0999999999999996</v>
      </c>
    </row>
    <row r="1195" spans="1:18" hidden="1" x14ac:dyDescent="0.25">
      <c r="A1195" t="s">
        <v>3377</v>
      </c>
      <c r="B1195" t="s">
        <v>3233</v>
      </c>
      <c r="C1195" t="s">
        <v>3261</v>
      </c>
      <c r="D1195" s="3">
        <f t="shared" si="95"/>
        <v>12</v>
      </c>
      <c r="E1195" t="s">
        <v>33</v>
      </c>
      <c r="F1195" t="s">
        <v>13</v>
      </c>
      <c r="G1195" t="str">
        <f t="shared" si="96"/>
        <v/>
      </c>
      <c r="H1195" t="s">
        <v>14</v>
      </c>
      <c r="I1195" t="s">
        <v>3378</v>
      </c>
      <c r="J1195" s="2">
        <f t="shared" si="97"/>
        <v>1300000</v>
      </c>
      <c r="K1195" t="s">
        <v>17</v>
      </c>
      <c r="L1195">
        <f t="shared" si="98"/>
        <v>4.3750000000000004E-2</v>
      </c>
      <c r="M1195" s="5">
        <v>4.3750000000000004E-2</v>
      </c>
      <c r="N1195" t="s">
        <v>43</v>
      </c>
      <c r="R1195" s="3">
        <f t="shared" si="94"/>
        <v>1.05</v>
      </c>
    </row>
    <row r="1196" spans="1:18" hidden="1" x14ac:dyDescent="0.25">
      <c r="A1196" t="s">
        <v>3604</v>
      </c>
      <c r="B1196" t="s">
        <v>3233</v>
      </c>
      <c r="C1196" t="s">
        <v>3237</v>
      </c>
      <c r="D1196" s="3">
        <f t="shared" si="95"/>
        <v>5</v>
      </c>
      <c r="E1196" t="s">
        <v>60</v>
      </c>
      <c r="F1196" t="s">
        <v>13</v>
      </c>
      <c r="G1196" t="str">
        <f t="shared" si="96"/>
        <v/>
      </c>
      <c r="H1196" t="s">
        <v>14</v>
      </c>
      <c r="I1196" t="s">
        <v>3605</v>
      </c>
      <c r="J1196" s="2">
        <f t="shared" si="97"/>
        <v>1100000</v>
      </c>
      <c r="K1196" t="s">
        <v>42</v>
      </c>
      <c r="L1196">
        <f t="shared" si="98"/>
        <v>0</v>
      </c>
      <c r="N1196" t="s">
        <v>43</v>
      </c>
      <c r="R1196" s="3">
        <f t="shared" si="94"/>
        <v>0</v>
      </c>
    </row>
    <row r="1197" spans="1:18" hidden="1" x14ac:dyDescent="0.25">
      <c r="A1197" t="s">
        <v>287</v>
      </c>
      <c r="B1197" t="s">
        <v>20</v>
      </c>
      <c r="C1197" t="s">
        <v>24</v>
      </c>
      <c r="D1197" s="3">
        <f t="shared" si="95"/>
        <v>9</v>
      </c>
      <c r="E1197" t="s">
        <v>12</v>
      </c>
      <c r="F1197" t="s">
        <v>34</v>
      </c>
      <c r="G1197" t="str">
        <f t="shared" si="96"/>
        <v/>
      </c>
      <c r="H1197" t="s">
        <v>14</v>
      </c>
      <c r="I1197" t="s">
        <v>288</v>
      </c>
      <c r="J1197" s="2">
        <f t="shared" si="97"/>
        <v>650000</v>
      </c>
      <c r="K1197" t="s">
        <v>105</v>
      </c>
      <c r="L1197">
        <f t="shared" si="98"/>
        <v>0.17222222222222225</v>
      </c>
      <c r="M1197" s="5">
        <v>0.17222222222222225</v>
      </c>
      <c r="N1197" t="s">
        <v>37</v>
      </c>
      <c r="R1197" s="3">
        <f t="shared" si="94"/>
        <v>4.1333333333333337</v>
      </c>
    </row>
    <row r="1198" spans="1:18" hidden="1" x14ac:dyDescent="0.25">
      <c r="A1198" t="s">
        <v>5228</v>
      </c>
      <c r="B1198" t="s">
        <v>4806</v>
      </c>
      <c r="C1198" t="s">
        <v>4805</v>
      </c>
      <c r="D1198" s="3">
        <f t="shared" si="95"/>
        <v>6</v>
      </c>
      <c r="E1198" t="s">
        <v>285</v>
      </c>
      <c r="F1198" t="s">
        <v>34</v>
      </c>
      <c r="G1198" t="str">
        <f t="shared" si="96"/>
        <v/>
      </c>
      <c r="H1198" t="s">
        <v>14</v>
      </c>
      <c r="I1198" t="s">
        <v>5229</v>
      </c>
      <c r="J1198" s="2">
        <f t="shared" si="97"/>
        <v>1050000</v>
      </c>
      <c r="K1198" t="s">
        <v>477</v>
      </c>
      <c r="L1198">
        <f t="shared" si="98"/>
        <v>0.20833333333333334</v>
      </c>
      <c r="M1198" s="5">
        <v>0.20833333333333334</v>
      </c>
      <c r="N1198" t="s">
        <v>43</v>
      </c>
      <c r="R1198" s="3">
        <f t="shared" si="94"/>
        <v>5</v>
      </c>
    </row>
    <row r="1199" spans="1:18" hidden="1" x14ac:dyDescent="0.25">
      <c r="A1199" t="s">
        <v>5739</v>
      </c>
      <c r="B1199" t="s">
        <v>5848</v>
      </c>
      <c r="C1199" t="s">
        <v>5741</v>
      </c>
      <c r="D1199" s="3">
        <f t="shared" si="95"/>
        <v>12</v>
      </c>
      <c r="E1199" t="s">
        <v>33</v>
      </c>
      <c r="F1199" t="s">
        <v>13</v>
      </c>
      <c r="G1199" t="str">
        <f t="shared" si="96"/>
        <v/>
      </c>
      <c r="H1199" t="s">
        <v>14</v>
      </c>
      <c r="I1199" t="s">
        <v>5740</v>
      </c>
      <c r="J1199" s="2">
        <f t="shared" si="97"/>
        <v>900000</v>
      </c>
      <c r="K1199" t="s">
        <v>101</v>
      </c>
      <c r="L1199">
        <f t="shared" si="98"/>
        <v>0.20833333333333334</v>
      </c>
      <c r="M1199" s="5">
        <v>0.20833333333333334</v>
      </c>
      <c r="N1199" t="s">
        <v>18</v>
      </c>
      <c r="R1199" s="3">
        <f t="shared" si="94"/>
        <v>5</v>
      </c>
    </row>
    <row r="1200" spans="1:18" hidden="1" x14ac:dyDescent="0.25">
      <c r="A1200" t="s">
        <v>3728</v>
      </c>
      <c r="B1200" t="s">
        <v>3233</v>
      </c>
      <c r="C1200" t="s">
        <v>3376</v>
      </c>
      <c r="D1200" s="3">
        <f t="shared" si="95"/>
        <v>12</v>
      </c>
      <c r="E1200" t="s">
        <v>33</v>
      </c>
      <c r="F1200" t="s">
        <v>13</v>
      </c>
      <c r="G1200" t="str">
        <f t="shared" si="96"/>
        <v/>
      </c>
      <c r="H1200" t="s">
        <v>14</v>
      </c>
      <c r="I1200" t="s">
        <v>3729</v>
      </c>
      <c r="J1200" s="2">
        <f t="shared" si="97"/>
        <v>1700000</v>
      </c>
      <c r="K1200" t="s">
        <v>23</v>
      </c>
      <c r="L1200">
        <f t="shared" si="98"/>
        <v>0</v>
      </c>
      <c r="N1200" t="s">
        <v>43</v>
      </c>
      <c r="R1200" s="3">
        <f t="shared" si="94"/>
        <v>0</v>
      </c>
    </row>
    <row r="1201" spans="1:18" hidden="1" x14ac:dyDescent="0.25">
      <c r="A1201" t="s">
        <v>1257</v>
      </c>
      <c r="B1201" t="s">
        <v>640</v>
      </c>
      <c r="C1201" t="s">
        <v>918</v>
      </c>
      <c r="D1201" s="3">
        <f t="shared" si="95"/>
        <v>9</v>
      </c>
      <c r="E1201" t="s">
        <v>12</v>
      </c>
      <c r="F1201" t="s">
        <v>13</v>
      </c>
      <c r="G1201" t="str">
        <f t="shared" si="96"/>
        <v/>
      </c>
      <c r="H1201" t="s">
        <v>14</v>
      </c>
      <c r="I1201" t="s">
        <v>1258</v>
      </c>
      <c r="J1201" s="2">
        <f t="shared" si="97"/>
        <v>1200000</v>
      </c>
      <c r="K1201" t="s">
        <v>36</v>
      </c>
      <c r="L1201">
        <f t="shared" si="98"/>
        <v>0.20833333333333334</v>
      </c>
      <c r="M1201" s="5">
        <v>0.20833333333333334</v>
      </c>
      <c r="N1201" t="s">
        <v>43</v>
      </c>
      <c r="R1201" s="3">
        <f t="shared" si="94"/>
        <v>5</v>
      </c>
    </row>
    <row r="1202" spans="1:18" hidden="1" x14ac:dyDescent="0.25">
      <c r="A1202" t="s">
        <v>5196</v>
      </c>
      <c r="B1202" t="s">
        <v>4806</v>
      </c>
      <c r="C1202" t="s">
        <v>5173</v>
      </c>
      <c r="D1202" s="3">
        <f t="shared" si="95"/>
        <v>12</v>
      </c>
      <c r="E1202" t="s">
        <v>33</v>
      </c>
      <c r="F1202" t="s">
        <v>13</v>
      </c>
      <c r="G1202" t="str">
        <f t="shared" si="96"/>
        <v/>
      </c>
      <c r="H1202" t="s">
        <v>14</v>
      </c>
      <c r="I1202" t="s">
        <v>5197</v>
      </c>
      <c r="J1202" s="2">
        <f t="shared" si="97"/>
        <v>650000</v>
      </c>
      <c r="K1202" t="s">
        <v>105</v>
      </c>
      <c r="L1202">
        <f t="shared" si="98"/>
        <v>0.20833333333333334</v>
      </c>
      <c r="M1202" s="5">
        <v>0.20833333333333334</v>
      </c>
      <c r="N1202" t="s">
        <v>37</v>
      </c>
      <c r="R1202" s="3">
        <f t="shared" si="94"/>
        <v>5</v>
      </c>
    </row>
    <row r="1203" spans="1:18" hidden="1" x14ac:dyDescent="0.25">
      <c r="A1203" t="s">
        <v>68</v>
      </c>
      <c r="B1203" t="s">
        <v>20</v>
      </c>
      <c r="C1203" t="s">
        <v>58</v>
      </c>
      <c r="D1203" s="3">
        <f t="shared" si="95"/>
        <v>9</v>
      </c>
      <c r="E1203" t="s">
        <v>12</v>
      </c>
      <c r="F1203" t="s">
        <v>34</v>
      </c>
      <c r="G1203" t="str">
        <f t="shared" si="96"/>
        <v/>
      </c>
      <c r="H1203" t="s">
        <v>14</v>
      </c>
      <c r="I1203" t="s">
        <v>69</v>
      </c>
      <c r="J1203" s="2">
        <f t="shared" si="97"/>
        <v>1000000</v>
      </c>
      <c r="K1203" t="s">
        <v>52</v>
      </c>
      <c r="L1203">
        <f t="shared" si="98"/>
        <v>0</v>
      </c>
      <c r="N1203" t="s">
        <v>18</v>
      </c>
      <c r="R1203" s="3">
        <f t="shared" si="94"/>
        <v>0</v>
      </c>
    </row>
    <row r="1204" spans="1:18" hidden="1" x14ac:dyDescent="0.25">
      <c r="A1204" t="s">
        <v>4508</v>
      </c>
      <c r="B1204" t="s">
        <v>4272</v>
      </c>
      <c r="C1204" t="s">
        <v>4285</v>
      </c>
      <c r="D1204" s="3">
        <f t="shared" si="95"/>
        <v>15</v>
      </c>
      <c r="E1204" t="s">
        <v>71</v>
      </c>
      <c r="F1204" t="s">
        <v>13</v>
      </c>
      <c r="G1204" t="str">
        <f t="shared" si="96"/>
        <v/>
      </c>
      <c r="H1204" t="s">
        <v>14</v>
      </c>
      <c r="I1204" t="s">
        <v>4509</v>
      </c>
      <c r="J1204" s="2">
        <f t="shared" si="97"/>
        <v>3500000</v>
      </c>
      <c r="K1204" t="s">
        <v>143</v>
      </c>
      <c r="L1204">
        <f t="shared" si="98"/>
        <v>0</v>
      </c>
      <c r="N1204" t="s">
        <v>18</v>
      </c>
      <c r="R1204" s="3">
        <f t="shared" si="94"/>
        <v>0</v>
      </c>
    </row>
    <row r="1205" spans="1:18" hidden="1" x14ac:dyDescent="0.25">
      <c r="A1205" t="s">
        <v>4171</v>
      </c>
      <c r="B1205" t="s">
        <v>3746</v>
      </c>
      <c r="C1205" t="s">
        <v>3833</v>
      </c>
      <c r="D1205" s="3">
        <f t="shared" si="95"/>
        <v>9</v>
      </c>
      <c r="E1205" t="s">
        <v>12</v>
      </c>
      <c r="F1205" t="s">
        <v>13</v>
      </c>
      <c r="G1205" t="str">
        <f t="shared" si="96"/>
        <v/>
      </c>
      <c r="H1205" t="s">
        <v>14</v>
      </c>
      <c r="I1205" t="s">
        <v>4172</v>
      </c>
      <c r="J1205" s="2">
        <f t="shared" si="97"/>
        <v>898000</v>
      </c>
      <c r="K1205" t="s">
        <v>688</v>
      </c>
      <c r="L1205">
        <f t="shared" si="98"/>
        <v>0.13055555555555556</v>
      </c>
      <c r="M1205" s="5">
        <v>0.13055555555555556</v>
      </c>
      <c r="N1205" t="s">
        <v>43</v>
      </c>
      <c r="R1205" s="3">
        <f t="shared" si="94"/>
        <v>3.1333333333333337</v>
      </c>
    </row>
    <row r="1206" spans="1:18" hidden="1" x14ac:dyDescent="0.25">
      <c r="A1206" t="s">
        <v>4124</v>
      </c>
      <c r="B1206" t="s">
        <v>3746</v>
      </c>
      <c r="C1206" t="s">
        <v>3833</v>
      </c>
      <c r="D1206" s="3">
        <f t="shared" si="95"/>
        <v>9</v>
      </c>
      <c r="E1206" t="s">
        <v>12</v>
      </c>
      <c r="F1206" t="s">
        <v>13</v>
      </c>
      <c r="G1206" t="str">
        <f t="shared" si="96"/>
        <v/>
      </c>
      <c r="H1206" t="s">
        <v>14</v>
      </c>
      <c r="I1206" t="s">
        <v>4125</v>
      </c>
      <c r="J1206" s="2">
        <f t="shared" si="97"/>
        <v>1065000</v>
      </c>
      <c r="K1206" t="s">
        <v>4126</v>
      </c>
      <c r="L1206">
        <f t="shared" si="98"/>
        <v>0</v>
      </c>
      <c r="N1206" t="s">
        <v>43</v>
      </c>
      <c r="R1206" s="3">
        <f t="shared" si="94"/>
        <v>0</v>
      </c>
    </row>
    <row r="1207" spans="1:18" hidden="1" x14ac:dyDescent="0.25">
      <c r="A1207" t="s">
        <v>5165</v>
      </c>
      <c r="B1207" t="s">
        <v>4806</v>
      </c>
      <c r="C1207" t="s">
        <v>4859</v>
      </c>
      <c r="D1207" s="3">
        <f t="shared" si="95"/>
        <v>12</v>
      </c>
      <c r="E1207" t="s">
        <v>33</v>
      </c>
      <c r="F1207" t="s">
        <v>13</v>
      </c>
      <c r="G1207" t="str">
        <f t="shared" si="96"/>
        <v/>
      </c>
      <c r="H1207" t="s">
        <v>14</v>
      </c>
      <c r="I1207" t="s">
        <v>5166</v>
      </c>
      <c r="J1207" s="2">
        <f t="shared" si="97"/>
        <v>800000</v>
      </c>
      <c r="K1207" t="s">
        <v>109</v>
      </c>
      <c r="L1207">
        <f t="shared" si="98"/>
        <v>0.16666666666666666</v>
      </c>
      <c r="M1207" s="5">
        <v>0.16666666666666666</v>
      </c>
      <c r="N1207" t="s">
        <v>43</v>
      </c>
      <c r="R1207" s="3">
        <f t="shared" si="94"/>
        <v>4</v>
      </c>
    </row>
    <row r="1208" spans="1:18" hidden="1" x14ac:dyDescent="0.25">
      <c r="A1208" t="s">
        <v>1676</v>
      </c>
      <c r="B1208" t="s">
        <v>1303</v>
      </c>
      <c r="C1208" t="s">
        <v>1312</v>
      </c>
      <c r="D1208" s="3">
        <f t="shared" si="95"/>
        <v>12</v>
      </c>
      <c r="E1208" t="s">
        <v>33</v>
      </c>
      <c r="F1208" t="s">
        <v>13</v>
      </c>
      <c r="G1208" t="str">
        <f t="shared" si="96"/>
        <v/>
      </c>
      <c r="H1208" t="s">
        <v>14</v>
      </c>
      <c r="I1208" t="s">
        <v>1677</v>
      </c>
      <c r="J1208" s="2">
        <f t="shared" si="97"/>
        <v>2225000</v>
      </c>
      <c r="K1208" t="s">
        <v>1339</v>
      </c>
      <c r="L1208">
        <f t="shared" si="98"/>
        <v>0.16874999999999998</v>
      </c>
      <c r="M1208" s="5">
        <v>0.16874999999999998</v>
      </c>
      <c r="N1208" t="s">
        <v>43</v>
      </c>
      <c r="R1208" s="3">
        <f t="shared" si="94"/>
        <v>4.05</v>
      </c>
    </row>
    <row r="1209" spans="1:18" hidden="1" x14ac:dyDescent="0.25">
      <c r="A1209" t="s">
        <v>324</v>
      </c>
      <c r="B1209" t="s">
        <v>20</v>
      </c>
      <c r="C1209" t="s">
        <v>218</v>
      </c>
      <c r="D1209" s="3">
        <f t="shared" si="95"/>
        <v>12</v>
      </c>
      <c r="E1209" t="s">
        <v>33</v>
      </c>
      <c r="F1209" t="s">
        <v>13</v>
      </c>
      <c r="G1209" t="str">
        <f t="shared" si="96"/>
        <v/>
      </c>
      <c r="H1209" t="s">
        <v>14</v>
      </c>
      <c r="I1209" t="s">
        <v>325</v>
      </c>
      <c r="J1209" s="2">
        <f t="shared" si="97"/>
        <v>1750000</v>
      </c>
      <c r="K1209" t="s">
        <v>306</v>
      </c>
      <c r="L1209">
        <f t="shared" si="98"/>
        <v>0</v>
      </c>
      <c r="N1209" t="s">
        <v>43</v>
      </c>
      <c r="R1209" s="3">
        <f t="shared" si="94"/>
        <v>0</v>
      </c>
    </row>
    <row r="1210" spans="1:18" x14ac:dyDescent="0.25">
      <c r="A1210" t="s">
        <v>1122</v>
      </c>
      <c r="B1210" t="s">
        <v>640</v>
      </c>
      <c r="C1210" t="s">
        <v>664</v>
      </c>
      <c r="D1210" s="3">
        <f t="shared" si="95"/>
        <v>7.5</v>
      </c>
      <c r="E1210" t="s">
        <v>614</v>
      </c>
      <c r="F1210" t="s">
        <v>13</v>
      </c>
      <c r="G1210">
        <f t="shared" si="96"/>
        <v>1825000</v>
      </c>
      <c r="H1210" t="s">
        <v>196</v>
      </c>
      <c r="I1210" t="s">
        <v>1123</v>
      </c>
      <c r="J1210" s="2">
        <f t="shared" si="97"/>
        <v>1645000</v>
      </c>
      <c r="K1210" t="s">
        <v>1124</v>
      </c>
      <c r="L1210">
        <f t="shared" si="98"/>
        <v>0.17013888888888887</v>
      </c>
      <c r="M1210" s="5">
        <v>0.17013888888888887</v>
      </c>
      <c r="N1210" t="s">
        <v>18</v>
      </c>
      <c r="P1210" t="s">
        <v>1125</v>
      </c>
      <c r="R1210" s="3">
        <f t="shared" si="94"/>
        <v>4.083333333333333</v>
      </c>
    </row>
    <row r="1211" spans="1:18" hidden="1" x14ac:dyDescent="0.25">
      <c r="A1211" t="s">
        <v>2490</v>
      </c>
      <c r="B1211" t="s">
        <v>2596</v>
      </c>
      <c r="C1211" t="s">
        <v>2024</v>
      </c>
      <c r="D1211" s="3">
        <f t="shared" si="95"/>
        <v>5.76</v>
      </c>
      <c r="E1211" t="s">
        <v>2491</v>
      </c>
      <c r="F1211" t="s">
        <v>13</v>
      </c>
      <c r="G1211" t="str">
        <f t="shared" si="96"/>
        <v/>
      </c>
      <c r="H1211" t="s">
        <v>14</v>
      </c>
      <c r="I1211" t="s">
        <v>2492</v>
      </c>
      <c r="J1211" s="2">
        <f t="shared" si="97"/>
        <v>1600000</v>
      </c>
      <c r="K1211" t="s">
        <v>95</v>
      </c>
      <c r="L1211">
        <f t="shared" si="98"/>
        <v>0.17222222222222225</v>
      </c>
      <c r="M1211" s="5">
        <v>0.17222222222222225</v>
      </c>
      <c r="N1211" t="s">
        <v>43</v>
      </c>
      <c r="P1211" t="s">
        <v>745</v>
      </c>
      <c r="R1211" s="3">
        <f t="shared" si="94"/>
        <v>4.1333333333333337</v>
      </c>
    </row>
    <row r="1212" spans="1:18" hidden="1" x14ac:dyDescent="0.25">
      <c r="A1212" t="s">
        <v>5190</v>
      </c>
      <c r="B1212" t="s">
        <v>4806</v>
      </c>
      <c r="C1212" t="s">
        <v>4939</v>
      </c>
      <c r="D1212" s="3">
        <f t="shared" si="95"/>
        <v>12</v>
      </c>
      <c r="E1212" t="s">
        <v>33</v>
      </c>
      <c r="F1212" t="s">
        <v>13</v>
      </c>
      <c r="G1212" t="str">
        <f t="shared" si="96"/>
        <v/>
      </c>
      <c r="H1212" t="s">
        <v>14</v>
      </c>
      <c r="I1212" t="s">
        <v>5191</v>
      </c>
      <c r="J1212" s="2">
        <f t="shared" si="97"/>
        <v>700000</v>
      </c>
      <c r="K1212" t="s">
        <v>157</v>
      </c>
      <c r="L1212">
        <f t="shared" si="98"/>
        <v>0.1673611111111111</v>
      </c>
      <c r="M1212" s="5">
        <v>0.1673611111111111</v>
      </c>
      <c r="N1212" t="s">
        <v>18</v>
      </c>
      <c r="R1212" s="3">
        <f t="shared" si="94"/>
        <v>4.0166666666666666</v>
      </c>
    </row>
    <row r="1213" spans="1:18" hidden="1" x14ac:dyDescent="0.25">
      <c r="A1213" t="s">
        <v>1288</v>
      </c>
      <c r="B1213" t="s">
        <v>640</v>
      </c>
      <c r="C1213" t="s">
        <v>664</v>
      </c>
      <c r="D1213" s="3">
        <f t="shared" si="95"/>
        <v>16</v>
      </c>
      <c r="E1213" t="s">
        <v>79</v>
      </c>
      <c r="F1213" t="s">
        <v>34</v>
      </c>
      <c r="G1213" t="str">
        <f t="shared" si="96"/>
        <v/>
      </c>
      <c r="H1213" t="s">
        <v>14</v>
      </c>
      <c r="I1213" t="s">
        <v>1289</v>
      </c>
      <c r="J1213" s="2">
        <f t="shared" si="97"/>
        <v>1050000</v>
      </c>
      <c r="K1213" t="s">
        <v>477</v>
      </c>
      <c r="L1213">
        <f t="shared" si="98"/>
        <v>0.20833333333333334</v>
      </c>
      <c r="M1213" s="5">
        <v>0.20833333333333334</v>
      </c>
      <c r="N1213" t="s">
        <v>37</v>
      </c>
      <c r="P1213" t="s">
        <v>727</v>
      </c>
      <c r="R1213" s="3">
        <f t="shared" si="94"/>
        <v>5</v>
      </c>
    </row>
    <row r="1214" spans="1:18" hidden="1" x14ac:dyDescent="0.25">
      <c r="A1214" t="s">
        <v>5143</v>
      </c>
      <c r="B1214" t="s">
        <v>4806</v>
      </c>
      <c r="C1214" t="s">
        <v>4939</v>
      </c>
      <c r="D1214" s="3">
        <f t="shared" si="95"/>
        <v>12</v>
      </c>
      <c r="E1214" t="s">
        <v>33</v>
      </c>
      <c r="F1214" t="s">
        <v>13</v>
      </c>
      <c r="G1214" t="str">
        <f t="shared" si="96"/>
        <v/>
      </c>
      <c r="H1214" t="s">
        <v>14</v>
      </c>
      <c r="I1214" t="s">
        <v>4938</v>
      </c>
      <c r="J1214" s="2">
        <f t="shared" si="97"/>
        <v>1850000</v>
      </c>
      <c r="K1214" t="s">
        <v>87</v>
      </c>
      <c r="L1214">
        <f t="shared" si="98"/>
        <v>0</v>
      </c>
      <c r="N1214" t="s">
        <v>18</v>
      </c>
      <c r="R1214" s="3">
        <f t="shared" si="94"/>
        <v>0</v>
      </c>
    </row>
    <row r="1215" spans="1:18" hidden="1" x14ac:dyDescent="0.25">
      <c r="A1215" t="s">
        <v>4937</v>
      </c>
      <c r="B1215" t="s">
        <v>4806</v>
      </c>
      <c r="C1215" t="s">
        <v>4939</v>
      </c>
      <c r="D1215" s="3">
        <f t="shared" si="95"/>
        <v>12</v>
      </c>
      <c r="E1215" t="s">
        <v>33</v>
      </c>
      <c r="F1215" t="s">
        <v>13</v>
      </c>
      <c r="G1215" t="str">
        <f t="shared" si="96"/>
        <v/>
      </c>
      <c r="H1215" t="s">
        <v>14</v>
      </c>
      <c r="I1215" t="s">
        <v>4938</v>
      </c>
      <c r="J1215" s="2">
        <f t="shared" si="97"/>
        <v>1900000</v>
      </c>
      <c r="K1215" t="s">
        <v>352</v>
      </c>
      <c r="L1215">
        <f t="shared" si="98"/>
        <v>0</v>
      </c>
      <c r="N1215" t="s">
        <v>18</v>
      </c>
      <c r="R1215" s="3">
        <f t="shared" si="94"/>
        <v>0</v>
      </c>
    </row>
    <row r="1216" spans="1:18" hidden="1" x14ac:dyDescent="0.25">
      <c r="A1216" t="s">
        <v>4999</v>
      </c>
      <c r="B1216" t="s">
        <v>4806</v>
      </c>
      <c r="C1216" t="s">
        <v>4825</v>
      </c>
      <c r="D1216" s="3">
        <f t="shared" si="95"/>
        <v>12</v>
      </c>
      <c r="E1216" t="s">
        <v>33</v>
      </c>
      <c r="F1216" t="s">
        <v>34</v>
      </c>
      <c r="G1216" t="str">
        <f t="shared" si="96"/>
        <v/>
      </c>
      <c r="H1216" t="s">
        <v>14</v>
      </c>
      <c r="I1216" t="s">
        <v>5000</v>
      </c>
      <c r="J1216" s="2">
        <f t="shared" si="97"/>
        <v>1550000</v>
      </c>
      <c r="K1216" t="s">
        <v>137</v>
      </c>
      <c r="L1216">
        <f t="shared" si="98"/>
        <v>0.16874999999999998</v>
      </c>
      <c r="M1216" s="5">
        <v>0.16874999999999998</v>
      </c>
      <c r="N1216" t="s">
        <v>43</v>
      </c>
      <c r="R1216" s="3">
        <f t="shared" si="94"/>
        <v>4.05</v>
      </c>
    </row>
    <row r="1217" spans="1:18" hidden="1" x14ac:dyDescent="0.25">
      <c r="A1217" t="s">
        <v>5007</v>
      </c>
      <c r="B1217" t="s">
        <v>4806</v>
      </c>
      <c r="C1217" t="s">
        <v>4939</v>
      </c>
      <c r="D1217" s="3">
        <f t="shared" si="95"/>
        <v>12</v>
      </c>
      <c r="E1217" t="s">
        <v>33</v>
      </c>
      <c r="F1217" t="s">
        <v>34</v>
      </c>
      <c r="G1217" t="str">
        <f t="shared" si="96"/>
        <v/>
      </c>
      <c r="H1217" t="s">
        <v>14</v>
      </c>
      <c r="I1217" t="s">
        <v>5008</v>
      </c>
      <c r="J1217" s="2">
        <f t="shared" si="97"/>
        <v>1800000</v>
      </c>
      <c r="K1217" t="s">
        <v>228</v>
      </c>
      <c r="L1217">
        <f t="shared" si="98"/>
        <v>0</v>
      </c>
      <c r="N1217" t="s">
        <v>43</v>
      </c>
      <c r="R1217" s="3">
        <f t="shared" si="94"/>
        <v>0</v>
      </c>
    </row>
    <row r="1218" spans="1:18" hidden="1" x14ac:dyDescent="0.25">
      <c r="A1218" t="s">
        <v>1628</v>
      </c>
      <c r="B1218" t="s">
        <v>1303</v>
      </c>
      <c r="C1218" t="s">
        <v>1316</v>
      </c>
      <c r="D1218" s="3">
        <f t="shared" si="95"/>
        <v>15</v>
      </c>
      <c r="E1218" t="s">
        <v>504</v>
      </c>
      <c r="F1218" t="s">
        <v>34</v>
      </c>
      <c r="G1218" t="str">
        <f t="shared" si="96"/>
        <v/>
      </c>
      <c r="H1218" t="s">
        <v>14</v>
      </c>
      <c r="I1218" t="s">
        <v>1629</v>
      </c>
      <c r="J1218" s="2">
        <f t="shared" si="97"/>
        <v>2250000</v>
      </c>
      <c r="K1218" t="s">
        <v>448</v>
      </c>
      <c r="L1218">
        <f t="shared" si="98"/>
        <v>0.20833333333333334</v>
      </c>
      <c r="M1218" s="5">
        <v>0.20833333333333334</v>
      </c>
      <c r="N1218" t="s">
        <v>43</v>
      </c>
      <c r="R1218" s="3">
        <f t="shared" ref="R1218:R1281" si="99">24*L1218</f>
        <v>5</v>
      </c>
    </row>
    <row r="1219" spans="1:18" x14ac:dyDescent="0.25">
      <c r="I1219" t="s">
        <v>5859</v>
      </c>
      <c r="J1219" s="1" t="e">
        <f>AVERAGE(J1:J1204)</f>
        <v>#REF!</v>
      </c>
      <c r="R1219" s="3">
        <f t="shared" si="99"/>
        <v>0</v>
      </c>
    </row>
    <row r="1220" spans="1:18" hidden="1" x14ac:dyDescent="0.25">
      <c r="A1220" t="s">
        <v>4151</v>
      </c>
      <c r="B1220" t="s">
        <v>3746</v>
      </c>
      <c r="C1220" t="s">
        <v>4038</v>
      </c>
      <c r="D1220" s="3">
        <f t="shared" ref="D1220:D1283" si="100">VALUE(LEFT(E1220,SEARCH(" x ",E1220)-1))*VALUE(MID(E1220,SEARCH(" x ",E1220)+3,SEARCH(" meter",E1220)-SEARCH(" x ",E1220)-3))</f>
        <v>9</v>
      </c>
      <c r="E1220" t="s">
        <v>12</v>
      </c>
      <c r="F1220" t="s">
        <v>13</v>
      </c>
      <c r="G1220" t="str">
        <f t="shared" ref="G1220:G1283" si="101">IF(H1220="N/A","",VALUE(SUBSTITUTE(SUBSTITUTE(H1220,"Rp",""),".","")))</f>
        <v/>
      </c>
      <c r="H1220" t="s">
        <v>14</v>
      </c>
      <c r="I1220" t="s">
        <v>4152</v>
      </c>
      <c r="J1220" s="2">
        <f t="shared" ref="J1220:J1283" si="102">VALUE(SUBSTITUTE(SUBSTITUTE(K1220,"Rp",""),".",""))</f>
        <v>1200000</v>
      </c>
      <c r="K1220" t="s">
        <v>36</v>
      </c>
      <c r="L1220">
        <f t="shared" ref="L1220:L1283" si="103">M1220:M3560</f>
        <v>0</v>
      </c>
      <c r="N1220" t="s">
        <v>43</v>
      </c>
      <c r="R1220" s="3">
        <f t="shared" si="99"/>
        <v>0</v>
      </c>
    </row>
    <row r="1221" spans="1:18" hidden="1" x14ac:dyDescent="0.25">
      <c r="A1221" t="s">
        <v>375</v>
      </c>
      <c r="B1221" t="s">
        <v>20</v>
      </c>
      <c r="C1221" t="s">
        <v>84</v>
      </c>
      <c r="D1221" s="3">
        <f t="shared" si="100"/>
        <v>9</v>
      </c>
      <c r="E1221" t="s">
        <v>12</v>
      </c>
      <c r="F1221" t="s">
        <v>13</v>
      </c>
      <c r="G1221" t="str">
        <f t="shared" si="101"/>
        <v/>
      </c>
      <c r="H1221" t="s">
        <v>14</v>
      </c>
      <c r="I1221" t="s">
        <v>376</v>
      </c>
      <c r="J1221" s="2">
        <f t="shared" si="102"/>
        <v>600000</v>
      </c>
      <c r="K1221" t="s">
        <v>173</v>
      </c>
      <c r="L1221">
        <f t="shared" si="103"/>
        <v>0.20833333333333334</v>
      </c>
      <c r="M1221" s="5">
        <v>0.20833333333333334</v>
      </c>
      <c r="N1221" t="s">
        <v>18</v>
      </c>
      <c r="R1221" s="3">
        <f t="shared" si="99"/>
        <v>5</v>
      </c>
    </row>
    <row r="1222" spans="1:18" hidden="1" x14ac:dyDescent="0.25">
      <c r="A1222" t="s">
        <v>3448</v>
      </c>
      <c r="B1222" t="s">
        <v>3233</v>
      </c>
      <c r="C1222" t="s">
        <v>3248</v>
      </c>
      <c r="D1222" s="3">
        <f t="shared" si="100"/>
        <v>6.6000000000000005</v>
      </c>
      <c r="E1222" t="s">
        <v>542</v>
      </c>
      <c r="F1222" t="s">
        <v>13</v>
      </c>
      <c r="G1222" t="str">
        <f t="shared" si="101"/>
        <v/>
      </c>
      <c r="H1222" t="s">
        <v>14</v>
      </c>
      <c r="I1222" t="s">
        <v>3449</v>
      </c>
      <c r="J1222" s="2">
        <f t="shared" si="102"/>
        <v>1050000</v>
      </c>
      <c r="K1222" t="s">
        <v>477</v>
      </c>
      <c r="L1222">
        <f t="shared" si="103"/>
        <v>4.5138888888888888E-2</v>
      </c>
      <c r="M1222" s="5">
        <v>4.5138888888888888E-2</v>
      </c>
      <c r="N1222" t="s">
        <v>37</v>
      </c>
      <c r="R1222" s="3">
        <f t="shared" si="99"/>
        <v>1.0833333333333333</v>
      </c>
    </row>
    <row r="1223" spans="1:18" hidden="1" x14ac:dyDescent="0.25">
      <c r="A1223" t="s">
        <v>4882</v>
      </c>
      <c r="B1223" t="s">
        <v>4806</v>
      </c>
      <c r="C1223" t="s">
        <v>4820</v>
      </c>
      <c r="D1223" s="3">
        <f t="shared" si="100"/>
        <v>12</v>
      </c>
      <c r="E1223" t="s">
        <v>33</v>
      </c>
      <c r="F1223" t="s">
        <v>13</v>
      </c>
      <c r="G1223" t="str">
        <f t="shared" si="101"/>
        <v/>
      </c>
      <c r="H1223" t="s">
        <v>14</v>
      </c>
      <c r="I1223" t="s">
        <v>4883</v>
      </c>
      <c r="J1223" s="2">
        <f t="shared" si="102"/>
        <v>1700000</v>
      </c>
      <c r="K1223" t="s">
        <v>23</v>
      </c>
      <c r="L1223">
        <f t="shared" si="103"/>
        <v>0</v>
      </c>
      <c r="N1223" t="s">
        <v>37</v>
      </c>
      <c r="R1223" s="3">
        <f t="shared" si="99"/>
        <v>0</v>
      </c>
    </row>
    <row r="1224" spans="1:18" hidden="1" x14ac:dyDescent="0.25">
      <c r="A1224" t="s">
        <v>346</v>
      </c>
      <c r="B1224" t="s">
        <v>20</v>
      </c>
      <c r="C1224" t="s">
        <v>19</v>
      </c>
      <c r="D1224" s="3">
        <f t="shared" si="100"/>
        <v>12</v>
      </c>
      <c r="E1224" t="s">
        <v>347</v>
      </c>
      <c r="F1224" t="s">
        <v>13</v>
      </c>
      <c r="G1224" t="str">
        <f t="shared" si="101"/>
        <v/>
      </c>
      <c r="H1224" t="s">
        <v>14</v>
      </c>
      <c r="I1224" t="s">
        <v>348</v>
      </c>
      <c r="J1224" s="2">
        <f t="shared" si="102"/>
        <v>1000000</v>
      </c>
      <c r="K1224" t="s">
        <v>52</v>
      </c>
      <c r="L1224">
        <f t="shared" si="103"/>
        <v>0</v>
      </c>
      <c r="N1224" t="s">
        <v>18</v>
      </c>
      <c r="R1224" s="3">
        <f t="shared" si="99"/>
        <v>0</v>
      </c>
    </row>
    <row r="1225" spans="1:18" hidden="1" x14ac:dyDescent="0.25">
      <c r="A1225" t="s">
        <v>3189</v>
      </c>
      <c r="B1225" t="s">
        <v>3206</v>
      </c>
      <c r="C1225" t="s">
        <v>2644</v>
      </c>
      <c r="D1225" s="3">
        <f t="shared" si="100"/>
        <v>6</v>
      </c>
      <c r="E1225" t="s">
        <v>285</v>
      </c>
      <c r="F1225" t="s">
        <v>13</v>
      </c>
      <c r="G1225" t="str">
        <f t="shared" si="101"/>
        <v/>
      </c>
      <c r="H1225" t="s">
        <v>14</v>
      </c>
      <c r="I1225" t="s">
        <v>3190</v>
      </c>
      <c r="J1225" s="2">
        <f t="shared" si="102"/>
        <v>1100000</v>
      </c>
      <c r="K1225" t="s">
        <v>42</v>
      </c>
      <c r="L1225">
        <f t="shared" si="103"/>
        <v>0.12916666666666668</v>
      </c>
      <c r="M1225" s="5">
        <v>0.12916666666666668</v>
      </c>
      <c r="N1225" t="s">
        <v>18</v>
      </c>
      <c r="R1225" s="3">
        <f t="shared" si="99"/>
        <v>3.1000000000000005</v>
      </c>
    </row>
    <row r="1226" spans="1:18" hidden="1" x14ac:dyDescent="0.25">
      <c r="A1226" t="s">
        <v>4799</v>
      </c>
      <c r="B1226" t="s">
        <v>4272</v>
      </c>
      <c r="C1226" t="s">
        <v>4311</v>
      </c>
      <c r="D1226" s="3">
        <f t="shared" si="100"/>
        <v>12</v>
      </c>
      <c r="E1226" t="s">
        <v>33</v>
      </c>
      <c r="F1226" t="s">
        <v>13</v>
      </c>
      <c r="G1226" t="str">
        <f t="shared" si="101"/>
        <v/>
      </c>
      <c r="H1226" t="s">
        <v>14</v>
      </c>
      <c r="I1226" t="s">
        <v>4800</v>
      </c>
      <c r="J1226" s="2">
        <f t="shared" si="102"/>
        <v>1200000</v>
      </c>
      <c r="K1226" t="s">
        <v>36</v>
      </c>
      <c r="L1226">
        <f t="shared" si="103"/>
        <v>0.17222222222222225</v>
      </c>
      <c r="M1226" s="5">
        <v>0.17222222222222225</v>
      </c>
      <c r="N1226" t="s">
        <v>18</v>
      </c>
      <c r="R1226" s="3">
        <f t="shared" si="99"/>
        <v>4.1333333333333337</v>
      </c>
    </row>
    <row r="1227" spans="1:18" hidden="1" x14ac:dyDescent="0.25">
      <c r="A1227" t="s">
        <v>4799</v>
      </c>
      <c r="B1227" t="s">
        <v>4272</v>
      </c>
      <c r="C1227" t="s">
        <v>4311</v>
      </c>
      <c r="D1227" s="3" t="e">
        <f t="shared" si="100"/>
        <v>#VALUE!</v>
      </c>
      <c r="E1227" t="s">
        <v>14</v>
      </c>
      <c r="F1227" t="s">
        <v>14</v>
      </c>
      <c r="G1227" t="str">
        <f t="shared" si="101"/>
        <v/>
      </c>
      <c r="H1227" t="s">
        <v>14</v>
      </c>
      <c r="I1227" t="s">
        <v>110</v>
      </c>
      <c r="J1227" s="2">
        <f t="shared" si="102"/>
        <v>1200000</v>
      </c>
      <c r="K1227" t="s">
        <v>36</v>
      </c>
      <c r="L1227">
        <f t="shared" si="103"/>
        <v>0</v>
      </c>
      <c r="N1227" t="s">
        <v>18</v>
      </c>
      <c r="R1227" s="3">
        <f t="shared" si="99"/>
        <v>0</v>
      </c>
    </row>
    <row r="1228" spans="1:18" x14ac:dyDescent="0.25">
      <c r="A1228" t="s">
        <v>88</v>
      </c>
      <c r="B1228" t="s">
        <v>20</v>
      </c>
      <c r="C1228" t="s">
        <v>19</v>
      </c>
      <c r="D1228" s="3">
        <f t="shared" si="100"/>
        <v>12</v>
      </c>
      <c r="E1228" t="s">
        <v>33</v>
      </c>
      <c r="F1228" t="s">
        <v>13</v>
      </c>
      <c r="G1228" t="str">
        <f t="shared" si="101"/>
        <v/>
      </c>
      <c r="H1228" t="s">
        <v>14</v>
      </c>
      <c r="I1228" t="s">
        <v>89</v>
      </c>
      <c r="J1228" s="2">
        <f t="shared" si="102"/>
        <v>1650000</v>
      </c>
      <c r="K1228" t="s">
        <v>90</v>
      </c>
      <c r="L1228">
        <f t="shared" si="103"/>
        <v>0.20833333333333334</v>
      </c>
      <c r="M1228" s="5">
        <v>0.20833333333333334</v>
      </c>
      <c r="N1228" t="s">
        <v>18</v>
      </c>
      <c r="R1228" s="3">
        <f t="shared" si="99"/>
        <v>5</v>
      </c>
    </row>
    <row r="1229" spans="1:18" hidden="1" x14ac:dyDescent="0.25">
      <c r="A1229" t="s">
        <v>206</v>
      </c>
      <c r="B1229" t="s">
        <v>20</v>
      </c>
      <c r="C1229" t="s">
        <v>208</v>
      </c>
      <c r="D1229" s="3">
        <f t="shared" si="100"/>
        <v>9</v>
      </c>
      <c r="E1229" t="s">
        <v>12</v>
      </c>
      <c r="F1229" t="s">
        <v>34</v>
      </c>
      <c r="G1229" t="str">
        <f t="shared" si="101"/>
        <v/>
      </c>
      <c r="H1229" t="s">
        <v>14</v>
      </c>
      <c r="I1229" t="s">
        <v>207</v>
      </c>
      <c r="J1229" s="2">
        <f t="shared" si="102"/>
        <v>800000</v>
      </c>
      <c r="K1229" t="s">
        <v>109</v>
      </c>
      <c r="L1229">
        <f t="shared" si="103"/>
        <v>0</v>
      </c>
      <c r="N1229" t="s">
        <v>18</v>
      </c>
      <c r="R1229" s="3">
        <f t="shared" si="99"/>
        <v>0</v>
      </c>
    </row>
    <row r="1230" spans="1:18" x14ac:dyDescent="0.25">
      <c r="A1230" t="s">
        <v>4818</v>
      </c>
      <c r="B1230" t="s">
        <v>4806</v>
      </c>
      <c r="C1230" t="s">
        <v>4820</v>
      </c>
      <c r="D1230" s="3">
        <f t="shared" si="100"/>
        <v>12</v>
      </c>
      <c r="E1230" t="s">
        <v>33</v>
      </c>
      <c r="F1230" t="s">
        <v>13</v>
      </c>
      <c r="G1230" t="str">
        <f t="shared" si="101"/>
        <v/>
      </c>
      <c r="H1230" t="s">
        <v>14</v>
      </c>
      <c r="I1230" t="s">
        <v>4819</v>
      </c>
      <c r="J1230" s="2">
        <f t="shared" si="102"/>
        <v>1650000</v>
      </c>
      <c r="K1230" t="s">
        <v>90</v>
      </c>
      <c r="L1230">
        <f t="shared" si="103"/>
        <v>0</v>
      </c>
      <c r="N1230" t="s">
        <v>43</v>
      </c>
      <c r="R1230" s="3">
        <f t="shared" si="99"/>
        <v>0</v>
      </c>
    </row>
    <row r="1231" spans="1:18" hidden="1" x14ac:dyDescent="0.25">
      <c r="A1231" t="s">
        <v>760</v>
      </c>
      <c r="B1231" t="s">
        <v>640</v>
      </c>
      <c r="C1231" t="s">
        <v>657</v>
      </c>
      <c r="D1231" s="3">
        <f t="shared" si="100"/>
        <v>12</v>
      </c>
      <c r="E1231" t="s">
        <v>33</v>
      </c>
      <c r="F1231" t="s">
        <v>13</v>
      </c>
      <c r="G1231" t="str">
        <f t="shared" si="101"/>
        <v/>
      </c>
      <c r="H1231" t="s">
        <v>14</v>
      </c>
      <c r="I1231" t="s">
        <v>761</v>
      </c>
      <c r="J1231" s="2">
        <f t="shared" si="102"/>
        <v>1900000</v>
      </c>
      <c r="K1231" t="s">
        <v>352</v>
      </c>
      <c r="L1231">
        <f t="shared" si="103"/>
        <v>0.17013888888888887</v>
      </c>
      <c r="M1231" s="5">
        <v>0.17013888888888887</v>
      </c>
      <c r="N1231" t="s">
        <v>18</v>
      </c>
      <c r="P1231" t="s">
        <v>762</v>
      </c>
      <c r="R1231" s="3">
        <f t="shared" si="99"/>
        <v>4.083333333333333</v>
      </c>
    </row>
    <row r="1232" spans="1:18" hidden="1" x14ac:dyDescent="0.25">
      <c r="A1232" t="s">
        <v>4164</v>
      </c>
      <c r="B1232" t="s">
        <v>3746</v>
      </c>
      <c r="C1232" t="s">
        <v>3753</v>
      </c>
      <c r="D1232" s="3">
        <f t="shared" si="100"/>
        <v>5.95</v>
      </c>
      <c r="E1232" t="s">
        <v>4165</v>
      </c>
      <c r="F1232" t="s">
        <v>34</v>
      </c>
      <c r="G1232" t="str">
        <f t="shared" si="101"/>
        <v/>
      </c>
      <c r="H1232" t="s">
        <v>14</v>
      </c>
      <c r="I1232" t="s">
        <v>4166</v>
      </c>
      <c r="J1232" s="2">
        <f t="shared" si="102"/>
        <v>800000</v>
      </c>
      <c r="K1232" t="s">
        <v>109</v>
      </c>
      <c r="L1232">
        <f t="shared" si="103"/>
        <v>0.17083333333333331</v>
      </c>
      <c r="M1232" s="5">
        <v>0.17083333333333331</v>
      </c>
      <c r="N1232" t="s">
        <v>43</v>
      </c>
      <c r="R1232" s="3">
        <f t="shared" si="99"/>
        <v>4.0999999999999996</v>
      </c>
    </row>
    <row r="1233" spans="1:18" hidden="1" x14ac:dyDescent="0.25">
      <c r="A1233" t="s">
        <v>4147</v>
      </c>
      <c r="B1233" t="s">
        <v>3746</v>
      </c>
      <c r="C1233" t="s">
        <v>3753</v>
      </c>
      <c r="D1233" s="3">
        <f t="shared" si="100"/>
        <v>10</v>
      </c>
      <c r="E1233" t="s">
        <v>414</v>
      </c>
      <c r="F1233" t="s">
        <v>13</v>
      </c>
      <c r="G1233" t="str">
        <f t="shared" si="101"/>
        <v/>
      </c>
      <c r="H1233" t="s">
        <v>14</v>
      </c>
      <c r="I1233" t="s">
        <v>4148</v>
      </c>
      <c r="J1233" s="2">
        <f t="shared" si="102"/>
        <v>1700000</v>
      </c>
      <c r="K1233" t="s">
        <v>23</v>
      </c>
      <c r="L1233">
        <f t="shared" si="103"/>
        <v>0.1673611111111111</v>
      </c>
      <c r="M1233" s="5">
        <v>0.1673611111111111</v>
      </c>
      <c r="N1233" t="s">
        <v>43</v>
      </c>
      <c r="R1233" s="3">
        <f t="shared" si="99"/>
        <v>4.0166666666666666</v>
      </c>
    </row>
    <row r="1234" spans="1:18" x14ac:dyDescent="0.25">
      <c r="A1234" t="s">
        <v>5838</v>
      </c>
      <c r="B1234" t="s">
        <v>5848</v>
      </c>
      <c r="C1234" t="s">
        <v>5369</v>
      </c>
      <c r="D1234" s="3">
        <f t="shared" si="100"/>
        <v>8.75</v>
      </c>
      <c r="E1234" t="s">
        <v>775</v>
      </c>
      <c r="F1234" t="s">
        <v>13</v>
      </c>
      <c r="G1234">
        <f t="shared" si="101"/>
        <v>1800000</v>
      </c>
      <c r="H1234" t="s">
        <v>228</v>
      </c>
      <c r="I1234" t="s">
        <v>5839</v>
      </c>
      <c r="J1234" s="2">
        <f t="shared" si="102"/>
        <v>1656000</v>
      </c>
      <c r="K1234" t="s">
        <v>5840</v>
      </c>
      <c r="L1234">
        <f t="shared" si="103"/>
        <v>0.20833333333333334</v>
      </c>
      <c r="M1234" s="5">
        <v>0.20833333333333334</v>
      </c>
      <c r="N1234" t="s">
        <v>18</v>
      </c>
      <c r="P1234" t="s">
        <v>1402</v>
      </c>
      <c r="R1234" s="3">
        <f t="shared" si="99"/>
        <v>5</v>
      </c>
    </row>
    <row r="1235" spans="1:18" hidden="1" x14ac:dyDescent="0.25">
      <c r="A1235" t="s">
        <v>5624</v>
      </c>
      <c r="B1235" t="s">
        <v>5848</v>
      </c>
      <c r="C1235" t="s">
        <v>5350</v>
      </c>
      <c r="D1235" s="3">
        <f t="shared" si="100"/>
        <v>9</v>
      </c>
      <c r="E1235" t="s">
        <v>12</v>
      </c>
      <c r="F1235" t="s">
        <v>13</v>
      </c>
      <c r="G1235" t="str">
        <f t="shared" si="101"/>
        <v/>
      </c>
      <c r="H1235" t="s">
        <v>14</v>
      </c>
      <c r="I1235" t="s">
        <v>5625</v>
      </c>
      <c r="J1235" s="2">
        <f t="shared" si="102"/>
        <v>1650000</v>
      </c>
      <c r="K1235" t="s">
        <v>90</v>
      </c>
      <c r="L1235">
        <f t="shared" si="103"/>
        <v>0.17083333333333331</v>
      </c>
      <c r="M1235" s="5">
        <v>0.17083333333333331</v>
      </c>
      <c r="N1235" t="s">
        <v>18</v>
      </c>
      <c r="P1235" t="s">
        <v>691</v>
      </c>
      <c r="R1235" s="3">
        <f t="shared" si="99"/>
        <v>4.0999999999999996</v>
      </c>
    </row>
    <row r="1236" spans="1:18" hidden="1" x14ac:dyDescent="0.25">
      <c r="A1236" t="s">
        <v>431</v>
      </c>
      <c r="B1236" t="s">
        <v>20</v>
      </c>
      <c r="C1236" t="s">
        <v>123</v>
      </c>
      <c r="D1236" s="3">
        <f t="shared" si="100"/>
        <v>9</v>
      </c>
      <c r="E1236" t="s">
        <v>12</v>
      </c>
      <c r="F1236" t="s">
        <v>13</v>
      </c>
      <c r="G1236" t="str">
        <f t="shared" si="101"/>
        <v/>
      </c>
      <c r="H1236" t="s">
        <v>14</v>
      </c>
      <c r="I1236" t="s">
        <v>432</v>
      </c>
      <c r="J1236" s="2">
        <f t="shared" si="102"/>
        <v>1500000</v>
      </c>
      <c r="K1236" t="s">
        <v>66</v>
      </c>
      <c r="L1236">
        <f t="shared" si="103"/>
        <v>0.17013888888888887</v>
      </c>
      <c r="M1236" s="5">
        <v>0.17013888888888887</v>
      </c>
      <c r="N1236" t="s">
        <v>43</v>
      </c>
      <c r="R1236" s="3">
        <f t="shared" si="99"/>
        <v>4.083333333333333</v>
      </c>
    </row>
    <row r="1237" spans="1:18" x14ac:dyDescent="0.25">
      <c r="A1237" t="s">
        <v>5838</v>
      </c>
      <c r="B1237" t="s">
        <v>5848</v>
      </c>
      <c r="C1237" t="s">
        <v>5369</v>
      </c>
      <c r="D1237" s="3" t="e">
        <f t="shared" si="100"/>
        <v>#VALUE!</v>
      </c>
      <c r="E1237" t="s">
        <v>14</v>
      </c>
      <c r="F1237" t="s">
        <v>14</v>
      </c>
      <c r="G1237">
        <f t="shared" si="101"/>
        <v>1800000</v>
      </c>
      <c r="H1237" t="s">
        <v>228</v>
      </c>
      <c r="I1237" t="s">
        <v>110</v>
      </c>
      <c r="J1237" s="2">
        <f t="shared" si="102"/>
        <v>1656000</v>
      </c>
      <c r="K1237" t="s">
        <v>5840</v>
      </c>
      <c r="L1237">
        <f t="shared" si="103"/>
        <v>0.20833333333333334</v>
      </c>
      <c r="M1237" s="5">
        <v>0.20833333333333334</v>
      </c>
      <c r="N1237" t="s">
        <v>18</v>
      </c>
      <c r="P1237" t="s">
        <v>1402</v>
      </c>
      <c r="R1237" s="3">
        <f t="shared" si="99"/>
        <v>5</v>
      </c>
    </row>
    <row r="1238" spans="1:18" hidden="1" x14ac:dyDescent="0.25">
      <c r="A1238" t="s">
        <v>1844</v>
      </c>
      <c r="B1238" t="s">
        <v>1303</v>
      </c>
      <c r="C1238" t="s">
        <v>1342</v>
      </c>
      <c r="D1238" s="3">
        <f t="shared" si="100"/>
        <v>7.1999999999999993</v>
      </c>
      <c r="E1238" t="s">
        <v>1845</v>
      </c>
      <c r="F1238" t="s">
        <v>13</v>
      </c>
      <c r="G1238" t="str">
        <f t="shared" si="101"/>
        <v/>
      </c>
      <c r="H1238" t="s">
        <v>14</v>
      </c>
      <c r="I1238" t="s">
        <v>1846</v>
      </c>
      <c r="J1238" s="2">
        <f t="shared" si="102"/>
        <v>2000000</v>
      </c>
      <c r="K1238" t="s">
        <v>128</v>
      </c>
      <c r="L1238">
        <f t="shared" si="103"/>
        <v>0.17291666666666669</v>
      </c>
      <c r="M1238" s="5">
        <v>0.17291666666666669</v>
      </c>
      <c r="N1238" t="s">
        <v>18</v>
      </c>
      <c r="P1238" t="s">
        <v>1461</v>
      </c>
      <c r="R1238" s="3">
        <f t="shared" si="99"/>
        <v>4.1500000000000004</v>
      </c>
    </row>
    <row r="1239" spans="1:18" hidden="1" x14ac:dyDescent="0.25">
      <c r="A1239" t="s">
        <v>1261</v>
      </c>
      <c r="B1239" t="s">
        <v>640</v>
      </c>
      <c r="C1239" t="s">
        <v>643</v>
      </c>
      <c r="D1239" s="3">
        <f t="shared" si="100"/>
        <v>9</v>
      </c>
      <c r="E1239" t="s">
        <v>12</v>
      </c>
      <c r="F1239" t="s">
        <v>34</v>
      </c>
      <c r="G1239" t="str">
        <f t="shared" si="101"/>
        <v/>
      </c>
      <c r="H1239" t="s">
        <v>14</v>
      </c>
      <c r="I1239" t="s">
        <v>1262</v>
      </c>
      <c r="J1239" s="2">
        <f t="shared" si="102"/>
        <v>900000</v>
      </c>
      <c r="K1239" t="s">
        <v>101</v>
      </c>
      <c r="L1239">
        <f t="shared" si="103"/>
        <v>0.17083333333333331</v>
      </c>
      <c r="M1239" s="5">
        <v>0.17083333333333331</v>
      </c>
      <c r="N1239" t="s">
        <v>37</v>
      </c>
      <c r="R1239" s="3">
        <f t="shared" si="99"/>
        <v>4.0999999999999996</v>
      </c>
    </row>
    <row r="1240" spans="1:18" hidden="1" x14ac:dyDescent="0.25">
      <c r="A1240" t="s">
        <v>5431</v>
      </c>
      <c r="B1240" t="s">
        <v>5848</v>
      </c>
      <c r="C1240" t="s">
        <v>5339</v>
      </c>
      <c r="D1240" s="3">
        <f t="shared" si="100"/>
        <v>9</v>
      </c>
      <c r="E1240" t="s">
        <v>12</v>
      </c>
      <c r="F1240" t="s">
        <v>13</v>
      </c>
      <c r="G1240" t="str">
        <f t="shared" si="101"/>
        <v/>
      </c>
      <c r="H1240" t="s">
        <v>14</v>
      </c>
      <c r="I1240" t="s">
        <v>5432</v>
      </c>
      <c r="J1240" s="2">
        <f t="shared" si="102"/>
        <v>1400000</v>
      </c>
      <c r="K1240" t="s">
        <v>81</v>
      </c>
      <c r="L1240">
        <f t="shared" si="103"/>
        <v>0</v>
      </c>
      <c r="N1240" t="s">
        <v>18</v>
      </c>
      <c r="R1240" s="3">
        <f t="shared" si="99"/>
        <v>0</v>
      </c>
    </row>
    <row r="1241" spans="1:18" hidden="1" x14ac:dyDescent="0.25">
      <c r="A1241" t="s">
        <v>229</v>
      </c>
      <c r="B1241" t="s">
        <v>20</v>
      </c>
      <c r="C1241" t="s">
        <v>113</v>
      </c>
      <c r="D1241" s="3">
        <f t="shared" si="100"/>
        <v>9</v>
      </c>
      <c r="E1241" t="s">
        <v>12</v>
      </c>
      <c r="F1241" t="s">
        <v>34</v>
      </c>
      <c r="G1241" t="str">
        <f t="shared" si="101"/>
        <v/>
      </c>
      <c r="H1241" t="s">
        <v>14</v>
      </c>
      <c r="I1241" t="s">
        <v>230</v>
      </c>
      <c r="J1241" s="2">
        <f t="shared" si="102"/>
        <v>1300000</v>
      </c>
      <c r="K1241" t="s">
        <v>17</v>
      </c>
      <c r="L1241">
        <f t="shared" si="103"/>
        <v>0.20833333333333334</v>
      </c>
      <c r="M1241" s="5">
        <v>0.20833333333333334</v>
      </c>
      <c r="N1241" t="s">
        <v>43</v>
      </c>
      <c r="R1241" s="3">
        <f t="shared" si="99"/>
        <v>5</v>
      </c>
    </row>
    <row r="1242" spans="1:18" hidden="1" x14ac:dyDescent="0.25">
      <c r="A1242" t="s">
        <v>3586</v>
      </c>
      <c r="B1242" t="s">
        <v>3233</v>
      </c>
      <c r="C1242" t="s">
        <v>3232</v>
      </c>
      <c r="D1242" s="3">
        <f t="shared" si="100"/>
        <v>12</v>
      </c>
      <c r="E1242" t="s">
        <v>33</v>
      </c>
      <c r="F1242" t="s">
        <v>13</v>
      </c>
      <c r="G1242" t="str">
        <f t="shared" si="101"/>
        <v/>
      </c>
      <c r="H1242" t="s">
        <v>14</v>
      </c>
      <c r="I1242" t="s">
        <v>3587</v>
      </c>
      <c r="J1242" s="2">
        <f t="shared" si="102"/>
        <v>2500000</v>
      </c>
      <c r="K1242" t="s">
        <v>272</v>
      </c>
      <c r="L1242">
        <f t="shared" si="103"/>
        <v>0</v>
      </c>
      <c r="N1242" t="s">
        <v>18</v>
      </c>
      <c r="P1242" t="s">
        <v>1053</v>
      </c>
      <c r="R1242" s="3">
        <f t="shared" si="99"/>
        <v>0</v>
      </c>
    </row>
    <row r="1243" spans="1:18" hidden="1" x14ac:dyDescent="0.25">
      <c r="A1243" t="s">
        <v>4812</v>
      </c>
      <c r="B1243" t="s">
        <v>4806</v>
      </c>
      <c r="C1243" t="s">
        <v>4805</v>
      </c>
      <c r="D1243" s="3">
        <f t="shared" si="100"/>
        <v>9</v>
      </c>
      <c r="E1243" t="s">
        <v>12</v>
      </c>
      <c r="F1243" t="s">
        <v>13</v>
      </c>
      <c r="G1243" t="str">
        <f t="shared" si="101"/>
        <v/>
      </c>
      <c r="H1243" t="s">
        <v>14</v>
      </c>
      <c r="I1243" t="s">
        <v>4813</v>
      </c>
      <c r="J1243" s="2">
        <f t="shared" si="102"/>
        <v>1250000</v>
      </c>
      <c r="K1243" t="s">
        <v>202</v>
      </c>
      <c r="L1243">
        <f t="shared" si="103"/>
        <v>0</v>
      </c>
      <c r="N1243" t="s">
        <v>43</v>
      </c>
      <c r="R1243" s="3">
        <f t="shared" si="99"/>
        <v>0</v>
      </c>
    </row>
    <row r="1244" spans="1:18" hidden="1" x14ac:dyDescent="0.25">
      <c r="A1244" t="s">
        <v>5182</v>
      </c>
      <c r="B1244" t="s">
        <v>4806</v>
      </c>
      <c r="C1244" t="s">
        <v>4805</v>
      </c>
      <c r="D1244" s="3">
        <f t="shared" si="100"/>
        <v>9</v>
      </c>
      <c r="E1244" t="s">
        <v>12</v>
      </c>
      <c r="F1244" t="s">
        <v>34</v>
      </c>
      <c r="G1244" t="str">
        <f t="shared" si="101"/>
        <v/>
      </c>
      <c r="H1244" t="s">
        <v>14</v>
      </c>
      <c r="I1244" t="s">
        <v>5183</v>
      </c>
      <c r="J1244" s="2">
        <f t="shared" si="102"/>
        <v>1600000</v>
      </c>
      <c r="K1244" t="s">
        <v>95</v>
      </c>
      <c r="L1244">
        <f t="shared" si="103"/>
        <v>0.16874999999999998</v>
      </c>
      <c r="M1244" s="5">
        <v>0.16874999999999998</v>
      </c>
      <c r="N1244" t="s">
        <v>43</v>
      </c>
      <c r="R1244" s="3">
        <f t="shared" si="99"/>
        <v>4.05</v>
      </c>
    </row>
    <row r="1245" spans="1:18" hidden="1" x14ac:dyDescent="0.25">
      <c r="A1245" t="s">
        <v>5133</v>
      </c>
      <c r="B1245" t="s">
        <v>4806</v>
      </c>
      <c r="C1245" t="s">
        <v>4805</v>
      </c>
      <c r="D1245" s="3">
        <f t="shared" si="100"/>
        <v>9</v>
      </c>
      <c r="E1245" t="s">
        <v>12</v>
      </c>
      <c r="F1245" t="s">
        <v>13</v>
      </c>
      <c r="G1245" t="str">
        <f t="shared" si="101"/>
        <v/>
      </c>
      <c r="H1245" t="s">
        <v>14</v>
      </c>
      <c r="I1245" t="s">
        <v>5134</v>
      </c>
      <c r="J1245" s="2">
        <f t="shared" si="102"/>
        <v>1700000</v>
      </c>
      <c r="K1245" t="s">
        <v>23</v>
      </c>
      <c r="L1245">
        <f t="shared" si="103"/>
        <v>0</v>
      </c>
      <c r="N1245" t="s">
        <v>43</v>
      </c>
      <c r="R1245" s="3">
        <f t="shared" si="99"/>
        <v>0</v>
      </c>
    </row>
    <row r="1246" spans="1:18" hidden="1" x14ac:dyDescent="0.25">
      <c r="A1246" t="s">
        <v>5709</v>
      </c>
      <c r="B1246" t="s">
        <v>5848</v>
      </c>
      <c r="C1246" t="s">
        <v>5339</v>
      </c>
      <c r="D1246" s="3">
        <f t="shared" si="100"/>
        <v>12</v>
      </c>
      <c r="E1246" t="s">
        <v>33</v>
      </c>
      <c r="F1246" t="s">
        <v>13</v>
      </c>
      <c r="G1246" t="str">
        <f t="shared" si="101"/>
        <v/>
      </c>
      <c r="H1246" t="s">
        <v>14</v>
      </c>
      <c r="I1246" t="s">
        <v>5710</v>
      </c>
      <c r="J1246" s="2">
        <f t="shared" si="102"/>
        <v>1200000</v>
      </c>
      <c r="K1246" t="s">
        <v>36</v>
      </c>
      <c r="L1246">
        <f t="shared" si="103"/>
        <v>0</v>
      </c>
      <c r="N1246" t="s">
        <v>43</v>
      </c>
      <c r="R1246" s="3">
        <f t="shared" si="99"/>
        <v>0</v>
      </c>
    </row>
    <row r="1247" spans="1:18" hidden="1" x14ac:dyDescent="0.25">
      <c r="A1247" t="s">
        <v>330</v>
      </c>
      <c r="B1247" t="s">
        <v>20</v>
      </c>
      <c r="C1247" t="s">
        <v>19</v>
      </c>
      <c r="D1247" s="3">
        <f t="shared" si="100"/>
        <v>12</v>
      </c>
      <c r="E1247" t="s">
        <v>33</v>
      </c>
      <c r="F1247" t="s">
        <v>34</v>
      </c>
      <c r="G1247" t="str">
        <f t="shared" si="101"/>
        <v/>
      </c>
      <c r="H1247" t="s">
        <v>14</v>
      </c>
      <c r="I1247" t="s">
        <v>331</v>
      </c>
      <c r="J1247" s="2">
        <f t="shared" si="102"/>
        <v>900000</v>
      </c>
      <c r="K1247" t="s">
        <v>101</v>
      </c>
      <c r="L1247">
        <f t="shared" si="103"/>
        <v>0</v>
      </c>
      <c r="N1247" t="s">
        <v>18</v>
      </c>
      <c r="R1247" s="3">
        <f t="shared" si="99"/>
        <v>0</v>
      </c>
    </row>
    <row r="1248" spans="1:18" hidden="1" x14ac:dyDescent="0.25">
      <c r="A1248" t="s">
        <v>1158</v>
      </c>
      <c r="B1248" t="s">
        <v>640</v>
      </c>
      <c r="C1248" t="s">
        <v>1035</v>
      </c>
      <c r="D1248" s="3">
        <f t="shared" si="100"/>
        <v>9</v>
      </c>
      <c r="E1248" t="s">
        <v>12</v>
      </c>
      <c r="F1248" t="s">
        <v>13</v>
      </c>
      <c r="G1248" t="str">
        <f t="shared" si="101"/>
        <v/>
      </c>
      <c r="H1248" t="s">
        <v>14</v>
      </c>
      <c r="I1248" t="s">
        <v>1159</v>
      </c>
      <c r="J1248" s="2">
        <f t="shared" si="102"/>
        <v>1150000</v>
      </c>
      <c r="K1248" t="s">
        <v>700</v>
      </c>
      <c r="L1248">
        <f t="shared" si="103"/>
        <v>0</v>
      </c>
      <c r="N1248" t="s">
        <v>18</v>
      </c>
      <c r="R1248" s="3">
        <f t="shared" si="99"/>
        <v>0</v>
      </c>
    </row>
    <row r="1249" spans="1:18" hidden="1" x14ac:dyDescent="0.25">
      <c r="A1249" t="s">
        <v>962</v>
      </c>
      <c r="B1249" t="s">
        <v>640</v>
      </c>
      <c r="C1249" t="s">
        <v>657</v>
      </c>
      <c r="D1249" s="3">
        <f t="shared" si="100"/>
        <v>12</v>
      </c>
      <c r="E1249" t="s">
        <v>33</v>
      </c>
      <c r="F1249" t="s">
        <v>13</v>
      </c>
      <c r="G1249" t="str">
        <f t="shared" si="101"/>
        <v/>
      </c>
      <c r="H1249" t="s">
        <v>14</v>
      </c>
      <c r="I1249" t="s">
        <v>963</v>
      </c>
      <c r="J1249" s="2">
        <f t="shared" si="102"/>
        <v>850000</v>
      </c>
      <c r="K1249" t="s">
        <v>185</v>
      </c>
      <c r="L1249">
        <f t="shared" si="103"/>
        <v>0.17083333333333331</v>
      </c>
      <c r="M1249" s="5">
        <v>0.17083333333333331</v>
      </c>
      <c r="N1249" t="s">
        <v>37</v>
      </c>
      <c r="R1249" s="3">
        <f t="shared" si="99"/>
        <v>4.0999999999999996</v>
      </c>
    </row>
    <row r="1250" spans="1:18" hidden="1" x14ac:dyDescent="0.25">
      <c r="A1250" t="s">
        <v>5024</v>
      </c>
      <c r="B1250" t="s">
        <v>4806</v>
      </c>
      <c r="C1250" t="s">
        <v>4939</v>
      </c>
      <c r="D1250" s="3">
        <f t="shared" si="100"/>
        <v>9</v>
      </c>
      <c r="E1250" t="s">
        <v>12</v>
      </c>
      <c r="F1250" t="s">
        <v>34</v>
      </c>
      <c r="G1250" t="str">
        <f t="shared" si="101"/>
        <v/>
      </c>
      <c r="H1250" t="s">
        <v>14</v>
      </c>
      <c r="I1250" t="s">
        <v>5025</v>
      </c>
      <c r="J1250" s="2">
        <f t="shared" si="102"/>
        <v>610000</v>
      </c>
      <c r="K1250" t="s">
        <v>5026</v>
      </c>
      <c r="L1250">
        <f t="shared" si="103"/>
        <v>0.1673611111111111</v>
      </c>
      <c r="M1250" s="5">
        <v>0.1673611111111111</v>
      </c>
      <c r="N1250" t="s">
        <v>43</v>
      </c>
      <c r="R1250" s="3">
        <f t="shared" si="99"/>
        <v>4.0166666666666666</v>
      </c>
    </row>
    <row r="1251" spans="1:18" hidden="1" x14ac:dyDescent="0.25">
      <c r="A1251" t="s">
        <v>3927</v>
      </c>
      <c r="B1251" t="s">
        <v>3746</v>
      </c>
      <c r="C1251" t="s">
        <v>3763</v>
      </c>
      <c r="D1251" s="3">
        <f t="shared" si="100"/>
        <v>12</v>
      </c>
      <c r="E1251" t="s">
        <v>33</v>
      </c>
      <c r="F1251" t="s">
        <v>13</v>
      </c>
      <c r="G1251" t="str">
        <f t="shared" si="101"/>
        <v/>
      </c>
      <c r="H1251" t="s">
        <v>14</v>
      </c>
      <c r="I1251" t="s">
        <v>3928</v>
      </c>
      <c r="J1251" s="2">
        <f t="shared" si="102"/>
        <v>1100000</v>
      </c>
      <c r="K1251" t="s">
        <v>42</v>
      </c>
      <c r="L1251">
        <f t="shared" si="103"/>
        <v>0.17222222222222225</v>
      </c>
      <c r="M1251" s="5">
        <v>0.17222222222222225</v>
      </c>
      <c r="N1251" t="s">
        <v>18</v>
      </c>
      <c r="R1251" s="3">
        <f t="shared" si="99"/>
        <v>4.1333333333333337</v>
      </c>
    </row>
    <row r="1252" spans="1:18" hidden="1" x14ac:dyDescent="0.25">
      <c r="A1252" t="s">
        <v>1292</v>
      </c>
      <c r="B1252" t="s">
        <v>640</v>
      </c>
      <c r="C1252" t="s">
        <v>749</v>
      </c>
      <c r="D1252" s="3">
        <f t="shared" si="100"/>
        <v>6.25</v>
      </c>
      <c r="E1252" t="s">
        <v>74</v>
      </c>
      <c r="F1252" t="s">
        <v>34</v>
      </c>
      <c r="G1252" t="str">
        <f t="shared" si="101"/>
        <v/>
      </c>
      <c r="H1252" t="s">
        <v>14</v>
      </c>
      <c r="I1252" t="s">
        <v>1293</v>
      </c>
      <c r="J1252" s="2">
        <f t="shared" si="102"/>
        <v>1450000</v>
      </c>
      <c r="K1252" t="s">
        <v>29</v>
      </c>
      <c r="L1252">
        <f t="shared" si="103"/>
        <v>0.1673611111111111</v>
      </c>
      <c r="M1252" s="5">
        <v>0.1673611111111111</v>
      </c>
      <c r="N1252" t="s">
        <v>18</v>
      </c>
      <c r="R1252" s="3">
        <f t="shared" si="99"/>
        <v>4.0166666666666666</v>
      </c>
    </row>
    <row r="1253" spans="1:18" hidden="1" x14ac:dyDescent="0.25">
      <c r="A1253" t="s">
        <v>4961</v>
      </c>
      <c r="B1253" t="s">
        <v>4806</v>
      </c>
      <c r="C1253" t="s">
        <v>4805</v>
      </c>
      <c r="D1253" s="3">
        <f t="shared" si="100"/>
        <v>9</v>
      </c>
      <c r="E1253" t="s">
        <v>12</v>
      </c>
      <c r="F1253" t="s">
        <v>13</v>
      </c>
      <c r="G1253" t="str">
        <f t="shared" si="101"/>
        <v/>
      </c>
      <c r="H1253" t="s">
        <v>14</v>
      </c>
      <c r="I1253" t="s">
        <v>4962</v>
      </c>
      <c r="J1253" s="2">
        <f t="shared" si="102"/>
        <v>1500000</v>
      </c>
      <c r="K1253" t="s">
        <v>66</v>
      </c>
      <c r="L1253">
        <f t="shared" si="103"/>
        <v>0.17222222222222225</v>
      </c>
      <c r="M1253" s="5">
        <v>0.17222222222222225</v>
      </c>
      <c r="N1253" t="s">
        <v>43</v>
      </c>
      <c r="R1253" s="3">
        <f t="shared" si="99"/>
        <v>4.1333333333333337</v>
      </c>
    </row>
    <row r="1254" spans="1:18" hidden="1" x14ac:dyDescent="0.25">
      <c r="A1254" t="s">
        <v>4961</v>
      </c>
      <c r="B1254" t="s">
        <v>4806</v>
      </c>
      <c r="C1254" t="s">
        <v>4805</v>
      </c>
      <c r="D1254" s="3">
        <f t="shared" si="100"/>
        <v>9</v>
      </c>
      <c r="E1254" t="s">
        <v>12</v>
      </c>
      <c r="F1254" t="s">
        <v>13</v>
      </c>
      <c r="G1254" t="str">
        <f t="shared" si="101"/>
        <v/>
      </c>
      <c r="H1254" t="s">
        <v>14</v>
      </c>
      <c r="I1254" t="s">
        <v>4962</v>
      </c>
      <c r="J1254" s="2">
        <f t="shared" si="102"/>
        <v>1500000</v>
      </c>
      <c r="K1254" t="s">
        <v>66</v>
      </c>
      <c r="L1254">
        <f t="shared" si="103"/>
        <v>0.17222222222222225</v>
      </c>
      <c r="M1254" s="5">
        <v>0.17222222222222225</v>
      </c>
      <c r="N1254" t="s">
        <v>43</v>
      </c>
      <c r="R1254" s="3">
        <f t="shared" si="99"/>
        <v>4.1333333333333337</v>
      </c>
    </row>
    <row r="1255" spans="1:18" hidden="1" x14ac:dyDescent="0.25">
      <c r="A1255" t="s">
        <v>4061</v>
      </c>
      <c r="B1255" t="s">
        <v>3746</v>
      </c>
      <c r="C1255" t="s">
        <v>3763</v>
      </c>
      <c r="D1255" s="3">
        <f t="shared" si="100"/>
        <v>11.399999999999999</v>
      </c>
      <c r="E1255" t="s">
        <v>4062</v>
      </c>
      <c r="F1255" t="s">
        <v>13</v>
      </c>
      <c r="G1255" t="str">
        <f t="shared" si="101"/>
        <v/>
      </c>
      <c r="H1255" t="s">
        <v>14</v>
      </c>
      <c r="I1255" t="s">
        <v>4063</v>
      </c>
      <c r="J1255" s="2">
        <f t="shared" si="102"/>
        <v>1400000</v>
      </c>
      <c r="K1255" t="s">
        <v>81</v>
      </c>
      <c r="L1255">
        <f t="shared" si="103"/>
        <v>0</v>
      </c>
      <c r="N1255" t="s">
        <v>43</v>
      </c>
      <c r="R1255" s="3">
        <f t="shared" si="99"/>
        <v>0</v>
      </c>
    </row>
    <row r="1256" spans="1:18" hidden="1" x14ac:dyDescent="0.25">
      <c r="A1256" t="s">
        <v>4059</v>
      </c>
      <c r="B1256" t="s">
        <v>3746</v>
      </c>
      <c r="C1256" t="s">
        <v>3763</v>
      </c>
      <c r="D1256" s="3">
        <f t="shared" si="100"/>
        <v>16</v>
      </c>
      <c r="E1256" t="s">
        <v>79</v>
      </c>
      <c r="F1256" t="s">
        <v>13</v>
      </c>
      <c r="G1256" t="str">
        <f t="shared" si="101"/>
        <v/>
      </c>
      <c r="H1256" t="s">
        <v>14</v>
      </c>
      <c r="I1256" t="s">
        <v>4060</v>
      </c>
      <c r="J1256" s="2">
        <f t="shared" si="102"/>
        <v>1200000</v>
      </c>
      <c r="K1256" t="s">
        <v>36</v>
      </c>
      <c r="L1256">
        <f t="shared" si="103"/>
        <v>0</v>
      </c>
      <c r="N1256" t="s">
        <v>43</v>
      </c>
      <c r="R1256" s="3">
        <f t="shared" si="99"/>
        <v>0</v>
      </c>
    </row>
    <row r="1257" spans="1:18" hidden="1" x14ac:dyDescent="0.25">
      <c r="A1257" t="s">
        <v>572</v>
      </c>
      <c r="B1257" t="s">
        <v>20</v>
      </c>
      <c r="C1257" t="s">
        <v>24</v>
      </c>
      <c r="D1257" s="3">
        <f t="shared" si="100"/>
        <v>6</v>
      </c>
      <c r="E1257" t="s">
        <v>64</v>
      </c>
      <c r="F1257" t="s">
        <v>13</v>
      </c>
      <c r="G1257" t="str">
        <f t="shared" si="101"/>
        <v/>
      </c>
      <c r="H1257" t="s">
        <v>14</v>
      </c>
      <c r="I1257" t="s">
        <v>573</v>
      </c>
      <c r="J1257" s="2">
        <f t="shared" si="102"/>
        <v>550000</v>
      </c>
      <c r="K1257" t="s">
        <v>62</v>
      </c>
      <c r="L1257">
        <f t="shared" si="103"/>
        <v>0.17013888888888887</v>
      </c>
      <c r="M1257" s="5">
        <v>0.17013888888888887</v>
      </c>
      <c r="N1257" t="s">
        <v>18</v>
      </c>
      <c r="R1257" s="3">
        <f t="shared" si="99"/>
        <v>4.083333333333333</v>
      </c>
    </row>
    <row r="1258" spans="1:18" hidden="1" x14ac:dyDescent="0.25">
      <c r="A1258" t="s">
        <v>613</v>
      </c>
      <c r="B1258" t="s">
        <v>20</v>
      </c>
      <c r="C1258" t="s">
        <v>19</v>
      </c>
      <c r="D1258" s="3">
        <f t="shared" si="100"/>
        <v>7.5</v>
      </c>
      <c r="E1258" t="s">
        <v>614</v>
      </c>
      <c r="F1258" t="s">
        <v>13</v>
      </c>
      <c r="G1258" t="str">
        <f t="shared" si="101"/>
        <v/>
      </c>
      <c r="H1258" t="s">
        <v>14</v>
      </c>
      <c r="I1258" t="s">
        <v>615</v>
      </c>
      <c r="J1258" s="2">
        <f t="shared" si="102"/>
        <v>600000</v>
      </c>
      <c r="K1258" t="s">
        <v>173</v>
      </c>
      <c r="L1258">
        <f t="shared" si="103"/>
        <v>0</v>
      </c>
      <c r="N1258" t="s">
        <v>18</v>
      </c>
      <c r="R1258" s="3">
        <f t="shared" si="99"/>
        <v>0</v>
      </c>
    </row>
    <row r="1259" spans="1:18" hidden="1" x14ac:dyDescent="0.25">
      <c r="A1259" t="s">
        <v>59</v>
      </c>
      <c r="B1259" t="s">
        <v>20</v>
      </c>
      <c r="C1259" t="s">
        <v>19</v>
      </c>
      <c r="D1259" s="3">
        <f t="shared" si="100"/>
        <v>5</v>
      </c>
      <c r="E1259" t="s">
        <v>60</v>
      </c>
      <c r="F1259" t="s">
        <v>13</v>
      </c>
      <c r="G1259" t="str">
        <f t="shared" si="101"/>
        <v/>
      </c>
      <c r="H1259" t="s">
        <v>14</v>
      </c>
      <c r="I1259" t="s">
        <v>61</v>
      </c>
      <c r="J1259" s="2">
        <f t="shared" si="102"/>
        <v>550000</v>
      </c>
      <c r="K1259" t="s">
        <v>62</v>
      </c>
      <c r="L1259">
        <f t="shared" si="103"/>
        <v>0</v>
      </c>
      <c r="N1259" t="s">
        <v>18</v>
      </c>
      <c r="R1259" s="3">
        <f t="shared" si="99"/>
        <v>0</v>
      </c>
    </row>
    <row r="1260" spans="1:18" hidden="1" x14ac:dyDescent="0.25">
      <c r="A1260" t="s">
        <v>5178</v>
      </c>
      <c r="B1260" t="s">
        <v>4806</v>
      </c>
      <c r="C1260" t="s">
        <v>4939</v>
      </c>
      <c r="D1260" s="3">
        <f t="shared" si="100"/>
        <v>15</v>
      </c>
      <c r="E1260" t="s">
        <v>71</v>
      </c>
      <c r="F1260" t="s">
        <v>13</v>
      </c>
      <c r="G1260" t="str">
        <f t="shared" si="101"/>
        <v/>
      </c>
      <c r="H1260" t="s">
        <v>14</v>
      </c>
      <c r="I1260" t="s">
        <v>5179</v>
      </c>
      <c r="J1260" s="2">
        <f t="shared" si="102"/>
        <v>1100000</v>
      </c>
      <c r="K1260" t="s">
        <v>42</v>
      </c>
      <c r="L1260">
        <f t="shared" si="103"/>
        <v>0.20833333333333334</v>
      </c>
      <c r="M1260" s="5">
        <v>0.20833333333333334</v>
      </c>
      <c r="N1260" t="s">
        <v>37</v>
      </c>
      <c r="R1260" s="3">
        <f t="shared" si="99"/>
        <v>5</v>
      </c>
    </row>
    <row r="1261" spans="1:18" hidden="1" x14ac:dyDescent="0.25">
      <c r="A1261" t="s">
        <v>406</v>
      </c>
      <c r="B1261" t="s">
        <v>20</v>
      </c>
      <c r="C1261" t="s">
        <v>218</v>
      </c>
      <c r="D1261" s="3">
        <f t="shared" si="100"/>
        <v>12</v>
      </c>
      <c r="E1261" t="s">
        <v>33</v>
      </c>
      <c r="F1261" t="s">
        <v>34</v>
      </c>
      <c r="G1261" t="str">
        <f t="shared" si="101"/>
        <v/>
      </c>
      <c r="H1261" t="s">
        <v>14</v>
      </c>
      <c r="I1261" t="s">
        <v>407</v>
      </c>
      <c r="J1261" s="2">
        <f t="shared" si="102"/>
        <v>800000</v>
      </c>
      <c r="K1261" t="s">
        <v>109</v>
      </c>
      <c r="L1261">
        <f t="shared" si="103"/>
        <v>0.20833333333333334</v>
      </c>
      <c r="M1261" s="5">
        <v>0.20833333333333334</v>
      </c>
      <c r="N1261" t="s">
        <v>18</v>
      </c>
      <c r="R1261" s="3">
        <f t="shared" si="99"/>
        <v>5</v>
      </c>
    </row>
    <row r="1262" spans="1:18" hidden="1" x14ac:dyDescent="0.25">
      <c r="A1262" t="s">
        <v>854</v>
      </c>
      <c r="B1262" t="s">
        <v>640</v>
      </c>
      <c r="C1262" t="s">
        <v>856</v>
      </c>
      <c r="D1262" s="3">
        <f t="shared" si="100"/>
        <v>7.5</v>
      </c>
      <c r="E1262" t="s">
        <v>178</v>
      </c>
      <c r="F1262" t="s">
        <v>13</v>
      </c>
      <c r="G1262" t="str">
        <f t="shared" si="101"/>
        <v/>
      </c>
      <c r="H1262" t="s">
        <v>14</v>
      </c>
      <c r="I1262" t="s">
        <v>855</v>
      </c>
      <c r="J1262" s="2">
        <f t="shared" si="102"/>
        <v>1500000</v>
      </c>
      <c r="K1262" t="s">
        <v>66</v>
      </c>
      <c r="L1262">
        <f t="shared" si="103"/>
        <v>0.20833333333333334</v>
      </c>
      <c r="M1262" s="5">
        <v>0.20833333333333334</v>
      </c>
      <c r="N1262" t="s">
        <v>18</v>
      </c>
      <c r="R1262" s="3">
        <f t="shared" si="99"/>
        <v>5</v>
      </c>
    </row>
    <row r="1263" spans="1:18" x14ac:dyDescent="0.25">
      <c r="A1263" t="s">
        <v>1434</v>
      </c>
      <c r="B1263" t="s">
        <v>1303</v>
      </c>
      <c r="C1263" t="s">
        <v>1366</v>
      </c>
      <c r="D1263" s="3">
        <f t="shared" si="100"/>
        <v>9.1</v>
      </c>
      <c r="E1263" t="s">
        <v>1435</v>
      </c>
      <c r="F1263" t="s">
        <v>13</v>
      </c>
      <c r="G1263" t="str">
        <f t="shared" si="101"/>
        <v/>
      </c>
      <c r="H1263" t="s">
        <v>14</v>
      </c>
      <c r="I1263" t="s">
        <v>1436</v>
      </c>
      <c r="J1263" s="2">
        <f t="shared" si="102"/>
        <v>1675000</v>
      </c>
      <c r="K1263" t="s">
        <v>1119</v>
      </c>
      <c r="L1263">
        <f t="shared" si="103"/>
        <v>0.17083333333333331</v>
      </c>
      <c r="M1263" s="5">
        <v>0.17083333333333331</v>
      </c>
      <c r="N1263" t="s">
        <v>43</v>
      </c>
      <c r="R1263" s="3">
        <f t="shared" si="99"/>
        <v>4.0999999999999996</v>
      </c>
    </row>
    <row r="1264" spans="1:18" hidden="1" x14ac:dyDescent="0.25">
      <c r="A1264" t="s">
        <v>309</v>
      </c>
      <c r="B1264" t="s">
        <v>20</v>
      </c>
      <c r="C1264" t="s">
        <v>165</v>
      </c>
      <c r="D1264" s="3">
        <f t="shared" si="100"/>
        <v>12</v>
      </c>
      <c r="E1264" t="s">
        <v>33</v>
      </c>
      <c r="F1264" t="s">
        <v>34</v>
      </c>
      <c r="G1264" t="str">
        <f t="shared" si="101"/>
        <v/>
      </c>
      <c r="H1264" t="s">
        <v>14</v>
      </c>
      <c r="I1264" t="s">
        <v>310</v>
      </c>
      <c r="J1264" s="2">
        <f t="shared" si="102"/>
        <v>710000</v>
      </c>
      <c r="K1264" t="s">
        <v>311</v>
      </c>
      <c r="L1264">
        <f t="shared" si="103"/>
        <v>0.1673611111111111</v>
      </c>
      <c r="M1264" s="5">
        <v>0.1673611111111111</v>
      </c>
      <c r="N1264" t="s">
        <v>43</v>
      </c>
      <c r="R1264" s="3">
        <f t="shared" si="99"/>
        <v>4.0166666666666666</v>
      </c>
    </row>
    <row r="1265" spans="1:18" hidden="1" x14ac:dyDescent="0.25">
      <c r="A1265" t="s">
        <v>243</v>
      </c>
      <c r="B1265" t="s">
        <v>20</v>
      </c>
      <c r="C1265" t="s">
        <v>165</v>
      </c>
      <c r="D1265" s="3">
        <f t="shared" si="100"/>
        <v>12</v>
      </c>
      <c r="E1265" t="s">
        <v>33</v>
      </c>
      <c r="F1265" t="s">
        <v>34</v>
      </c>
      <c r="G1265" t="str">
        <f t="shared" si="101"/>
        <v/>
      </c>
      <c r="H1265" t="s">
        <v>14</v>
      </c>
      <c r="I1265" t="s">
        <v>244</v>
      </c>
      <c r="J1265" s="2">
        <f t="shared" si="102"/>
        <v>820000</v>
      </c>
      <c r="K1265" t="s">
        <v>245</v>
      </c>
      <c r="L1265">
        <f t="shared" si="103"/>
        <v>0.125</v>
      </c>
      <c r="M1265" s="5">
        <v>0.125</v>
      </c>
      <c r="N1265" t="s">
        <v>43</v>
      </c>
      <c r="R1265" s="3">
        <f t="shared" si="99"/>
        <v>3</v>
      </c>
    </row>
    <row r="1266" spans="1:18" hidden="1" x14ac:dyDescent="0.25">
      <c r="A1266" t="s">
        <v>453</v>
      </c>
      <c r="B1266" t="s">
        <v>20</v>
      </c>
      <c r="C1266" t="s">
        <v>165</v>
      </c>
      <c r="D1266" s="3">
        <f t="shared" si="100"/>
        <v>21</v>
      </c>
      <c r="E1266" t="s">
        <v>454</v>
      </c>
      <c r="F1266" t="s">
        <v>34</v>
      </c>
      <c r="G1266" t="str">
        <f t="shared" si="101"/>
        <v/>
      </c>
      <c r="H1266" t="s">
        <v>14</v>
      </c>
      <c r="I1266" t="s">
        <v>455</v>
      </c>
      <c r="J1266" s="2">
        <f t="shared" si="102"/>
        <v>1040000</v>
      </c>
      <c r="K1266" t="s">
        <v>456</v>
      </c>
      <c r="L1266">
        <f t="shared" si="103"/>
        <v>0.17222222222222225</v>
      </c>
      <c r="M1266" s="5">
        <v>0.17222222222222225</v>
      </c>
      <c r="N1266" t="s">
        <v>43</v>
      </c>
      <c r="R1266" s="3">
        <f t="shared" si="99"/>
        <v>4.1333333333333337</v>
      </c>
    </row>
    <row r="1267" spans="1:18" hidden="1" x14ac:dyDescent="0.25">
      <c r="A1267" t="s">
        <v>301</v>
      </c>
      <c r="B1267" t="s">
        <v>20</v>
      </c>
      <c r="C1267" t="s">
        <v>19</v>
      </c>
      <c r="D1267" s="3">
        <f t="shared" si="100"/>
        <v>9</v>
      </c>
      <c r="E1267" t="s">
        <v>12</v>
      </c>
      <c r="F1267" t="s">
        <v>13</v>
      </c>
      <c r="G1267" t="str">
        <f t="shared" si="101"/>
        <v/>
      </c>
      <c r="H1267" t="s">
        <v>14</v>
      </c>
      <c r="I1267" t="s">
        <v>302</v>
      </c>
      <c r="J1267" s="2">
        <f t="shared" si="102"/>
        <v>850000</v>
      </c>
      <c r="K1267" t="s">
        <v>185</v>
      </c>
      <c r="L1267">
        <f t="shared" si="103"/>
        <v>0</v>
      </c>
      <c r="N1267" t="s">
        <v>18</v>
      </c>
      <c r="R1267" s="3">
        <f t="shared" si="99"/>
        <v>0</v>
      </c>
    </row>
    <row r="1268" spans="1:18" hidden="1" x14ac:dyDescent="0.25">
      <c r="A1268" t="s">
        <v>5027</v>
      </c>
      <c r="B1268" t="s">
        <v>4806</v>
      </c>
      <c r="C1268" t="s">
        <v>4805</v>
      </c>
      <c r="D1268" s="3">
        <f t="shared" si="100"/>
        <v>25.6</v>
      </c>
      <c r="E1268" t="s">
        <v>5028</v>
      </c>
      <c r="F1268" t="s">
        <v>13</v>
      </c>
      <c r="G1268" t="str">
        <f t="shared" si="101"/>
        <v/>
      </c>
      <c r="H1268" t="s">
        <v>14</v>
      </c>
      <c r="I1268" t="s">
        <v>5029</v>
      </c>
      <c r="J1268" s="2">
        <f t="shared" si="102"/>
        <v>1200000</v>
      </c>
      <c r="K1268" t="s">
        <v>36</v>
      </c>
      <c r="L1268">
        <f t="shared" si="103"/>
        <v>0</v>
      </c>
      <c r="N1268" t="s">
        <v>43</v>
      </c>
      <c r="R1268" s="3">
        <f t="shared" si="99"/>
        <v>0</v>
      </c>
    </row>
    <row r="1269" spans="1:18" hidden="1" x14ac:dyDescent="0.25">
      <c r="A1269" t="s">
        <v>5144</v>
      </c>
      <c r="B1269" t="s">
        <v>4806</v>
      </c>
      <c r="C1269" t="s">
        <v>4805</v>
      </c>
      <c r="D1269" s="3">
        <f t="shared" si="100"/>
        <v>21</v>
      </c>
      <c r="E1269" t="s">
        <v>121</v>
      </c>
      <c r="F1269" t="s">
        <v>13</v>
      </c>
      <c r="G1269" t="str">
        <f t="shared" si="101"/>
        <v/>
      </c>
      <c r="H1269" t="s">
        <v>14</v>
      </c>
      <c r="I1269" t="s">
        <v>5145</v>
      </c>
      <c r="J1269" s="2">
        <f t="shared" si="102"/>
        <v>1050000</v>
      </c>
      <c r="K1269" t="s">
        <v>477</v>
      </c>
      <c r="L1269">
        <f t="shared" si="103"/>
        <v>0</v>
      </c>
      <c r="N1269" t="s">
        <v>43</v>
      </c>
      <c r="R1269" s="3">
        <f t="shared" si="99"/>
        <v>0</v>
      </c>
    </row>
    <row r="1270" spans="1:18" hidden="1" x14ac:dyDescent="0.25">
      <c r="A1270" t="s">
        <v>3596</v>
      </c>
      <c r="B1270" t="s">
        <v>3233</v>
      </c>
      <c r="C1270" t="s">
        <v>3261</v>
      </c>
      <c r="D1270" s="3">
        <f t="shared" si="100"/>
        <v>12</v>
      </c>
      <c r="E1270" t="s">
        <v>33</v>
      </c>
      <c r="F1270" t="s">
        <v>13</v>
      </c>
      <c r="G1270" t="str">
        <f t="shared" si="101"/>
        <v/>
      </c>
      <c r="H1270" t="s">
        <v>14</v>
      </c>
      <c r="I1270" t="s">
        <v>3597</v>
      </c>
      <c r="J1270" s="2">
        <f t="shared" si="102"/>
        <v>1100000</v>
      </c>
      <c r="K1270" t="s">
        <v>42</v>
      </c>
      <c r="L1270">
        <f t="shared" si="103"/>
        <v>0.13055555555555556</v>
      </c>
      <c r="M1270" s="5">
        <v>0.13055555555555556</v>
      </c>
      <c r="N1270" t="s">
        <v>43</v>
      </c>
      <c r="R1270" s="3">
        <f t="shared" si="99"/>
        <v>3.1333333333333337</v>
      </c>
    </row>
    <row r="1271" spans="1:18" hidden="1" x14ac:dyDescent="0.25">
      <c r="A1271" t="s">
        <v>3602</v>
      </c>
      <c r="B1271" t="s">
        <v>3233</v>
      </c>
      <c r="C1271" t="s">
        <v>3237</v>
      </c>
      <c r="D1271" s="3">
        <f t="shared" si="100"/>
        <v>18</v>
      </c>
      <c r="E1271" t="s">
        <v>126</v>
      </c>
      <c r="F1271" t="s">
        <v>13</v>
      </c>
      <c r="G1271" t="str">
        <f t="shared" si="101"/>
        <v/>
      </c>
      <c r="H1271" t="s">
        <v>14</v>
      </c>
      <c r="I1271" t="s">
        <v>3603</v>
      </c>
      <c r="J1271" s="2">
        <f t="shared" si="102"/>
        <v>1100000</v>
      </c>
      <c r="K1271" t="s">
        <v>42</v>
      </c>
      <c r="L1271">
        <f t="shared" si="103"/>
        <v>0.20833333333333334</v>
      </c>
      <c r="M1271" s="5">
        <v>0.20833333333333334</v>
      </c>
      <c r="N1271" t="s">
        <v>43</v>
      </c>
      <c r="R1271" s="3">
        <f t="shared" si="99"/>
        <v>5</v>
      </c>
    </row>
    <row r="1272" spans="1:18" hidden="1" x14ac:dyDescent="0.25">
      <c r="A1272" t="s">
        <v>5682</v>
      </c>
      <c r="B1272" t="s">
        <v>5848</v>
      </c>
      <c r="C1272" t="s">
        <v>5350</v>
      </c>
      <c r="D1272" s="3">
        <f t="shared" si="100"/>
        <v>9</v>
      </c>
      <c r="E1272" t="s">
        <v>12</v>
      </c>
      <c r="F1272" t="s">
        <v>13</v>
      </c>
      <c r="G1272" t="str">
        <f t="shared" si="101"/>
        <v/>
      </c>
      <c r="H1272" t="s">
        <v>14</v>
      </c>
      <c r="I1272" t="s">
        <v>5683</v>
      </c>
      <c r="J1272" s="2">
        <f t="shared" si="102"/>
        <v>950000</v>
      </c>
      <c r="K1272" t="s">
        <v>355</v>
      </c>
      <c r="L1272">
        <f t="shared" si="103"/>
        <v>0.17083333333333331</v>
      </c>
      <c r="M1272" s="5">
        <v>0.17083333333333331</v>
      </c>
      <c r="N1272" t="s">
        <v>18</v>
      </c>
      <c r="P1272" t="s">
        <v>1063</v>
      </c>
      <c r="R1272" s="3">
        <f t="shared" si="99"/>
        <v>4.0999999999999996</v>
      </c>
    </row>
    <row r="1273" spans="1:18" hidden="1" x14ac:dyDescent="0.25">
      <c r="A1273" t="s">
        <v>3954</v>
      </c>
      <c r="B1273" t="s">
        <v>3746</v>
      </c>
      <c r="C1273" t="s">
        <v>3937</v>
      </c>
      <c r="D1273" s="3">
        <f t="shared" si="100"/>
        <v>9</v>
      </c>
      <c r="E1273" t="s">
        <v>12</v>
      </c>
      <c r="F1273" t="s">
        <v>13</v>
      </c>
      <c r="G1273" t="str">
        <f t="shared" si="101"/>
        <v/>
      </c>
      <c r="H1273" t="s">
        <v>14</v>
      </c>
      <c r="I1273" t="s">
        <v>3955</v>
      </c>
      <c r="J1273" s="2">
        <f t="shared" si="102"/>
        <v>1200000</v>
      </c>
      <c r="K1273" t="s">
        <v>36</v>
      </c>
      <c r="L1273">
        <f t="shared" si="103"/>
        <v>0</v>
      </c>
      <c r="N1273" t="s">
        <v>18</v>
      </c>
      <c r="R1273" s="3">
        <f t="shared" si="99"/>
        <v>0</v>
      </c>
    </row>
    <row r="1274" spans="1:18" x14ac:dyDescent="0.25">
      <c r="A1274" t="s">
        <v>3164</v>
      </c>
      <c r="B1274" t="s">
        <v>3206</v>
      </c>
      <c r="C1274" t="s">
        <v>2628</v>
      </c>
      <c r="D1274" s="3">
        <f t="shared" si="100"/>
        <v>5.52</v>
      </c>
      <c r="E1274" t="s">
        <v>2565</v>
      </c>
      <c r="F1274" t="s">
        <v>13</v>
      </c>
      <c r="G1274">
        <f t="shared" si="101"/>
        <v>1825000</v>
      </c>
      <c r="H1274" t="s">
        <v>196</v>
      </c>
      <c r="I1274" t="s">
        <v>3165</v>
      </c>
      <c r="J1274" s="2">
        <f t="shared" si="102"/>
        <v>1681000</v>
      </c>
      <c r="K1274" t="s">
        <v>1401</v>
      </c>
      <c r="L1274">
        <f t="shared" si="103"/>
        <v>0.17222222222222225</v>
      </c>
      <c r="M1274" s="5">
        <v>0.17222222222222225</v>
      </c>
      <c r="N1274" t="s">
        <v>37</v>
      </c>
      <c r="P1274" t="s">
        <v>1402</v>
      </c>
      <c r="R1274" s="3">
        <f t="shared" si="99"/>
        <v>4.1333333333333337</v>
      </c>
    </row>
    <row r="1275" spans="1:18" x14ac:dyDescent="0.25">
      <c r="A1275" t="s">
        <v>382</v>
      </c>
      <c r="B1275" t="s">
        <v>20</v>
      </c>
      <c r="C1275" t="s">
        <v>30</v>
      </c>
      <c r="D1275" s="3">
        <f t="shared" si="100"/>
        <v>9</v>
      </c>
      <c r="E1275" t="s">
        <v>12</v>
      </c>
      <c r="F1275" t="s">
        <v>34</v>
      </c>
      <c r="G1275" t="str">
        <f t="shared" si="101"/>
        <v/>
      </c>
      <c r="H1275" t="s">
        <v>14</v>
      </c>
      <c r="I1275" t="s">
        <v>383</v>
      </c>
      <c r="J1275" s="2">
        <f t="shared" si="102"/>
        <v>1700000</v>
      </c>
      <c r="K1275" t="s">
        <v>23</v>
      </c>
      <c r="L1275">
        <f t="shared" si="103"/>
        <v>0</v>
      </c>
      <c r="N1275" t="s">
        <v>43</v>
      </c>
      <c r="R1275" s="3">
        <f t="shared" si="99"/>
        <v>0</v>
      </c>
    </row>
    <row r="1276" spans="1:18" hidden="1" x14ac:dyDescent="0.25">
      <c r="A1276" t="s">
        <v>1263</v>
      </c>
      <c r="B1276" t="s">
        <v>640</v>
      </c>
      <c r="C1276" t="s">
        <v>643</v>
      </c>
      <c r="D1276" s="3">
        <f t="shared" si="100"/>
        <v>7.5</v>
      </c>
      <c r="E1276" t="s">
        <v>178</v>
      </c>
      <c r="F1276" t="s">
        <v>13</v>
      </c>
      <c r="G1276" t="str">
        <f t="shared" si="101"/>
        <v/>
      </c>
      <c r="H1276" t="s">
        <v>14</v>
      </c>
      <c r="I1276" t="s">
        <v>1264</v>
      </c>
      <c r="J1276" s="2">
        <f t="shared" si="102"/>
        <v>1000000</v>
      </c>
      <c r="K1276" t="s">
        <v>52</v>
      </c>
      <c r="L1276">
        <f t="shared" si="103"/>
        <v>0.17083333333333331</v>
      </c>
      <c r="M1276" s="5">
        <v>0.17083333333333331</v>
      </c>
      <c r="N1276" t="s">
        <v>37</v>
      </c>
      <c r="P1276" t="s">
        <v>727</v>
      </c>
      <c r="R1276" s="3">
        <f t="shared" si="99"/>
        <v>4.0999999999999996</v>
      </c>
    </row>
    <row r="1277" spans="1:18" hidden="1" x14ac:dyDescent="0.25">
      <c r="A1277" t="s">
        <v>200</v>
      </c>
      <c r="B1277" t="s">
        <v>20</v>
      </c>
      <c r="C1277" t="s">
        <v>54</v>
      </c>
      <c r="D1277" s="3">
        <f t="shared" si="100"/>
        <v>9</v>
      </c>
      <c r="E1277" t="s">
        <v>12</v>
      </c>
      <c r="F1277" t="s">
        <v>13</v>
      </c>
      <c r="G1277" t="str">
        <f t="shared" si="101"/>
        <v/>
      </c>
      <c r="H1277" t="s">
        <v>14</v>
      </c>
      <c r="I1277" t="s">
        <v>201</v>
      </c>
      <c r="J1277" s="2">
        <f t="shared" si="102"/>
        <v>1250000</v>
      </c>
      <c r="K1277" t="s">
        <v>202</v>
      </c>
      <c r="L1277">
        <f t="shared" si="103"/>
        <v>0</v>
      </c>
      <c r="N1277" t="s">
        <v>43</v>
      </c>
      <c r="R1277" s="3">
        <f t="shared" si="99"/>
        <v>0</v>
      </c>
    </row>
    <row r="1278" spans="1:18" x14ac:dyDescent="0.25">
      <c r="A1278" t="s">
        <v>5289</v>
      </c>
      <c r="B1278" t="s">
        <v>4806</v>
      </c>
      <c r="C1278" t="s">
        <v>4805</v>
      </c>
      <c r="D1278" s="3">
        <f t="shared" si="100"/>
        <v>7.5</v>
      </c>
      <c r="E1278" t="s">
        <v>178</v>
      </c>
      <c r="F1278" t="s">
        <v>13</v>
      </c>
      <c r="G1278" t="str">
        <f t="shared" si="101"/>
        <v/>
      </c>
      <c r="H1278" t="s">
        <v>14</v>
      </c>
      <c r="I1278" t="s">
        <v>5290</v>
      </c>
      <c r="J1278" s="2">
        <f t="shared" si="102"/>
        <v>1700000</v>
      </c>
      <c r="K1278" t="s">
        <v>23</v>
      </c>
      <c r="L1278">
        <f t="shared" si="103"/>
        <v>0.17222222222222225</v>
      </c>
      <c r="M1278" s="5">
        <v>0.17222222222222225</v>
      </c>
      <c r="N1278" t="s">
        <v>43</v>
      </c>
      <c r="R1278" s="3">
        <f t="shared" si="99"/>
        <v>4.1333333333333337</v>
      </c>
    </row>
    <row r="1279" spans="1:18" x14ac:dyDescent="0.25">
      <c r="A1279" t="s">
        <v>186</v>
      </c>
      <c r="B1279" t="s">
        <v>20</v>
      </c>
      <c r="C1279" t="s">
        <v>19</v>
      </c>
      <c r="D1279" s="3">
        <f t="shared" si="100"/>
        <v>12.25</v>
      </c>
      <c r="E1279" t="s">
        <v>187</v>
      </c>
      <c r="F1279" t="s">
        <v>13</v>
      </c>
      <c r="G1279" t="str">
        <f t="shared" si="101"/>
        <v/>
      </c>
      <c r="H1279" t="s">
        <v>14</v>
      </c>
      <c r="I1279" t="s">
        <v>188</v>
      </c>
      <c r="J1279" s="2">
        <f t="shared" si="102"/>
        <v>1700000</v>
      </c>
      <c r="K1279" t="s">
        <v>23</v>
      </c>
      <c r="L1279">
        <f t="shared" si="103"/>
        <v>0</v>
      </c>
      <c r="N1279" t="s">
        <v>18</v>
      </c>
      <c r="R1279" s="3">
        <f t="shared" si="99"/>
        <v>0</v>
      </c>
    </row>
    <row r="1280" spans="1:18" hidden="1" x14ac:dyDescent="0.25">
      <c r="A1280" t="s">
        <v>5777</v>
      </c>
      <c r="B1280" t="s">
        <v>5848</v>
      </c>
      <c r="C1280" t="s">
        <v>5339</v>
      </c>
      <c r="D1280" s="3">
        <f t="shared" si="100"/>
        <v>9</v>
      </c>
      <c r="E1280" t="s">
        <v>12</v>
      </c>
      <c r="F1280" t="s">
        <v>34</v>
      </c>
      <c r="G1280" t="str">
        <f t="shared" si="101"/>
        <v/>
      </c>
      <c r="H1280" t="s">
        <v>14</v>
      </c>
      <c r="I1280" t="s">
        <v>5778</v>
      </c>
      <c r="J1280" s="2">
        <f t="shared" si="102"/>
        <v>1200000</v>
      </c>
      <c r="K1280" t="s">
        <v>36</v>
      </c>
      <c r="L1280">
        <f t="shared" si="103"/>
        <v>0</v>
      </c>
      <c r="N1280" t="s">
        <v>18</v>
      </c>
      <c r="R1280" s="3">
        <f t="shared" si="99"/>
        <v>0</v>
      </c>
    </row>
    <row r="1281" spans="1:18" hidden="1" x14ac:dyDescent="0.25">
      <c r="A1281" t="s">
        <v>85</v>
      </c>
      <c r="B1281" t="s">
        <v>20</v>
      </c>
      <c r="C1281" t="s">
        <v>67</v>
      </c>
      <c r="D1281" s="3">
        <f t="shared" si="100"/>
        <v>9</v>
      </c>
      <c r="E1281" t="s">
        <v>12</v>
      </c>
      <c r="F1281" t="s">
        <v>34</v>
      </c>
      <c r="G1281" t="str">
        <f t="shared" si="101"/>
        <v/>
      </c>
      <c r="H1281" t="s">
        <v>14</v>
      </c>
      <c r="I1281" t="s">
        <v>86</v>
      </c>
      <c r="J1281" s="2">
        <f t="shared" si="102"/>
        <v>1850000</v>
      </c>
      <c r="K1281" t="s">
        <v>87</v>
      </c>
      <c r="L1281">
        <f t="shared" si="103"/>
        <v>0</v>
      </c>
      <c r="N1281" t="s">
        <v>43</v>
      </c>
      <c r="R1281" s="3">
        <f t="shared" si="99"/>
        <v>0</v>
      </c>
    </row>
    <row r="1282" spans="1:18" hidden="1" x14ac:dyDescent="0.25">
      <c r="A1282" t="s">
        <v>5825</v>
      </c>
      <c r="B1282" t="s">
        <v>5848</v>
      </c>
      <c r="C1282" t="s">
        <v>5369</v>
      </c>
      <c r="D1282" s="3">
        <f t="shared" si="100"/>
        <v>15</v>
      </c>
      <c r="E1282" t="s">
        <v>4258</v>
      </c>
      <c r="F1282" t="s">
        <v>13</v>
      </c>
      <c r="G1282" t="str">
        <f t="shared" si="101"/>
        <v/>
      </c>
      <c r="H1282" t="s">
        <v>14</v>
      </c>
      <c r="I1282" t="s">
        <v>5826</v>
      </c>
      <c r="J1282" s="2">
        <f t="shared" si="102"/>
        <v>1600000</v>
      </c>
      <c r="K1282" t="s">
        <v>95</v>
      </c>
      <c r="L1282">
        <f t="shared" si="103"/>
        <v>0.20833333333333334</v>
      </c>
      <c r="M1282" s="5">
        <v>0.20833333333333334</v>
      </c>
      <c r="N1282" t="s">
        <v>43</v>
      </c>
      <c r="P1282" t="s">
        <v>719</v>
      </c>
      <c r="R1282" s="3">
        <f t="shared" ref="R1282:R1345" si="104">24*L1282</f>
        <v>5</v>
      </c>
    </row>
    <row r="1283" spans="1:18" hidden="1" x14ac:dyDescent="0.25">
      <c r="A1283" t="s">
        <v>5825</v>
      </c>
      <c r="B1283" t="s">
        <v>5848</v>
      </c>
      <c r="C1283" t="s">
        <v>5369</v>
      </c>
      <c r="D1283" s="3">
        <f t="shared" si="100"/>
        <v>15</v>
      </c>
      <c r="E1283" t="s">
        <v>4258</v>
      </c>
      <c r="F1283" t="s">
        <v>13</v>
      </c>
      <c r="G1283" t="str">
        <f t="shared" si="101"/>
        <v/>
      </c>
      <c r="H1283" t="s">
        <v>14</v>
      </c>
      <c r="I1283" t="s">
        <v>5826</v>
      </c>
      <c r="J1283" s="2">
        <f t="shared" si="102"/>
        <v>1600000</v>
      </c>
      <c r="K1283" t="s">
        <v>95</v>
      </c>
      <c r="L1283">
        <f t="shared" si="103"/>
        <v>0.17291666666666669</v>
      </c>
      <c r="M1283" s="5">
        <v>0.17291666666666669</v>
      </c>
      <c r="N1283" t="s">
        <v>43</v>
      </c>
      <c r="P1283" t="s">
        <v>719</v>
      </c>
      <c r="R1283" s="3">
        <f t="shared" si="104"/>
        <v>4.1500000000000004</v>
      </c>
    </row>
    <row r="1284" spans="1:18" hidden="1" x14ac:dyDescent="0.25">
      <c r="A1284" t="s">
        <v>5614</v>
      </c>
      <c r="B1284" t="s">
        <v>5848</v>
      </c>
      <c r="C1284" t="s">
        <v>5369</v>
      </c>
      <c r="D1284" s="3">
        <f t="shared" ref="D1284:D1347" si="105">VALUE(LEFT(E1284,SEARCH(" x ",E1284)-1))*VALUE(MID(E1284,SEARCH(" x ",E1284)+3,SEARCH(" meter",E1284)-SEARCH(" x ",E1284)-3))</f>
        <v>12</v>
      </c>
      <c r="E1284" t="s">
        <v>33</v>
      </c>
      <c r="F1284" t="s">
        <v>13</v>
      </c>
      <c r="G1284" t="str">
        <f t="shared" ref="G1284:G1347" si="106">IF(H1284="N/A","",VALUE(SUBSTITUTE(SUBSTITUTE(H1284,"Rp",""),".","")))</f>
        <v/>
      </c>
      <c r="H1284" t="s">
        <v>14</v>
      </c>
      <c r="I1284" t="s">
        <v>5615</v>
      </c>
      <c r="J1284" s="2">
        <f t="shared" ref="J1284:J1347" si="107">VALUE(SUBSTITUTE(SUBSTITUTE(K1284,"Rp",""),".",""))</f>
        <v>1300000</v>
      </c>
      <c r="K1284" t="s">
        <v>17</v>
      </c>
      <c r="L1284">
        <f t="shared" ref="L1284:L1347" si="108">M1284:M3624</f>
        <v>0.17083333333333331</v>
      </c>
      <c r="M1284" s="5">
        <v>0.17083333333333331</v>
      </c>
      <c r="N1284" t="s">
        <v>18</v>
      </c>
      <c r="R1284" s="3">
        <f t="shared" si="104"/>
        <v>4.0999999999999996</v>
      </c>
    </row>
    <row r="1285" spans="1:18" hidden="1" x14ac:dyDescent="0.25">
      <c r="A1285" t="s">
        <v>1317</v>
      </c>
      <c r="B1285" t="s">
        <v>1303</v>
      </c>
      <c r="C1285" t="s">
        <v>1319</v>
      </c>
      <c r="D1285" s="3">
        <f t="shared" si="105"/>
        <v>16</v>
      </c>
      <c r="E1285" t="s">
        <v>79</v>
      </c>
      <c r="F1285" t="s">
        <v>13</v>
      </c>
      <c r="G1285" t="str">
        <f t="shared" si="106"/>
        <v/>
      </c>
      <c r="H1285" t="s">
        <v>14</v>
      </c>
      <c r="I1285" t="s">
        <v>1318</v>
      </c>
      <c r="J1285" s="2">
        <f t="shared" si="107"/>
        <v>2300000</v>
      </c>
      <c r="K1285" t="s">
        <v>820</v>
      </c>
      <c r="L1285">
        <f t="shared" si="108"/>
        <v>0.20833333333333334</v>
      </c>
      <c r="M1285" s="5">
        <v>0.20833333333333334</v>
      </c>
      <c r="N1285" t="s">
        <v>43</v>
      </c>
      <c r="R1285" s="3">
        <f t="shared" si="104"/>
        <v>5</v>
      </c>
    </row>
    <row r="1286" spans="1:18" x14ac:dyDescent="0.25">
      <c r="A1286" t="s">
        <v>4675</v>
      </c>
      <c r="B1286" t="s">
        <v>4272</v>
      </c>
      <c r="C1286" t="s">
        <v>4311</v>
      </c>
      <c r="D1286" s="3">
        <f t="shared" si="105"/>
        <v>9</v>
      </c>
      <c r="E1286" t="s">
        <v>12</v>
      </c>
      <c r="F1286" t="s">
        <v>13</v>
      </c>
      <c r="G1286" t="str">
        <f t="shared" si="106"/>
        <v/>
      </c>
      <c r="H1286" t="s">
        <v>14</v>
      </c>
      <c r="I1286" t="s">
        <v>4676</v>
      </c>
      <c r="J1286" s="2">
        <f t="shared" si="107"/>
        <v>1700000</v>
      </c>
      <c r="K1286" t="s">
        <v>23</v>
      </c>
      <c r="L1286">
        <f t="shared" si="108"/>
        <v>0.20833333333333334</v>
      </c>
      <c r="M1286" s="5">
        <v>0.20833333333333334</v>
      </c>
      <c r="N1286" t="s">
        <v>18</v>
      </c>
      <c r="R1286" s="3">
        <f t="shared" si="104"/>
        <v>5</v>
      </c>
    </row>
    <row r="1287" spans="1:18" hidden="1" x14ac:dyDescent="0.25">
      <c r="A1287" t="s">
        <v>3652</v>
      </c>
      <c r="B1287" t="s">
        <v>3233</v>
      </c>
      <c r="C1287" t="s">
        <v>3248</v>
      </c>
      <c r="D1287" s="3">
        <f t="shared" si="105"/>
        <v>11.61</v>
      </c>
      <c r="E1287" t="s">
        <v>2267</v>
      </c>
      <c r="F1287" t="s">
        <v>13</v>
      </c>
      <c r="G1287" t="str">
        <f t="shared" si="106"/>
        <v/>
      </c>
      <c r="H1287" t="s">
        <v>14</v>
      </c>
      <c r="I1287" t="s">
        <v>3653</v>
      </c>
      <c r="J1287" s="2">
        <f t="shared" si="107"/>
        <v>2100000</v>
      </c>
      <c r="K1287" t="s">
        <v>451</v>
      </c>
      <c r="L1287">
        <f t="shared" si="108"/>
        <v>0.20833333333333334</v>
      </c>
      <c r="M1287" s="5">
        <v>0.20833333333333334</v>
      </c>
      <c r="N1287" t="s">
        <v>43</v>
      </c>
      <c r="P1287" t="s">
        <v>1622</v>
      </c>
      <c r="R1287" s="3">
        <f t="shared" si="104"/>
        <v>5</v>
      </c>
    </row>
    <row r="1288" spans="1:18" hidden="1" x14ac:dyDescent="0.25">
      <c r="A1288" t="s">
        <v>3698</v>
      </c>
      <c r="B1288" t="s">
        <v>3233</v>
      </c>
      <c r="C1288" t="s">
        <v>3248</v>
      </c>
      <c r="D1288" s="3">
        <f t="shared" si="105"/>
        <v>11.61</v>
      </c>
      <c r="E1288" t="s">
        <v>2267</v>
      </c>
      <c r="F1288" t="s">
        <v>13</v>
      </c>
      <c r="G1288" t="str">
        <f t="shared" si="106"/>
        <v/>
      </c>
      <c r="H1288" t="s">
        <v>14</v>
      </c>
      <c r="I1288" t="s">
        <v>3699</v>
      </c>
      <c r="J1288" s="2">
        <f t="shared" si="107"/>
        <v>2400000</v>
      </c>
      <c r="K1288" t="s">
        <v>133</v>
      </c>
      <c r="L1288">
        <f t="shared" si="108"/>
        <v>0.20833333333333334</v>
      </c>
      <c r="M1288" s="5">
        <v>0.20833333333333334</v>
      </c>
      <c r="N1288" t="s">
        <v>43</v>
      </c>
      <c r="R1288" s="3">
        <f t="shared" si="104"/>
        <v>5</v>
      </c>
    </row>
    <row r="1289" spans="1:18" hidden="1" x14ac:dyDescent="0.25">
      <c r="A1289" t="s">
        <v>3400</v>
      </c>
      <c r="B1289" t="s">
        <v>3233</v>
      </c>
      <c r="C1289" t="s">
        <v>3232</v>
      </c>
      <c r="D1289" s="3">
        <f t="shared" si="105"/>
        <v>12</v>
      </c>
      <c r="E1289" t="s">
        <v>33</v>
      </c>
      <c r="F1289" t="s">
        <v>34</v>
      </c>
      <c r="G1289" t="str">
        <f t="shared" si="106"/>
        <v/>
      </c>
      <c r="H1289" t="s">
        <v>14</v>
      </c>
      <c r="I1289" t="s">
        <v>3401</v>
      </c>
      <c r="J1289" s="2">
        <f t="shared" si="107"/>
        <v>1900000</v>
      </c>
      <c r="K1289" t="s">
        <v>352</v>
      </c>
      <c r="L1289">
        <f t="shared" si="108"/>
        <v>0.17013888888888887</v>
      </c>
      <c r="M1289" s="5">
        <v>0.17013888888888887</v>
      </c>
      <c r="N1289" t="s">
        <v>43</v>
      </c>
      <c r="P1289" t="s">
        <v>1622</v>
      </c>
      <c r="R1289" s="3">
        <f t="shared" si="104"/>
        <v>4.083333333333333</v>
      </c>
    </row>
    <row r="1290" spans="1:18" hidden="1" x14ac:dyDescent="0.25">
      <c r="A1290" t="s">
        <v>4992</v>
      </c>
      <c r="B1290" t="s">
        <v>4806</v>
      </c>
      <c r="C1290" t="s">
        <v>4939</v>
      </c>
      <c r="D1290" s="3">
        <f t="shared" si="105"/>
        <v>10.5</v>
      </c>
      <c r="E1290" t="s">
        <v>653</v>
      </c>
      <c r="F1290" t="s">
        <v>13</v>
      </c>
      <c r="G1290" t="str">
        <f t="shared" si="106"/>
        <v/>
      </c>
      <c r="H1290" t="s">
        <v>14</v>
      </c>
      <c r="I1290" t="s">
        <v>4993</v>
      </c>
      <c r="J1290" s="2">
        <f t="shared" si="107"/>
        <v>1300000</v>
      </c>
      <c r="K1290" t="s">
        <v>17</v>
      </c>
      <c r="L1290">
        <f t="shared" si="108"/>
        <v>0.20833333333333334</v>
      </c>
      <c r="M1290" s="5">
        <v>0.20833333333333334</v>
      </c>
      <c r="N1290" t="s">
        <v>43</v>
      </c>
      <c r="R1290" s="3">
        <f t="shared" si="104"/>
        <v>5</v>
      </c>
    </row>
    <row r="1291" spans="1:18" hidden="1" x14ac:dyDescent="0.25">
      <c r="A1291" t="s">
        <v>5823</v>
      </c>
      <c r="B1291" t="s">
        <v>5848</v>
      </c>
      <c r="C1291" t="s">
        <v>5406</v>
      </c>
      <c r="D1291" s="3">
        <f t="shared" si="105"/>
        <v>9</v>
      </c>
      <c r="E1291" t="s">
        <v>12</v>
      </c>
      <c r="F1291" t="s">
        <v>34</v>
      </c>
      <c r="G1291" t="str">
        <f t="shared" si="106"/>
        <v/>
      </c>
      <c r="H1291" t="s">
        <v>14</v>
      </c>
      <c r="I1291" t="s">
        <v>5824</v>
      </c>
      <c r="J1291" s="2">
        <f t="shared" si="107"/>
        <v>1250000</v>
      </c>
      <c r="K1291" t="s">
        <v>202</v>
      </c>
      <c r="L1291">
        <f t="shared" si="108"/>
        <v>0.17222222222222225</v>
      </c>
      <c r="M1291" s="5">
        <v>0.17222222222222225</v>
      </c>
      <c r="N1291" t="s">
        <v>18</v>
      </c>
      <c r="R1291" s="3">
        <f t="shared" si="104"/>
        <v>4.1333333333333337</v>
      </c>
    </row>
    <row r="1292" spans="1:18" hidden="1" x14ac:dyDescent="0.25">
      <c r="A1292" t="s">
        <v>5044</v>
      </c>
      <c r="B1292" t="s">
        <v>4806</v>
      </c>
      <c r="C1292" t="s">
        <v>4805</v>
      </c>
      <c r="D1292" s="3">
        <f t="shared" si="105"/>
        <v>13.5</v>
      </c>
      <c r="E1292" t="s">
        <v>446</v>
      </c>
      <c r="F1292" t="s">
        <v>34</v>
      </c>
      <c r="G1292" t="str">
        <f t="shared" si="106"/>
        <v/>
      </c>
      <c r="H1292" t="s">
        <v>14</v>
      </c>
      <c r="I1292" t="s">
        <v>5045</v>
      </c>
      <c r="J1292" s="2">
        <f t="shared" si="107"/>
        <v>950000</v>
      </c>
      <c r="K1292" t="s">
        <v>355</v>
      </c>
      <c r="L1292">
        <f t="shared" si="108"/>
        <v>0.20833333333333334</v>
      </c>
      <c r="M1292" s="5">
        <v>0.20833333333333334</v>
      </c>
      <c r="N1292" t="s">
        <v>43</v>
      </c>
      <c r="R1292" s="3">
        <f t="shared" si="104"/>
        <v>5</v>
      </c>
    </row>
    <row r="1293" spans="1:18" hidden="1" x14ac:dyDescent="0.25">
      <c r="A1293" t="s">
        <v>1031</v>
      </c>
      <c r="B1293" t="s">
        <v>640</v>
      </c>
      <c r="C1293" t="s">
        <v>803</v>
      </c>
      <c r="D1293" s="3">
        <f t="shared" si="105"/>
        <v>9</v>
      </c>
      <c r="E1293" t="s">
        <v>12</v>
      </c>
      <c r="F1293" t="s">
        <v>13</v>
      </c>
      <c r="G1293" t="str">
        <f t="shared" si="106"/>
        <v/>
      </c>
      <c r="H1293" t="s">
        <v>14</v>
      </c>
      <c r="I1293" t="s">
        <v>1032</v>
      </c>
      <c r="J1293" s="2">
        <f t="shared" si="107"/>
        <v>1300000</v>
      </c>
      <c r="K1293" t="s">
        <v>17</v>
      </c>
      <c r="L1293">
        <f t="shared" si="108"/>
        <v>0</v>
      </c>
      <c r="N1293" t="s">
        <v>18</v>
      </c>
      <c r="R1293" s="3">
        <f t="shared" si="104"/>
        <v>0</v>
      </c>
    </row>
    <row r="1294" spans="1:18" hidden="1" x14ac:dyDescent="0.25">
      <c r="A1294" t="s">
        <v>5137</v>
      </c>
      <c r="B1294" t="s">
        <v>4806</v>
      </c>
      <c r="C1294" t="s">
        <v>4865</v>
      </c>
      <c r="D1294" s="3">
        <f t="shared" si="105"/>
        <v>12</v>
      </c>
      <c r="E1294" t="s">
        <v>33</v>
      </c>
      <c r="F1294" t="s">
        <v>13</v>
      </c>
      <c r="G1294" t="str">
        <f t="shared" si="106"/>
        <v/>
      </c>
      <c r="H1294" t="s">
        <v>14</v>
      </c>
      <c r="I1294" t="s">
        <v>5138</v>
      </c>
      <c r="J1294" s="2">
        <f t="shared" si="107"/>
        <v>1300000</v>
      </c>
      <c r="K1294" t="s">
        <v>17</v>
      </c>
      <c r="L1294">
        <f t="shared" si="108"/>
        <v>0.17013888888888887</v>
      </c>
      <c r="M1294" s="5">
        <v>0.17013888888888887</v>
      </c>
      <c r="N1294" t="s">
        <v>43</v>
      </c>
      <c r="R1294" s="3">
        <f t="shared" si="104"/>
        <v>4.083333333333333</v>
      </c>
    </row>
    <row r="1295" spans="1:18" hidden="1" x14ac:dyDescent="0.25">
      <c r="A1295" t="s">
        <v>5048</v>
      </c>
      <c r="B1295" t="s">
        <v>4806</v>
      </c>
      <c r="C1295" t="s">
        <v>4820</v>
      </c>
      <c r="D1295" s="3">
        <f t="shared" si="105"/>
        <v>12</v>
      </c>
      <c r="E1295" t="s">
        <v>33</v>
      </c>
      <c r="F1295" t="s">
        <v>13</v>
      </c>
      <c r="G1295" t="str">
        <f t="shared" si="106"/>
        <v/>
      </c>
      <c r="H1295" t="s">
        <v>14</v>
      </c>
      <c r="I1295" t="s">
        <v>5049</v>
      </c>
      <c r="J1295" s="2">
        <f t="shared" si="107"/>
        <v>1500000</v>
      </c>
      <c r="K1295" t="s">
        <v>66</v>
      </c>
      <c r="L1295">
        <f t="shared" si="108"/>
        <v>0.17222222222222225</v>
      </c>
      <c r="M1295" s="5">
        <v>0.17222222222222225</v>
      </c>
      <c r="N1295" t="s">
        <v>43</v>
      </c>
      <c r="R1295" s="3">
        <f t="shared" si="104"/>
        <v>4.1333333333333337</v>
      </c>
    </row>
    <row r="1296" spans="1:18" hidden="1" x14ac:dyDescent="0.25">
      <c r="A1296" t="s">
        <v>5222</v>
      </c>
      <c r="B1296" t="s">
        <v>4806</v>
      </c>
      <c r="C1296" t="s">
        <v>4820</v>
      </c>
      <c r="D1296" s="3">
        <f t="shared" si="105"/>
        <v>12</v>
      </c>
      <c r="E1296" t="s">
        <v>33</v>
      </c>
      <c r="F1296" t="s">
        <v>13</v>
      </c>
      <c r="G1296" t="str">
        <f t="shared" si="106"/>
        <v/>
      </c>
      <c r="H1296" t="s">
        <v>14</v>
      </c>
      <c r="I1296" t="s">
        <v>5223</v>
      </c>
      <c r="J1296" s="2">
        <f t="shared" si="107"/>
        <v>1500000</v>
      </c>
      <c r="K1296" t="s">
        <v>66</v>
      </c>
      <c r="L1296">
        <f t="shared" si="108"/>
        <v>0.17222222222222225</v>
      </c>
      <c r="M1296" s="5">
        <v>0.17222222222222225</v>
      </c>
      <c r="N1296" t="s">
        <v>43</v>
      </c>
      <c r="R1296" s="3">
        <f t="shared" si="104"/>
        <v>4.1333333333333337</v>
      </c>
    </row>
    <row r="1297" spans="1:18" hidden="1" x14ac:dyDescent="0.25">
      <c r="A1297" t="s">
        <v>5513</v>
      </c>
      <c r="B1297" t="s">
        <v>5848</v>
      </c>
      <c r="C1297" t="s">
        <v>5363</v>
      </c>
      <c r="D1297" s="3">
        <f t="shared" si="105"/>
        <v>6</v>
      </c>
      <c r="E1297" t="s">
        <v>64</v>
      </c>
      <c r="F1297" t="s">
        <v>34</v>
      </c>
      <c r="G1297" t="str">
        <f t="shared" si="106"/>
        <v/>
      </c>
      <c r="H1297" t="s">
        <v>14</v>
      </c>
      <c r="I1297" t="s">
        <v>5514</v>
      </c>
      <c r="J1297" s="2">
        <f t="shared" si="107"/>
        <v>1850000</v>
      </c>
      <c r="K1297" t="s">
        <v>87</v>
      </c>
      <c r="L1297">
        <f t="shared" si="108"/>
        <v>0.20833333333333334</v>
      </c>
      <c r="M1297" s="5">
        <v>0.20833333333333334</v>
      </c>
      <c r="N1297" t="s">
        <v>37</v>
      </c>
      <c r="R1297" s="3">
        <f t="shared" si="104"/>
        <v>5</v>
      </c>
    </row>
    <row r="1298" spans="1:18" x14ac:dyDescent="0.25">
      <c r="A1298" t="s">
        <v>147</v>
      </c>
      <c r="B1298" t="s">
        <v>20</v>
      </c>
      <c r="C1298" t="s">
        <v>30</v>
      </c>
      <c r="D1298" s="3">
        <f t="shared" si="105"/>
        <v>9</v>
      </c>
      <c r="E1298" t="s">
        <v>12</v>
      </c>
      <c r="F1298" t="s">
        <v>13</v>
      </c>
      <c r="G1298" t="str">
        <f t="shared" si="106"/>
        <v/>
      </c>
      <c r="H1298" t="s">
        <v>14</v>
      </c>
      <c r="I1298" t="s">
        <v>148</v>
      </c>
      <c r="J1298" s="2">
        <f t="shared" si="107"/>
        <v>1700000</v>
      </c>
      <c r="K1298" t="s">
        <v>23</v>
      </c>
      <c r="L1298">
        <f t="shared" si="108"/>
        <v>0</v>
      </c>
      <c r="N1298" t="s">
        <v>37</v>
      </c>
      <c r="R1298" s="3">
        <f t="shared" si="104"/>
        <v>0</v>
      </c>
    </row>
    <row r="1299" spans="1:18" hidden="1" x14ac:dyDescent="0.25">
      <c r="A1299" t="s">
        <v>4586</v>
      </c>
      <c r="B1299" t="s">
        <v>4272</v>
      </c>
      <c r="C1299" t="s">
        <v>4295</v>
      </c>
      <c r="D1299" s="3">
        <f t="shared" si="105"/>
        <v>12</v>
      </c>
      <c r="E1299" t="s">
        <v>33</v>
      </c>
      <c r="F1299" t="s">
        <v>34</v>
      </c>
      <c r="G1299" t="str">
        <f t="shared" si="106"/>
        <v/>
      </c>
      <c r="H1299" t="s">
        <v>14</v>
      </c>
      <c r="I1299" t="s">
        <v>4587</v>
      </c>
      <c r="J1299" s="2">
        <f t="shared" si="107"/>
        <v>2250000</v>
      </c>
      <c r="K1299" t="s">
        <v>448</v>
      </c>
      <c r="L1299">
        <f t="shared" si="108"/>
        <v>0.20833333333333334</v>
      </c>
      <c r="M1299" s="5">
        <v>0.20833333333333334</v>
      </c>
      <c r="N1299" t="s">
        <v>43</v>
      </c>
      <c r="R1299" s="3">
        <f t="shared" si="104"/>
        <v>5</v>
      </c>
    </row>
    <row r="1300" spans="1:18" x14ac:dyDescent="0.25">
      <c r="A1300" t="s">
        <v>5813</v>
      </c>
      <c r="B1300" t="s">
        <v>5848</v>
      </c>
      <c r="C1300" t="s">
        <v>5402</v>
      </c>
      <c r="D1300" s="3">
        <f t="shared" si="105"/>
        <v>9</v>
      </c>
      <c r="E1300" t="s">
        <v>12</v>
      </c>
      <c r="F1300" t="s">
        <v>13</v>
      </c>
      <c r="G1300" t="str">
        <f t="shared" si="106"/>
        <v/>
      </c>
      <c r="H1300" t="s">
        <v>14</v>
      </c>
      <c r="I1300" t="s">
        <v>5814</v>
      </c>
      <c r="J1300" s="2">
        <f t="shared" si="107"/>
        <v>1700000</v>
      </c>
      <c r="K1300" t="s">
        <v>23</v>
      </c>
      <c r="L1300">
        <f t="shared" si="108"/>
        <v>0.17291666666666669</v>
      </c>
      <c r="M1300" s="5">
        <v>0.17291666666666669</v>
      </c>
      <c r="N1300" t="s">
        <v>43</v>
      </c>
      <c r="P1300" t="s">
        <v>899</v>
      </c>
      <c r="R1300" s="3">
        <f t="shared" si="104"/>
        <v>4.1500000000000004</v>
      </c>
    </row>
    <row r="1301" spans="1:18" hidden="1" x14ac:dyDescent="0.25">
      <c r="A1301" t="s">
        <v>5116</v>
      </c>
      <c r="B1301" t="s">
        <v>4806</v>
      </c>
      <c r="C1301" t="s">
        <v>4805</v>
      </c>
      <c r="D1301" s="3">
        <f t="shared" si="105"/>
        <v>12</v>
      </c>
      <c r="E1301" t="s">
        <v>33</v>
      </c>
      <c r="F1301" t="s">
        <v>13</v>
      </c>
      <c r="G1301" t="str">
        <f t="shared" si="106"/>
        <v/>
      </c>
      <c r="H1301" t="s">
        <v>14</v>
      </c>
      <c r="I1301" t="s">
        <v>5117</v>
      </c>
      <c r="J1301" s="2">
        <f t="shared" si="107"/>
        <v>1200000</v>
      </c>
      <c r="K1301" t="s">
        <v>36</v>
      </c>
      <c r="L1301">
        <f t="shared" si="108"/>
        <v>0.20833333333333334</v>
      </c>
      <c r="M1301" s="5">
        <v>0.20833333333333334</v>
      </c>
      <c r="N1301" t="s">
        <v>43</v>
      </c>
      <c r="R1301" s="3">
        <f t="shared" si="104"/>
        <v>5</v>
      </c>
    </row>
    <row r="1302" spans="1:18" hidden="1" x14ac:dyDescent="0.25">
      <c r="A1302" t="s">
        <v>1926</v>
      </c>
      <c r="B1302" t="s">
        <v>1303</v>
      </c>
      <c r="C1302" t="s">
        <v>1683</v>
      </c>
      <c r="D1302" s="3">
        <f t="shared" si="105"/>
        <v>9</v>
      </c>
      <c r="E1302" t="s">
        <v>12</v>
      </c>
      <c r="F1302" t="s">
        <v>13</v>
      </c>
      <c r="G1302" t="str">
        <f t="shared" si="106"/>
        <v/>
      </c>
      <c r="H1302" t="s">
        <v>14</v>
      </c>
      <c r="I1302" t="s">
        <v>1927</v>
      </c>
      <c r="J1302" s="2">
        <f t="shared" si="107"/>
        <v>1500000</v>
      </c>
      <c r="K1302" t="s">
        <v>66</v>
      </c>
      <c r="L1302">
        <f t="shared" si="108"/>
        <v>0.17083333333333331</v>
      </c>
      <c r="M1302" s="5">
        <v>0.17083333333333331</v>
      </c>
      <c r="N1302" t="s">
        <v>43</v>
      </c>
      <c r="R1302" s="3">
        <f t="shared" si="104"/>
        <v>4.0999999999999996</v>
      </c>
    </row>
    <row r="1303" spans="1:18" hidden="1" x14ac:dyDescent="0.25">
      <c r="A1303" t="s">
        <v>1924</v>
      </c>
      <c r="B1303" t="s">
        <v>1303</v>
      </c>
      <c r="C1303" t="s">
        <v>1863</v>
      </c>
      <c r="D1303" s="3">
        <f t="shared" si="105"/>
        <v>9</v>
      </c>
      <c r="E1303" t="s">
        <v>12</v>
      </c>
      <c r="F1303" t="s">
        <v>13</v>
      </c>
      <c r="G1303" t="str">
        <f t="shared" si="106"/>
        <v/>
      </c>
      <c r="H1303" t="s">
        <v>14</v>
      </c>
      <c r="I1303" t="s">
        <v>1925</v>
      </c>
      <c r="J1303" s="2">
        <f t="shared" si="107"/>
        <v>1400000</v>
      </c>
      <c r="K1303" t="s">
        <v>81</v>
      </c>
      <c r="L1303">
        <f t="shared" si="108"/>
        <v>0.16874999999999998</v>
      </c>
      <c r="M1303" s="5">
        <v>0.16874999999999998</v>
      </c>
      <c r="N1303" t="s">
        <v>43</v>
      </c>
      <c r="R1303" s="3">
        <f t="shared" si="104"/>
        <v>4.05</v>
      </c>
    </row>
    <row r="1304" spans="1:18" hidden="1" x14ac:dyDescent="0.25">
      <c r="A1304" t="s">
        <v>5240</v>
      </c>
      <c r="B1304" t="s">
        <v>4806</v>
      </c>
      <c r="C1304" t="s">
        <v>4939</v>
      </c>
      <c r="D1304" s="3">
        <f t="shared" si="105"/>
        <v>12</v>
      </c>
      <c r="E1304" t="s">
        <v>33</v>
      </c>
      <c r="F1304" t="s">
        <v>13</v>
      </c>
      <c r="G1304" t="str">
        <f t="shared" si="106"/>
        <v/>
      </c>
      <c r="H1304" t="s">
        <v>14</v>
      </c>
      <c r="I1304" t="s">
        <v>5241</v>
      </c>
      <c r="J1304" s="2">
        <f t="shared" si="107"/>
        <v>1300000</v>
      </c>
      <c r="K1304" t="s">
        <v>17</v>
      </c>
      <c r="L1304">
        <f t="shared" si="108"/>
        <v>0</v>
      </c>
      <c r="N1304" t="s">
        <v>18</v>
      </c>
      <c r="R1304" s="3">
        <f t="shared" si="104"/>
        <v>0</v>
      </c>
    </row>
    <row r="1305" spans="1:18" hidden="1" x14ac:dyDescent="0.25">
      <c r="A1305" t="s">
        <v>5163</v>
      </c>
      <c r="B1305" t="s">
        <v>4806</v>
      </c>
      <c r="C1305" t="s">
        <v>4939</v>
      </c>
      <c r="D1305" s="3">
        <f t="shared" si="105"/>
        <v>12</v>
      </c>
      <c r="E1305" t="s">
        <v>33</v>
      </c>
      <c r="F1305" t="s">
        <v>13</v>
      </c>
      <c r="G1305" t="str">
        <f t="shared" si="106"/>
        <v/>
      </c>
      <c r="H1305" t="s">
        <v>14</v>
      </c>
      <c r="I1305" t="s">
        <v>5164</v>
      </c>
      <c r="J1305" s="2">
        <f t="shared" si="107"/>
        <v>1500000</v>
      </c>
      <c r="K1305" t="s">
        <v>66</v>
      </c>
      <c r="L1305">
        <f t="shared" si="108"/>
        <v>0</v>
      </c>
      <c r="N1305" t="s">
        <v>18</v>
      </c>
      <c r="R1305" s="3">
        <f t="shared" si="104"/>
        <v>0</v>
      </c>
    </row>
    <row r="1306" spans="1:18" hidden="1" x14ac:dyDescent="0.25">
      <c r="A1306" t="s">
        <v>5123</v>
      </c>
      <c r="B1306" t="s">
        <v>4806</v>
      </c>
      <c r="C1306" t="s">
        <v>4939</v>
      </c>
      <c r="D1306" s="3">
        <f t="shared" si="105"/>
        <v>12</v>
      </c>
      <c r="E1306" t="s">
        <v>33</v>
      </c>
      <c r="F1306" t="s">
        <v>13</v>
      </c>
      <c r="G1306" t="str">
        <f t="shared" si="106"/>
        <v/>
      </c>
      <c r="H1306" t="s">
        <v>14</v>
      </c>
      <c r="I1306" t="s">
        <v>5124</v>
      </c>
      <c r="J1306" s="2">
        <f t="shared" si="107"/>
        <v>900000</v>
      </c>
      <c r="K1306" t="s">
        <v>101</v>
      </c>
      <c r="L1306">
        <f t="shared" si="108"/>
        <v>0</v>
      </c>
      <c r="N1306" t="s">
        <v>43</v>
      </c>
      <c r="R1306" s="3">
        <f t="shared" si="104"/>
        <v>0</v>
      </c>
    </row>
    <row r="1307" spans="1:18" hidden="1" x14ac:dyDescent="0.25">
      <c r="A1307" t="s">
        <v>4565</v>
      </c>
      <c r="B1307" t="s">
        <v>4272</v>
      </c>
      <c r="C1307" t="s">
        <v>4337</v>
      </c>
      <c r="D1307" s="3">
        <f t="shared" si="105"/>
        <v>12</v>
      </c>
      <c r="E1307" t="s">
        <v>33</v>
      </c>
      <c r="F1307" t="s">
        <v>13</v>
      </c>
      <c r="G1307" t="str">
        <f t="shared" si="106"/>
        <v/>
      </c>
      <c r="H1307" t="s">
        <v>14</v>
      </c>
      <c r="I1307" t="s">
        <v>4566</v>
      </c>
      <c r="J1307" s="2">
        <f t="shared" si="107"/>
        <v>1200000</v>
      </c>
      <c r="K1307" t="s">
        <v>36</v>
      </c>
      <c r="L1307">
        <f t="shared" si="108"/>
        <v>0.20833333333333334</v>
      </c>
      <c r="M1307" s="5">
        <v>0.20833333333333334</v>
      </c>
      <c r="N1307" t="s">
        <v>18</v>
      </c>
      <c r="R1307" s="3">
        <f t="shared" si="104"/>
        <v>5</v>
      </c>
    </row>
    <row r="1308" spans="1:18" hidden="1" x14ac:dyDescent="0.25">
      <c r="A1308" t="s">
        <v>3542</v>
      </c>
      <c r="B1308" t="s">
        <v>3233</v>
      </c>
      <c r="C1308" t="s">
        <v>3232</v>
      </c>
      <c r="D1308" s="3">
        <f t="shared" si="105"/>
        <v>12</v>
      </c>
      <c r="E1308" t="s">
        <v>33</v>
      </c>
      <c r="F1308" t="s">
        <v>13</v>
      </c>
      <c r="G1308" t="str">
        <f t="shared" si="106"/>
        <v/>
      </c>
      <c r="H1308" t="s">
        <v>14</v>
      </c>
      <c r="I1308" t="s">
        <v>3543</v>
      </c>
      <c r="J1308" s="2">
        <f t="shared" si="107"/>
        <v>2000000</v>
      </c>
      <c r="K1308" t="s">
        <v>128</v>
      </c>
      <c r="L1308">
        <f t="shared" si="108"/>
        <v>0</v>
      </c>
      <c r="N1308" t="s">
        <v>18</v>
      </c>
      <c r="R1308" s="3">
        <f t="shared" si="104"/>
        <v>0</v>
      </c>
    </row>
    <row r="1309" spans="1:18" hidden="1" x14ac:dyDescent="0.25">
      <c r="A1309" t="s">
        <v>2219</v>
      </c>
      <c r="B1309" t="s">
        <v>2596</v>
      </c>
      <c r="C1309" t="s">
        <v>2221</v>
      </c>
      <c r="D1309" s="3">
        <f t="shared" si="105"/>
        <v>12</v>
      </c>
      <c r="E1309" t="s">
        <v>33</v>
      </c>
      <c r="F1309" t="s">
        <v>34</v>
      </c>
      <c r="G1309" t="str">
        <f t="shared" si="106"/>
        <v/>
      </c>
      <c r="H1309" t="s">
        <v>14</v>
      </c>
      <c r="I1309" t="s">
        <v>2220</v>
      </c>
      <c r="J1309" s="2">
        <f t="shared" si="107"/>
        <v>1000000</v>
      </c>
      <c r="K1309" t="s">
        <v>52</v>
      </c>
      <c r="L1309">
        <f t="shared" si="108"/>
        <v>0</v>
      </c>
      <c r="N1309" t="s">
        <v>43</v>
      </c>
      <c r="R1309" s="3">
        <f t="shared" si="104"/>
        <v>0</v>
      </c>
    </row>
    <row r="1310" spans="1:18" hidden="1" x14ac:dyDescent="0.25">
      <c r="A1310" t="s">
        <v>5786</v>
      </c>
      <c r="B1310" t="s">
        <v>5848</v>
      </c>
      <c r="C1310" t="s">
        <v>5409</v>
      </c>
      <c r="D1310" s="3">
        <f t="shared" si="105"/>
        <v>5</v>
      </c>
      <c r="E1310" t="s">
        <v>60</v>
      </c>
      <c r="F1310" t="s">
        <v>34</v>
      </c>
      <c r="G1310" t="str">
        <f t="shared" si="106"/>
        <v/>
      </c>
      <c r="H1310" t="s">
        <v>14</v>
      </c>
      <c r="I1310" t="s">
        <v>5787</v>
      </c>
      <c r="J1310" s="2">
        <f t="shared" si="107"/>
        <v>950000</v>
      </c>
      <c r="K1310" t="s">
        <v>355</v>
      </c>
      <c r="L1310">
        <f t="shared" si="108"/>
        <v>0</v>
      </c>
      <c r="N1310" t="s">
        <v>37</v>
      </c>
      <c r="R1310" s="3">
        <f t="shared" si="104"/>
        <v>0</v>
      </c>
    </row>
    <row r="1311" spans="1:18" hidden="1" x14ac:dyDescent="0.25">
      <c r="A1311" t="s">
        <v>5054</v>
      </c>
      <c r="B1311" t="s">
        <v>4806</v>
      </c>
      <c r="C1311" t="s">
        <v>4805</v>
      </c>
      <c r="D1311" s="3">
        <f t="shared" si="105"/>
        <v>9</v>
      </c>
      <c r="E1311" t="s">
        <v>12</v>
      </c>
      <c r="F1311" t="s">
        <v>34</v>
      </c>
      <c r="G1311" t="str">
        <f t="shared" si="106"/>
        <v/>
      </c>
      <c r="H1311" t="s">
        <v>14</v>
      </c>
      <c r="I1311" t="s">
        <v>5055</v>
      </c>
      <c r="J1311" s="2">
        <f t="shared" si="107"/>
        <v>1300000</v>
      </c>
      <c r="K1311" t="s">
        <v>17</v>
      </c>
      <c r="L1311">
        <f t="shared" si="108"/>
        <v>0</v>
      </c>
      <c r="N1311" t="s">
        <v>18</v>
      </c>
      <c r="R1311" s="3">
        <f t="shared" si="104"/>
        <v>0</v>
      </c>
    </row>
    <row r="1312" spans="1:18" x14ac:dyDescent="0.25">
      <c r="A1312" t="s">
        <v>3549</v>
      </c>
      <c r="B1312" t="s">
        <v>3233</v>
      </c>
      <c r="C1312" t="s">
        <v>3288</v>
      </c>
      <c r="D1312" s="3">
        <f t="shared" si="105"/>
        <v>6.72</v>
      </c>
      <c r="E1312" t="s">
        <v>3071</v>
      </c>
      <c r="F1312" t="s">
        <v>13</v>
      </c>
      <c r="G1312" t="str">
        <f t="shared" si="106"/>
        <v/>
      </c>
      <c r="H1312" t="s">
        <v>14</v>
      </c>
      <c r="I1312" t="s">
        <v>3550</v>
      </c>
      <c r="J1312" s="2">
        <f t="shared" si="107"/>
        <v>1700000</v>
      </c>
      <c r="K1312" t="s">
        <v>23</v>
      </c>
      <c r="L1312">
        <f t="shared" si="108"/>
        <v>0.20833333333333334</v>
      </c>
      <c r="M1312" s="5">
        <v>0.20833333333333334</v>
      </c>
      <c r="N1312" t="s">
        <v>18</v>
      </c>
      <c r="R1312" s="3">
        <f t="shared" si="104"/>
        <v>5</v>
      </c>
    </row>
    <row r="1313" spans="1:18" hidden="1" x14ac:dyDescent="0.25">
      <c r="A1313" t="s">
        <v>3598</v>
      </c>
      <c r="B1313" t="s">
        <v>3233</v>
      </c>
      <c r="C1313" t="s">
        <v>3261</v>
      </c>
      <c r="D1313" s="3" t="e">
        <f t="shared" si="105"/>
        <v>#VALUE!</v>
      </c>
      <c r="E1313" t="s">
        <v>14</v>
      </c>
      <c r="F1313" t="s">
        <v>14</v>
      </c>
      <c r="G1313" t="str">
        <f t="shared" si="106"/>
        <v/>
      </c>
      <c r="H1313" t="s">
        <v>14</v>
      </c>
      <c r="I1313" t="s">
        <v>3599</v>
      </c>
      <c r="J1313" s="2">
        <f t="shared" si="107"/>
        <v>2000000</v>
      </c>
      <c r="K1313" t="s">
        <v>128</v>
      </c>
      <c r="L1313">
        <f t="shared" si="108"/>
        <v>0</v>
      </c>
      <c r="N1313" t="s">
        <v>43</v>
      </c>
      <c r="R1313" s="3">
        <f t="shared" si="104"/>
        <v>0</v>
      </c>
    </row>
    <row r="1314" spans="1:18" hidden="1" x14ac:dyDescent="0.25">
      <c r="A1314" t="s">
        <v>2355</v>
      </c>
      <c r="B1314" t="s">
        <v>2596</v>
      </c>
      <c r="C1314" t="s">
        <v>1981</v>
      </c>
      <c r="D1314" s="3">
        <f t="shared" si="105"/>
        <v>9</v>
      </c>
      <c r="E1314" t="s">
        <v>12</v>
      </c>
      <c r="F1314" t="s">
        <v>34</v>
      </c>
      <c r="G1314" t="str">
        <f t="shared" si="106"/>
        <v/>
      </c>
      <c r="H1314" t="s">
        <v>14</v>
      </c>
      <c r="I1314" t="s">
        <v>2356</v>
      </c>
      <c r="J1314" s="2">
        <f t="shared" si="107"/>
        <v>1400000</v>
      </c>
      <c r="K1314" t="s">
        <v>81</v>
      </c>
      <c r="L1314">
        <f t="shared" si="108"/>
        <v>0.17013888888888887</v>
      </c>
      <c r="M1314" s="5">
        <v>0.17013888888888887</v>
      </c>
      <c r="N1314" t="s">
        <v>43</v>
      </c>
      <c r="R1314" s="3">
        <f t="shared" si="104"/>
        <v>4.083333333333333</v>
      </c>
    </row>
    <row r="1315" spans="1:18" hidden="1" x14ac:dyDescent="0.25">
      <c r="A1315" t="s">
        <v>4510</v>
      </c>
      <c r="B1315" t="s">
        <v>4272</v>
      </c>
      <c r="C1315" t="s">
        <v>4334</v>
      </c>
      <c r="D1315" s="3">
        <f t="shared" si="105"/>
        <v>9</v>
      </c>
      <c r="E1315" t="s">
        <v>12</v>
      </c>
      <c r="F1315" t="s">
        <v>13</v>
      </c>
      <c r="G1315" t="str">
        <f t="shared" si="106"/>
        <v/>
      </c>
      <c r="H1315" t="s">
        <v>14</v>
      </c>
      <c r="I1315" t="s">
        <v>4511</v>
      </c>
      <c r="J1315" s="2">
        <f t="shared" si="107"/>
        <v>1200000</v>
      </c>
      <c r="K1315" t="s">
        <v>36</v>
      </c>
      <c r="L1315">
        <f t="shared" si="108"/>
        <v>0.17222222222222225</v>
      </c>
      <c r="M1315" s="5">
        <v>0.17222222222222225</v>
      </c>
      <c r="N1315" t="s">
        <v>18</v>
      </c>
      <c r="R1315" s="3">
        <f t="shared" si="104"/>
        <v>4.1333333333333337</v>
      </c>
    </row>
    <row r="1316" spans="1:18" hidden="1" x14ac:dyDescent="0.25">
      <c r="A1316" t="s">
        <v>5803</v>
      </c>
      <c r="B1316" t="s">
        <v>5848</v>
      </c>
      <c r="C1316" t="s">
        <v>5339</v>
      </c>
      <c r="D1316" s="3">
        <f t="shared" si="105"/>
        <v>13.75</v>
      </c>
      <c r="E1316" t="s">
        <v>5804</v>
      </c>
      <c r="F1316" t="s">
        <v>13</v>
      </c>
      <c r="G1316" t="str">
        <f t="shared" si="106"/>
        <v/>
      </c>
      <c r="H1316" t="s">
        <v>14</v>
      </c>
      <c r="I1316" t="s">
        <v>5805</v>
      </c>
      <c r="J1316" s="2">
        <f t="shared" si="107"/>
        <v>1200000</v>
      </c>
      <c r="K1316" t="s">
        <v>36</v>
      </c>
      <c r="L1316">
        <f t="shared" si="108"/>
        <v>0.16944444444444443</v>
      </c>
      <c r="M1316" s="5">
        <v>0.16944444444444443</v>
      </c>
      <c r="N1316" t="s">
        <v>37</v>
      </c>
      <c r="P1316" t="s">
        <v>1144</v>
      </c>
      <c r="R1316" s="3">
        <f t="shared" si="104"/>
        <v>4.0666666666666664</v>
      </c>
    </row>
    <row r="1317" spans="1:18" hidden="1" x14ac:dyDescent="0.25">
      <c r="A1317" t="s">
        <v>221</v>
      </c>
      <c r="B1317" t="s">
        <v>20</v>
      </c>
      <c r="C1317" t="s">
        <v>218</v>
      </c>
      <c r="D1317" s="3">
        <f t="shared" si="105"/>
        <v>15</v>
      </c>
      <c r="E1317" t="s">
        <v>71</v>
      </c>
      <c r="F1317" t="s">
        <v>13</v>
      </c>
      <c r="G1317" t="str">
        <f t="shared" si="106"/>
        <v/>
      </c>
      <c r="H1317" t="s">
        <v>14</v>
      </c>
      <c r="I1317" t="s">
        <v>222</v>
      </c>
      <c r="J1317" s="2">
        <f t="shared" si="107"/>
        <v>1700000</v>
      </c>
      <c r="K1317" t="s">
        <v>23</v>
      </c>
      <c r="L1317">
        <f t="shared" si="108"/>
        <v>0</v>
      </c>
      <c r="N1317" t="s">
        <v>43</v>
      </c>
      <c r="R1317" s="3">
        <f t="shared" si="104"/>
        <v>0</v>
      </c>
    </row>
    <row r="1318" spans="1:18" hidden="1" x14ac:dyDescent="0.25">
      <c r="A1318" t="s">
        <v>4757</v>
      </c>
      <c r="B1318" t="s">
        <v>4272</v>
      </c>
      <c r="C1318" t="s">
        <v>4354</v>
      </c>
      <c r="D1318" s="3">
        <f t="shared" si="105"/>
        <v>12</v>
      </c>
      <c r="E1318" t="s">
        <v>33</v>
      </c>
      <c r="F1318" t="s">
        <v>34</v>
      </c>
      <c r="G1318" t="str">
        <f t="shared" si="106"/>
        <v/>
      </c>
      <c r="H1318" t="s">
        <v>14</v>
      </c>
      <c r="I1318" t="s">
        <v>4758</v>
      </c>
      <c r="J1318" s="2">
        <f t="shared" si="107"/>
        <v>1600000</v>
      </c>
      <c r="K1318" t="s">
        <v>95</v>
      </c>
      <c r="L1318">
        <f t="shared" si="108"/>
        <v>0</v>
      </c>
      <c r="N1318" t="s">
        <v>18</v>
      </c>
      <c r="R1318" s="3">
        <f t="shared" si="104"/>
        <v>0</v>
      </c>
    </row>
    <row r="1319" spans="1:18" hidden="1" x14ac:dyDescent="0.25">
      <c r="A1319" t="s">
        <v>5601</v>
      </c>
      <c r="B1319" t="s">
        <v>5848</v>
      </c>
      <c r="C1319" t="s">
        <v>5342</v>
      </c>
      <c r="D1319" s="3">
        <f t="shared" si="105"/>
        <v>12</v>
      </c>
      <c r="E1319" t="s">
        <v>33</v>
      </c>
      <c r="F1319" t="s">
        <v>34</v>
      </c>
      <c r="G1319" t="str">
        <f t="shared" si="106"/>
        <v/>
      </c>
      <c r="H1319" t="s">
        <v>14</v>
      </c>
      <c r="I1319" t="s">
        <v>5602</v>
      </c>
      <c r="J1319" s="2">
        <f t="shared" si="107"/>
        <v>1800000</v>
      </c>
      <c r="K1319" t="s">
        <v>228</v>
      </c>
      <c r="L1319">
        <f t="shared" si="108"/>
        <v>0.16666666666666666</v>
      </c>
      <c r="M1319" s="5">
        <v>0.16666666666666666</v>
      </c>
      <c r="N1319" t="s">
        <v>43</v>
      </c>
      <c r="R1319" s="3">
        <f t="shared" si="104"/>
        <v>4</v>
      </c>
    </row>
    <row r="1320" spans="1:18" hidden="1" x14ac:dyDescent="0.25">
      <c r="A1320" t="s">
        <v>957</v>
      </c>
      <c r="B1320" t="s">
        <v>640</v>
      </c>
      <c r="C1320" t="s">
        <v>959</v>
      </c>
      <c r="D1320" s="3">
        <f t="shared" si="105"/>
        <v>12</v>
      </c>
      <c r="E1320" t="s">
        <v>33</v>
      </c>
      <c r="F1320" t="s">
        <v>13</v>
      </c>
      <c r="G1320" t="str">
        <f t="shared" si="106"/>
        <v/>
      </c>
      <c r="H1320" t="s">
        <v>14</v>
      </c>
      <c r="I1320" t="s">
        <v>958</v>
      </c>
      <c r="J1320" s="2">
        <f t="shared" si="107"/>
        <v>1300000</v>
      </c>
      <c r="K1320" t="s">
        <v>17</v>
      </c>
      <c r="L1320">
        <f t="shared" si="108"/>
        <v>0</v>
      </c>
      <c r="N1320" t="s">
        <v>18</v>
      </c>
      <c r="R1320" s="3">
        <f t="shared" si="104"/>
        <v>0</v>
      </c>
    </row>
    <row r="1321" spans="1:18" x14ac:dyDescent="0.25">
      <c r="A1321" t="s">
        <v>3286</v>
      </c>
      <c r="B1321" t="s">
        <v>3233</v>
      </c>
      <c r="C1321" t="s">
        <v>3288</v>
      </c>
      <c r="D1321" s="3">
        <f t="shared" si="105"/>
        <v>9</v>
      </c>
      <c r="E1321" t="s">
        <v>12</v>
      </c>
      <c r="F1321" t="s">
        <v>13</v>
      </c>
      <c r="G1321" t="str">
        <f t="shared" si="106"/>
        <v/>
      </c>
      <c r="H1321" t="s">
        <v>14</v>
      </c>
      <c r="I1321" t="s">
        <v>3287</v>
      </c>
      <c r="J1321" s="2">
        <f t="shared" si="107"/>
        <v>1700000</v>
      </c>
      <c r="K1321" t="s">
        <v>23</v>
      </c>
      <c r="L1321">
        <f t="shared" si="108"/>
        <v>0</v>
      </c>
      <c r="N1321" t="s">
        <v>18</v>
      </c>
      <c r="R1321" s="3">
        <f t="shared" si="104"/>
        <v>0</v>
      </c>
    </row>
    <row r="1322" spans="1:18" hidden="1" x14ac:dyDescent="0.25">
      <c r="A1322" t="s">
        <v>3308</v>
      </c>
      <c r="B1322" t="s">
        <v>3233</v>
      </c>
      <c r="C1322" t="s">
        <v>3261</v>
      </c>
      <c r="D1322" s="3">
        <f t="shared" si="105"/>
        <v>9</v>
      </c>
      <c r="E1322" t="s">
        <v>12</v>
      </c>
      <c r="F1322" t="s">
        <v>34</v>
      </c>
      <c r="G1322" t="str">
        <f t="shared" si="106"/>
        <v/>
      </c>
      <c r="H1322" t="s">
        <v>14</v>
      </c>
      <c r="I1322" t="s">
        <v>3309</v>
      </c>
      <c r="J1322" s="2">
        <f t="shared" si="107"/>
        <v>650000</v>
      </c>
      <c r="K1322" t="s">
        <v>105</v>
      </c>
      <c r="L1322">
        <f t="shared" si="108"/>
        <v>0</v>
      </c>
      <c r="N1322" t="s">
        <v>43</v>
      </c>
      <c r="R1322" s="3">
        <f t="shared" si="104"/>
        <v>0</v>
      </c>
    </row>
    <row r="1323" spans="1:18" hidden="1" x14ac:dyDescent="0.25">
      <c r="A1323" t="s">
        <v>4576</v>
      </c>
      <c r="B1323" t="s">
        <v>4272</v>
      </c>
      <c r="C1323" t="s">
        <v>4271</v>
      </c>
      <c r="D1323" s="3">
        <f t="shared" si="105"/>
        <v>9</v>
      </c>
      <c r="E1323" t="s">
        <v>12</v>
      </c>
      <c r="F1323" t="s">
        <v>13</v>
      </c>
      <c r="G1323" t="str">
        <f t="shared" si="106"/>
        <v/>
      </c>
      <c r="H1323" t="s">
        <v>14</v>
      </c>
      <c r="I1323" t="s">
        <v>4577</v>
      </c>
      <c r="J1323" s="2">
        <f t="shared" si="107"/>
        <v>1100000</v>
      </c>
      <c r="K1323" t="s">
        <v>42</v>
      </c>
      <c r="L1323">
        <f t="shared" si="108"/>
        <v>0.17222222222222225</v>
      </c>
      <c r="M1323" s="5">
        <v>0.17222222222222225</v>
      </c>
      <c r="N1323" t="s">
        <v>18</v>
      </c>
      <c r="R1323" s="3">
        <f t="shared" si="104"/>
        <v>4.1333333333333337</v>
      </c>
    </row>
    <row r="1324" spans="1:18" hidden="1" x14ac:dyDescent="0.25">
      <c r="A1324" t="s">
        <v>4187</v>
      </c>
      <c r="B1324" t="s">
        <v>3746</v>
      </c>
      <c r="C1324" t="s">
        <v>3759</v>
      </c>
      <c r="D1324" s="3">
        <f t="shared" si="105"/>
        <v>9</v>
      </c>
      <c r="E1324" t="s">
        <v>12</v>
      </c>
      <c r="F1324" t="s">
        <v>13</v>
      </c>
      <c r="G1324" t="str">
        <f t="shared" si="106"/>
        <v/>
      </c>
      <c r="H1324" t="s">
        <v>14</v>
      </c>
      <c r="I1324" t="s">
        <v>4188</v>
      </c>
      <c r="J1324" s="2">
        <f t="shared" si="107"/>
        <v>835000</v>
      </c>
      <c r="K1324" t="s">
        <v>651</v>
      </c>
      <c r="L1324">
        <f t="shared" si="108"/>
        <v>0.20833333333333334</v>
      </c>
      <c r="M1324" s="5">
        <v>0.20833333333333334</v>
      </c>
      <c r="N1324" t="s">
        <v>43</v>
      </c>
      <c r="R1324" s="3">
        <f t="shared" si="104"/>
        <v>5</v>
      </c>
    </row>
    <row r="1325" spans="1:18" hidden="1" x14ac:dyDescent="0.25">
      <c r="A1325" t="s">
        <v>1079</v>
      </c>
      <c r="B1325" t="s">
        <v>640</v>
      </c>
      <c r="C1325" t="s">
        <v>749</v>
      </c>
      <c r="D1325" s="3">
        <f t="shared" si="105"/>
        <v>12</v>
      </c>
      <c r="E1325" t="s">
        <v>33</v>
      </c>
      <c r="F1325" t="s">
        <v>13</v>
      </c>
      <c r="G1325" t="str">
        <f t="shared" si="106"/>
        <v/>
      </c>
      <c r="H1325" t="s">
        <v>14</v>
      </c>
      <c r="I1325" t="s">
        <v>1080</v>
      </c>
      <c r="J1325" s="2">
        <f t="shared" si="107"/>
        <v>2700000</v>
      </c>
      <c r="K1325" t="s">
        <v>1071</v>
      </c>
      <c r="L1325">
        <f t="shared" si="108"/>
        <v>0.17222222222222225</v>
      </c>
      <c r="M1325" s="5">
        <v>0.17222222222222225</v>
      </c>
      <c r="N1325" t="s">
        <v>43</v>
      </c>
      <c r="R1325" s="3">
        <f t="shared" si="104"/>
        <v>4.1333333333333337</v>
      </c>
    </row>
    <row r="1326" spans="1:18" hidden="1" x14ac:dyDescent="0.25">
      <c r="A1326" t="s">
        <v>3672</v>
      </c>
      <c r="B1326" t="s">
        <v>3233</v>
      </c>
      <c r="C1326" t="s">
        <v>3248</v>
      </c>
      <c r="D1326" s="3">
        <f t="shared" si="105"/>
        <v>12</v>
      </c>
      <c r="E1326" t="s">
        <v>33</v>
      </c>
      <c r="F1326" t="s">
        <v>13</v>
      </c>
      <c r="G1326" t="str">
        <f t="shared" si="106"/>
        <v/>
      </c>
      <c r="H1326" t="s">
        <v>14</v>
      </c>
      <c r="I1326" t="s">
        <v>3673</v>
      </c>
      <c r="J1326" s="2">
        <f t="shared" si="107"/>
        <v>1850000</v>
      </c>
      <c r="K1326" t="s">
        <v>87</v>
      </c>
      <c r="L1326">
        <f t="shared" si="108"/>
        <v>0.17291666666666669</v>
      </c>
      <c r="M1326" s="5">
        <v>0.17291666666666669</v>
      </c>
      <c r="N1326" t="s">
        <v>43</v>
      </c>
      <c r="P1326" t="s">
        <v>1607</v>
      </c>
      <c r="R1326" s="3">
        <f t="shared" si="104"/>
        <v>4.1500000000000004</v>
      </c>
    </row>
    <row r="1327" spans="1:18" hidden="1" x14ac:dyDescent="0.25">
      <c r="A1327" t="s">
        <v>3508</v>
      </c>
      <c r="B1327" t="s">
        <v>3233</v>
      </c>
      <c r="C1327" t="s">
        <v>3248</v>
      </c>
      <c r="D1327" s="3">
        <f t="shared" si="105"/>
        <v>9.8999999999999986</v>
      </c>
      <c r="E1327" t="s">
        <v>837</v>
      </c>
      <c r="F1327" t="s">
        <v>13</v>
      </c>
      <c r="G1327" t="str">
        <f t="shared" si="106"/>
        <v/>
      </c>
      <c r="H1327" t="s">
        <v>14</v>
      </c>
      <c r="I1327" t="s">
        <v>3509</v>
      </c>
      <c r="J1327" s="2">
        <f t="shared" si="107"/>
        <v>1400000</v>
      </c>
      <c r="K1327" t="s">
        <v>81</v>
      </c>
      <c r="L1327">
        <f t="shared" si="108"/>
        <v>0</v>
      </c>
      <c r="N1327" t="s">
        <v>43</v>
      </c>
      <c r="R1327" s="3">
        <f t="shared" si="104"/>
        <v>0</v>
      </c>
    </row>
    <row r="1328" spans="1:18" x14ac:dyDescent="0.25">
      <c r="A1328" t="s">
        <v>923</v>
      </c>
      <c r="B1328" t="s">
        <v>640</v>
      </c>
      <c r="C1328" t="s">
        <v>643</v>
      </c>
      <c r="D1328" s="3">
        <f t="shared" si="105"/>
        <v>12</v>
      </c>
      <c r="E1328" t="s">
        <v>33</v>
      </c>
      <c r="F1328" t="s">
        <v>34</v>
      </c>
      <c r="G1328" t="str">
        <f t="shared" si="106"/>
        <v/>
      </c>
      <c r="H1328" t="s">
        <v>14</v>
      </c>
      <c r="I1328" t="s">
        <v>924</v>
      </c>
      <c r="J1328" s="2">
        <f t="shared" si="107"/>
        <v>1700000</v>
      </c>
      <c r="K1328" t="s">
        <v>23</v>
      </c>
      <c r="L1328">
        <f t="shared" si="108"/>
        <v>0.17222222222222225</v>
      </c>
      <c r="M1328" s="5">
        <v>0.17222222222222225</v>
      </c>
      <c r="N1328" t="s">
        <v>43</v>
      </c>
      <c r="P1328" t="s">
        <v>199</v>
      </c>
      <c r="R1328" s="3">
        <f t="shared" si="104"/>
        <v>4.1333333333333337</v>
      </c>
    </row>
    <row r="1329" spans="1:18" hidden="1" x14ac:dyDescent="0.25">
      <c r="A1329" t="s">
        <v>555</v>
      </c>
      <c r="B1329" t="s">
        <v>20</v>
      </c>
      <c r="C1329" t="s">
        <v>293</v>
      </c>
      <c r="D1329" s="3">
        <f t="shared" si="105"/>
        <v>12</v>
      </c>
      <c r="E1329" t="s">
        <v>33</v>
      </c>
      <c r="F1329" t="s">
        <v>34</v>
      </c>
      <c r="G1329" t="str">
        <f t="shared" si="106"/>
        <v/>
      </c>
      <c r="H1329" t="s">
        <v>14</v>
      </c>
      <c r="I1329" t="s">
        <v>556</v>
      </c>
      <c r="J1329" s="2">
        <f t="shared" si="107"/>
        <v>2250000</v>
      </c>
      <c r="K1329" t="s">
        <v>448</v>
      </c>
      <c r="L1329">
        <f t="shared" si="108"/>
        <v>0.20833333333333334</v>
      </c>
      <c r="M1329" s="5">
        <v>0.20833333333333334</v>
      </c>
      <c r="N1329" t="s">
        <v>18</v>
      </c>
      <c r="R1329" s="3">
        <f t="shared" si="104"/>
        <v>5</v>
      </c>
    </row>
    <row r="1330" spans="1:18" hidden="1" x14ac:dyDescent="0.25">
      <c r="A1330" t="s">
        <v>189</v>
      </c>
      <c r="B1330" t="s">
        <v>20</v>
      </c>
      <c r="C1330" t="s">
        <v>58</v>
      </c>
      <c r="D1330" s="3">
        <f t="shared" si="105"/>
        <v>12</v>
      </c>
      <c r="E1330" t="s">
        <v>33</v>
      </c>
      <c r="F1330" t="s">
        <v>34</v>
      </c>
      <c r="G1330" t="str">
        <f t="shared" si="106"/>
        <v/>
      </c>
      <c r="H1330" t="s">
        <v>14</v>
      </c>
      <c r="I1330" t="s">
        <v>190</v>
      </c>
      <c r="J1330" s="2">
        <f t="shared" si="107"/>
        <v>2000000</v>
      </c>
      <c r="K1330" t="s">
        <v>128</v>
      </c>
      <c r="L1330">
        <f t="shared" si="108"/>
        <v>0.20833333333333334</v>
      </c>
      <c r="M1330" s="5">
        <v>0.20833333333333334</v>
      </c>
      <c r="N1330" t="s">
        <v>18</v>
      </c>
      <c r="R1330" s="3">
        <f t="shared" si="104"/>
        <v>5</v>
      </c>
    </row>
    <row r="1331" spans="1:18" x14ac:dyDescent="0.25">
      <c r="A1331" t="s">
        <v>2547</v>
      </c>
      <c r="B1331" t="s">
        <v>2596</v>
      </c>
      <c r="C1331" t="s">
        <v>2049</v>
      </c>
      <c r="D1331" s="3">
        <f t="shared" si="105"/>
        <v>5.5</v>
      </c>
      <c r="E1331" t="s">
        <v>2076</v>
      </c>
      <c r="F1331" t="s">
        <v>34</v>
      </c>
      <c r="G1331" t="str">
        <f t="shared" si="106"/>
        <v/>
      </c>
      <c r="H1331" t="s">
        <v>14</v>
      </c>
      <c r="I1331" t="s">
        <v>2548</v>
      </c>
      <c r="J1331" s="2">
        <f t="shared" si="107"/>
        <v>1725000</v>
      </c>
      <c r="K1331" t="s">
        <v>897</v>
      </c>
      <c r="L1331">
        <f t="shared" si="108"/>
        <v>0.17222222222222225</v>
      </c>
      <c r="M1331" s="5">
        <v>0.17222222222222225</v>
      </c>
      <c r="N1331" t="s">
        <v>43</v>
      </c>
      <c r="P1331" t="s">
        <v>665</v>
      </c>
      <c r="R1331" s="3">
        <f t="shared" si="104"/>
        <v>4.1333333333333337</v>
      </c>
    </row>
    <row r="1332" spans="1:18" hidden="1" x14ac:dyDescent="0.25">
      <c r="A1332" t="s">
        <v>1074</v>
      </c>
      <c r="B1332" t="s">
        <v>640</v>
      </c>
      <c r="C1332" t="s">
        <v>208</v>
      </c>
      <c r="D1332" s="3">
        <f t="shared" si="105"/>
        <v>9</v>
      </c>
      <c r="E1332" t="s">
        <v>12</v>
      </c>
      <c r="F1332" t="s">
        <v>13</v>
      </c>
      <c r="G1332" t="str">
        <f t="shared" si="106"/>
        <v/>
      </c>
      <c r="H1332" t="s">
        <v>14</v>
      </c>
      <c r="I1332" t="s">
        <v>1075</v>
      </c>
      <c r="J1332" s="2">
        <f t="shared" si="107"/>
        <v>1250000</v>
      </c>
      <c r="K1332" t="s">
        <v>202</v>
      </c>
      <c r="L1332">
        <f t="shared" si="108"/>
        <v>0.17013888888888887</v>
      </c>
      <c r="M1332" s="5">
        <v>0.17013888888888887</v>
      </c>
      <c r="N1332" t="s">
        <v>43</v>
      </c>
      <c r="P1332" t="s">
        <v>979</v>
      </c>
      <c r="R1332" s="3">
        <f t="shared" si="104"/>
        <v>4.083333333333333</v>
      </c>
    </row>
    <row r="1333" spans="1:18" hidden="1" x14ac:dyDescent="0.25">
      <c r="A1333" t="s">
        <v>4544</v>
      </c>
      <c r="B1333" t="s">
        <v>4272</v>
      </c>
      <c r="C1333" t="s">
        <v>4337</v>
      </c>
      <c r="D1333" s="3">
        <f t="shared" si="105"/>
        <v>24</v>
      </c>
      <c r="E1333" t="s">
        <v>4545</v>
      </c>
      <c r="F1333" t="s">
        <v>13</v>
      </c>
      <c r="G1333" t="str">
        <f t="shared" si="106"/>
        <v/>
      </c>
      <c r="H1333" t="s">
        <v>14</v>
      </c>
      <c r="I1333" t="s">
        <v>4546</v>
      </c>
      <c r="J1333" s="2">
        <f t="shared" si="107"/>
        <v>1100000</v>
      </c>
      <c r="K1333" t="s">
        <v>42</v>
      </c>
      <c r="L1333">
        <f t="shared" si="108"/>
        <v>0.20833333333333334</v>
      </c>
      <c r="M1333" s="5">
        <v>0.20833333333333334</v>
      </c>
      <c r="N1333" t="s">
        <v>18</v>
      </c>
      <c r="P1333" t="s">
        <v>2126</v>
      </c>
      <c r="R1333" s="3">
        <f t="shared" si="104"/>
        <v>5</v>
      </c>
    </row>
    <row r="1334" spans="1:18" hidden="1" x14ac:dyDescent="0.25">
      <c r="A1334" t="s">
        <v>3831</v>
      </c>
      <c r="B1334" t="s">
        <v>3746</v>
      </c>
      <c r="C1334" t="s">
        <v>3833</v>
      </c>
      <c r="D1334" s="3">
        <f t="shared" si="105"/>
        <v>12</v>
      </c>
      <c r="E1334" t="s">
        <v>33</v>
      </c>
      <c r="F1334" t="s">
        <v>13</v>
      </c>
      <c r="G1334" t="str">
        <f t="shared" si="106"/>
        <v/>
      </c>
      <c r="H1334" t="s">
        <v>14</v>
      </c>
      <c r="I1334" t="s">
        <v>3832</v>
      </c>
      <c r="J1334" s="2">
        <f t="shared" si="107"/>
        <v>1600000</v>
      </c>
      <c r="K1334" t="s">
        <v>95</v>
      </c>
      <c r="L1334">
        <f t="shared" si="108"/>
        <v>0.12916666666666668</v>
      </c>
      <c r="M1334" s="5">
        <v>0.12916666666666668</v>
      </c>
      <c r="N1334" t="s">
        <v>43</v>
      </c>
      <c r="R1334" s="3">
        <f t="shared" si="104"/>
        <v>3.1000000000000005</v>
      </c>
    </row>
    <row r="1335" spans="1:18" hidden="1" x14ac:dyDescent="0.25">
      <c r="A1335" t="s">
        <v>4598</v>
      </c>
      <c r="B1335" t="s">
        <v>4272</v>
      </c>
      <c r="C1335" t="s">
        <v>4295</v>
      </c>
      <c r="D1335" s="3">
        <f t="shared" si="105"/>
        <v>25</v>
      </c>
      <c r="E1335" t="s">
        <v>481</v>
      </c>
      <c r="F1335" t="s">
        <v>13</v>
      </c>
      <c r="G1335" t="str">
        <f t="shared" si="106"/>
        <v/>
      </c>
      <c r="H1335" t="s">
        <v>14</v>
      </c>
      <c r="I1335" t="s">
        <v>4599</v>
      </c>
      <c r="J1335" s="2">
        <f t="shared" si="107"/>
        <v>1250000</v>
      </c>
      <c r="K1335" t="s">
        <v>202</v>
      </c>
      <c r="L1335">
        <f t="shared" si="108"/>
        <v>0.17291666666666669</v>
      </c>
      <c r="M1335" s="5">
        <v>0.17291666666666669</v>
      </c>
      <c r="N1335" t="s">
        <v>18</v>
      </c>
      <c r="P1335" t="s">
        <v>2065</v>
      </c>
      <c r="R1335" s="3">
        <f t="shared" si="104"/>
        <v>4.1500000000000004</v>
      </c>
    </row>
    <row r="1336" spans="1:18" hidden="1" x14ac:dyDescent="0.25">
      <c r="A1336" t="s">
        <v>4457</v>
      </c>
      <c r="B1336" t="s">
        <v>4272</v>
      </c>
      <c r="C1336" t="s">
        <v>4334</v>
      </c>
      <c r="D1336" s="3">
        <f t="shared" si="105"/>
        <v>12</v>
      </c>
      <c r="E1336" t="s">
        <v>33</v>
      </c>
      <c r="F1336" t="s">
        <v>13</v>
      </c>
      <c r="G1336" t="str">
        <f t="shared" si="106"/>
        <v/>
      </c>
      <c r="H1336" t="s">
        <v>14</v>
      </c>
      <c r="I1336" t="s">
        <v>4458</v>
      </c>
      <c r="J1336" s="2">
        <f t="shared" si="107"/>
        <v>2300000</v>
      </c>
      <c r="K1336" t="s">
        <v>820</v>
      </c>
      <c r="L1336">
        <f t="shared" si="108"/>
        <v>0.20833333333333334</v>
      </c>
      <c r="M1336" s="5">
        <v>0.20833333333333334</v>
      </c>
      <c r="N1336" t="s">
        <v>43</v>
      </c>
      <c r="R1336" s="3">
        <f t="shared" si="104"/>
        <v>5</v>
      </c>
    </row>
    <row r="1337" spans="1:18" hidden="1" x14ac:dyDescent="0.25">
      <c r="A1337" t="s">
        <v>5261</v>
      </c>
      <c r="B1337" t="s">
        <v>4806</v>
      </c>
      <c r="C1337" t="s">
        <v>5015</v>
      </c>
      <c r="D1337" s="3">
        <f t="shared" si="105"/>
        <v>25</v>
      </c>
      <c r="E1337" t="s">
        <v>481</v>
      </c>
      <c r="F1337" t="s">
        <v>34</v>
      </c>
      <c r="G1337" t="str">
        <f t="shared" si="106"/>
        <v/>
      </c>
      <c r="H1337" t="s">
        <v>14</v>
      </c>
      <c r="I1337" t="s">
        <v>5262</v>
      </c>
      <c r="J1337" s="2">
        <f t="shared" si="107"/>
        <v>1450000</v>
      </c>
      <c r="K1337" t="s">
        <v>29</v>
      </c>
      <c r="L1337">
        <f t="shared" si="108"/>
        <v>0.20833333333333334</v>
      </c>
      <c r="M1337" s="5">
        <v>0.20833333333333334</v>
      </c>
      <c r="N1337" t="s">
        <v>43</v>
      </c>
      <c r="R1337" s="3">
        <f t="shared" si="104"/>
        <v>5</v>
      </c>
    </row>
    <row r="1338" spans="1:18" x14ac:dyDescent="0.25">
      <c r="A1338" t="s">
        <v>3850</v>
      </c>
      <c r="B1338" t="s">
        <v>3746</v>
      </c>
      <c r="C1338" t="s">
        <v>3753</v>
      </c>
      <c r="D1338" s="3">
        <f t="shared" si="105"/>
        <v>13.68</v>
      </c>
      <c r="E1338" t="s">
        <v>3851</v>
      </c>
      <c r="F1338" t="s">
        <v>13</v>
      </c>
      <c r="G1338">
        <f t="shared" si="106"/>
        <v>1825000</v>
      </c>
      <c r="H1338" t="s">
        <v>196</v>
      </c>
      <c r="I1338" t="s">
        <v>3852</v>
      </c>
      <c r="J1338" s="2">
        <f t="shared" si="107"/>
        <v>1735000</v>
      </c>
      <c r="K1338" t="s">
        <v>198</v>
      </c>
      <c r="L1338">
        <f t="shared" si="108"/>
        <v>0.17222222222222225</v>
      </c>
      <c r="M1338" s="5">
        <v>0.17222222222222225</v>
      </c>
      <c r="N1338" t="s">
        <v>43</v>
      </c>
      <c r="P1338" t="s">
        <v>199</v>
      </c>
      <c r="R1338" s="3">
        <f t="shared" si="104"/>
        <v>4.1333333333333337</v>
      </c>
    </row>
    <row r="1339" spans="1:18" hidden="1" x14ac:dyDescent="0.25">
      <c r="A1339" t="s">
        <v>4619</v>
      </c>
      <c r="B1339" t="s">
        <v>4272</v>
      </c>
      <c r="C1339" t="s">
        <v>4334</v>
      </c>
      <c r="D1339" s="3">
        <f t="shared" si="105"/>
        <v>15</v>
      </c>
      <c r="E1339" t="s">
        <v>71</v>
      </c>
      <c r="F1339" t="s">
        <v>13</v>
      </c>
      <c r="G1339" t="str">
        <f t="shared" si="106"/>
        <v/>
      </c>
      <c r="H1339" t="s">
        <v>14</v>
      </c>
      <c r="I1339" t="s">
        <v>4620</v>
      </c>
      <c r="J1339" s="2">
        <f t="shared" si="107"/>
        <v>1800000</v>
      </c>
      <c r="K1339" t="s">
        <v>228</v>
      </c>
      <c r="L1339">
        <f t="shared" si="108"/>
        <v>0</v>
      </c>
      <c r="N1339" t="s">
        <v>18</v>
      </c>
      <c r="R1339" s="3">
        <f t="shared" si="104"/>
        <v>0</v>
      </c>
    </row>
    <row r="1340" spans="1:18" hidden="1" x14ac:dyDescent="0.25">
      <c r="A1340" t="s">
        <v>282</v>
      </c>
      <c r="B1340" t="s">
        <v>20</v>
      </c>
      <c r="C1340" t="s">
        <v>58</v>
      </c>
      <c r="D1340" s="3">
        <f t="shared" si="105"/>
        <v>9</v>
      </c>
      <c r="E1340" t="s">
        <v>12</v>
      </c>
      <c r="F1340" t="s">
        <v>13</v>
      </c>
      <c r="G1340" t="str">
        <f t="shared" si="106"/>
        <v/>
      </c>
      <c r="H1340" t="s">
        <v>14</v>
      </c>
      <c r="I1340" t="s">
        <v>283</v>
      </c>
      <c r="J1340" s="2">
        <f t="shared" si="107"/>
        <v>500000</v>
      </c>
      <c r="K1340" t="s">
        <v>16</v>
      </c>
      <c r="L1340">
        <f t="shared" si="108"/>
        <v>0</v>
      </c>
      <c r="N1340" t="s">
        <v>43</v>
      </c>
      <c r="R1340" s="3">
        <f t="shared" si="104"/>
        <v>0</v>
      </c>
    </row>
    <row r="1341" spans="1:18" x14ac:dyDescent="0.25">
      <c r="A1341" t="s">
        <v>3776</v>
      </c>
      <c r="B1341" t="s">
        <v>3746</v>
      </c>
      <c r="C1341" t="s">
        <v>3759</v>
      </c>
      <c r="D1341" s="3">
        <f t="shared" si="105"/>
        <v>9.990000000000002</v>
      </c>
      <c r="E1341" t="s">
        <v>1012</v>
      </c>
      <c r="F1341" t="s">
        <v>13</v>
      </c>
      <c r="G1341">
        <f t="shared" si="106"/>
        <v>1825000</v>
      </c>
      <c r="H1341" t="s">
        <v>196</v>
      </c>
      <c r="I1341" t="s">
        <v>3777</v>
      </c>
      <c r="J1341" s="2">
        <f t="shared" si="107"/>
        <v>1735000</v>
      </c>
      <c r="K1341" t="s">
        <v>198</v>
      </c>
      <c r="L1341">
        <f t="shared" si="108"/>
        <v>0.17083333333333331</v>
      </c>
      <c r="M1341" s="5">
        <v>0.17083333333333331</v>
      </c>
      <c r="N1341" t="s">
        <v>43</v>
      </c>
      <c r="P1341" t="s">
        <v>199</v>
      </c>
      <c r="R1341" s="3">
        <f t="shared" si="104"/>
        <v>4.0999999999999996</v>
      </c>
    </row>
    <row r="1342" spans="1:18" hidden="1" x14ac:dyDescent="0.25">
      <c r="A1342" t="s">
        <v>1333</v>
      </c>
      <c r="B1342" t="s">
        <v>1303</v>
      </c>
      <c r="C1342" t="s">
        <v>1312</v>
      </c>
      <c r="D1342" s="3">
        <f t="shared" si="105"/>
        <v>14.28</v>
      </c>
      <c r="E1342" t="s">
        <v>1334</v>
      </c>
      <c r="F1342" t="s">
        <v>13</v>
      </c>
      <c r="G1342" t="str">
        <f t="shared" si="106"/>
        <v/>
      </c>
      <c r="H1342" t="s">
        <v>14</v>
      </c>
      <c r="I1342" t="s">
        <v>1335</v>
      </c>
      <c r="J1342" s="2">
        <f t="shared" si="107"/>
        <v>2600000</v>
      </c>
      <c r="K1342" t="s">
        <v>1336</v>
      </c>
      <c r="L1342">
        <f t="shared" si="108"/>
        <v>0</v>
      </c>
      <c r="N1342" t="s">
        <v>18</v>
      </c>
      <c r="R1342" s="3">
        <f t="shared" si="104"/>
        <v>0</v>
      </c>
    </row>
    <row r="1343" spans="1:18" hidden="1" x14ac:dyDescent="0.25">
      <c r="A1343" t="s">
        <v>1047</v>
      </c>
      <c r="B1343" t="s">
        <v>640</v>
      </c>
      <c r="C1343" t="s">
        <v>1049</v>
      </c>
      <c r="D1343" s="3">
        <f t="shared" si="105"/>
        <v>9</v>
      </c>
      <c r="E1343" t="s">
        <v>12</v>
      </c>
      <c r="F1343" t="s">
        <v>13</v>
      </c>
      <c r="G1343" t="str">
        <f t="shared" si="106"/>
        <v/>
      </c>
      <c r="H1343" t="s">
        <v>14</v>
      </c>
      <c r="I1343" t="s">
        <v>1048</v>
      </c>
      <c r="J1343" s="2">
        <f t="shared" si="107"/>
        <v>1250000</v>
      </c>
      <c r="K1343" t="s">
        <v>202</v>
      </c>
      <c r="L1343">
        <f t="shared" si="108"/>
        <v>0</v>
      </c>
      <c r="N1343" t="s">
        <v>18</v>
      </c>
      <c r="R1343" s="3">
        <f t="shared" si="104"/>
        <v>0</v>
      </c>
    </row>
    <row r="1344" spans="1:18" x14ac:dyDescent="0.25">
      <c r="A1344" t="s">
        <v>4773</v>
      </c>
      <c r="B1344" t="s">
        <v>4272</v>
      </c>
      <c r="C1344" t="s">
        <v>4285</v>
      </c>
      <c r="D1344" s="3">
        <f t="shared" si="105"/>
        <v>10.8</v>
      </c>
      <c r="E1344" t="s">
        <v>4774</v>
      </c>
      <c r="F1344" t="s">
        <v>13</v>
      </c>
      <c r="G1344">
        <f t="shared" si="106"/>
        <v>1825000</v>
      </c>
      <c r="H1344" t="s">
        <v>196</v>
      </c>
      <c r="I1344" t="s">
        <v>4775</v>
      </c>
      <c r="J1344" s="2">
        <f t="shared" si="107"/>
        <v>1735000</v>
      </c>
      <c r="K1344" t="s">
        <v>198</v>
      </c>
      <c r="L1344">
        <f t="shared" si="108"/>
        <v>0.17291666666666669</v>
      </c>
      <c r="M1344" s="5">
        <v>0.17291666666666669</v>
      </c>
      <c r="N1344" t="s">
        <v>43</v>
      </c>
      <c r="P1344" t="s">
        <v>199</v>
      </c>
      <c r="R1344" s="3">
        <f t="shared" si="104"/>
        <v>4.1500000000000004</v>
      </c>
    </row>
    <row r="1345" spans="1:18" hidden="1" x14ac:dyDescent="0.25">
      <c r="A1345" t="s">
        <v>3664</v>
      </c>
      <c r="B1345" t="s">
        <v>3233</v>
      </c>
      <c r="C1345" t="s">
        <v>3261</v>
      </c>
      <c r="D1345" s="3">
        <f t="shared" si="105"/>
        <v>9</v>
      </c>
      <c r="E1345" t="s">
        <v>12</v>
      </c>
      <c r="F1345" t="s">
        <v>13</v>
      </c>
      <c r="G1345" t="str">
        <f t="shared" si="106"/>
        <v/>
      </c>
      <c r="H1345" t="s">
        <v>14</v>
      </c>
      <c r="I1345" t="s">
        <v>3665</v>
      </c>
      <c r="J1345" s="2">
        <f t="shared" si="107"/>
        <v>1600000</v>
      </c>
      <c r="K1345" t="s">
        <v>95</v>
      </c>
      <c r="L1345">
        <f t="shared" si="108"/>
        <v>0</v>
      </c>
      <c r="N1345" t="s">
        <v>43</v>
      </c>
      <c r="R1345" s="3">
        <f t="shared" si="104"/>
        <v>0</v>
      </c>
    </row>
    <row r="1346" spans="1:18" hidden="1" x14ac:dyDescent="0.25">
      <c r="A1346" t="s">
        <v>4712</v>
      </c>
      <c r="B1346" t="s">
        <v>4272</v>
      </c>
      <c r="C1346" t="s">
        <v>4351</v>
      </c>
      <c r="D1346" s="3">
        <f t="shared" si="105"/>
        <v>9</v>
      </c>
      <c r="E1346" t="s">
        <v>12</v>
      </c>
      <c r="F1346" t="s">
        <v>13</v>
      </c>
      <c r="G1346" t="str">
        <f t="shared" si="106"/>
        <v/>
      </c>
      <c r="H1346" t="s">
        <v>14</v>
      </c>
      <c r="I1346" t="s">
        <v>4713</v>
      </c>
      <c r="J1346" s="2">
        <f t="shared" si="107"/>
        <v>1500000</v>
      </c>
      <c r="K1346" t="s">
        <v>66</v>
      </c>
      <c r="L1346">
        <f t="shared" si="108"/>
        <v>0</v>
      </c>
      <c r="N1346" t="s">
        <v>18</v>
      </c>
      <c r="R1346" s="3">
        <f t="shared" ref="R1346:R1409" si="109">24*L1346</f>
        <v>0</v>
      </c>
    </row>
    <row r="1347" spans="1:18" hidden="1" x14ac:dyDescent="0.25">
      <c r="A1347" t="s">
        <v>2573</v>
      </c>
      <c r="B1347" t="s">
        <v>2596</v>
      </c>
      <c r="C1347" t="s">
        <v>1999</v>
      </c>
      <c r="D1347" s="3">
        <f t="shared" si="105"/>
        <v>16</v>
      </c>
      <c r="E1347" t="s">
        <v>79</v>
      </c>
      <c r="F1347" t="s">
        <v>13</v>
      </c>
      <c r="G1347" t="str">
        <f t="shared" si="106"/>
        <v/>
      </c>
      <c r="H1347" t="s">
        <v>14</v>
      </c>
      <c r="I1347" t="s">
        <v>2574</v>
      </c>
      <c r="J1347" s="2">
        <f t="shared" si="107"/>
        <v>3200000</v>
      </c>
      <c r="K1347" t="s">
        <v>1518</v>
      </c>
      <c r="L1347">
        <f t="shared" si="108"/>
        <v>0</v>
      </c>
      <c r="N1347" t="s">
        <v>43</v>
      </c>
      <c r="R1347" s="3">
        <f t="shared" si="109"/>
        <v>0</v>
      </c>
    </row>
    <row r="1348" spans="1:18" hidden="1" x14ac:dyDescent="0.25">
      <c r="A1348" t="s">
        <v>2549</v>
      </c>
      <c r="B1348" t="s">
        <v>2596</v>
      </c>
      <c r="C1348" t="s">
        <v>2016</v>
      </c>
      <c r="D1348" s="3">
        <f t="shared" ref="D1348:D1411" si="110">VALUE(LEFT(E1348,SEARCH(" x ",E1348)-1))*VALUE(MID(E1348,SEARCH(" x ",E1348)+3,SEARCH(" meter",E1348)-SEARCH(" x ",E1348)-3))</f>
        <v>12</v>
      </c>
      <c r="E1348" t="s">
        <v>33</v>
      </c>
      <c r="F1348" t="s">
        <v>13</v>
      </c>
      <c r="G1348" t="str">
        <f t="shared" ref="G1348:G1411" si="111">IF(H1348="N/A","",VALUE(SUBSTITUTE(SUBSTITUTE(H1348,"Rp",""),".","")))</f>
        <v/>
      </c>
      <c r="H1348" t="s">
        <v>14</v>
      </c>
      <c r="I1348" t="s">
        <v>2550</v>
      </c>
      <c r="J1348" s="2">
        <f t="shared" ref="J1348:J1411" si="112">VALUE(SUBSTITUTE(SUBSTITUTE(K1348,"Rp",""),".",""))</f>
        <v>2400000</v>
      </c>
      <c r="K1348" t="s">
        <v>133</v>
      </c>
      <c r="L1348">
        <f t="shared" ref="L1348:L1411" si="113">M1348:M3688</f>
        <v>0.20833333333333334</v>
      </c>
      <c r="M1348" s="5">
        <v>0.20833333333333334</v>
      </c>
      <c r="N1348" t="s">
        <v>43</v>
      </c>
      <c r="P1348" t="s">
        <v>665</v>
      </c>
      <c r="R1348" s="3">
        <f t="shared" si="109"/>
        <v>5</v>
      </c>
    </row>
    <row r="1349" spans="1:18" hidden="1" x14ac:dyDescent="0.25">
      <c r="A1349" t="s">
        <v>5030</v>
      </c>
      <c r="B1349" t="s">
        <v>4806</v>
      </c>
      <c r="C1349" t="s">
        <v>4805</v>
      </c>
      <c r="D1349" s="3">
        <f t="shared" si="110"/>
        <v>12</v>
      </c>
      <c r="E1349" t="s">
        <v>33</v>
      </c>
      <c r="F1349" t="s">
        <v>13</v>
      </c>
      <c r="G1349" t="str">
        <f t="shared" si="111"/>
        <v/>
      </c>
      <c r="H1349" t="s">
        <v>14</v>
      </c>
      <c r="I1349" t="s">
        <v>5031</v>
      </c>
      <c r="J1349" s="2">
        <f t="shared" si="112"/>
        <v>609999</v>
      </c>
      <c r="K1349" t="s">
        <v>5032</v>
      </c>
      <c r="L1349">
        <f t="shared" si="113"/>
        <v>0.20833333333333334</v>
      </c>
      <c r="M1349" s="5">
        <v>0.20833333333333334</v>
      </c>
      <c r="N1349" t="s">
        <v>43</v>
      </c>
      <c r="R1349" s="3">
        <f t="shared" si="109"/>
        <v>5</v>
      </c>
    </row>
    <row r="1350" spans="1:18" x14ac:dyDescent="0.25">
      <c r="A1350" t="s">
        <v>4769</v>
      </c>
      <c r="B1350" t="s">
        <v>4272</v>
      </c>
      <c r="C1350" t="s">
        <v>4334</v>
      </c>
      <c r="D1350" s="3">
        <f t="shared" si="110"/>
        <v>12</v>
      </c>
      <c r="E1350" t="s">
        <v>33</v>
      </c>
      <c r="F1350" t="s">
        <v>13</v>
      </c>
      <c r="G1350" t="str">
        <f t="shared" si="111"/>
        <v/>
      </c>
      <c r="H1350" t="s">
        <v>14</v>
      </c>
      <c r="I1350" t="s">
        <v>4770</v>
      </c>
      <c r="J1350" s="2">
        <f t="shared" si="112"/>
        <v>1750000</v>
      </c>
      <c r="K1350" t="s">
        <v>306</v>
      </c>
      <c r="L1350">
        <f t="shared" si="113"/>
        <v>0.17083333333333331</v>
      </c>
      <c r="M1350" s="5">
        <v>0.17083333333333331</v>
      </c>
      <c r="N1350" t="s">
        <v>43</v>
      </c>
      <c r="R1350" s="3">
        <f t="shared" si="109"/>
        <v>4.0999999999999996</v>
      </c>
    </row>
    <row r="1351" spans="1:18" hidden="1" x14ac:dyDescent="0.25">
      <c r="A1351" t="s">
        <v>4581</v>
      </c>
      <c r="B1351" t="s">
        <v>4272</v>
      </c>
      <c r="C1351" t="s">
        <v>4417</v>
      </c>
      <c r="D1351" s="3">
        <f t="shared" si="110"/>
        <v>42</v>
      </c>
      <c r="E1351" t="s">
        <v>4582</v>
      </c>
      <c r="F1351" t="s">
        <v>13</v>
      </c>
      <c r="G1351" t="str">
        <f t="shared" si="111"/>
        <v/>
      </c>
      <c r="H1351" t="s">
        <v>14</v>
      </c>
      <c r="I1351" t="s">
        <v>4583</v>
      </c>
      <c r="J1351" s="2">
        <f t="shared" si="112"/>
        <v>1200000</v>
      </c>
      <c r="K1351" t="s">
        <v>36</v>
      </c>
      <c r="L1351">
        <f t="shared" si="113"/>
        <v>0.20833333333333334</v>
      </c>
      <c r="M1351" s="5">
        <v>0.20833333333333334</v>
      </c>
      <c r="N1351" t="s">
        <v>43</v>
      </c>
      <c r="P1351" t="s">
        <v>134</v>
      </c>
      <c r="R1351" s="3">
        <f t="shared" si="109"/>
        <v>5</v>
      </c>
    </row>
    <row r="1352" spans="1:18" hidden="1" x14ac:dyDescent="0.25">
      <c r="A1352" t="s">
        <v>5287</v>
      </c>
      <c r="B1352" t="s">
        <v>4806</v>
      </c>
      <c r="C1352" t="s">
        <v>4805</v>
      </c>
      <c r="D1352" s="3">
        <f t="shared" si="110"/>
        <v>9</v>
      </c>
      <c r="E1352" t="s">
        <v>12</v>
      </c>
      <c r="F1352" t="s">
        <v>13</v>
      </c>
      <c r="G1352" t="str">
        <f t="shared" si="111"/>
        <v/>
      </c>
      <c r="H1352" t="s">
        <v>14</v>
      </c>
      <c r="I1352" t="s">
        <v>5288</v>
      </c>
      <c r="J1352" s="2">
        <f t="shared" si="112"/>
        <v>2500000</v>
      </c>
      <c r="K1352" t="s">
        <v>272</v>
      </c>
      <c r="L1352">
        <f t="shared" si="113"/>
        <v>0</v>
      </c>
      <c r="N1352" t="s">
        <v>43</v>
      </c>
      <c r="R1352" s="3">
        <f t="shared" si="109"/>
        <v>0</v>
      </c>
    </row>
    <row r="1353" spans="1:18" hidden="1" x14ac:dyDescent="0.25">
      <c r="A1353" t="s">
        <v>5287</v>
      </c>
      <c r="B1353" t="s">
        <v>4806</v>
      </c>
      <c r="C1353" t="s">
        <v>4805</v>
      </c>
      <c r="D1353" s="3">
        <f t="shared" si="110"/>
        <v>9</v>
      </c>
      <c r="E1353" t="s">
        <v>12</v>
      </c>
      <c r="F1353" t="s">
        <v>13</v>
      </c>
      <c r="G1353" t="str">
        <f t="shared" si="111"/>
        <v/>
      </c>
      <c r="H1353" t="s">
        <v>14</v>
      </c>
      <c r="I1353" t="s">
        <v>5308</v>
      </c>
      <c r="J1353" s="2">
        <f t="shared" si="112"/>
        <v>2500000</v>
      </c>
      <c r="K1353" t="s">
        <v>272</v>
      </c>
      <c r="L1353">
        <f t="shared" si="113"/>
        <v>0</v>
      </c>
      <c r="N1353" t="s">
        <v>43</v>
      </c>
      <c r="R1353" s="3">
        <f t="shared" si="109"/>
        <v>0</v>
      </c>
    </row>
    <row r="1354" spans="1:18" hidden="1" x14ac:dyDescent="0.25">
      <c r="A1354" t="s">
        <v>5287</v>
      </c>
      <c r="B1354" t="s">
        <v>4806</v>
      </c>
      <c r="C1354" t="s">
        <v>4805</v>
      </c>
      <c r="D1354" s="3">
        <f t="shared" si="110"/>
        <v>9</v>
      </c>
      <c r="E1354" t="s">
        <v>12</v>
      </c>
      <c r="F1354" t="s">
        <v>13</v>
      </c>
      <c r="G1354" t="str">
        <f t="shared" si="111"/>
        <v/>
      </c>
      <c r="H1354" t="s">
        <v>14</v>
      </c>
      <c r="I1354" t="s">
        <v>5325</v>
      </c>
      <c r="J1354" s="2">
        <f t="shared" si="112"/>
        <v>2500000</v>
      </c>
      <c r="K1354" t="s">
        <v>272</v>
      </c>
      <c r="L1354">
        <f t="shared" si="113"/>
        <v>0</v>
      </c>
      <c r="N1354" t="s">
        <v>43</v>
      </c>
      <c r="R1354" s="3">
        <f t="shared" si="109"/>
        <v>0</v>
      </c>
    </row>
    <row r="1355" spans="1:18" hidden="1" x14ac:dyDescent="0.25">
      <c r="A1355" t="s">
        <v>5287</v>
      </c>
      <c r="B1355" t="s">
        <v>4806</v>
      </c>
      <c r="C1355" t="s">
        <v>4805</v>
      </c>
      <c r="D1355" s="3">
        <f t="shared" si="110"/>
        <v>9</v>
      </c>
      <c r="E1355" t="s">
        <v>12</v>
      </c>
      <c r="F1355" t="s">
        <v>13</v>
      </c>
      <c r="G1355" t="str">
        <f t="shared" si="111"/>
        <v/>
      </c>
      <c r="H1355" t="s">
        <v>14</v>
      </c>
      <c r="I1355" t="s">
        <v>5288</v>
      </c>
      <c r="J1355" s="2">
        <f t="shared" si="112"/>
        <v>2500000</v>
      </c>
      <c r="K1355" t="s">
        <v>272</v>
      </c>
      <c r="L1355">
        <f t="shared" si="113"/>
        <v>0</v>
      </c>
      <c r="N1355" t="s">
        <v>43</v>
      </c>
      <c r="R1355" s="3">
        <f t="shared" si="109"/>
        <v>0</v>
      </c>
    </row>
    <row r="1356" spans="1:18" hidden="1" x14ac:dyDescent="0.25">
      <c r="A1356" t="s">
        <v>5303</v>
      </c>
      <c r="B1356" t="s">
        <v>4806</v>
      </c>
      <c r="C1356" t="s">
        <v>4805</v>
      </c>
      <c r="D1356" s="3">
        <f t="shared" si="110"/>
        <v>17.5</v>
      </c>
      <c r="E1356" t="s">
        <v>1839</v>
      </c>
      <c r="F1356" t="s">
        <v>13</v>
      </c>
      <c r="G1356" t="str">
        <f t="shared" si="111"/>
        <v/>
      </c>
      <c r="H1356" t="s">
        <v>14</v>
      </c>
      <c r="I1356" t="s">
        <v>5304</v>
      </c>
      <c r="J1356" s="2">
        <f t="shared" si="112"/>
        <v>3500000</v>
      </c>
      <c r="K1356" t="s">
        <v>143</v>
      </c>
      <c r="L1356">
        <f t="shared" si="113"/>
        <v>0</v>
      </c>
      <c r="N1356" t="s">
        <v>43</v>
      </c>
      <c r="R1356" s="3">
        <f t="shared" si="109"/>
        <v>0</v>
      </c>
    </row>
    <row r="1357" spans="1:18" hidden="1" x14ac:dyDescent="0.25">
      <c r="A1357" t="s">
        <v>5303</v>
      </c>
      <c r="B1357" t="s">
        <v>4806</v>
      </c>
      <c r="C1357" t="s">
        <v>4805</v>
      </c>
      <c r="D1357" s="3">
        <f t="shared" si="110"/>
        <v>17.5</v>
      </c>
      <c r="E1357" t="s">
        <v>1839</v>
      </c>
      <c r="F1357" t="s">
        <v>13</v>
      </c>
      <c r="G1357" t="str">
        <f t="shared" si="111"/>
        <v/>
      </c>
      <c r="H1357" t="s">
        <v>14</v>
      </c>
      <c r="I1357" t="s">
        <v>5323</v>
      </c>
      <c r="J1357" s="2">
        <f t="shared" si="112"/>
        <v>3500000</v>
      </c>
      <c r="K1357" t="s">
        <v>143</v>
      </c>
      <c r="L1357">
        <f t="shared" si="113"/>
        <v>0</v>
      </c>
      <c r="N1357" t="s">
        <v>43</v>
      </c>
      <c r="R1357" s="3">
        <f t="shared" si="109"/>
        <v>0</v>
      </c>
    </row>
    <row r="1358" spans="1:18" hidden="1" x14ac:dyDescent="0.25">
      <c r="A1358" t="s">
        <v>5158</v>
      </c>
      <c r="B1358" t="s">
        <v>4806</v>
      </c>
      <c r="C1358" t="s">
        <v>4809</v>
      </c>
      <c r="D1358" s="3">
        <f t="shared" si="110"/>
        <v>14.850000000000001</v>
      </c>
      <c r="E1358" t="s">
        <v>5159</v>
      </c>
      <c r="F1358" t="s">
        <v>13</v>
      </c>
      <c r="G1358" t="str">
        <f t="shared" si="111"/>
        <v/>
      </c>
      <c r="H1358" t="s">
        <v>14</v>
      </c>
      <c r="I1358" t="s">
        <v>5160</v>
      </c>
      <c r="J1358" s="2">
        <f t="shared" si="112"/>
        <v>1200000</v>
      </c>
      <c r="K1358" t="s">
        <v>36</v>
      </c>
      <c r="L1358">
        <f t="shared" si="113"/>
        <v>0</v>
      </c>
      <c r="N1358" t="s">
        <v>43</v>
      </c>
      <c r="R1358" s="3">
        <f t="shared" si="109"/>
        <v>0</v>
      </c>
    </row>
    <row r="1359" spans="1:18" hidden="1" x14ac:dyDescent="0.25">
      <c r="A1359" t="s">
        <v>5232</v>
      </c>
      <c r="B1359" t="s">
        <v>4806</v>
      </c>
      <c r="C1359" t="s">
        <v>4825</v>
      </c>
      <c r="D1359" s="3">
        <f t="shared" si="110"/>
        <v>12</v>
      </c>
      <c r="E1359" t="s">
        <v>33</v>
      </c>
      <c r="F1359" t="s">
        <v>13</v>
      </c>
      <c r="G1359" t="str">
        <f t="shared" si="111"/>
        <v/>
      </c>
      <c r="H1359" t="s">
        <v>14</v>
      </c>
      <c r="I1359" t="s">
        <v>5233</v>
      </c>
      <c r="J1359" s="2">
        <f t="shared" si="112"/>
        <v>1000000</v>
      </c>
      <c r="K1359" t="s">
        <v>52</v>
      </c>
      <c r="L1359">
        <f t="shared" si="113"/>
        <v>8.4027777777777771E-2</v>
      </c>
      <c r="M1359" s="5">
        <v>8.4027777777777771E-2</v>
      </c>
      <c r="N1359" t="s">
        <v>43</v>
      </c>
      <c r="R1359" s="3">
        <f t="shared" si="109"/>
        <v>2.0166666666666666</v>
      </c>
    </row>
    <row r="1360" spans="1:18" hidden="1" x14ac:dyDescent="0.25">
      <c r="A1360" t="s">
        <v>5139</v>
      </c>
      <c r="B1360" t="s">
        <v>4806</v>
      </c>
      <c r="C1360" t="s">
        <v>4825</v>
      </c>
      <c r="D1360" s="3">
        <f t="shared" si="110"/>
        <v>12</v>
      </c>
      <c r="E1360" t="s">
        <v>33</v>
      </c>
      <c r="F1360" t="s">
        <v>13</v>
      </c>
      <c r="G1360" t="str">
        <f t="shared" si="111"/>
        <v/>
      </c>
      <c r="H1360" t="s">
        <v>14</v>
      </c>
      <c r="I1360" t="s">
        <v>5140</v>
      </c>
      <c r="J1360" s="2">
        <f t="shared" si="112"/>
        <v>1200000</v>
      </c>
      <c r="K1360" t="s">
        <v>36</v>
      </c>
      <c r="L1360">
        <f t="shared" si="113"/>
        <v>0.17083333333333331</v>
      </c>
      <c r="M1360" s="5">
        <v>0.17083333333333331</v>
      </c>
      <c r="N1360" t="s">
        <v>43</v>
      </c>
      <c r="R1360" s="3">
        <f t="shared" si="109"/>
        <v>4.0999999999999996</v>
      </c>
    </row>
    <row r="1361" spans="1:18" hidden="1" x14ac:dyDescent="0.25">
      <c r="A1361" t="s">
        <v>5732</v>
      </c>
      <c r="B1361" t="s">
        <v>5848</v>
      </c>
      <c r="C1361" t="s">
        <v>5406</v>
      </c>
      <c r="D1361" s="3">
        <f t="shared" si="110"/>
        <v>7.0400000000000009</v>
      </c>
      <c r="E1361" t="s">
        <v>5733</v>
      </c>
      <c r="F1361" t="s">
        <v>34</v>
      </c>
      <c r="G1361" t="str">
        <f t="shared" si="111"/>
        <v/>
      </c>
      <c r="H1361" t="s">
        <v>14</v>
      </c>
      <c r="I1361" t="s">
        <v>5734</v>
      </c>
      <c r="J1361" s="2">
        <f t="shared" si="112"/>
        <v>1100000</v>
      </c>
      <c r="K1361" t="s">
        <v>42</v>
      </c>
      <c r="L1361">
        <f t="shared" si="113"/>
        <v>0</v>
      </c>
      <c r="N1361" t="s">
        <v>37</v>
      </c>
      <c r="R1361" s="3">
        <f t="shared" si="109"/>
        <v>0</v>
      </c>
    </row>
    <row r="1362" spans="1:18" hidden="1" x14ac:dyDescent="0.25">
      <c r="A1362" t="s">
        <v>4041</v>
      </c>
      <c r="B1362" t="s">
        <v>3746</v>
      </c>
      <c r="C1362" t="s">
        <v>3876</v>
      </c>
      <c r="D1362" s="3">
        <f t="shared" si="110"/>
        <v>12</v>
      </c>
      <c r="E1362" t="s">
        <v>33</v>
      </c>
      <c r="F1362" t="s">
        <v>34</v>
      </c>
      <c r="G1362" t="str">
        <f t="shared" si="111"/>
        <v/>
      </c>
      <c r="H1362" t="s">
        <v>14</v>
      </c>
      <c r="I1362" t="s">
        <v>4042</v>
      </c>
      <c r="J1362" s="2">
        <f t="shared" si="112"/>
        <v>525000</v>
      </c>
      <c r="K1362" t="s">
        <v>315</v>
      </c>
      <c r="L1362">
        <f t="shared" si="113"/>
        <v>0</v>
      </c>
      <c r="N1362" t="s">
        <v>18</v>
      </c>
      <c r="R1362" s="3">
        <f t="shared" si="109"/>
        <v>0</v>
      </c>
    </row>
    <row r="1363" spans="1:18" hidden="1" x14ac:dyDescent="0.25">
      <c r="A1363" t="s">
        <v>4153</v>
      </c>
      <c r="B1363" t="s">
        <v>3746</v>
      </c>
      <c r="C1363" t="s">
        <v>3884</v>
      </c>
      <c r="D1363" s="3">
        <f t="shared" si="110"/>
        <v>12</v>
      </c>
      <c r="E1363" t="s">
        <v>33</v>
      </c>
      <c r="F1363" t="s">
        <v>13</v>
      </c>
      <c r="G1363" t="str">
        <f t="shared" si="111"/>
        <v/>
      </c>
      <c r="H1363" t="s">
        <v>14</v>
      </c>
      <c r="I1363" t="s">
        <v>4154</v>
      </c>
      <c r="J1363" s="2">
        <f t="shared" si="112"/>
        <v>1250000</v>
      </c>
      <c r="K1363" t="s">
        <v>202</v>
      </c>
      <c r="L1363">
        <f t="shared" si="113"/>
        <v>0.20833333333333334</v>
      </c>
      <c r="M1363" s="5">
        <v>0.20833333333333334</v>
      </c>
      <c r="N1363" t="s">
        <v>18</v>
      </c>
      <c r="R1363" s="3">
        <f t="shared" si="109"/>
        <v>5</v>
      </c>
    </row>
    <row r="1364" spans="1:18" hidden="1" x14ac:dyDescent="0.25">
      <c r="A1364" t="s">
        <v>4177</v>
      </c>
      <c r="B1364" t="s">
        <v>3746</v>
      </c>
      <c r="C1364" t="s">
        <v>3884</v>
      </c>
      <c r="D1364" s="3">
        <f t="shared" si="110"/>
        <v>12</v>
      </c>
      <c r="E1364" t="s">
        <v>33</v>
      </c>
      <c r="F1364" t="s">
        <v>13</v>
      </c>
      <c r="G1364" t="str">
        <f t="shared" si="111"/>
        <v/>
      </c>
      <c r="H1364" t="s">
        <v>14</v>
      </c>
      <c r="I1364" t="s">
        <v>4178</v>
      </c>
      <c r="J1364" s="2">
        <f t="shared" si="112"/>
        <v>1300000</v>
      </c>
      <c r="K1364" t="s">
        <v>17</v>
      </c>
      <c r="L1364">
        <f t="shared" si="113"/>
        <v>0.20833333333333334</v>
      </c>
      <c r="M1364" s="5">
        <v>0.20833333333333334</v>
      </c>
      <c r="N1364" t="s">
        <v>18</v>
      </c>
      <c r="R1364" s="3">
        <f t="shared" si="109"/>
        <v>5</v>
      </c>
    </row>
    <row r="1365" spans="1:18" hidden="1" x14ac:dyDescent="0.25">
      <c r="A1365" t="s">
        <v>1238</v>
      </c>
      <c r="B1365" t="s">
        <v>640</v>
      </c>
      <c r="C1365" t="s">
        <v>643</v>
      </c>
      <c r="D1365" s="3">
        <f t="shared" si="110"/>
        <v>9</v>
      </c>
      <c r="E1365" t="s">
        <v>12</v>
      </c>
      <c r="F1365" t="s">
        <v>34</v>
      </c>
      <c r="G1365" t="str">
        <f t="shared" si="111"/>
        <v/>
      </c>
      <c r="H1365" t="s">
        <v>14</v>
      </c>
      <c r="I1365" t="s">
        <v>1239</v>
      </c>
      <c r="J1365" s="2">
        <f t="shared" si="112"/>
        <v>750000</v>
      </c>
      <c r="K1365" t="s">
        <v>76</v>
      </c>
      <c r="L1365">
        <f t="shared" si="113"/>
        <v>0.17291666666666669</v>
      </c>
      <c r="M1365" s="5">
        <v>0.17291666666666669</v>
      </c>
      <c r="N1365" t="s">
        <v>18</v>
      </c>
      <c r="P1365" t="s">
        <v>719</v>
      </c>
      <c r="R1365" s="3">
        <f t="shared" si="109"/>
        <v>4.1500000000000004</v>
      </c>
    </row>
    <row r="1366" spans="1:18" x14ac:dyDescent="0.25">
      <c r="A1366" t="s">
        <v>869</v>
      </c>
      <c r="B1366" t="s">
        <v>640</v>
      </c>
      <c r="C1366" t="s">
        <v>657</v>
      </c>
      <c r="D1366" s="3">
        <f t="shared" si="110"/>
        <v>12</v>
      </c>
      <c r="E1366" t="s">
        <v>33</v>
      </c>
      <c r="F1366" t="s">
        <v>13</v>
      </c>
      <c r="G1366">
        <f t="shared" si="111"/>
        <v>1965000</v>
      </c>
      <c r="H1366" t="s">
        <v>870</v>
      </c>
      <c r="I1366" t="s">
        <v>871</v>
      </c>
      <c r="J1366" s="2">
        <f t="shared" si="112"/>
        <v>1771000</v>
      </c>
      <c r="K1366" t="s">
        <v>872</v>
      </c>
      <c r="L1366">
        <f t="shared" si="113"/>
        <v>0.17291666666666669</v>
      </c>
      <c r="M1366" s="5">
        <v>0.17291666666666669</v>
      </c>
      <c r="N1366" t="s">
        <v>18</v>
      </c>
      <c r="P1366" t="s">
        <v>873</v>
      </c>
      <c r="R1366" s="3">
        <f t="shared" si="109"/>
        <v>4.1500000000000004</v>
      </c>
    </row>
    <row r="1367" spans="1:18" hidden="1" x14ac:dyDescent="0.25">
      <c r="A1367" t="s">
        <v>1133</v>
      </c>
      <c r="B1367" t="s">
        <v>640</v>
      </c>
      <c r="C1367" t="s">
        <v>208</v>
      </c>
      <c r="D1367" s="3">
        <f t="shared" si="110"/>
        <v>9</v>
      </c>
      <c r="E1367" t="s">
        <v>12</v>
      </c>
      <c r="F1367" t="s">
        <v>34</v>
      </c>
      <c r="G1367" t="str">
        <f t="shared" si="111"/>
        <v/>
      </c>
      <c r="H1367" t="s">
        <v>14</v>
      </c>
      <c r="I1367" t="s">
        <v>1134</v>
      </c>
      <c r="J1367" s="2">
        <f t="shared" si="112"/>
        <v>950000</v>
      </c>
      <c r="K1367" t="s">
        <v>355</v>
      </c>
      <c r="L1367">
        <f t="shared" si="113"/>
        <v>0</v>
      </c>
      <c r="N1367" t="s">
        <v>18</v>
      </c>
      <c r="R1367" s="3">
        <f t="shared" si="109"/>
        <v>0</v>
      </c>
    </row>
    <row r="1368" spans="1:18" hidden="1" x14ac:dyDescent="0.25">
      <c r="A1368" t="s">
        <v>3269</v>
      </c>
      <c r="B1368" t="s">
        <v>3233</v>
      </c>
      <c r="C1368" t="s">
        <v>3232</v>
      </c>
      <c r="D1368" s="3" t="e">
        <f t="shared" si="110"/>
        <v>#VALUE!</v>
      </c>
      <c r="E1368" t="s">
        <v>14</v>
      </c>
      <c r="F1368" t="s">
        <v>14</v>
      </c>
      <c r="G1368" t="str">
        <f t="shared" si="111"/>
        <v/>
      </c>
      <c r="H1368" t="s">
        <v>14</v>
      </c>
      <c r="I1368" t="s">
        <v>110</v>
      </c>
      <c r="J1368" s="2">
        <f t="shared" si="112"/>
        <v>1600000</v>
      </c>
      <c r="K1368" t="s">
        <v>95</v>
      </c>
      <c r="L1368">
        <f t="shared" si="113"/>
        <v>0</v>
      </c>
      <c r="N1368" t="s">
        <v>43</v>
      </c>
      <c r="R1368" s="3">
        <f t="shared" si="109"/>
        <v>0</v>
      </c>
    </row>
    <row r="1369" spans="1:18" hidden="1" x14ac:dyDescent="0.25">
      <c r="A1369" t="s">
        <v>462</v>
      </c>
      <c r="B1369" t="s">
        <v>20</v>
      </c>
      <c r="C1369" t="s">
        <v>236</v>
      </c>
      <c r="D1369" s="3">
        <f t="shared" si="110"/>
        <v>12</v>
      </c>
      <c r="E1369" t="s">
        <v>33</v>
      </c>
      <c r="F1369" t="s">
        <v>13</v>
      </c>
      <c r="G1369" t="str">
        <f t="shared" si="111"/>
        <v/>
      </c>
      <c r="H1369" t="s">
        <v>14</v>
      </c>
      <c r="I1369" t="s">
        <v>463</v>
      </c>
      <c r="J1369" s="2">
        <f t="shared" si="112"/>
        <v>800000</v>
      </c>
      <c r="K1369" t="s">
        <v>109</v>
      </c>
      <c r="L1369">
        <f t="shared" si="113"/>
        <v>0</v>
      </c>
      <c r="N1369" t="s">
        <v>43</v>
      </c>
      <c r="R1369" s="3">
        <f t="shared" si="109"/>
        <v>0</v>
      </c>
    </row>
    <row r="1370" spans="1:18" hidden="1" x14ac:dyDescent="0.25">
      <c r="A1370" t="s">
        <v>3964</v>
      </c>
      <c r="B1370" t="s">
        <v>3746</v>
      </c>
      <c r="C1370" t="s">
        <v>3889</v>
      </c>
      <c r="D1370" s="3">
        <f t="shared" si="110"/>
        <v>12</v>
      </c>
      <c r="E1370" t="s">
        <v>33</v>
      </c>
      <c r="F1370" t="s">
        <v>13</v>
      </c>
      <c r="G1370" t="str">
        <f t="shared" si="111"/>
        <v/>
      </c>
      <c r="H1370" t="s">
        <v>14</v>
      </c>
      <c r="I1370" t="s">
        <v>3965</v>
      </c>
      <c r="J1370" s="2">
        <f t="shared" si="112"/>
        <v>1500000</v>
      </c>
      <c r="K1370" t="s">
        <v>66</v>
      </c>
      <c r="L1370">
        <f t="shared" si="113"/>
        <v>0</v>
      </c>
      <c r="N1370" t="s">
        <v>43</v>
      </c>
      <c r="R1370" s="3">
        <f t="shared" si="109"/>
        <v>0</v>
      </c>
    </row>
    <row r="1371" spans="1:18" x14ac:dyDescent="0.25">
      <c r="A1371" t="s">
        <v>4726</v>
      </c>
      <c r="B1371" t="s">
        <v>4272</v>
      </c>
      <c r="C1371" t="s">
        <v>4374</v>
      </c>
      <c r="D1371" s="3">
        <f t="shared" si="110"/>
        <v>12</v>
      </c>
      <c r="E1371" t="s">
        <v>33</v>
      </c>
      <c r="F1371" t="s">
        <v>13</v>
      </c>
      <c r="G1371" t="str">
        <f t="shared" si="111"/>
        <v/>
      </c>
      <c r="H1371" t="s">
        <v>14</v>
      </c>
      <c r="I1371" t="s">
        <v>4727</v>
      </c>
      <c r="J1371" s="2">
        <f t="shared" si="112"/>
        <v>1800000</v>
      </c>
      <c r="K1371" t="s">
        <v>228</v>
      </c>
      <c r="L1371">
        <f t="shared" si="113"/>
        <v>0</v>
      </c>
      <c r="N1371" t="s">
        <v>43</v>
      </c>
      <c r="R1371" s="3">
        <f t="shared" si="109"/>
        <v>0</v>
      </c>
    </row>
    <row r="1372" spans="1:18" hidden="1" x14ac:dyDescent="0.25">
      <c r="A1372" t="s">
        <v>630</v>
      </c>
      <c r="B1372" t="s">
        <v>20</v>
      </c>
      <c r="C1372" t="s">
        <v>84</v>
      </c>
      <c r="D1372" s="3">
        <f t="shared" si="110"/>
        <v>12</v>
      </c>
      <c r="E1372" t="s">
        <v>33</v>
      </c>
      <c r="F1372" t="s">
        <v>13</v>
      </c>
      <c r="G1372" t="str">
        <f t="shared" si="111"/>
        <v/>
      </c>
      <c r="H1372" t="s">
        <v>14</v>
      </c>
      <c r="I1372" t="s">
        <v>631</v>
      </c>
      <c r="J1372" s="2">
        <f t="shared" si="112"/>
        <v>885000</v>
      </c>
      <c r="K1372" t="s">
        <v>360</v>
      </c>
      <c r="L1372">
        <f t="shared" si="113"/>
        <v>0.17083333333333331</v>
      </c>
      <c r="M1372" s="5">
        <v>0.17083333333333331</v>
      </c>
      <c r="N1372" t="s">
        <v>43</v>
      </c>
      <c r="R1372" s="3">
        <f t="shared" si="109"/>
        <v>4.0999999999999996</v>
      </c>
    </row>
    <row r="1373" spans="1:18" hidden="1" x14ac:dyDescent="0.25">
      <c r="A1373" t="s">
        <v>2886</v>
      </c>
      <c r="B1373" t="s">
        <v>3206</v>
      </c>
      <c r="C1373" t="s">
        <v>2640</v>
      </c>
      <c r="D1373" s="3">
        <f t="shared" si="110"/>
        <v>19.25</v>
      </c>
      <c r="E1373" t="s">
        <v>434</v>
      </c>
      <c r="F1373" t="s">
        <v>34</v>
      </c>
      <c r="G1373" t="str">
        <f t="shared" si="111"/>
        <v/>
      </c>
      <c r="H1373" t="s">
        <v>14</v>
      </c>
      <c r="I1373" t="s">
        <v>2887</v>
      </c>
      <c r="J1373" s="2">
        <f t="shared" si="112"/>
        <v>4200000</v>
      </c>
      <c r="K1373" t="s">
        <v>2888</v>
      </c>
      <c r="L1373">
        <f t="shared" si="113"/>
        <v>0.17083333333333331</v>
      </c>
      <c r="M1373" s="5">
        <v>0.17083333333333331</v>
      </c>
      <c r="N1373" t="s">
        <v>43</v>
      </c>
      <c r="R1373" s="3">
        <f t="shared" si="109"/>
        <v>4.0999999999999996</v>
      </c>
    </row>
    <row r="1374" spans="1:18" hidden="1" x14ac:dyDescent="0.25">
      <c r="A1374" t="s">
        <v>3766</v>
      </c>
      <c r="B1374" t="s">
        <v>3746</v>
      </c>
      <c r="C1374" t="s">
        <v>3749</v>
      </c>
      <c r="D1374" s="3">
        <f t="shared" si="110"/>
        <v>12</v>
      </c>
      <c r="E1374" t="s">
        <v>33</v>
      </c>
      <c r="F1374" t="s">
        <v>13</v>
      </c>
      <c r="G1374" t="str">
        <f t="shared" si="111"/>
        <v/>
      </c>
      <c r="H1374" t="s">
        <v>14</v>
      </c>
      <c r="I1374" t="s">
        <v>3767</v>
      </c>
      <c r="J1374" s="2">
        <f t="shared" si="112"/>
        <v>2150000</v>
      </c>
      <c r="K1374" t="s">
        <v>53</v>
      </c>
      <c r="L1374">
        <f t="shared" si="113"/>
        <v>0.17083333333333331</v>
      </c>
      <c r="M1374" s="5">
        <v>0.17083333333333331</v>
      </c>
      <c r="N1374" t="s">
        <v>43</v>
      </c>
      <c r="P1374" t="s">
        <v>840</v>
      </c>
      <c r="R1374" s="3">
        <f t="shared" si="109"/>
        <v>4.0999999999999996</v>
      </c>
    </row>
    <row r="1375" spans="1:18" hidden="1" x14ac:dyDescent="0.25">
      <c r="A1375" t="s">
        <v>5099</v>
      </c>
      <c r="B1375" t="s">
        <v>4806</v>
      </c>
      <c r="C1375" t="s">
        <v>4825</v>
      </c>
      <c r="D1375" s="3">
        <f t="shared" si="110"/>
        <v>12</v>
      </c>
      <c r="E1375" t="s">
        <v>33</v>
      </c>
      <c r="F1375" t="s">
        <v>13</v>
      </c>
      <c r="G1375" t="str">
        <f t="shared" si="111"/>
        <v/>
      </c>
      <c r="H1375" t="s">
        <v>14</v>
      </c>
      <c r="I1375" t="s">
        <v>5100</v>
      </c>
      <c r="J1375" s="2">
        <f t="shared" si="112"/>
        <v>1500000</v>
      </c>
      <c r="K1375" t="s">
        <v>66</v>
      </c>
      <c r="L1375">
        <f t="shared" si="113"/>
        <v>0.20833333333333334</v>
      </c>
      <c r="M1375" s="5">
        <v>0.20833333333333334</v>
      </c>
      <c r="N1375" t="s">
        <v>37</v>
      </c>
      <c r="R1375" s="3">
        <f t="shared" si="109"/>
        <v>5</v>
      </c>
    </row>
    <row r="1376" spans="1:18" x14ac:dyDescent="0.25">
      <c r="A1376" t="s">
        <v>1280</v>
      </c>
      <c r="B1376" t="s">
        <v>640</v>
      </c>
      <c r="C1376" t="s">
        <v>643</v>
      </c>
      <c r="D1376" s="3">
        <f t="shared" si="110"/>
        <v>12</v>
      </c>
      <c r="E1376" t="s">
        <v>33</v>
      </c>
      <c r="F1376" t="s">
        <v>34</v>
      </c>
      <c r="G1376" t="str">
        <f t="shared" si="111"/>
        <v/>
      </c>
      <c r="H1376" t="s">
        <v>14</v>
      </c>
      <c r="I1376" t="s">
        <v>1281</v>
      </c>
      <c r="J1376" s="2">
        <f t="shared" si="112"/>
        <v>1800000</v>
      </c>
      <c r="K1376" t="s">
        <v>228</v>
      </c>
      <c r="L1376">
        <f t="shared" si="113"/>
        <v>0.20833333333333334</v>
      </c>
      <c r="M1376" s="5">
        <v>0.20833333333333334</v>
      </c>
      <c r="N1376" t="s">
        <v>18</v>
      </c>
      <c r="P1376" t="s">
        <v>673</v>
      </c>
      <c r="R1376" s="3">
        <f t="shared" si="109"/>
        <v>5</v>
      </c>
    </row>
    <row r="1377" spans="1:18" hidden="1" x14ac:dyDescent="0.25">
      <c r="A1377" t="s">
        <v>4162</v>
      </c>
      <c r="B1377" t="s">
        <v>3746</v>
      </c>
      <c r="C1377" t="s">
        <v>3884</v>
      </c>
      <c r="D1377" s="3">
        <f t="shared" si="110"/>
        <v>12</v>
      </c>
      <c r="E1377" t="s">
        <v>33</v>
      </c>
      <c r="F1377" t="s">
        <v>13</v>
      </c>
      <c r="G1377" t="str">
        <f t="shared" si="111"/>
        <v/>
      </c>
      <c r="H1377" t="s">
        <v>14</v>
      </c>
      <c r="I1377" t="s">
        <v>4163</v>
      </c>
      <c r="J1377" s="2">
        <f t="shared" si="112"/>
        <v>1600000</v>
      </c>
      <c r="K1377" t="s">
        <v>95</v>
      </c>
      <c r="L1377">
        <f t="shared" si="113"/>
        <v>0</v>
      </c>
      <c r="N1377" t="s">
        <v>43</v>
      </c>
      <c r="R1377" s="3">
        <f t="shared" si="109"/>
        <v>0</v>
      </c>
    </row>
    <row r="1378" spans="1:18" hidden="1" x14ac:dyDescent="0.25">
      <c r="A1378" t="s">
        <v>4006</v>
      </c>
      <c r="B1378" t="s">
        <v>3746</v>
      </c>
      <c r="C1378" t="s">
        <v>3884</v>
      </c>
      <c r="D1378" s="3">
        <f t="shared" si="110"/>
        <v>16</v>
      </c>
      <c r="E1378" t="s">
        <v>79</v>
      </c>
      <c r="F1378" t="s">
        <v>13</v>
      </c>
      <c r="G1378" t="str">
        <f t="shared" si="111"/>
        <v/>
      </c>
      <c r="H1378" t="s">
        <v>14</v>
      </c>
      <c r="I1378" t="s">
        <v>4007</v>
      </c>
      <c r="J1378" s="2">
        <f t="shared" si="112"/>
        <v>1700000</v>
      </c>
      <c r="K1378" t="s">
        <v>23</v>
      </c>
      <c r="L1378">
        <f t="shared" si="113"/>
        <v>0.20833333333333334</v>
      </c>
      <c r="M1378" s="5">
        <v>0.20833333333333334</v>
      </c>
      <c r="N1378" t="s">
        <v>43</v>
      </c>
      <c r="R1378" s="3">
        <f t="shared" si="109"/>
        <v>5</v>
      </c>
    </row>
    <row r="1379" spans="1:18" hidden="1" x14ac:dyDescent="0.25">
      <c r="A1379" t="s">
        <v>1033</v>
      </c>
      <c r="B1379" t="s">
        <v>640</v>
      </c>
      <c r="C1379" t="s">
        <v>1035</v>
      </c>
      <c r="D1379" s="3">
        <f t="shared" si="110"/>
        <v>12</v>
      </c>
      <c r="E1379" t="s">
        <v>33</v>
      </c>
      <c r="F1379" t="s">
        <v>13</v>
      </c>
      <c r="G1379" t="str">
        <f t="shared" si="111"/>
        <v/>
      </c>
      <c r="H1379" t="s">
        <v>14</v>
      </c>
      <c r="I1379" t="s">
        <v>1034</v>
      </c>
      <c r="J1379" s="2">
        <f t="shared" si="112"/>
        <v>1000000</v>
      </c>
      <c r="K1379" t="s">
        <v>52</v>
      </c>
      <c r="L1379">
        <f t="shared" si="113"/>
        <v>0</v>
      </c>
      <c r="N1379" t="s">
        <v>18</v>
      </c>
      <c r="R1379" s="3">
        <f t="shared" si="109"/>
        <v>0</v>
      </c>
    </row>
    <row r="1380" spans="1:18" hidden="1" x14ac:dyDescent="0.25">
      <c r="A1380" t="s">
        <v>1188</v>
      </c>
      <c r="B1380" t="s">
        <v>640</v>
      </c>
      <c r="C1380" t="s">
        <v>657</v>
      </c>
      <c r="D1380" s="3">
        <f t="shared" si="110"/>
        <v>7.5</v>
      </c>
      <c r="E1380" t="s">
        <v>614</v>
      </c>
      <c r="F1380" t="s">
        <v>13</v>
      </c>
      <c r="G1380" t="str">
        <f t="shared" si="111"/>
        <v/>
      </c>
      <c r="H1380" t="s">
        <v>14</v>
      </c>
      <c r="I1380" t="s">
        <v>1189</v>
      </c>
      <c r="J1380" s="2">
        <f t="shared" si="112"/>
        <v>1350000</v>
      </c>
      <c r="K1380" t="s">
        <v>257</v>
      </c>
      <c r="L1380">
        <f t="shared" si="113"/>
        <v>0.1673611111111111</v>
      </c>
      <c r="M1380" s="5">
        <v>0.1673611111111111</v>
      </c>
      <c r="N1380" t="s">
        <v>37</v>
      </c>
      <c r="R1380" s="3">
        <f t="shared" si="109"/>
        <v>4.0166666666666666</v>
      </c>
    </row>
    <row r="1381" spans="1:18" x14ac:dyDescent="0.25">
      <c r="A1381" t="s">
        <v>226</v>
      </c>
      <c r="B1381" t="s">
        <v>20</v>
      </c>
      <c r="C1381" t="s">
        <v>30</v>
      </c>
      <c r="D1381" s="3">
        <f t="shared" si="110"/>
        <v>12</v>
      </c>
      <c r="E1381" t="s">
        <v>33</v>
      </c>
      <c r="F1381" t="s">
        <v>13</v>
      </c>
      <c r="G1381" t="str">
        <f t="shared" si="111"/>
        <v/>
      </c>
      <c r="H1381" t="s">
        <v>14</v>
      </c>
      <c r="I1381" t="s">
        <v>227</v>
      </c>
      <c r="J1381" s="2">
        <f t="shared" si="112"/>
        <v>1800000</v>
      </c>
      <c r="K1381" t="s">
        <v>228</v>
      </c>
      <c r="L1381">
        <f t="shared" si="113"/>
        <v>0</v>
      </c>
      <c r="N1381" t="s">
        <v>43</v>
      </c>
      <c r="R1381" s="3">
        <f t="shared" si="109"/>
        <v>0</v>
      </c>
    </row>
    <row r="1382" spans="1:18" hidden="1" x14ac:dyDescent="0.25">
      <c r="A1382" t="s">
        <v>203</v>
      </c>
      <c r="B1382" t="s">
        <v>20</v>
      </c>
      <c r="C1382" t="s">
        <v>205</v>
      </c>
      <c r="D1382" s="3">
        <f t="shared" si="110"/>
        <v>12</v>
      </c>
      <c r="E1382" t="s">
        <v>33</v>
      </c>
      <c r="F1382" t="s">
        <v>13</v>
      </c>
      <c r="G1382" t="str">
        <f t="shared" si="111"/>
        <v/>
      </c>
      <c r="H1382" t="s">
        <v>14</v>
      </c>
      <c r="I1382" t="s">
        <v>204</v>
      </c>
      <c r="J1382" s="2">
        <f t="shared" si="112"/>
        <v>2000000</v>
      </c>
      <c r="K1382" t="s">
        <v>128</v>
      </c>
      <c r="L1382">
        <f t="shared" si="113"/>
        <v>0</v>
      </c>
      <c r="N1382" t="s">
        <v>43</v>
      </c>
      <c r="R1382" s="3">
        <f t="shared" si="109"/>
        <v>0</v>
      </c>
    </row>
    <row r="1383" spans="1:18" hidden="1" x14ac:dyDescent="0.25">
      <c r="A1383" t="s">
        <v>3355</v>
      </c>
      <c r="B1383" t="s">
        <v>3233</v>
      </c>
      <c r="C1383" t="s">
        <v>3357</v>
      </c>
      <c r="D1383" s="3">
        <f t="shared" si="110"/>
        <v>9</v>
      </c>
      <c r="E1383" t="s">
        <v>12</v>
      </c>
      <c r="F1383" t="s">
        <v>13</v>
      </c>
      <c r="G1383" t="str">
        <f t="shared" si="111"/>
        <v/>
      </c>
      <c r="H1383" t="s">
        <v>14</v>
      </c>
      <c r="I1383" t="s">
        <v>3356</v>
      </c>
      <c r="J1383" s="2">
        <f t="shared" si="112"/>
        <v>1800000</v>
      </c>
      <c r="K1383" t="s">
        <v>228</v>
      </c>
      <c r="L1383">
        <f t="shared" si="113"/>
        <v>0.17222222222222225</v>
      </c>
      <c r="M1383" s="5">
        <v>0.17222222222222225</v>
      </c>
      <c r="N1383" t="s">
        <v>43</v>
      </c>
      <c r="P1383" t="s">
        <v>1564</v>
      </c>
      <c r="R1383" s="3">
        <f t="shared" si="109"/>
        <v>4.1333333333333337</v>
      </c>
    </row>
    <row r="1384" spans="1:18" hidden="1" x14ac:dyDescent="0.25">
      <c r="A1384" t="s">
        <v>533</v>
      </c>
      <c r="B1384" t="s">
        <v>20</v>
      </c>
      <c r="C1384" t="s">
        <v>24</v>
      </c>
      <c r="D1384" s="3">
        <f t="shared" si="110"/>
        <v>9</v>
      </c>
      <c r="E1384" t="s">
        <v>12</v>
      </c>
      <c r="F1384" t="s">
        <v>13</v>
      </c>
      <c r="G1384" t="str">
        <f t="shared" si="111"/>
        <v/>
      </c>
      <c r="H1384" t="s">
        <v>14</v>
      </c>
      <c r="I1384" t="s">
        <v>534</v>
      </c>
      <c r="J1384" s="2">
        <f t="shared" si="112"/>
        <v>1750000</v>
      </c>
      <c r="K1384" t="s">
        <v>306</v>
      </c>
      <c r="L1384">
        <f t="shared" si="113"/>
        <v>0</v>
      </c>
      <c r="N1384" t="s">
        <v>18</v>
      </c>
      <c r="R1384" s="3">
        <f t="shared" si="109"/>
        <v>0</v>
      </c>
    </row>
    <row r="1385" spans="1:18" hidden="1" x14ac:dyDescent="0.25">
      <c r="A1385" t="s">
        <v>1180</v>
      </c>
      <c r="B1385" t="s">
        <v>640</v>
      </c>
      <c r="C1385" t="s">
        <v>718</v>
      </c>
      <c r="D1385" s="3">
        <f t="shared" si="110"/>
        <v>9</v>
      </c>
      <c r="E1385" t="s">
        <v>12</v>
      </c>
      <c r="F1385" t="s">
        <v>34</v>
      </c>
      <c r="G1385" t="str">
        <f t="shared" si="111"/>
        <v/>
      </c>
      <c r="H1385" t="s">
        <v>14</v>
      </c>
      <c r="I1385" t="s">
        <v>1181</v>
      </c>
      <c r="J1385" s="2">
        <f t="shared" si="112"/>
        <v>2000000</v>
      </c>
      <c r="K1385" t="s">
        <v>128</v>
      </c>
      <c r="L1385">
        <f t="shared" si="113"/>
        <v>0</v>
      </c>
      <c r="N1385" t="s">
        <v>37</v>
      </c>
      <c r="R1385" s="3">
        <f t="shared" si="109"/>
        <v>0</v>
      </c>
    </row>
    <row r="1386" spans="1:18" hidden="1" x14ac:dyDescent="0.25">
      <c r="A1386" t="s">
        <v>4253</v>
      </c>
      <c r="B1386" t="s">
        <v>3746</v>
      </c>
      <c r="C1386" t="s">
        <v>3894</v>
      </c>
      <c r="D1386" s="3">
        <f t="shared" si="110"/>
        <v>7.839999999999999</v>
      </c>
      <c r="E1386" t="s">
        <v>1499</v>
      </c>
      <c r="F1386" t="s">
        <v>13</v>
      </c>
      <c r="G1386" t="str">
        <f t="shared" si="111"/>
        <v/>
      </c>
      <c r="H1386" t="s">
        <v>14</v>
      </c>
      <c r="I1386" t="s">
        <v>4254</v>
      </c>
      <c r="J1386" s="2">
        <f t="shared" si="112"/>
        <v>850000</v>
      </c>
      <c r="K1386" t="s">
        <v>185</v>
      </c>
      <c r="L1386">
        <f t="shared" si="113"/>
        <v>0.20833333333333334</v>
      </c>
      <c r="M1386" s="5">
        <v>0.20833333333333334</v>
      </c>
      <c r="N1386" t="s">
        <v>43</v>
      </c>
      <c r="R1386" s="3">
        <f t="shared" si="109"/>
        <v>5</v>
      </c>
    </row>
    <row r="1387" spans="1:18" hidden="1" x14ac:dyDescent="0.25">
      <c r="A1387" t="s">
        <v>343</v>
      </c>
      <c r="B1387" t="s">
        <v>20</v>
      </c>
      <c r="C1387" t="s">
        <v>123</v>
      </c>
      <c r="D1387" s="3">
        <f t="shared" si="110"/>
        <v>9</v>
      </c>
      <c r="E1387" t="s">
        <v>12</v>
      </c>
      <c r="F1387" t="s">
        <v>34</v>
      </c>
      <c r="G1387" t="str">
        <f t="shared" si="111"/>
        <v/>
      </c>
      <c r="H1387" t="s">
        <v>14</v>
      </c>
      <c r="I1387" t="s">
        <v>344</v>
      </c>
      <c r="J1387" s="2">
        <f t="shared" si="112"/>
        <v>495000</v>
      </c>
      <c r="K1387" t="s">
        <v>345</v>
      </c>
      <c r="L1387">
        <f t="shared" si="113"/>
        <v>0.17083333333333331</v>
      </c>
      <c r="M1387" s="5">
        <v>0.17083333333333331</v>
      </c>
      <c r="N1387" t="s">
        <v>18</v>
      </c>
      <c r="R1387" s="3">
        <f t="shared" si="109"/>
        <v>4.0999999999999996</v>
      </c>
    </row>
    <row r="1388" spans="1:18" hidden="1" x14ac:dyDescent="0.25">
      <c r="A1388" t="s">
        <v>2612</v>
      </c>
      <c r="B1388" t="s">
        <v>3206</v>
      </c>
      <c r="C1388" t="s">
        <v>2613</v>
      </c>
      <c r="D1388" s="3">
        <f t="shared" si="110"/>
        <v>16</v>
      </c>
      <c r="E1388" t="s">
        <v>79</v>
      </c>
      <c r="F1388" t="s">
        <v>13</v>
      </c>
      <c r="G1388" t="str">
        <f t="shared" si="111"/>
        <v/>
      </c>
      <c r="H1388" t="s">
        <v>14</v>
      </c>
      <c r="I1388" t="s">
        <v>1318</v>
      </c>
      <c r="J1388" s="2">
        <f t="shared" si="112"/>
        <v>3000000</v>
      </c>
      <c r="K1388" t="s">
        <v>1513</v>
      </c>
      <c r="L1388">
        <f t="shared" si="113"/>
        <v>0.125</v>
      </c>
      <c r="M1388" s="5">
        <v>0.125</v>
      </c>
      <c r="N1388" t="s">
        <v>43</v>
      </c>
      <c r="P1388" t="s">
        <v>1970</v>
      </c>
      <c r="R1388" s="3">
        <f t="shared" si="109"/>
        <v>3</v>
      </c>
    </row>
    <row r="1389" spans="1:18" hidden="1" x14ac:dyDescent="0.25">
      <c r="A1389" t="s">
        <v>3713</v>
      </c>
      <c r="B1389" t="s">
        <v>3233</v>
      </c>
      <c r="C1389" t="s">
        <v>3329</v>
      </c>
      <c r="D1389" s="3">
        <f t="shared" si="110"/>
        <v>12</v>
      </c>
      <c r="E1389" t="s">
        <v>33</v>
      </c>
      <c r="F1389" t="s">
        <v>13</v>
      </c>
      <c r="G1389" t="str">
        <f t="shared" si="111"/>
        <v/>
      </c>
      <c r="H1389" t="s">
        <v>14</v>
      </c>
      <c r="I1389" t="s">
        <v>3714</v>
      </c>
      <c r="J1389" s="2">
        <f t="shared" si="112"/>
        <v>1600000</v>
      </c>
      <c r="K1389" t="s">
        <v>95</v>
      </c>
      <c r="L1389">
        <f t="shared" si="113"/>
        <v>0.12847222222222224</v>
      </c>
      <c r="M1389" s="5">
        <v>0.12847222222222224</v>
      </c>
      <c r="N1389" t="s">
        <v>18</v>
      </c>
      <c r="R1389" s="3">
        <f t="shared" si="109"/>
        <v>3.0833333333333339</v>
      </c>
    </row>
    <row r="1390" spans="1:18" hidden="1" x14ac:dyDescent="0.25">
      <c r="A1390" t="s">
        <v>2450</v>
      </c>
      <c r="B1390" t="s">
        <v>2596</v>
      </c>
      <c r="C1390" t="s">
        <v>2193</v>
      </c>
      <c r="D1390" s="3">
        <f t="shared" si="110"/>
        <v>9</v>
      </c>
      <c r="E1390" t="s">
        <v>12</v>
      </c>
      <c r="F1390" t="s">
        <v>13</v>
      </c>
      <c r="G1390" t="str">
        <f t="shared" si="111"/>
        <v/>
      </c>
      <c r="H1390" t="s">
        <v>14</v>
      </c>
      <c r="I1390" t="s">
        <v>2451</v>
      </c>
      <c r="J1390" s="2">
        <f t="shared" si="112"/>
        <v>1100000</v>
      </c>
      <c r="K1390" t="s">
        <v>42</v>
      </c>
      <c r="L1390">
        <f t="shared" si="113"/>
        <v>0.17083333333333331</v>
      </c>
      <c r="M1390" s="5">
        <v>0.17083333333333331</v>
      </c>
      <c r="N1390" t="s">
        <v>43</v>
      </c>
      <c r="P1390" t="s">
        <v>1774</v>
      </c>
      <c r="R1390" s="3">
        <f t="shared" si="109"/>
        <v>4.0999999999999996</v>
      </c>
    </row>
    <row r="1391" spans="1:18" hidden="1" x14ac:dyDescent="0.25">
      <c r="A1391" t="s">
        <v>3918</v>
      </c>
      <c r="B1391" t="s">
        <v>3746</v>
      </c>
      <c r="C1391" t="s">
        <v>3889</v>
      </c>
      <c r="D1391" s="3">
        <f t="shared" si="110"/>
        <v>12</v>
      </c>
      <c r="E1391" t="s">
        <v>33</v>
      </c>
      <c r="F1391" t="s">
        <v>13</v>
      </c>
      <c r="G1391" t="str">
        <f t="shared" si="111"/>
        <v/>
      </c>
      <c r="H1391" t="s">
        <v>14</v>
      </c>
      <c r="I1391" t="s">
        <v>3919</v>
      </c>
      <c r="J1391" s="2">
        <f t="shared" si="112"/>
        <v>1200000</v>
      </c>
      <c r="K1391" t="s">
        <v>36</v>
      </c>
      <c r="L1391">
        <f t="shared" si="113"/>
        <v>0</v>
      </c>
      <c r="N1391" t="s">
        <v>18</v>
      </c>
      <c r="R1391" s="3">
        <f t="shared" si="109"/>
        <v>0</v>
      </c>
    </row>
    <row r="1392" spans="1:18" hidden="1" x14ac:dyDescent="0.25">
      <c r="A1392" t="s">
        <v>5192</v>
      </c>
      <c r="B1392" t="s">
        <v>4806</v>
      </c>
      <c r="C1392" t="s">
        <v>4805</v>
      </c>
      <c r="D1392" s="3">
        <f t="shared" si="110"/>
        <v>12</v>
      </c>
      <c r="E1392" t="s">
        <v>33</v>
      </c>
      <c r="F1392" t="s">
        <v>13</v>
      </c>
      <c r="G1392" t="str">
        <f t="shared" si="111"/>
        <v/>
      </c>
      <c r="H1392" t="s">
        <v>14</v>
      </c>
      <c r="I1392" t="s">
        <v>5193</v>
      </c>
      <c r="J1392" s="2">
        <f t="shared" si="112"/>
        <v>1600000</v>
      </c>
      <c r="K1392" t="s">
        <v>95</v>
      </c>
      <c r="L1392">
        <f t="shared" si="113"/>
        <v>0.13125000000000001</v>
      </c>
      <c r="M1392" s="5">
        <v>0.13125000000000001</v>
      </c>
      <c r="N1392" t="s">
        <v>43</v>
      </c>
      <c r="R1392" s="3">
        <f t="shared" si="109"/>
        <v>3.1500000000000004</v>
      </c>
    </row>
    <row r="1393" spans="1:18" x14ac:dyDescent="0.25">
      <c r="A1393" t="s">
        <v>1644</v>
      </c>
      <c r="B1393" t="s">
        <v>1303</v>
      </c>
      <c r="C1393" t="s">
        <v>1396</v>
      </c>
      <c r="D1393" s="3">
        <f t="shared" si="110"/>
        <v>12</v>
      </c>
      <c r="E1393" t="s">
        <v>33</v>
      </c>
      <c r="F1393" t="s">
        <v>13</v>
      </c>
      <c r="G1393" t="str">
        <f t="shared" si="111"/>
        <v/>
      </c>
      <c r="H1393" t="s">
        <v>14</v>
      </c>
      <c r="I1393" t="s">
        <v>1645</v>
      </c>
      <c r="J1393" s="2">
        <f t="shared" si="112"/>
        <v>1800000</v>
      </c>
      <c r="K1393" t="s">
        <v>228</v>
      </c>
      <c r="L1393">
        <f t="shared" si="113"/>
        <v>0.12916666666666668</v>
      </c>
      <c r="M1393" s="5">
        <v>0.12916666666666668</v>
      </c>
      <c r="N1393" t="s">
        <v>43</v>
      </c>
      <c r="R1393" s="3">
        <f t="shared" si="109"/>
        <v>3.1000000000000005</v>
      </c>
    </row>
    <row r="1394" spans="1:18" x14ac:dyDescent="0.25">
      <c r="A1394" t="s">
        <v>806</v>
      </c>
      <c r="B1394" t="s">
        <v>640</v>
      </c>
      <c r="C1394" t="s">
        <v>643</v>
      </c>
      <c r="D1394" s="3">
        <f t="shared" si="110"/>
        <v>12</v>
      </c>
      <c r="E1394" t="s">
        <v>33</v>
      </c>
      <c r="F1394" t="s">
        <v>13</v>
      </c>
      <c r="G1394" t="str">
        <f t="shared" si="111"/>
        <v/>
      </c>
      <c r="H1394" t="s">
        <v>14</v>
      </c>
      <c r="I1394" t="s">
        <v>807</v>
      </c>
      <c r="J1394" s="2">
        <f t="shared" si="112"/>
        <v>1800000</v>
      </c>
      <c r="K1394" t="s">
        <v>228</v>
      </c>
      <c r="L1394">
        <f t="shared" si="113"/>
        <v>0.17222222222222225</v>
      </c>
      <c r="M1394" s="5">
        <v>0.17222222222222225</v>
      </c>
      <c r="N1394" t="s">
        <v>18</v>
      </c>
      <c r="P1394" t="s">
        <v>673</v>
      </c>
      <c r="R1394" s="3">
        <f t="shared" si="109"/>
        <v>4.1333333333333337</v>
      </c>
    </row>
    <row r="1395" spans="1:18" x14ac:dyDescent="0.25">
      <c r="A1395" t="s">
        <v>4193</v>
      </c>
      <c r="B1395" t="s">
        <v>3746</v>
      </c>
      <c r="C1395" t="s">
        <v>3775</v>
      </c>
      <c r="D1395" s="3">
        <f t="shared" si="110"/>
        <v>12</v>
      </c>
      <c r="E1395" t="s">
        <v>33</v>
      </c>
      <c r="F1395" t="s">
        <v>13</v>
      </c>
      <c r="G1395" t="str">
        <f t="shared" si="111"/>
        <v/>
      </c>
      <c r="H1395" t="s">
        <v>14</v>
      </c>
      <c r="I1395" t="s">
        <v>4194</v>
      </c>
      <c r="J1395" s="2">
        <f t="shared" si="112"/>
        <v>1800000</v>
      </c>
      <c r="K1395" t="s">
        <v>228</v>
      </c>
      <c r="L1395">
        <f t="shared" si="113"/>
        <v>0.20833333333333334</v>
      </c>
      <c r="M1395" s="5">
        <v>0.20833333333333334</v>
      </c>
      <c r="N1395" t="s">
        <v>43</v>
      </c>
      <c r="P1395" t="s">
        <v>1171</v>
      </c>
      <c r="R1395" s="3">
        <f t="shared" si="109"/>
        <v>5</v>
      </c>
    </row>
    <row r="1396" spans="1:18" hidden="1" x14ac:dyDescent="0.25">
      <c r="A1396" t="s">
        <v>1255</v>
      </c>
      <c r="B1396" t="s">
        <v>640</v>
      </c>
      <c r="C1396" t="s">
        <v>657</v>
      </c>
      <c r="D1396" s="3">
        <f t="shared" si="110"/>
        <v>12</v>
      </c>
      <c r="E1396" t="s">
        <v>33</v>
      </c>
      <c r="F1396" t="s">
        <v>34</v>
      </c>
      <c r="G1396" t="str">
        <f t="shared" si="111"/>
        <v/>
      </c>
      <c r="H1396" t="s">
        <v>14</v>
      </c>
      <c r="I1396" t="s">
        <v>1256</v>
      </c>
      <c r="J1396" s="2">
        <f t="shared" si="112"/>
        <v>1700000</v>
      </c>
      <c r="K1396" t="s">
        <v>23</v>
      </c>
      <c r="L1396">
        <f t="shared" si="113"/>
        <v>0.17013888888888887</v>
      </c>
      <c r="M1396" s="5">
        <v>0.17013888888888887</v>
      </c>
      <c r="N1396" t="s">
        <v>18</v>
      </c>
      <c r="P1396" t="s">
        <v>762</v>
      </c>
      <c r="R1396" s="3">
        <f t="shared" si="109"/>
        <v>4.083333333333333</v>
      </c>
    </row>
    <row r="1397" spans="1:18" x14ac:dyDescent="0.25">
      <c r="A1397" t="s">
        <v>1050</v>
      </c>
      <c r="B1397" t="s">
        <v>640</v>
      </c>
      <c r="C1397" t="s">
        <v>664</v>
      </c>
      <c r="D1397" s="3">
        <f t="shared" si="110"/>
        <v>10.5</v>
      </c>
      <c r="E1397" t="s">
        <v>1051</v>
      </c>
      <c r="F1397" t="s">
        <v>13</v>
      </c>
      <c r="G1397">
        <f t="shared" si="111"/>
        <v>2000000</v>
      </c>
      <c r="H1397" t="s">
        <v>128</v>
      </c>
      <c r="I1397" t="s">
        <v>1052</v>
      </c>
      <c r="J1397" s="2">
        <f t="shared" si="112"/>
        <v>1800000</v>
      </c>
      <c r="K1397" t="s">
        <v>228</v>
      </c>
      <c r="L1397">
        <f t="shared" si="113"/>
        <v>0.17013888888888887</v>
      </c>
      <c r="M1397" s="5">
        <v>0.17013888888888887</v>
      </c>
      <c r="N1397" t="s">
        <v>18</v>
      </c>
      <c r="P1397" t="s">
        <v>1053</v>
      </c>
      <c r="R1397" s="3">
        <f t="shared" si="109"/>
        <v>4.083333333333333</v>
      </c>
    </row>
    <row r="1398" spans="1:18" x14ac:dyDescent="0.25">
      <c r="A1398" t="s">
        <v>3531</v>
      </c>
      <c r="B1398" t="s">
        <v>3233</v>
      </c>
      <c r="C1398" t="s">
        <v>3248</v>
      </c>
      <c r="D1398" s="3">
        <f t="shared" si="110"/>
        <v>10.5</v>
      </c>
      <c r="E1398" t="s">
        <v>1051</v>
      </c>
      <c r="F1398" t="s">
        <v>13</v>
      </c>
      <c r="G1398">
        <f t="shared" si="111"/>
        <v>2005000</v>
      </c>
      <c r="H1398" t="s">
        <v>1671</v>
      </c>
      <c r="I1398" t="s">
        <v>3532</v>
      </c>
      <c r="J1398" s="2">
        <f t="shared" si="112"/>
        <v>1807000</v>
      </c>
      <c r="K1398" t="s">
        <v>3533</v>
      </c>
      <c r="L1398">
        <f t="shared" si="113"/>
        <v>0.17083333333333331</v>
      </c>
      <c r="M1398" s="5">
        <v>0.17083333333333331</v>
      </c>
      <c r="N1398" t="s">
        <v>18</v>
      </c>
      <c r="P1398" t="s">
        <v>3534</v>
      </c>
      <c r="R1398" s="3">
        <f t="shared" si="109"/>
        <v>4.0999999999999996</v>
      </c>
    </row>
    <row r="1399" spans="1:18" hidden="1" x14ac:dyDescent="0.25">
      <c r="A1399" t="s">
        <v>4335</v>
      </c>
      <c r="B1399" t="s">
        <v>4272</v>
      </c>
      <c r="C1399" t="s">
        <v>4337</v>
      </c>
      <c r="D1399" s="3">
        <f t="shared" si="110"/>
        <v>9</v>
      </c>
      <c r="E1399" t="s">
        <v>12</v>
      </c>
      <c r="F1399" t="s">
        <v>13</v>
      </c>
      <c r="G1399" t="str">
        <f t="shared" si="111"/>
        <v/>
      </c>
      <c r="H1399" t="s">
        <v>14</v>
      </c>
      <c r="I1399" t="s">
        <v>4336</v>
      </c>
      <c r="J1399" s="2">
        <f t="shared" si="112"/>
        <v>900000</v>
      </c>
      <c r="K1399" t="s">
        <v>101</v>
      </c>
      <c r="L1399">
        <f t="shared" si="113"/>
        <v>0</v>
      </c>
      <c r="N1399" t="s">
        <v>18</v>
      </c>
      <c r="R1399" s="3">
        <f t="shared" si="109"/>
        <v>0</v>
      </c>
    </row>
    <row r="1400" spans="1:18" hidden="1" x14ac:dyDescent="0.25">
      <c r="A1400" t="s">
        <v>4850</v>
      </c>
      <c r="B1400" t="s">
        <v>4806</v>
      </c>
      <c r="C1400" t="s">
        <v>4852</v>
      </c>
      <c r="D1400" s="3">
        <f t="shared" si="110"/>
        <v>9</v>
      </c>
      <c r="E1400" t="s">
        <v>12</v>
      </c>
      <c r="F1400" t="s">
        <v>13</v>
      </c>
      <c r="G1400" t="str">
        <f t="shared" si="111"/>
        <v/>
      </c>
      <c r="H1400" t="s">
        <v>14</v>
      </c>
      <c r="I1400" t="s">
        <v>4851</v>
      </c>
      <c r="J1400" s="2">
        <f t="shared" si="112"/>
        <v>900000</v>
      </c>
      <c r="K1400" t="s">
        <v>101</v>
      </c>
      <c r="L1400">
        <f t="shared" si="113"/>
        <v>0.12916666666666668</v>
      </c>
      <c r="M1400" s="5">
        <v>0.12916666666666668</v>
      </c>
      <c r="N1400" t="s">
        <v>37</v>
      </c>
      <c r="R1400" s="3">
        <f t="shared" si="109"/>
        <v>3.1000000000000005</v>
      </c>
    </row>
    <row r="1401" spans="1:18" hidden="1" x14ac:dyDescent="0.25">
      <c r="A1401" t="s">
        <v>1496</v>
      </c>
      <c r="B1401" t="s">
        <v>1303</v>
      </c>
      <c r="C1401" t="s">
        <v>1332</v>
      </c>
      <c r="D1401" s="3">
        <f t="shared" si="110"/>
        <v>16</v>
      </c>
      <c r="E1401" t="s">
        <v>79</v>
      </c>
      <c r="F1401" t="s">
        <v>13</v>
      </c>
      <c r="G1401" t="str">
        <f t="shared" si="111"/>
        <v/>
      </c>
      <c r="H1401" t="s">
        <v>14</v>
      </c>
      <c r="I1401" t="s">
        <v>1497</v>
      </c>
      <c r="J1401" s="2">
        <f t="shared" si="112"/>
        <v>2750000</v>
      </c>
      <c r="K1401" t="s">
        <v>1464</v>
      </c>
      <c r="L1401">
        <f t="shared" si="113"/>
        <v>0.17291666666666669</v>
      </c>
      <c r="M1401" s="5">
        <v>0.17291666666666669</v>
      </c>
      <c r="N1401" t="s">
        <v>43</v>
      </c>
      <c r="R1401" s="3">
        <f t="shared" si="109"/>
        <v>4.1500000000000004</v>
      </c>
    </row>
    <row r="1402" spans="1:18" x14ac:dyDescent="0.25">
      <c r="A1402" t="s">
        <v>4459</v>
      </c>
      <c r="B1402" t="s">
        <v>4272</v>
      </c>
      <c r="C1402" t="s">
        <v>4311</v>
      </c>
      <c r="D1402" s="3">
        <f t="shared" si="110"/>
        <v>9</v>
      </c>
      <c r="E1402" t="s">
        <v>12</v>
      </c>
      <c r="F1402" t="s">
        <v>13</v>
      </c>
      <c r="G1402" t="str">
        <f t="shared" si="111"/>
        <v/>
      </c>
      <c r="H1402" t="s">
        <v>14</v>
      </c>
      <c r="I1402" t="s">
        <v>4460</v>
      </c>
      <c r="J1402" s="2">
        <f t="shared" si="112"/>
        <v>1825000</v>
      </c>
      <c r="K1402" t="s">
        <v>196</v>
      </c>
      <c r="L1402">
        <f t="shared" si="113"/>
        <v>0.17013888888888887</v>
      </c>
      <c r="M1402" s="5">
        <v>0.17013888888888887</v>
      </c>
      <c r="N1402" t="s">
        <v>43</v>
      </c>
      <c r="R1402" s="3">
        <f t="shared" si="109"/>
        <v>4.083333333333333</v>
      </c>
    </row>
    <row r="1403" spans="1:18" hidden="1" x14ac:dyDescent="0.25">
      <c r="A1403" t="s">
        <v>4030</v>
      </c>
      <c r="B1403" t="s">
        <v>3746</v>
      </c>
      <c r="C1403" t="s">
        <v>3861</v>
      </c>
      <c r="D1403" s="3">
        <f t="shared" si="110"/>
        <v>12</v>
      </c>
      <c r="E1403" t="s">
        <v>33</v>
      </c>
      <c r="F1403" t="s">
        <v>13</v>
      </c>
      <c r="G1403" t="str">
        <f t="shared" si="111"/>
        <v/>
      </c>
      <c r="H1403" t="s">
        <v>14</v>
      </c>
      <c r="I1403" t="s">
        <v>4031</v>
      </c>
      <c r="J1403" s="2">
        <f t="shared" si="112"/>
        <v>1650000</v>
      </c>
      <c r="K1403" t="s">
        <v>90</v>
      </c>
      <c r="L1403">
        <f t="shared" si="113"/>
        <v>0.17222222222222225</v>
      </c>
      <c r="M1403" s="5">
        <v>0.17222222222222225</v>
      </c>
      <c r="N1403" t="s">
        <v>18</v>
      </c>
      <c r="P1403" t="s">
        <v>31</v>
      </c>
      <c r="R1403" s="3">
        <f t="shared" si="109"/>
        <v>4.1333333333333337</v>
      </c>
    </row>
    <row r="1404" spans="1:18" hidden="1" x14ac:dyDescent="0.25">
      <c r="A1404" t="s">
        <v>4112</v>
      </c>
      <c r="B1404" t="s">
        <v>3746</v>
      </c>
      <c r="C1404" t="s">
        <v>3746</v>
      </c>
      <c r="D1404" s="3">
        <f t="shared" si="110"/>
        <v>12</v>
      </c>
      <c r="E1404" t="s">
        <v>33</v>
      </c>
      <c r="F1404" t="s">
        <v>13</v>
      </c>
      <c r="G1404" t="str">
        <f t="shared" si="111"/>
        <v/>
      </c>
      <c r="H1404" t="s">
        <v>14</v>
      </c>
      <c r="I1404" t="s">
        <v>4113</v>
      </c>
      <c r="J1404" s="2">
        <f t="shared" si="112"/>
        <v>1400000</v>
      </c>
      <c r="K1404" t="s">
        <v>81</v>
      </c>
      <c r="L1404">
        <f t="shared" si="113"/>
        <v>0</v>
      </c>
      <c r="N1404" t="s">
        <v>18</v>
      </c>
      <c r="R1404" s="3">
        <f t="shared" si="109"/>
        <v>0</v>
      </c>
    </row>
    <row r="1405" spans="1:18" hidden="1" x14ac:dyDescent="0.25">
      <c r="A1405" t="s">
        <v>5186</v>
      </c>
      <c r="B1405" t="s">
        <v>4806</v>
      </c>
      <c r="C1405" t="s">
        <v>4805</v>
      </c>
      <c r="D1405" s="3">
        <f t="shared" si="110"/>
        <v>9</v>
      </c>
      <c r="E1405" t="s">
        <v>12</v>
      </c>
      <c r="F1405" t="s">
        <v>34</v>
      </c>
      <c r="G1405" t="str">
        <f t="shared" si="111"/>
        <v/>
      </c>
      <c r="H1405" t="s">
        <v>14</v>
      </c>
      <c r="I1405" t="s">
        <v>5187</v>
      </c>
      <c r="J1405" s="2">
        <f t="shared" si="112"/>
        <v>1200000</v>
      </c>
      <c r="K1405" t="s">
        <v>36</v>
      </c>
      <c r="L1405">
        <f t="shared" si="113"/>
        <v>0</v>
      </c>
      <c r="N1405" t="s">
        <v>43</v>
      </c>
      <c r="R1405" s="3">
        <f t="shared" si="109"/>
        <v>0</v>
      </c>
    </row>
    <row r="1406" spans="1:18" hidden="1" x14ac:dyDescent="0.25">
      <c r="A1406" t="s">
        <v>4118</v>
      </c>
      <c r="B1406" t="s">
        <v>3746</v>
      </c>
      <c r="C1406" t="s">
        <v>3749</v>
      </c>
      <c r="D1406" s="3">
        <f t="shared" si="110"/>
        <v>6.25</v>
      </c>
      <c r="E1406" t="s">
        <v>74</v>
      </c>
      <c r="F1406" t="s">
        <v>34</v>
      </c>
      <c r="G1406" t="str">
        <f t="shared" si="111"/>
        <v/>
      </c>
      <c r="H1406" t="s">
        <v>14</v>
      </c>
      <c r="I1406" t="s">
        <v>4119</v>
      </c>
      <c r="J1406" s="2">
        <f t="shared" si="112"/>
        <v>2000000</v>
      </c>
      <c r="K1406" t="s">
        <v>128</v>
      </c>
      <c r="L1406">
        <f t="shared" si="113"/>
        <v>0</v>
      </c>
      <c r="N1406" t="s">
        <v>18</v>
      </c>
      <c r="R1406" s="3">
        <f t="shared" si="109"/>
        <v>0</v>
      </c>
    </row>
    <row r="1407" spans="1:18" hidden="1" x14ac:dyDescent="0.25">
      <c r="A1407" t="s">
        <v>5632</v>
      </c>
      <c r="B1407" t="s">
        <v>5848</v>
      </c>
      <c r="C1407" t="s">
        <v>5339</v>
      </c>
      <c r="D1407" s="3">
        <f t="shared" si="110"/>
        <v>12</v>
      </c>
      <c r="E1407" t="s">
        <v>33</v>
      </c>
      <c r="F1407" t="s">
        <v>13</v>
      </c>
      <c r="G1407" t="str">
        <f t="shared" si="111"/>
        <v/>
      </c>
      <c r="H1407" t="s">
        <v>14</v>
      </c>
      <c r="I1407" t="s">
        <v>5633</v>
      </c>
      <c r="J1407" s="2">
        <f t="shared" si="112"/>
        <v>1600000</v>
      </c>
      <c r="K1407" t="s">
        <v>95</v>
      </c>
      <c r="L1407">
        <f t="shared" si="113"/>
        <v>0.17291666666666669</v>
      </c>
      <c r="M1407" s="5">
        <v>0.17291666666666669</v>
      </c>
      <c r="N1407" t="s">
        <v>43</v>
      </c>
      <c r="P1407" t="s">
        <v>899</v>
      </c>
      <c r="R1407" s="3">
        <f t="shared" si="109"/>
        <v>4.1500000000000004</v>
      </c>
    </row>
    <row r="1408" spans="1:18" hidden="1" x14ac:dyDescent="0.25">
      <c r="A1408" t="s">
        <v>275</v>
      </c>
      <c r="B1408" t="s">
        <v>20</v>
      </c>
      <c r="C1408" t="s">
        <v>54</v>
      </c>
      <c r="D1408" s="3">
        <f t="shared" si="110"/>
        <v>18</v>
      </c>
      <c r="E1408" t="s">
        <v>126</v>
      </c>
      <c r="F1408" t="s">
        <v>34</v>
      </c>
      <c r="G1408" t="str">
        <f t="shared" si="111"/>
        <v/>
      </c>
      <c r="H1408" t="s">
        <v>14</v>
      </c>
      <c r="I1408" t="s">
        <v>276</v>
      </c>
      <c r="J1408" s="2">
        <f t="shared" si="112"/>
        <v>670000</v>
      </c>
      <c r="K1408" t="s">
        <v>277</v>
      </c>
      <c r="L1408">
        <f t="shared" si="113"/>
        <v>0</v>
      </c>
      <c r="N1408" t="s">
        <v>43</v>
      </c>
      <c r="R1408" s="3">
        <f t="shared" si="109"/>
        <v>0</v>
      </c>
    </row>
    <row r="1409" spans="1:18" x14ac:dyDescent="0.25">
      <c r="A1409" t="s">
        <v>3512</v>
      </c>
      <c r="B1409" t="s">
        <v>3233</v>
      </c>
      <c r="C1409" t="s">
        <v>3261</v>
      </c>
      <c r="D1409" s="3">
        <f t="shared" si="110"/>
        <v>16</v>
      </c>
      <c r="E1409" t="s">
        <v>79</v>
      </c>
      <c r="F1409" t="s">
        <v>13</v>
      </c>
      <c r="G1409" t="str">
        <f t="shared" si="111"/>
        <v/>
      </c>
      <c r="H1409" t="s">
        <v>14</v>
      </c>
      <c r="I1409" t="s">
        <v>3513</v>
      </c>
      <c r="J1409" s="2">
        <f t="shared" si="112"/>
        <v>1850000</v>
      </c>
      <c r="K1409" t="s">
        <v>87</v>
      </c>
      <c r="L1409">
        <f t="shared" si="113"/>
        <v>0</v>
      </c>
      <c r="N1409" t="s">
        <v>43</v>
      </c>
      <c r="R1409" s="3">
        <f t="shared" si="109"/>
        <v>0</v>
      </c>
    </row>
    <row r="1410" spans="1:18" hidden="1" x14ac:dyDescent="0.25">
      <c r="A1410" t="s">
        <v>5767</v>
      </c>
      <c r="B1410" t="s">
        <v>5848</v>
      </c>
      <c r="C1410" t="s">
        <v>5342</v>
      </c>
      <c r="D1410" s="3">
        <f t="shared" si="110"/>
        <v>9</v>
      </c>
      <c r="E1410" t="s">
        <v>12</v>
      </c>
      <c r="F1410" t="s">
        <v>13</v>
      </c>
      <c r="G1410" t="str">
        <f t="shared" si="111"/>
        <v/>
      </c>
      <c r="H1410" t="s">
        <v>14</v>
      </c>
      <c r="I1410" t="s">
        <v>5768</v>
      </c>
      <c r="J1410" s="2">
        <f t="shared" si="112"/>
        <v>650000</v>
      </c>
      <c r="K1410" t="s">
        <v>105</v>
      </c>
      <c r="L1410">
        <f t="shared" si="113"/>
        <v>0.16666666666666666</v>
      </c>
      <c r="M1410" s="5">
        <v>0.16666666666666666</v>
      </c>
      <c r="N1410" t="s">
        <v>18</v>
      </c>
      <c r="R1410" s="3">
        <f t="shared" ref="R1410:R1473" si="114">24*L1410</f>
        <v>4</v>
      </c>
    </row>
    <row r="1411" spans="1:18" hidden="1" x14ac:dyDescent="0.25">
      <c r="A1411" t="s">
        <v>4082</v>
      </c>
      <c r="B1411" t="s">
        <v>3746</v>
      </c>
      <c r="C1411" t="s">
        <v>3949</v>
      </c>
      <c r="D1411" s="3">
        <f t="shared" si="110"/>
        <v>18</v>
      </c>
      <c r="E1411" t="s">
        <v>1338</v>
      </c>
      <c r="F1411" t="s">
        <v>13</v>
      </c>
      <c r="G1411" t="str">
        <f t="shared" si="111"/>
        <v/>
      </c>
      <c r="H1411" t="s">
        <v>14</v>
      </c>
      <c r="I1411" t="s">
        <v>4083</v>
      </c>
      <c r="J1411" s="2">
        <f t="shared" si="112"/>
        <v>900000</v>
      </c>
      <c r="K1411" t="s">
        <v>101</v>
      </c>
      <c r="L1411">
        <f t="shared" si="113"/>
        <v>0</v>
      </c>
      <c r="N1411" t="s">
        <v>43</v>
      </c>
      <c r="R1411" s="3">
        <f t="shared" si="114"/>
        <v>0</v>
      </c>
    </row>
    <row r="1412" spans="1:18" hidden="1" x14ac:dyDescent="0.25">
      <c r="A1412" t="s">
        <v>1684</v>
      </c>
      <c r="B1412" t="s">
        <v>1303</v>
      </c>
      <c r="C1412" t="s">
        <v>1319</v>
      </c>
      <c r="D1412" s="3">
        <f t="shared" ref="D1412:D1475" si="115">VALUE(LEFT(E1412,SEARCH(" x ",E1412)-1))*VALUE(MID(E1412,SEARCH(" x ",E1412)+3,SEARCH(" meter",E1412)-SEARCH(" x ",E1412)-3))</f>
        <v>12.15</v>
      </c>
      <c r="E1412" t="s">
        <v>1356</v>
      </c>
      <c r="F1412" t="s">
        <v>13</v>
      </c>
      <c r="G1412">
        <f t="shared" ref="G1412:G1475" si="116">IF(H1412="N/A","",VALUE(SUBSTITUTE(SUBSTITUTE(H1412,"Rp",""),".","")))</f>
        <v>2425000</v>
      </c>
      <c r="H1412" t="s">
        <v>1544</v>
      </c>
      <c r="I1412" t="s">
        <v>1685</v>
      </c>
      <c r="J1412" s="2">
        <f t="shared" ref="J1412:J1475" si="117">VALUE(SUBSTITUTE(SUBSTITUTE(K1412,"Rp",""),".",""))</f>
        <v>2233000</v>
      </c>
      <c r="K1412" t="s">
        <v>1546</v>
      </c>
      <c r="L1412">
        <f t="shared" ref="L1412:L1475" si="118">M1412:M3752</f>
        <v>0.17222222222222225</v>
      </c>
      <c r="M1412" s="5">
        <v>0.17222222222222225</v>
      </c>
      <c r="N1412" t="s">
        <v>43</v>
      </c>
      <c r="P1412" t="s">
        <v>1547</v>
      </c>
      <c r="R1412" s="3">
        <f t="shared" si="114"/>
        <v>4.1333333333333337</v>
      </c>
    </row>
    <row r="1413" spans="1:18" hidden="1" x14ac:dyDescent="0.25">
      <c r="A1413" t="s">
        <v>1514</v>
      </c>
      <c r="B1413" t="s">
        <v>1303</v>
      </c>
      <c r="C1413" t="s">
        <v>1319</v>
      </c>
      <c r="D1413" s="3">
        <f t="shared" si="115"/>
        <v>8.3999999999999986</v>
      </c>
      <c r="E1413" t="s">
        <v>723</v>
      </c>
      <c r="F1413" t="s">
        <v>13</v>
      </c>
      <c r="G1413" t="str">
        <f t="shared" si="116"/>
        <v/>
      </c>
      <c r="H1413" t="s">
        <v>14</v>
      </c>
      <c r="I1413" t="s">
        <v>1515</v>
      </c>
      <c r="J1413" s="2">
        <f t="shared" si="117"/>
        <v>1975000</v>
      </c>
      <c r="K1413" t="s">
        <v>956</v>
      </c>
      <c r="L1413">
        <f t="shared" si="118"/>
        <v>0.17013888888888887</v>
      </c>
      <c r="M1413" s="5">
        <v>0.17013888888888887</v>
      </c>
      <c r="N1413" t="s">
        <v>43</v>
      </c>
      <c r="P1413" t="s">
        <v>1125</v>
      </c>
      <c r="R1413" s="3">
        <f t="shared" si="114"/>
        <v>4.083333333333333</v>
      </c>
    </row>
    <row r="1414" spans="1:18" hidden="1" x14ac:dyDescent="0.25">
      <c r="A1414" t="s">
        <v>1899</v>
      </c>
      <c r="B1414" t="s">
        <v>1303</v>
      </c>
      <c r="C1414" t="s">
        <v>1319</v>
      </c>
      <c r="D1414" s="3">
        <f t="shared" si="115"/>
        <v>7.5</v>
      </c>
      <c r="E1414" t="s">
        <v>178</v>
      </c>
      <c r="F1414" t="s">
        <v>13</v>
      </c>
      <c r="G1414" t="str">
        <f t="shared" si="116"/>
        <v/>
      </c>
      <c r="H1414" t="s">
        <v>14</v>
      </c>
      <c r="I1414" t="s">
        <v>1900</v>
      </c>
      <c r="J1414" s="2">
        <f t="shared" si="117"/>
        <v>1875000</v>
      </c>
      <c r="K1414" t="s">
        <v>884</v>
      </c>
      <c r="L1414">
        <f t="shared" si="118"/>
        <v>0.17013888888888887</v>
      </c>
      <c r="M1414" s="5">
        <v>0.17013888888888887</v>
      </c>
      <c r="N1414" t="s">
        <v>43</v>
      </c>
      <c r="P1414" t="s">
        <v>1125</v>
      </c>
      <c r="R1414" s="3">
        <f t="shared" si="114"/>
        <v>4.083333333333333</v>
      </c>
    </row>
    <row r="1415" spans="1:18" hidden="1" x14ac:dyDescent="0.25">
      <c r="A1415" t="s">
        <v>1619</v>
      </c>
      <c r="B1415" t="s">
        <v>1303</v>
      </c>
      <c r="C1415" t="s">
        <v>1319</v>
      </c>
      <c r="D1415" s="3">
        <f t="shared" si="115"/>
        <v>16</v>
      </c>
      <c r="E1415" t="s">
        <v>79</v>
      </c>
      <c r="F1415" t="s">
        <v>13</v>
      </c>
      <c r="G1415">
        <f t="shared" si="116"/>
        <v>2125000</v>
      </c>
      <c r="H1415" t="s">
        <v>936</v>
      </c>
      <c r="I1415" t="s">
        <v>1620</v>
      </c>
      <c r="J1415" s="2">
        <f t="shared" si="117"/>
        <v>1957000</v>
      </c>
      <c r="K1415" t="s">
        <v>1621</v>
      </c>
      <c r="L1415">
        <f t="shared" si="118"/>
        <v>0.17083333333333331</v>
      </c>
      <c r="M1415" s="5">
        <v>0.17083333333333331</v>
      </c>
      <c r="N1415" t="s">
        <v>43</v>
      </c>
      <c r="P1415" t="s">
        <v>1622</v>
      </c>
      <c r="R1415" s="3">
        <f t="shared" si="114"/>
        <v>4.0999999999999996</v>
      </c>
    </row>
    <row r="1416" spans="1:18" hidden="1" x14ac:dyDescent="0.25">
      <c r="A1416" t="s">
        <v>1639</v>
      </c>
      <c r="B1416" t="s">
        <v>1303</v>
      </c>
      <c r="C1416" t="s">
        <v>1319</v>
      </c>
      <c r="D1416" s="3">
        <f t="shared" si="115"/>
        <v>7.68</v>
      </c>
      <c r="E1416" t="s">
        <v>1640</v>
      </c>
      <c r="F1416" t="s">
        <v>13</v>
      </c>
      <c r="G1416">
        <f t="shared" si="116"/>
        <v>1875000</v>
      </c>
      <c r="H1416" t="s">
        <v>884</v>
      </c>
      <c r="I1416" t="s">
        <v>1641</v>
      </c>
      <c r="J1416" s="2">
        <f t="shared" si="117"/>
        <v>1727000</v>
      </c>
      <c r="K1416" t="s">
        <v>1642</v>
      </c>
      <c r="L1416">
        <f t="shared" si="118"/>
        <v>0</v>
      </c>
      <c r="N1416" t="s">
        <v>43</v>
      </c>
      <c r="P1416" t="s">
        <v>1643</v>
      </c>
      <c r="R1416" s="3">
        <f t="shared" si="114"/>
        <v>0</v>
      </c>
    </row>
    <row r="1417" spans="1:18" hidden="1" x14ac:dyDescent="0.25">
      <c r="A1417" t="s">
        <v>3440</v>
      </c>
      <c r="B1417" t="s">
        <v>3233</v>
      </c>
      <c r="C1417" t="s">
        <v>3232</v>
      </c>
      <c r="D1417" s="3">
        <f t="shared" si="115"/>
        <v>10.5</v>
      </c>
      <c r="E1417" t="s">
        <v>653</v>
      </c>
      <c r="F1417" t="s">
        <v>13</v>
      </c>
      <c r="G1417">
        <f t="shared" si="116"/>
        <v>2025000</v>
      </c>
      <c r="H1417" t="s">
        <v>1065</v>
      </c>
      <c r="I1417" t="s">
        <v>3441</v>
      </c>
      <c r="J1417" s="2">
        <f t="shared" si="117"/>
        <v>1865000</v>
      </c>
      <c r="K1417" t="s">
        <v>1349</v>
      </c>
      <c r="L1417">
        <f t="shared" si="118"/>
        <v>0.17291666666666669</v>
      </c>
      <c r="M1417" s="5">
        <v>0.17291666666666669</v>
      </c>
      <c r="N1417" t="s">
        <v>43</v>
      </c>
      <c r="P1417" t="s">
        <v>673</v>
      </c>
      <c r="R1417" s="3">
        <f t="shared" si="114"/>
        <v>4.1500000000000004</v>
      </c>
    </row>
    <row r="1418" spans="1:18" hidden="1" x14ac:dyDescent="0.25">
      <c r="A1418" t="s">
        <v>3321</v>
      </c>
      <c r="B1418" t="s">
        <v>3233</v>
      </c>
      <c r="C1418" t="s">
        <v>3232</v>
      </c>
      <c r="D1418" s="3">
        <f t="shared" si="115"/>
        <v>9</v>
      </c>
      <c r="E1418" t="s">
        <v>3322</v>
      </c>
      <c r="F1418" t="s">
        <v>13</v>
      </c>
      <c r="G1418" t="str">
        <f t="shared" si="116"/>
        <v/>
      </c>
      <c r="H1418" t="s">
        <v>14</v>
      </c>
      <c r="I1418" t="s">
        <v>3323</v>
      </c>
      <c r="J1418" s="2">
        <f t="shared" si="117"/>
        <v>1875000</v>
      </c>
      <c r="K1418" t="s">
        <v>884</v>
      </c>
      <c r="L1418">
        <f t="shared" si="118"/>
        <v>0.17222222222222225</v>
      </c>
      <c r="M1418" s="5">
        <v>0.17222222222222225</v>
      </c>
      <c r="N1418" t="s">
        <v>43</v>
      </c>
      <c r="P1418" t="s">
        <v>673</v>
      </c>
      <c r="R1418" s="3">
        <f t="shared" si="114"/>
        <v>4.1333333333333337</v>
      </c>
    </row>
    <row r="1419" spans="1:18" hidden="1" x14ac:dyDescent="0.25">
      <c r="A1419" t="s">
        <v>3312</v>
      </c>
      <c r="B1419" t="s">
        <v>3233</v>
      </c>
      <c r="C1419" t="s">
        <v>3232</v>
      </c>
      <c r="D1419" s="3">
        <f t="shared" si="115"/>
        <v>6.8999999999999995</v>
      </c>
      <c r="E1419" t="s">
        <v>2701</v>
      </c>
      <c r="F1419" t="s">
        <v>13</v>
      </c>
      <c r="G1419" t="str">
        <f t="shared" si="116"/>
        <v/>
      </c>
      <c r="H1419" t="s">
        <v>14</v>
      </c>
      <c r="I1419" t="s">
        <v>3313</v>
      </c>
      <c r="J1419" s="2">
        <f t="shared" si="117"/>
        <v>1725000</v>
      </c>
      <c r="K1419" t="s">
        <v>897</v>
      </c>
      <c r="L1419">
        <f t="shared" si="118"/>
        <v>0.17222222222222225</v>
      </c>
      <c r="M1419" s="5">
        <v>0.17222222222222225</v>
      </c>
      <c r="N1419" t="s">
        <v>43</v>
      </c>
      <c r="P1419" t="s">
        <v>673</v>
      </c>
      <c r="R1419" s="3">
        <f t="shared" si="114"/>
        <v>4.1333333333333337</v>
      </c>
    </row>
    <row r="1420" spans="1:18" hidden="1" x14ac:dyDescent="0.25">
      <c r="A1420" t="s">
        <v>1921</v>
      </c>
      <c r="B1420" t="s">
        <v>1303</v>
      </c>
      <c r="C1420" t="s">
        <v>1319</v>
      </c>
      <c r="D1420" s="3">
        <f t="shared" si="115"/>
        <v>6.8999999999999995</v>
      </c>
      <c r="E1420" t="s">
        <v>1922</v>
      </c>
      <c r="F1420" t="s">
        <v>13</v>
      </c>
      <c r="G1420">
        <f t="shared" si="116"/>
        <v>1925000</v>
      </c>
      <c r="H1420" t="s">
        <v>552</v>
      </c>
      <c r="I1420" t="s">
        <v>1923</v>
      </c>
      <c r="J1420" s="2">
        <f t="shared" si="117"/>
        <v>1830000</v>
      </c>
      <c r="K1420" t="s">
        <v>1828</v>
      </c>
      <c r="L1420">
        <f t="shared" si="118"/>
        <v>0.17222222222222225</v>
      </c>
      <c r="M1420" s="5">
        <v>0.17222222222222225</v>
      </c>
      <c r="N1420" t="s">
        <v>18</v>
      </c>
      <c r="P1420" t="s">
        <v>1171</v>
      </c>
      <c r="R1420" s="3">
        <f t="shared" si="114"/>
        <v>4.1333333333333337</v>
      </c>
    </row>
    <row r="1421" spans="1:18" hidden="1" x14ac:dyDescent="0.25">
      <c r="A1421" t="s">
        <v>1798</v>
      </c>
      <c r="B1421" t="s">
        <v>1303</v>
      </c>
      <c r="C1421" t="s">
        <v>1319</v>
      </c>
      <c r="D1421" s="3">
        <f t="shared" si="115"/>
        <v>18</v>
      </c>
      <c r="E1421" t="s">
        <v>1338</v>
      </c>
      <c r="F1421" t="s">
        <v>13</v>
      </c>
      <c r="G1421" t="str">
        <f t="shared" si="116"/>
        <v/>
      </c>
      <c r="H1421" t="s">
        <v>14</v>
      </c>
      <c r="I1421" t="s">
        <v>1799</v>
      </c>
      <c r="J1421" s="2">
        <f t="shared" si="117"/>
        <v>2525000</v>
      </c>
      <c r="K1421" t="s">
        <v>131</v>
      </c>
      <c r="L1421">
        <f t="shared" si="118"/>
        <v>0.17083333333333331</v>
      </c>
      <c r="M1421" s="5">
        <v>0.17083333333333331</v>
      </c>
      <c r="N1421" t="s">
        <v>18</v>
      </c>
      <c r="P1421" t="s">
        <v>1790</v>
      </c>
      <c r="R1421" s="3">
        <f t="shared" si="114"/>
        <v>4.0999999999999996</v>
      </c>
    </row>
    <row r="1422" spans="1:18" hidden="1" x14ac:dyDescent="0.25">
      <c r="A1422" t="s">
        <v>1786</v>
      </c>
      <c r="B1422" t="s">
        <v>1303</v>
      </c>
      <c r="C1422" t="s">
        <v>1319</v>
      </c>
      <c r="D1422" s="3">
        <f t="shared" si="115"/>
        <v>7.26</v>
      </c>
      <c r="E1422" t="s">
        <v>1787</v>
      </c>
      <c r="F1422" t="s">
        <v>13</v>
      </c>
      <c r="G1422">
        <f t="shared" si="116"/>
        <v>2075000</v>
      </c>
      <c r="H1422" t="s">
        <v>1567</v>
      </c>
      <c r="I1422" t="s">
        <v>1788</v>
      </c>
      <c r="J1422" s="2">
        <f t="shared" si="117"/>
        <v>1911000</v>
      </c>
      <c r="K1422" t="s">
        <v>1789</v>
      </c>
      <c r="L1422">
        <f t="shared" si="118"/>
        <v>0.16944444444444443</v>
      </c>
      <c r="M1422" s="5">
        <v>0.16944444444444443</v>
      </c>
      <c r="N1422" t="s">
        <v>18</v>
      </c>
      <c r="P1422" t="s">
        <v>1790</v>
      </c>
      <c r="R1422" s="3">
        <f t="shared" si="114"/>
        <v>4.0666666666666664</v>
      </c>
    </row>
    <row r="1423" spans="1:18" hidden="1" x14ac:dyDescent="0.25">
      <c r="A1423" t="s">
        <v>1603</v>
      </c>
      <c r="B1423" t="s">
        <v>1303</v>
      </c>
      <c r="C1423" t="s">
        <v>1392</v>
      </c>
      <c r="D1423" s="3">
        <f t="shared" si="115"/>
        <v>14</v>
      </c>
      <c r="E1423" t="s">
        <v>875</v>
      </c>
      <c r="F1423" t="s">
        <v>13</v>
      </c>
      <c r="G1423">
        <f t="shared" si="116"/>
        <v>2825000</v>
      </c>
      <c r="H1423" t="s">
        <v>1604</v>
      </c>
      <c r="I1423" t="s">
        <v>1605</v>
      </c>
      <c r="J1423" s="2">
        <f t="shared" si="117"/>
        <v>2685000</v>
      </c>
      <c r="K1423" t="s">
        <v>1606</v>
      </c>
      <c r="L1423">
        <f t="shared" si="118"/>
        <v>0.20833333333333334</v>
      </c>
      <c r="M1423" s="5">
        <v>0.20833333333333334</v>
      </c>
      <c r="N1423" t="s">
        <v>43</v>
      </c>
      <c r="P1423" t="s">
        <v>1607</v>
      </c>
      <c r="R1423" s="3">
        <f t="shared" si="114"/>
        <v>5</v>
      </c>
    </row>
    <row r="1424" spans="1:18" x14ac:dyDescent="0.25">
      <c r="A1424" t="s">
        <v>3334</v>
      </c>
      <c r="B1424" t="s">
        <v>3233</v>
      </c>
      <c r="C1424" t="s">
        <v>3248</v>
      </c>
      <c r="D1424" s="3">
        <f t="shared" si="115"/>
        <v>9</v>
      </c>
      <c r="E1424" t="s">
        <v>12</v>
      </c>
      <c r="F1424" t="s">
        <v>13</v>
      </c>
      <c r="G1424" t="str">
        <f t="shared" si="116"/>
        <v/>
      </c>
      <c r="H1424" t="s">
        <v>14</v>
      </c>
      <c r="I1424" t="s">
        <v>3335</v>
      </c>
      <c r="J1424" s="2">
        <f t="shared" si="117"/>
        <v>1850000</v>
      </c>
      <c r="K1424" t="s">
        <v>87</v>
      </c>
      <c r="L1424">
        <f t="shared" si="118"/>
        <v>0.12916666666666668</v>
      </c>
      <c r="M1424" s="5">
        <v>0.12916666666666668</v>
      </c>
      <c r="N1424" t="s">
        <v>43</v>
      </c>
      <c r="P1424" t="s">
        <v>1622</v>
      </c>
      <c r="R1424" s="3">
        <f t="shared" si="114"/>
        <v>3.1000000000000005</v>
      </c>
    </row>
    <row r="1425" spans="1:18" hidden="1" x14ac:dyDescent="0.25">
      <c r="A1425" t="s">
        <v>3044</v>
      </c>
      <c r="B1425" t="s">
        <v>3206</v>
      </c>
      <c r="C1425" t="s">
        <v>2604</v>
      </c>
      <c r="D1425" s="3">
        <f t="shared" si="115"/>
        <v>8.32</v>
      </c>
      <c r="E1425" t="s">
        <v>3045</v>
      </c>
      <c r="F1425" t="s">
        <v>13</v>
      </c>
      <c r="G1425" t="str">
        <f t="shared" si="116"/>
        <v/>
      </c>
      <c r="H1425" t="s">
        <v>14</v>
      </c>
      <c r="I1425" t="s">
        <v>3046</v>
      </c>
      <c r="J1425" s="2">
        <f t="shared" si="117"/>
        <v>1652500</v>
      </c>
      <c r="K1425" t="s">
        <v>3047</v>
      </c>
      <c r="L1425">
        <f t="shared" si="118"/>
        <v>0.17083333333333331</v>
      </c>
      <c r="M1425" s="5">
        <v>0.17083333333333331</v>
      </c>
      <c r="N1425" t="s">
        <v>43</v>
      </c>
      <c r="P1425" t="s">
        <v>1171</v>
      </c>
      <c r="R1425" s="3">
        <f t="shared" si="114"/>
        <v>4.0999999999999996</v>
      </c>
    </row>
    <row r="1426" spans="1:18" hidden="1" x14ac:dyDescent="0.25">
      <c r="A1426" t="s">
        <v>3218</v>
      </c>
      <c r="B1426" t="s">
        <v>3206</v>
      </c>
      <c r="C1426" t="s">
        <v>2604</v>
      </c>
      <c r="D1426" s="3">
        <f t="shared" si="115"/>
        <v>9</v>
      </c>
      <c r="E1426" t="s">
        <v>12</v>
      </c>
      <c r="F1426" t="s">
        <v>13</v>
      </c>
      <c r="G1426" t="str">
        <f t="shared" si="116"/>
        <v/>
      </c>
      <c r="H1426" t="s">
        <v>14</v>
      </c>
      <c r="I1426" t="s">
        <v>3219</v>
      </c>
      <c r="J1426" s="2">
        <f t="shared" si="117"/>
        <v>1675000</v>
      </c>
      <c r="K1426" t="s">
        <v>1119</v>
      </c>
      <c r="L1426">
        <f t="shared" si="118"/>
        <v>0.17291666666666669</v>
      </c>
      <c r="M1426" s="5">
        <v>0.17291666666666669</v>
      </c>
      <c r="N1426" t="s">
        <v>43</v>
      </c>
      <c r="P1426" t="s">
        <v>1171</v>
      </c>
      <c r="R1426" s="3">
        <f t="shared" si="114"/>
        <v>4.1500000000000004</v>
      </c>
    </row>
    <row r="1427" spans="1:18" hidden="1" x14ac:dyDescent="0.25">
      <c r="A1427" t="s">
        <v>1381</v>
      </c>
      <c r="B1427" t="s">
        <v>1303</v>
      </c>
      <c r="C1427" t="s">
        <v>1366</v>
      </c>
      <c r="D1427" s="3">
        <f t="shared" si="115"/>
        <v>12.8</v>
      </c>
      <c r="E1427" t="s">
        <v>1382</v>
      </c>
      <c r="F1427" t="s">
        <v>13</v>
      </c>
      <c r="G1427" t="str">
        <f t="shared" si="116"/>
        <v/>
      </c>
      <c r="H1427" t="s">
        <v>14</v>
      </c>
      <c r="I1427" t="s">
        <v>1383</v>
      </c>
      <c r="J1427" s="2">
        <f t="shared" si="117"/>
        <v>1875000</v>
      </c>
      <c r="K1427" t="s">
        <v>884</v>
      </c>
      <c r="L1427">
        <f t="shared" si="118"/>
        <v>0.17222222222222225</v>
      </c>
      <c r="M1427" s="5">
        <v>0.17222222222222225</v>
      </c>
      <c r="N1427" t="s">
        <v>18</v>
      </c>
      <c r="R1427" s="3">
        <f t="shared" si="114"/>
        <v>4.1333333333333337</v>
      </c>
    </row>
    <row r="1428" spans="1:18" hidden="1" x14ac:dyDescent="0.25">
      <c r="A1428" t="s">
        <v>1363</v>
      </c>
      <c r="B1428" t="s">
        <v>1303</v>
      </c>
      <c r="C1428" t="s">
        <v>1366</v>
      </c>
      <c r="D1428" s="3">
        <f t="shared" si="115"/>
        <v>11.520000000000001</v>
      </c>
      <c r="E1428" t="s">
        <v>1364</v>
      </c>
      <c r="F1428" t="s">
        <v>13</v>
      </c>
      <c r="G1428" t="str">
        <f t="shared" si="116"/>
        <v/>
      </c>
      <c r="H1428" t="s">
        <v>14</v>
      </c>
      <c r="I1428" t="s">
        <v>1365</v>
      </c>
      <c r="J1428" s="2">
        <f t="shared" si="117"/>
        <v>1725000</v>
      </c>
      <c r="K1428" t="s">
        <v>897</v>
      </c>
      <c r="L1428">
        <f t="shared" si="118"/>
        <v>0.17083333333333331</v>
      </c>
      <c r="M1428" s="5">
        <v>0.17083333333333331</v>
      </c>
      <c r="N1428" t="s">
        <v>18</v>
      </c>
      <c r="P1428" t="s">
        <v>1125</v>
      </c>
      <c r="R1428" s="3">
        <f t="shared" si="114"/>
        <v>4.0999999999999996</v>
      </c>
    </row>
    <row r="1429" spans="1:18" hidden="1" x14ac:dyDescent="0.25">
      <c r="A1429" t="s">
        <v>5464</v>
      </c>
      <c r="B1429" t="s">
        <v>5848</v>
      </c>
      <c r="C1429" t="s">
        <v>5335</v>
      </c>
      <c r="D1429" s="3">
        <f t="shared" si="115"/>
        <v>5.28</v>
      </c>
      <c r="E1429" t="s">
        <v>3239</v>
      </c>
      <c r="F1429" t="s">
        <v>13</v>
      </c>
      <c r="G1429">
        <f t="shared" si="116"/>
        <v>1480000</v>
      </c>
      <c r="H1429" t="s">
        <v>5465</v>
      </c>
      <c r="I1429" t="s">
        <v>5466</v>
      </c>
      <c r="J1429" s="2">
        <f t="shared" si="117"/>
        <v>1406000</v>
      </c>
      <c r="K1429" t="s">
        <v>5467</v>
      </c>
      <c r="L1429">
        <f t="shared" si="118"/>
        <v>0.17291666666666669</v>
      </c>
      <c r="M1429" s="5">
        <v>0.17291666666666669</v>
      </c>
      <c r="N1429" t="s">
        <v>37</v>
      </c>
      <c r="P1429" t="s">
        <v>1528</v>
      </c>
      <c r="R1429" s="3">
        <f t="shared" si="114"/>
        <v>4.1500000000000004</v>
      </c>
    </row>
    <row r="1430" spans="1:18" hidden="1" x14ac:dyDescent="0.25">
      <c r="A1430" t="s">
        <v>5640</v>
      </c>
      <c r="B1430" t="s">
        <v>5848</v>
      </c>
      <c r="C1430" t="s">
        <v>5335</v>
      </c>
      <c r="D1430" s="3">
        <f t="shared" si="115"/>
        <v>5.28</v>
      </c>
      <c r="E1430" t="s">
        <v>3239</v>
      </c>
      <c r="F1430" t="s">
        <v>13</v>
      </c>
      <c r="G1430">
        <f t="shared" si="116"/>
        <v>1350000</v>
      </c>
      <c r="H1430" t="s">
        <v>257</v>
      </c>
      <c r="I1430" t="s">
        <v>5641</v>
      </c>
      <c r="J1430" s="2">
        <f t="shared" si="117"/>
        <v>1282500</v>
      </c>
      <c r="K1430" t="s">
        <v>5642</v>
      </c>
      <c r="L1430">
        <f t="shared" si="118"/>
        <v>0.17291666666666669</v>
      </c>
      <c r="M1430" s="5">
        <v>0.17291666666666669</v>
      </c>
      <c r="N1430" t="s">
        <v>37</v>
      </c>
      <c r="P1430" t="s">
        <v>745</v>
      </c>
      <c r="R1430" s="3">
        <f t="shared" si="114"/>
        <v>4.1500000000000004</v>
      </c>
    </row>
    <row r="1431" spans="1:18" x14ac:dyDescent="0.25">
      <c r="A1431" t="s">
        <v>1758</v>
      </c>
      <c r="B1431" t="s">
        <v>1303</v>
      </c>
      <c r="C1431" t="s">
        <v>1350</v>
      </c>
      <c r="D1431" s="3">
        <f t="shared" si="115"/>
        <v>7.56</v>
      </c>
      <c r="E1431" t="s">
        <v>1759</v>
      </c>
      <c r="F1431" t="s">
        <v>13</v>
      </c>
      <c r="G1431">
        <f t="shared" si="116"/>
        <v>2025000</v>
      </c>
      <c r="H1431" t="s">
        <v>1065</v>
      </c>
      <c r="I1431" t="s">
        <v>1760</v>
      </c>
      <c r="J1431" s="2">
        <f t="shared" si="117"/>
        <v>1865000</v>
      </c>
      <c r="K1431" t="s">
        <v>1349</v>
      </c>
      <c r="L1431">
        <f t="shared" si="118"/>
        <v>0.17291666666666669</v>
      </c>
      <c r="M1431" s="5">
        <v>0.17291666666666669</v>
      </c>
      <c r="N1431" t="s">
        <v>43</v>
      </c>
      <c r="P1431" t="s">
        <v>673</v>
      </c>
      <c r="R1431" s="3">
        <f t="shared" si="114"/>
        <v>4.1500000000000004</v>
      </c>
    </row>
    <row r="1432" spans="1:18" hidden="1" x14ac:dyDescent="0.25">
      <c r="A1432" t="s">
        <v>3187</v>
      </c>
      <c r="B1432" t="s">
        <v>3206</v>
      </c>
      <c r="C1432" t="s">
        <v>2769</v>
      </c>
      <c r="D1432" s="3">
        <f t="shared" si="115"/>
        <v>12.25</v>
      </c>
      <c r="E1432" t="s">
        <v>187</v>
      </c>
      <c r="F1432" t="s">
        <v>13</v>
      </c>
      <c r="G1432">
        <f t="shared" si="116"/>
        <v>2325000</v>
      </c>
      <c r="H1432" t="s">
        <v>1352</v>
      </c>
      <c r="I1432" t="s">
        <v>3188</v>
      </c>
      <c r="J1432" s="2">
        <f t="shared" si="117"/>
        <v>2141000</v>
      </c>
      <c r="K1432" t="s">
        <v>1757</v>
      </c>
      <c r="L1432">
        <f t="shared" si="118"/>
        <v>0.17291666666666669</v>
      </c>
      <c r="M1432" s="5">
        <v>0.17291666666666669</v>
      </c>
      <c r="N1432" t="s">
        <v>43</v>
      </c>
      <c r="P1432" t="s">
        <v>1328</v>
      </c>
      <c r="R1432" s="3">
        <f t="shared" si="114"/>
        <v>4.1500000000000004</v>
      </c>
    </row>
    <row r="1433" spans="1:18" hidden="1" x14ac:dyDescent="0.25">
      <c r="A1433" t="s">
        <v>2731</v>
      </c>
      <c r="B1433" t="s">
        <v>3206</v>
      </c>
      <c r="C1433" t="s">
        <v>2734</v>
      </c>
      <c r="D1433" s="3">
        <f t="shared" si="115"/>
        <v>7.4399999999999995</v>
      </c>
      <c r="E1433" t="s">
        <v>2732</v>
      </c>
      <c r="F1433" t="s">
        <v>34</v>
      </c>
      <c r="G1433" t="str">
        <f t="shared" si="116"/>
        <v/>
      </c>
      <c r="H1433" t="s">
        <v>14</v>
      </c>
      <c r="I1433" t="s">
        <v>2733</v>
      </c>
      <c r="J1433" s="2">
        <f t="shared" si="117"/>
        <v>2125000</v>
      </c>
      <c r="K1433" t="s">
        <v>936</v>
      </c>
      <c r="L1433">
        <f t="shared" si="118"/>
        <v>0.17291666666666669</v>
      </c>
      <c r="M1433" s="5">
        <v>0.17291666666666669</v>
      </c>
      <c r="N1433" t="s">
        <v>43</v>
      </c>
      <c r="R1433" s="3">
        <f t="shared" si="114"/>
        <v>4.1500000000000004</v>
      </c>
    </row>
    <row r="1434" spans="1:18" hidden="1" x14ac:dyDescent="0.25">
      <c r="A1434" t="s">
        <v>5566</v>
      </c>
      <c r="B1434" t="s">
        <v>5848</v>
      </c>
      <c r="C1434" t="s">
        <v>5454</v>
      </c>
      <c r="D1434" s="3">
        <f t="shared" si="115"/>
        <v>12.25</v>
      </c>
      <c r="E1434" t="s">
        <v>187</v>
      </c>
      <c r="F1434" t="s">
        <v>13</v>
      </c>
      <c r="G1434">
        <f t="shared" si="116"/>
        <v>1255000</v>
      </c>
      <c r="H1434" t="s">
        <v>3089</v>
      </c>
      <c r="I1434" t="s">
        <v>5567</v>
      </c>
      <c r="J1434" s="2">
        <f t="shared" si="117"/>
        <v>1156600</v>
      </c>
      <c r="K1434" t="s">
        <v>5568</v>
      </c>
      <c r="L1434">
        <f t="shared" si="118"/>
        <v>0.17291666666666669</v>
      </c>
      <c r="M1434" s="5">
        <v>0.17291666666666669</v>
      </c>
      <c r="N1434" t="s">
        <v>18</v>
      </c>
      <c r="P1434" t="s">
        <v>1442</v>
      </c>
      <c r="R1434" s="3">
        <f t="shared" si="114"/>
        <v>4.1500000000000004</v>
      </c>
    </row>
    <row r="1435" spans="1:18" hidden="1" x14ac:dyDescent="0.25">
      <c r="A1435" t="s">
        <v>3744</v>
      </c>
      <c r="B1435" t="s">
        <v>3746</v>
      </c>
      <c r="C1435" t="s">
        <v>1664</v>
      </c>
      <c r="D1435" s="3">
        <f t="shared" si="115"/>
        <v>12</v>
      </c>
      <c r="E1435" t="s">
        <v>33</v>
      </c>
      <c r="F1435" t="s">
        <v>13</v>
      </c>
      <c r="G1435" t="str">
        <f t="shared" si="116"/>
        <v/>
      </c>
      <c r="H1435" t="s">
        <v>14</v>
      </c>
      <c r="I1435" t="s">
        <v>3745</v>
      </c>
      <c r="J1435" s="2">
        <f t="shared" si="117"/>
        <v>1325000</v>
      </c>
      <c r="K1435" t="s">
        <v>683</v>
      </c>
      <c r="L1435">
        <f t="shared" si="118"/>
        <v>0.17291666666666669</v>
      </c>
      <c r="M1435" s="5">
        <v>0.17291666666666669</v>
      </c>
      <c r="N1435" t="s">
        <v>43</v>
      </c>
      <c r="R1435" s="3">
        <f t="shared" si="114"/>
        <v>4.1500000000000004</v>
      </c>
    </row>
    <row r="1436" spans="1:18" hidden="1" x14ac:dyDescent="0.25">
      <c r="A1436" t="s">
        <v>3786</v>
      </c>
      <c r="B1436" t="s">
        <v>3746</v>
      </c>
      <c r="C1436" t="s">
        <v>1664</v>
      </c>
      <c r="D1436" s="3">
        <f t="shared" si="115"/>
        <v>12</v>
      </c>
      <c r="E1436" t="s">
        <v>33</v>
      </c>
      <c r="F1436" t="s">
        <v>13</v>
      </c>
      <c r="G1436" t="str">
        <f t="shared" si="116"/>
        <v/>
      </c>
      <c r="H1436" t="s">
        <v>14</v>
      </c>
      <c r="I1436" t="s">
        <v>3787</v>
      </c>
      <c r="J1436" s="2">
        <f t="shared" si="117"/>
        <v>1025000</v>
      </c>
      <c r="K1436" t="s">
        <v>914</v>
      </c>
      <c r="L1436">
        <f t="shared" si="118"/>
        <v>0.17291666666666669</v>
      </c>
      <c r="M1436" s="5">
        <v>0.17291666666666669</v>
      </c>
      <c r="N1436" t="s">
        <v>43</v>
      </c>
      <c r="R1436" s="3">
        <f t="shared" si="114"/>
        <v>4.1500000000000004</v>
      </c>
    </row>
    <row r="1437" spans="1:18" hidden="1" x14ac:dyDescent="0.25">
      <c r="A1437" t="s">
        <v>4401</v>
      </c>
      <c r="B1437" t="s">
        <v>4272</v>
      </c>
      <c r="C1437" t="s">
        <v>4281</v>
      </c>
      <c r="D1437" s="3">
        <f t="shared" si="115"/>
        <v>10.240000000000002</v>
      </c>
      <c r="E1437" t="s">
        <v>941</v>
      </c>
      <c r="F1437" t="s">
        <v>13</v>
      </c>
      <c r="G1437" t="str">
        <f t="shared" si="116"/>
        <v/>
      </c>
      <c r="H1437" t="s">
        <v>14</v>
      </c>
      <c r="I1437" t="s">
        <v>4402</v>
      </c>
      <c r="J1437" s="2">
        <f t="shared" si="117"/>
        <v>1240000</v>
      </c>
      <c r="K1437" t="s">
        <v>814</v>
      </c>
      <c r="L1437">
        <f t="shared" si="118"/>
        <v>0.17222222222222225</v>
      </c>
      <c r="M1437" s="5">
        <v>0.17222222222222225</v>
      </c>
      <c r="N1437" t="s">
        <v>18</v>
      </c>
      <c r="P1437" t="s">
        <v>2198</v>
      </c>
      <c r="R1437" s="3">
        <f t="shared" si="114"/>
        <v>4.1333333333333337</v>
      </c>
    </row>
    <row r="1438" spans="1:18" hidden="1" x14ac:dyDescent="0.25">
      <c r="A1438" t="s">
        <v>4520</v>
      </c>
      <c r="B1438" t="s">
        <v>4272</v>
      </c>
      <c r="C1438" t="s">
        <v>4285</v>
      </c>
      <c r="D1438" s="3">
        <f t="shared" si="115"/>
        <v>9</v>
      </c>
      <c r="E1438" t="s">
        <v>3322</v>
      </c>
      <c r="F1438" t="s">
        <v>13</v>
      </c>
      <c r="G1438">
        <f t="shared" si="116"/>
        <v>1525000</v>
      </c>
      <c r="H1438" t="s">
        <v>27</v>
      </c>
      <c r="I1438" t="s">
        <v>4521</v>
      </c>
      <c r="J1438" s="2">
        <f t="shared" si="117"/>
        <v>1450000</v>
      </c>
      <c r="K1438" t="s">
        <v>29</v>
      </c>
      <c r="L1438">
        <f t="shared" si="118"/>
        <v>0.17291666666666669</v>
      </c>
      <c r="M1438" s="5">
        <v>0.17291666666666669</v>
      </c>
      <c r="N1438" t="s">
        <v>43</v>
      </c>
      <c r="P1438" t="s">
        <v>31</v>
      </c>
      <c r="R1438" s="3">
        <f t="shared" si="114"/>
        <v>4.1500000000000004</v>
      </c>
    </row>
    <row r="1439" spans="1:18" hidden="1" x14ac:dyDescent="0.25">
      <c r="A1439" t="s">
        <v>4704</v>
      </c>
      <c r="B1439" t="s">
        <v>4272</v>
      </c>
      <c r="C1439" t="s">
        <v>4285</v>
      </c>
      <c r="D1439" s="3">
        <f t="shared" si="115"/>
        <v>9</v>
      </c>
      <c r="E1439" t="s">
        <v>3322</v>
      </c>
      <c r="F1439" t="s">
        <v>13</v>
      </c>
      <c r="G1439">
        <f t="shared" si="116"/>
        <v>1475000</v>
      </c>
      <c r="H1439" t="s">
        <v>182</v>
      </c>
      <c r="I1439" t="s">
        <v>4705</v>
      </c>
      <c r="J1439" s="2">
        <f t="shared" si="117"/>
        <v>1402500</v>
      </c>
      <c r="K1439" t="s">
        <v>1713</v>
      </c>
      <c r="L1439">
        <f t="shared" si="118"/>
        <v>0.12708333333333333</v>
      </c>
      <c r="M1439" s="5">
        <v>0.12708333333333333</v>
      </c>
      <c r="N1439" t="s">
        <v>43</v>
      </c>
      <c r="P1439" t="s">
        <v>1714</v>
      </c>
      <c r="R1439" s="3">
        <f t="shared" si="114"/>
        <v>3.05</v>
      </c>
    </row>
    <row r="1440" spans="1:18" x14ac:dyDescent="0.25">
      <c r="A1440" t="s">
        <v>5795</v>
      </c>
      <c r="B1440" t="s">
        <v>5848</v>
      </c>
      <c r="C1440" t="s">
        <v>5342</v>
      </c>
      <c r="D1440" s="3">
        <f t="shared" si="115"/>
        <v>10.5</v>
      </c>
      <c r="E1440" t="s">
        <v>1051</v>
      </c>
      <c r="F1440" t="s">
        <v>13</v>
      </c>
      <c r="G1440" t="str">
        <f t="shared" si="116"/>
        <v/>
      </c>
      <c r="H1440" t="s">
        <v>14</v>
      </c>
      <c r="I1440" t="s">
        <v>5796</v>
      </c>
      <c r="J1440" s="2">
        <f t="shared" si="117"/>
        <v>1875000</v>
      </c>
      <c r="K1440" t="s">
        <v>884</v>
      </c>
      <c r="L1440">
        <f t="shared" si="118"/>
        <v>0.16874999999999998</v>
      </c>
      <c r="M1440" s="5">
        <v>0.16874999999999998</v>
      </c>
      <c r="N1440" t="s">
        <v>43</v>
      </c>
      <c r="P1440" t="s">
        <v>673</v>
      </c>
      <c r="R1440" s="3">
        <f t="shared" si="114"/>
        <v>4.05</v>
      </c>
    </row>
    <row r="1441" spans="1:18" hidden="1" x14ac:dyDescent="0.25">
      <c r="A1441" t="s">
        <v>2382</v>
      </c>
      <c r="B1441" t="s">
        <v>2596</v>
      </c>
      <c r="C1441" t="s">
        <v>2036</v>
      </c>
      <c r="D1441" s="3">
        <f t="shared" si="115"/>
        <v>12.96</v>
      </c>
      <c r="E1441" t="s">
        <v>1432</v>
      </c>
      <c r="F1441" t="s">
        <v>34</v>
      </c>
      <c r="G1441" t="str">
        <f t="shared" si="116"/>
        <v/>
      </c>
      <c r="H1441" t="s">
        <v>14</v>
      </c>
      <c r="I1441" t="s">
        <v>2383</v>
      </c>
      <c r="J1441" s="2">
        <f t="shared" si="117"/>
        <v>1995000</v>
      </c>
      <c r="K1441" t="s">
        <v>2384</v>
      </c>
      <c r="L1441">
        <f t="shared" si="118"/>
        <v>0.17083333333333331</v>
      </c>
      <c r="M1441" s="5">
        <v>0.17083333333333331</v>
      </c>
      <c r="N1441" t="s">
        <v>43</v>
      </c>
      <c r="P1441" t="s">
        <v>2126</v>
      </c>
      <c r="R1441" s="3">
        <f t="shared" si="114"/>
        <v>4.0999999999999996</v>
      </c>
    </row>
    <row r="1442" spans="1:18" hidden="1" x14ac:dyDescent="0.25">
      <c r="A1442" t="s">
        <v>2122</v>
      </c>
      <c r="B1442" t="s">
        <v>2596</v>
      </c>
      <c r="C1442" t="s">
        <v>2036</v>
      </c>
      <c r="D1442" s="3">
        <f t="shared" si="115"/>
        <v>5.25</v>
      </c>
      <c r="E1442" t="s">
        <v>2123</v>
      </c>
      <c r="F1442" t="s">
        <v>34</v>
      </c>
      <c r="G1442">
        <f t="shared" si="116"/>
        <v>1465000</v>
      </c>
      <c r="H1442" t="s">
        <v>704</v>
      </c>
      <c r="I1442" t="s">
        <v>2124</v>
      </c>
      <c r="J1442" s="2">
        <f t="shared" si="117"/>
        <v>1393000</v>
      </c>
      <c r="K1442" t="s">
        <v>2125</v>
      </c>
      <c r="L1442">
        <f t="shared" si="118"/>
        <v>0.17083333333333331</v>
      </c>
      <c r="M1442" s="5">
        <v>0.17083333333333331</v>
      </c>
      <c r="N1442" t="s">
        <v>43</v>
      </c>
      <c r="P1442" t="s">
        <v>2126</v>
      </c>
      <c r="R1442" s="3">
        <f t="shared" si="114"/>
        <v>4.0999999999999996</v>
      </c>
    </row>
    <row r="1443" spans="1:18" hidden="1" x14ac:dyDescent="0.25">
      <c r="A1443" t="s">
        <v>5603</v>
      </c>
      <c r="B1443" t="s">
        <v>5848</v>
      </c>
      <c r="C1443" t="s">
        <v>5369</v>
      </c>
      <c r="D1443" s="3">
        <f t="shared" si="115"/>
        <v>10.8</v>
      </c>
      <c r="E1443" t="s">
        <v>2499</v>
      </c>
      <c r="F1443" t="s">
        <v>13</v>
      </c>
      <c r="G1443" t="str">
        <f t="shared" si="116"/>
        <v/>
      </c>
      <c r="H1443" t="s">
        <v>14</v>
      </c>
      <c r="I1443" t="s">
        <v>5604</v>
      </c>
      <c r="J1443" s="2">
        <f t="shared" si="117"/>
        <v>1725000</v>
      </c>
      <c r="K1443" t="s">
        <v>897</v>
      </c>
      <c r="L1443">
        <f t="shared" si="118"/>
        <v>0.17291666666666669</v>
      </c>
      <c r="M1443" s="5">
        <v>0.17291666666666669</v>
      </c>
      <c r="N1443" t="s">
        <v>18</v>
      </c>
      <c r="P1443" t="s">
        <v>2143</v>
      </c>
      <c r="R1443" s="3">
        <f t="shared" si="114"/>
        <v>4.1500000000000004</v>
      </c>
    </row>
    <row r="1444" spans="1:18" hidden="1" x14ac:dyDescent="0.25">
      <c r="A1444" t="s">
        <v>5494</v>
      </c>
      <c r="B1444" t="s">
        <v>5848</v>
      </c>
      <c r="C1444" t="s">
        <v>5369</v>
      </c>
      <c r="D1444" s="3">
        <f t="shared" si="115"/>
        <v>9</v>
      </c>
      <c r="E1444" t="s">
        <v>3273</v>
      </c>
      <c r="F1444" t="s">
        <v>13</v>
      </c>
      <c r="G1444" t="str">
        <f t="shared" si="116"/>
        <v/>
      </c>
      <c r="H1444" t="s">
        <v>14</v>
      </c>
      <c r="I1444" t="s">
        <v>5495</v>
      </c>
      <c r="J1444" s="2">
        <f t="shared" si="117"/>
        <v>1625000</v>
      </c>
      <c r="K1444" t="s">
        <v>702</v>
      </c>
      <c r="L1444">
        <f t="shared" si="118"/>
        <v>0.17291666666666669</v>
      </c>
      <c r="M1444" s="5">
        <v>0.17291666666666669</v>
      </c>
      <c r="N1444" t="s">
        <v>18</v>
      </c>
      <c r="P1444" t="s">
        <v>2143</v>
      </c>
      <c r="R1444" s="3">
        <f t="shared" si="114"/>
        <v>4.1500000000000004</v>
      </c>
    </row>
    <row r="1445" spans="1:18" hidden="1" x14ac:dyDescent="0.25">
      <c r="A1445" t="s">
        <v>5448</v>
      </c>
      <c r="B1445" t="s">
        <v>5848</v>
      </c>
      <c r="C1445" t="s">
        <v>5369</v>
      </c>
      <c r="D1445" s="3">
        <f t="shared" si="115"/>
        <v>6.25</v>
      </c>
      <c r="E1445" t="s">
        <v>74</v>
      </c>
      <c r="F1445" t="s">
        <v>13</v>
      </c>
      <c r="G1445">
        <f t="shared" si="116"/>
        <v>1375000</v>
      </c>
      <c r="H1445" t="s">
        <v>812</v>
      </c>
      <c r="I1445" t="s">
        <v>5449</v>
      </c>
      <c r="J1445" s="2">
        <f t="shared" si="117"/>
        <v>1267000</v>
      </c>
      <c r="K1445" t="s">
        <v>3568</v>
      </c>
      <c r="L1445">
        <f t="shared" si="118"/>
        <v>0.1673611111111111</v>
      </c>
      <c r="M1445" s="5">
        <v>0.1673611111111111</v>
      </c>
      <c r="N1445" t="s">
        <v>18</v>
      </c>
      <c r="P1445" t="s">
        <v>2143</v>
      </c>
      <c r="R1445" s="3">
        <f t="shared" si="114"/>
        <v>4.0166666666666666</v>
      </c>
    </row>
    <row r="1446" spans="1:18" hidden="1" x14ac:dyDescent="0.25">
      <c r="A1446" t="s">
        <v>1491</v>
      </c>
      <c r="B1446" t="s">
        <v>1303</v>
      </c>
      <c r="C1446" t="s">
        <v>1350</v>
      </c>
      <c r="D1446" s="3">
        <f t="shared" si="115"/>
        <v>42</v>
      </c>
      <c r="E1446" t="s">
        <v>1492</v>
      </c>
      <c r="F1446" t="s">
        <v>13</v>
      </c>
      <c r="G1446">
        <f t="shared" si="116"/>
        <v>1705000</v>
      </c>
      <c r="H1446" t="s">
        <v>1493</v>
      </c>
      <c r="I1446" t="s">
        <v>1494</v>
      </c>
      <c r="J1446" s="2">
        <f t="shared" si="117"/>
        <v>1621000</v>
      </c>
      <c r="K1446" t="s">
        <v>1495</v>
      </c>
      <c r="L1446">
        <f t="shared" si="118"/>
        <v>0.17222222222222225</v>
      </c>
      <c r="M1446" s="5">
        <v>0.17222222222222225</v>
      </c>
      <c r="N1446" t="s">
        <v>37</v>
      </c>
      <c r="P1446" t="s">
        <v>1063</v>
      </c>
      <c r="R1446" s="3">
        <f t="shared" si="114"/>
        <v>4.1333333333333337</v>
      </c>
    </row>
    <row r="1447" spans="1:18" hidden="1" x14ac:dyDescent="0.25">
      <c r="A1447" t="s">
        <v>1771</v>
      </c>
      <c r="B1447" t="s">
        <v>1303</v>
      </c>
      <c r="C1447" t="s">
        <v>1350</v>
      </c>
      <c r="D1447" s="3">
        <f t="shared" si="115"/>
        <v>21</v>
      </c>
      <c r="E1447" t="s">
        <v>454</v>
      </c>
      <c r="F1447" t="s">
        <v>13</v>
      </c>
      <c r="G1447">
        <f t="shared" si="116"/>
        <v>1285000</v>
      </c>
      <c r="H1447" t="s">
        <v>1612</v>
      </c>
      <c r="I1447" t="s">
        <v>1772</v>
      </c>
      <c r="J1447" s="2">
        <f t="shared" si="117"/>
        <v>1222000</v>
      </c>
      <c r="K1447" t="s">
        <v>1773</v>
      </c>
      <c r="L1447">
        <f t="shared" si="118"/>
        <v>0.17222222222222225</v>
      </c>
      <c r="M1447" s="5">
        <v>0.17222222222222225</v>
      </c>
      <c r="N1447" t="s">
        <v>37</v>
      </c>
      <c r="P1447" t="s">
        <v>1774</v>
      </c>
      <c r="R1447" s="3">
        <f t="shared" si="114"/>
        <v>4.1333333333333337</v>
      </c>
    </row>
    <row r="1448" spans="1:18" hidden="1" x14ac:dyDescent="0.25">
      <c r="A1448" t="s">
        <v>1825</v>
      </c>
      <c r="B1448" t="s">
        <v>1303</v>
      </c>
      <c r="C1448" t="s">
        <v>1342</v>
      </c>
      <c r="D1448" s="3">
        <f t="shared" si="115"/>
        <v>13.640000000000002</v>
      </c>
      <c r="E1448" t="s">
        <v>1826</v>
      </c>
      <c r="F1448" t="s">
        <v>13</v>
      </c>
      <c r="G1448">
        <f t="shared" si="116"/>
        <v>1925000</v>
      </c>
      <c r="H1448" t="s">
        <v>552</v>
      </c>
      <c r="I1448" t="s">
        <v>1827</v>
      </c>
      <c r="J1448" s="2">
        <f t="shared" si="117"/>
        <v>1830000</v>
      </c>
      <c r="K1448" t="s">
        <v>1828</v>
      </c>
      <c r="L1448">
        <f t="shared" si="118"/>
        <v>0.17222222222222225</v>
      </c>
      <c r="M1448" s="5">
        <v>0.17222222222222225</v>
      </c>
      <c r="N1448" t="s">
        <v>43</v>
      </c>
      <c r="P1448" t="s">
        <v>1171</v>
      </c>
      <c r="R1448" s="3">
        <f t="shared" si="114"/>
        <v>4.1333333333333337</v>
      </c>
    </row>
    <row r="1449" spans="1:18" hidden="1" x14ac:dyDescent="0.25">
      <c r="A1449" t="s">
        <v>1508</v>
      </c>
      <c r="B1449" t="s">
        <v>1303</v>
      </c>
      <c r="C1449" t="s">
        <v>1342</v>
      </c>
      <c r="D1449" s="3">
        <f t="shared" si="115"/>
        <v>11.47</v>
      </c>
      <c r="E1449" t="s">
        <v>1509</v>
      </c>
      <c r="F1449" t="s">
        <v>13</v>
      </c>
      <c r="G1449">
        <f t="shared" si="116"/>
        <v>1825000</v>
      </c>
      <c r="H1449" t="s">
        <v>196</v>
      </c>
      <c r="I1449" t="s">
        <v>1510</v>
      </c>
      <c r="J1449" s="2">
        <f t="shared" si="117"/>
        <v>1735000</v>
      </c>
      <c r="K1449" t="s">
        <v>198</v>
      </c>
      <c r="L1449">
        <f t="shared" si="118"/>
        <v>0.17222222222222225</v>
      </c>
      <c r="M1449" s="5">
        <v>0.17222222222222225</v>
      </c>
      <c r="N1449" t="s">
        <v>43</v>
      </c>
      <c r="P1449" t="s">
        <v>199</v>
      </c>
      <c r="R1449" s="3">
        <f t="shared" si="114"/>
        <v>4.1333333333333337</v>
      </c>
    </row>
    <row r="1450" spans="1:18" hidden="1" x14ac:dyDescent="0.25">
      <c r="A1450" t="s">
        <v>1743</v>
      </c>
      <c r="B1450" t="s">
        <v>1303</v>
      </c>
      <c r="C1450" t="s">
        <v>1342</v>
      </c>
      <c r="D1450" s="3">
        <f t="shared" si="115"/>
        <v>7.75</v>
      </c>
      <c r="E1450" t="s">
        <v>1744</v>
      </c>
      <c r="F1450" t="s">
        <v>13</v>
      </c>
      <c r="G1450">
        <f t="shared" si="116"/>
        <v>1725000</v>
      </c>
      <c r="H1450" t="s">
        <v>897</v>
      </c>
      <c r="I1450" t="s">
        <v>1745</v>
      </c>
      <c r="J1450" s="2">
        <f t="shared" si="117"/>
        <v>1640000</v>
      </c>
      <c r="K1450" t="s">
        <v>1735</v>
      </c>
      <c r="L1450">
        <f t="shared" si="118"/>
        <v>0.17222222222222225</v>
      </c>
      <c r="M1450" s="5">
        <v>0.17222222222222225</v>
      </c>
      <c r="N1450" t="s">
        <v>43</v>
      </c>
      <c r="P1450" t="s">
        <v>713</v>
      </c>
      <c r="R1450" s="3">
        <f t="shared" si="114"/>
        <v>4.1333333333333337</v>
      </c>
    </row>
    <row r="1451" spans="1:18" hidden="1" x14ac:dyDescent="0.25">
      <c r="A1451" t="s">
        <v>882</v>
      </c>
      <c r="B1451" t="s">
        <v>640</v>
      </c>
      <c r="C1451" t="s">
        <v>643</v>
      </c>
      <c r="D1451" s="3">
        <f t="shared" si="115"/>
        <v>20.639999999999997</v>
      </c>
      <c r="E1451" t="s">
        <v>883</v>
      </c>
      <c r="F1451" t="s">
        <v>13</v>
      </c>
      <c r="G1451">
        <f t="shared" si="116"/>
        <v>1875000</v>
      </c>
      <c r="H1451" t="s">
        <v>884</v>
      </c>
      <c r="I1451" t="s">
        <v>885</v>
      </c>
      <c r="J1451" s="2">
        <f t="shared" si="117"/>
        <v>1690000</v>
      </c>
      <c r="K1451" t="s">
        <v>886</v>
      </c>
      <c r="L1451">
        <f t="shared" si="118"/>
        <v>0.16874999999999998</v>
      </c>
      <c r="M1451" s="5">
        <v>0.16874999999999998</v>
      </c>
      <c r="N1451" t="s">
        <v>18</v>
      </c>
      <c r="P1451" t="s">
        <v>887</v>
      </c>
      <c r="R1451" s="3">
        <f t="shared" si="114"/>
        <v>4.05</v>
      </c>
    </row>
    <row r="1452" spans="1:18" hidden="1" x14ac:dyDescent="0.25">
      <c r="A1452" t="s">
        <v>857</v>
      </c>
      <c r="B1452" t="s">
        <v>640</v>
      </c>
      <c r="C1452" t="s">
        <v>643</v>
      </c>
      <c r="D1452" s="3">
        <f t="shared" si="115"/>
        <v>12</v>
      </c>
      <c r="E1452" t="s">
        <v>33</v>
      </c>
      <c r="F1452" t="s">
        <v>13</v>
      </c>
      <c r="G1452">
        <f t="shared" si="116"/>
        <v>1445000</v>
      </c>
      <c r="H1452" t="s">
        <v>858</v>
      </c>
      <c r="I1452" t="s">
        <v>859</v>
      </c>
      <c r="J1452" s="2">
        <f t="shared" si="117"/>
        <v>1303000</v>
      </c>
      <c r="K1452" t="s">
        <v>860</v>
      </c>
      <c r="L1452">
        <f t="shared" si="118"/>
        <v>0.17291666666666669</v>
      </c>
      <c r="M1452" s="5">
        <v>0.17291666666666669</v>
      </c>
      <c r="N1452" t="s">
        <v>18</v>
      </c>
      <c r="P1452" t="s">
        <v>861</v>
      </c>
      <c r="R1452" s="3">
        <f t="shared" si="114"/>
        <v>4.1500000000000004</v>
      </c>
    </row>
    <row r="1453" spans="1:18" hidden="1" x14ac:dyDescent="0.25">
      <c r="A1453" t="s">
        <v>5597</v>
      </c>
      <c r="B1453" t="s">
        <v>5848</v>
      </c>
      <c r="C1453" t="s">
        <v>5369</v>
      </c>
      <c r="D1453" s="3">
        <f t="shared" si="115"/>
        <v>17.600000000000001</v>
      </c>
      <c r="E1453" t="s">
        <v>2540</v>
      </c>
      <c r="F1453" t="s">
        <v>13</v>
      </c>
      <c r="G1453">
        <f t="shared" si="116"/>
        <v>1525000</v>
      </c>
      <c r="H1453" t="s">
        <v>27</v>
      </c>
      <c r="I1453" t="s">
        <v>5598</v>
      </c>
      <c r="J1453" s="2">
        <f t="shared" si="117"/>
        <v>1450000</v>
      </c>
      <c r="K1453" t="s">
        <v>29</v>
      </c>
      <c r="L1453">
        <f t="shared" si="118"/>
        <v>0.17291666666666669</v>
      </c>
      <c r="M1453" s="5">
        <v>0.17291666666666669</v>
      </c>
      <c r="N1453" t="s">
        <v>37</v>
      </c>
      <c r="P1453" t="s">
        <v>31</v>
      </c>
      <c r="R1453" s="3">
        <f t="shared" si="114"/>
        <v>4.1500000000000004</v>
      </c>
    </row>
    <row r="1454" spans="1:18" hidden="1" x14ac:dyDescent="0.25">
      <c r="A1454" t="s">
        <v>5549</v>
      </c>
      <c r="B1454" t="s">
        <v>5848</v>
      </c>
      <c r="C1454" t="s">
        <v>5369</v>
      </c>
      <c r="D1454" s="3">
        <f t="shared" si="115"/>
        <v>10.5</v>
      </c>
      <c r="E1454" t="s">
        <v>1051</v>
      </c>
      <c r="F1454" t="s">
        <v>13</v>
      </c>
      <c r="G1454">
        <f t="shared" si="116"/>
        <v>1325000</v>
      </c>
      <c r="H1454" t="s">
        <v>683</v>
      </c>
      <c r="I1454" t="s">
        <v>5550</v>
      </c>
      <c r="J1454" s="2">
        <f t="shared" si="117"/>
        <v>1260000</v>
      </c>
      <c r="K1454" t="s">
        <v>2165</v>
      </c>
      <c r="L1454">
        <f t="shared" si="118"/>
        <v>0.17222222222222225</v>
      </c>
      <c r="M1454" s="5">
        <v>0.17222222222222225</v>
      </c>
      <c r="N1454" t="s">
        <v>37</v>
      </c>
      <c r="P1454" t="s">
        <v>2166</v>
      </c>
      <c r="R1454" s="3">
        <f t="shared" si="114"/>
        <v>4.1333333333333337</v>
      </c>
    </row>
    <row r="1455" spans="1:18" hidden="1" x14ac:dyDescent="0.25">
      <c r="A1455" t="s">
        <v>5620</v>
      </c>
      <c r="B1455" t="s">
        <v>5848</v>
      </c>
      <c r="C1455" t="s">
        <v>5369</v>
      </c>
      <c r="D1455" s="3">
        <f t="shared" si="115"/>
        <v>10.5</v>
      </c>
      <c r="E1455" t="s">
        <v>1051</v>
      </c>
      <c r="F1455" t="s">
        <v>13</v>
      </c>
      <c r="G1455" t="str">
        <f t="shared" si="116"/>
        <v/>
      </c>
      <c r="H1455" t="s">
        <v>14</v>
      </c>
      <c r="I1455" t="s">
        <v>5550</v>
      </c>
      <c r="J1455" s="2">
        <f t="shared" si="117"/>
        <v>1125000</v>
      </c>
      <c r="K1455" t="s">
        <v>724</v>
      </c>
      <c r="L1455">
        <f t="shared" si="118"/>
        <v>0.17083333333333331</v>
      </c>
      <c r="M1455" s="5">
        <v>0.17083333333333331</v>
      </c>
      <c r="N1455" t="s">
        <v>37</v>
      </c>
      <c r="P1455" t="s">
        <v>2166</v>
      </c>
      <c r="R1455" s="3">
        <f t="shared" si="114"/>
        <v>4.0999999999999996</v>
      </c>
    </row>
    <row r="1456" spans="1:18" hidden="1" x14ac:dyDescent="0.25">
      <c r="A1456" t="s">
        <v>5616</v>
      </c>
      <c r="B1456" t="s">
        <v>5848</v>
      </c>
      <c r="C1456" t="s">
        <v>5342</v>
      </c>
      <c r="D1456" s="3">
        <f t="shared" si="115"/>
        <v>9</v>
      </c>
      <c r="E1456" t="s">
        <v>12</v>
      </c>
      <c r="F1456" t="s">
        <v>13</v>
      </c>
      <c r="G1456">
        <f t="shared" si="116"/>
        <v>1725000</v>
      </c>
      <c r="H1456" t="s">
        <v>897</v>
      </c>
      <c r="I1456" t="s">
        <v>5617</v>
      </c>
      <c r="J1456" s="2">
        <f t="shared" si="117"/>
        <v>1640000</v>
      </c>
      <c r="K1456" t="s">
        <v>1735</v>
      </c>
      <c r="L1456">
        <f t="shared" si="118"/>
        <v>0.17222222222222225</v>
      </c>
      <c r="M1456" s="5">
        <v>0.17222222222222225</v>
      </c>
      <c r="N1456" t="s">
        <v>18</v>
      </c>
      <c r="P1456" t="s">
        <v>713</v>
      </c>
      <c r="R1456" s="3">
        <f t="shared" si="114"/>
        <v>4.1333333333333337</v>
      </c>
    </row>
    <row r="1457" spans="1:18" hidden="1" x14ac:dyDescent="0.25">
      <c r="A1457" t="s">
        <v>5370</v>
      </c>
      <c r="B1457" t="s">
        <v>5848</v>
      </c>
      <c r="C1457" t="s">
        <v>5342</v>
      </c>
      <c r="D1457" s="3">
        <f t="shared" si="115"/>
        <v>12</v>
      </c>
      <c r="E1457" t="s">
        <v>347</v>
      </c>
      <c r="F1457" t="s">
        <v>13</v>
      </c>
      <c r="G1457">
        <f t="shared" si="116"/>
        <v>1925000</v>
      </c>
      <c r="H1457" t="s">
        <v>552</v>
      </c>
      <c r="I1457" t="s">
        <v>5371</v>
      </c>
      <c r="J1457" s="2">
        <f t="shared" si="117"/>
        <v>1830000</v>
      </c>
      <c r="K1457" t="s">
        <v>1828</v>
      </c>
      <c r="L1457">
        <f t="shared" si="118"/>
        <v>0.17291666666666669</v>
      </c>
      <c r="M1457" s="5">
        <v>0.17291666666666669</v>
      </c>
      <c r="N1457" t="s">
        <v>18</v>
      </c>
      <c r="P1457" t="s">
        <v>1171</v>
      </c>
      <c r="R1457" s="3">
        <f t="shared" si="114"/>
        <v>4.1500000000000004</v>
      </c>
    </row>
    <row r="1458" spans="1:18" hidden="1" x14ac:dyDescent="0.25">
      <c r="A1458" t="s">
        <v>2944</v>
      </c>
      <c r="B1458" t="s">
        <v>3206</v>
      </c>
      <c r="C1458" t="s">
        <v>2682</v>
      </c>
      <c r="D1458" s="3">
        <f t="shared" si="115"/>
        <v>7.5</v>
      </c>
      <c r="E1458" t="s">
        <v>178</v>
      </c>
      <c r="F1458" t="s">
        <v>34</v>
      </c>
      <c r="G1458" t="str">
        <f t="shared" si="116"/>
        <v/>
      </c>
      <c r="H1458" t="s">
        <v>14</v>
      </c>
      <c r="I1458" t="s">
        <v>2945</v>
      </c>
      <c r="J1458" s="2">
        <f t="shared" si="117"/>
        <v>2125000</v>
      </c>
      <c r="K1458" t="s">
        <v>936</v>
      </c>
      <c r="L1458">
        <f t="shared" si="118"/>
        <v>0.17222222222222225</v>
      </c>
      <c r="M1458" s="5">
        <v>0.17222222222222225</v>
      </c>
      <c r="N1458" t="s">
        <v>37</v>
      </c>
      <c r="R1458" s="3">
        <f t="shared" si="114"/>
        <v>4.1333333333333337</v>
      </c>
    </row>
    <row r="1459" spans="1:18" hidden="1" x14ac:dyDescent="0.25">
      <c r="A1459" t="s">
        <v>2782</v>
      </c>
      <c r="B1459" t="s">
        <v>3206</v>
      </c>
      <c r="C1459" t="s">
        <v>2682</v>
      </c>
      <c r="D1459" s="3">
        <f t="shared" si="115"/>
        <v>5.7200000000000006</v>
      </c>
      <c r="E1459" t="s">
        <v>2783</v>
      </c>
      <c r="F1459" t="s">
        <v>34</v>
      </c>
      <c r="G1459" t="str">
        <f t="shared" si="116"/>
        <v/>
      </c>
      <c r="H1459" t="s">
        <v>14</v>
      </c>
      <c r="I1459" t="s">
        <v>2784</v>
      </c>
      <c r="J1459" s="2">
        <f t="shared" si="117"/>
        <v>1725000</v>
      </c>
      <c r="K1459" t="s">
        <v>897</v>
      </c>
      <c r="L1459">
        <f t="shared" si="118"/>
        <v>0.17222222222222225</v>
      </c>
      <c r="M1459" s="5">
        <v>0.17222222222222225</v>
      </c>
      <c r="N1459" t="s">
        <v>37</v>
      </c>
      <c r="R1459" s="3">
        <f t="shared" si="114"/>
        <v>4.1333333333333337</v>
      </c>
    </row>
    <row r="1460" spans="1:18" x14ac:dyDescent="0.25">
      <c r="A1460" t="s">
        <v>4293</v>
      </c>
      <c r="B1460" t="s">
        <v>4272</v>
      </c>
      <c r="C1460" t="s">
        <v>4295</v>
      </c>
      <c r="D1460" s="3">
        <f t="shared" si="115"/>
        <v>9</v>
      </c>
      <c r="E1460" t="s">
        <v>12</v>
      </c>
      <c r="F1460" t="s">
        <v>13</v>
      </c>
      <c r="G1460" t="str">
        <f t="shared" si="116"/>
        <v/>
      </c>
      <c r="H1460" t="s">
        <v>14</v>
      </c>
      <c r="I1460" t="s">
        <v>4294</v>
      </c>
      <c r="J1460" s="2">
        <f t="shared" si="117"/>
        <v>1875000</v>
      </c>
      <c r="K1460" t="s">
        <v>884</v>
      </c>
      <c r="L1460">
        <f t="shared" si="118"/>
        <v>0.17083333333333331</v>
      </c>
      <c r="M1460" s="5">
        <v>0.17083333333333331</v>
      </c>
      <c r="N1460" t="s">
        <v>43</v>
      </c>
      <c r="R1460" s="3">
        <f t="shared" si="114"/>
        <v>4.0999999999999996</v>
      </c>
    </row>
    <row r="1461" spans="1:18" hidden="1" x14ac:dyDescent="0.25">
      <c r="A1461" t="s">
        <v>3826</v>
      </c>
      <c r="B1461" t="s">
        <v>3746</v>
      </c>
      <c r="C1461" t="s">
        <v>3746</v>
      </c>
      <c r="D1461" s="3">
        <f t="shared" si="115"/>
        <v>14.79</v>
      </c>
      <c r="E1461" t="s">
        <v>3827</v>
      </c>
      <c r="F1461" t="s">
        <v>13</v>
      </c>
      <c r="G1461">
        <f t="shared" si="116"/>
        <v>1625000</v>
      </c>
      <c r="H1461" t="s">
        <v>702</v>
      </c>
      <c r="I1461" t="s">
        <v>3828</v>
      </c>
      <c r="J1461" s="2">
        <f t="shared" si="117"/>
        <v>1545000</v>
      </c>
      <c r="K1461" t="s">
        <v>1503</v>
      </c>
      <c r="L1461">
        <f t="shared" si="118"/>
        <v>0.17222222222222225</v>
      </c>
      <c r="M1461" s="5">
        <v>0.17222222222222225</v>
      </c>
      <c r="N1461" t="s">
        <v>43</v>
      </c>
      <c r="P1461" t="s">
        <v>719</v>
      </c>
      <c r="R1461" s="3">
        <f t="shared" si="114"/>
        <v>4.1333333333333337</v>
      </c>
    </row>
    <row r="1462" spans="1:18" hidden="1" x14ac:dyDescent="0.25">
      <c r="A1462" t="s">
        <v>5629</v>
      </c>
      <c r="B1462" t="s">
        <v>5848</v>
      </c>
      <c r="C1462" t="s">
        <v>5631</v>
      </c>
      <c r="D1462" s="3">
        <f t="shared" si="115"/>
        <v>9</v>
      </c>
      <c r="E1462" t="s">
        <v>12</v>
      </c>
      <c r="F1462" t="s">
        <v>34</v>
      </c>
      <c r="G1462">
        <f t="shared" si="116"/>
        <v>1375000</v>
      </c>
      <c r="H1462" t="s">
        <v>812</v>
      </c>
      <c r="I1462" t="s">
        <v>5630</v>
      </c>
      <c r="J1462" s="2">
        <f t="shared" si="117"/>
        <v>1267000</v>
      </c>
      <c r="K1462" t="s">
        <v>3568</v>
      </c>
      <c r="L1462">
        <f t="shared" si="118"/>
        <v>0.17013888888888887</v>
      </c>
      <c r="M1462" s="5">
        <v>0.17013888888888887</v>
      </c>
      <c r="N1462" t="s">
        <v>43</v>
      </c>
      <c r="P1462" t="s">
        <v>2143</v>
      </c>
      <c r="R1462" s="3">
        <f t="shared" si="114"/>
        <v>4.083333333333333</v>
      </c>
    </row>
    <row r="1463" spans="1:18" hidden="1" x14ac:dyDescent="0.25">
      <c r="A1463" t="s">
        <v>2447</v>
      </c>
      <c r="B1463" t="s">
        <v>2596</v>
      </c>
      <c r="C1463" t="s">
        <v>2036</v>
      </c>
      <c r="D1463" s="3">
        <f t="shared" si="115"/>
        <v>43.2</v>
      </c>
      <c r="E1463" t="s">
        <v>2448</v>
      </c>
      <c r="F1463" t="s">
        <v>13</v>
      </c>
      <c r="G1463" t="str">
        <f t="shared" si="116"/>
        <v/>
      </c>
      <c r="H1463" t="s">
        <v>14</v>
      </c>
      <c r="I1463" t="s">
        <v>2449</v>
      </c>
      <c r="J1463" s="2">
        <f t="shared" si="117"/>
        <v>3025000</v>
      </c>
      <c r="K1463" t="s">
        <v>1793</v>
      </c>
      <c r="L1463">
        <f t="shared" si="118"/>
        <v>0.20833333333333334</v>
      </c>
      <c r="M1463" s="5">
        <v>0.20833333333333334</v>
      </c>
      <c r="N1463" t="s">
        <v>18</v>
      </c>
      <c r="P1463" t="s">
        <v>681</v>
      </c>
      <c r="R1463" s="3">
        <f t="shared" si="114"/>
        <v>5</v>
      </c>
    </row>
    <row r="1464" spans="1:18" hidden="1" x14ac:dyDescent="0.25">
      <c r="A1464" t="s">
        <v>2352</v>
      </c>
      <c r="B1464" t="s">
        <v>2596</v>
      </c>
      <c r="C1464" t="s">
        <v>2036</v>
      </c>
      <c r="D1464" s="3">
        <f t="shared" si="115"/>
        <v>19.25</v>
      </c>
      <c r="E1464" t="s">
        <v>2353</v>
      </c>
      <c r="F1464" t="s">
        <v>13</v>
      </c>
      <c r="G1464" t="str">
        <f t="shared" si="116"/>
        <v/>
      </c>
      <c r="H1464" t="s">
        <v>14</v>
      </c>
      <c r="I1464" t="s">
        <v>2354</v>
      </c>
      <c r="J1464" s="2">
        <f t="shared" si="117"/>
        <v>2725000</v>
      </c>
      <c r="K1464" t="s">
        <v>2295</v>
      </c>
      <c r="L1464">
        <f t="shared" si="118"/>
        <v>0.17291666666666669</v>
      </c>
      <c r="M1464" s="5">
        <v>0.17291666666666669</v>
      </c>
      <c r="N1464" t="s">
        <v>18</v>
      </c>
      <c r="R1464" s="3">
        <f t="shared" si="114"/>
        <v>4.1500000000000004</v>
      </c>
    </row>
    <row r="1465" spans="1:18" hidden="1" x14ac:dyDescent="0.25">
      <c r="A1465" t="s">
        <v>2152</v>
      </c>
      <c r="B1465" t="s">
        <v>2596</v>
      </c>
      <c r="C1465" t="s">
        <v>2036</v>
      </c>
      <c r="D1465" s="3">
        <f t="shared" si="115"/>
        <v>10.5</v>
      </c>
      <c r="E1465" t="s">
        <v>653</v>
      </c>
      <c r="F1465" t="s">
        <v>13</v>
      </c>
      <c r="G1465" t="str">
        <f t="shared" si="116"/>
        <v/>
      </c>
      <c r="H1465" t="s">
        <v>14</v>
      </c>
      <c r="I1465" t="s">
        <v>2153</v>
      </c>
      <c r="J1465" s="2">
        <f t="shared" si="117"/>
        <v>2575000</v>
      </c>
      <c r="K1465" t="s">
        <v>2154</v>
      </c>
      <c r="L1465">
        <f t="shared" si="118"/>
        <v>0.17291666666666669</v>
      </c>
      <c r="M1465" s="5">
        <v>0.17291666666666669</v>
      </c>
      <c r="N1465" t="s">
        <v>18</v>
      </c>
      <c r="R1465" s="3">
        <f t="shared" si="114"/>
        <v>4.1500000000000004</v>
      </c>
    </row>
    <row r="1466" spans="1:18" hidden="1" x14ac:dyDescent="0.25">
      <c r="A1466" t="s">
        <v>2300</v>
      </c>
      <c r="B1466" t="s">
        <v>2596</v>
      </c>
      <c r="C1466" t="s">
        <v>2036</v>
      </c>
      <c r="D1466" s="3">
        <f t="shared" si="115"/>
        <v>7.5</v>
      </c>
      <c r="E1466" t="s">
        <v>614</v>
      </c>
      <c r="F1466" t="s">
        <v>13</v>
      </c>
      <c r="G1466" t="str">
        <f t="shared" si="116"/>
        <v/>
      </c>
      <c r="H1466" t="s">
        <v>14</v>
      </c>
      <c r="I1466" t="s">
        <v>2301</v>
      </c>
      <c r="J1466" s="2">
        <f t="shared" si="117"/>
        <v>2325000</v>
      </c>
      <c r="K1466" t="s">
        <v>1352</v>
      </c>
      <c r="L1466">
        <f t="shared" si="118"/>
        <v>0.17083333333333331</v>
      </c>
      <c r="M1466" s="5">
        <v>0.17083333333333331</v>
      </c>
      <c r="N1466" t="s">
        <v>18</v>
      </c>
      <c r="P1466" t="s">
        <v>2302</v>
      </c>
      <c r="R1466" s="3">
        <f t="shared" si="114"/>
        <v>4.0999999999999996</v>
      </c>
    </row>
    <row r="1467" spans="1:18" hidden="1" x14ac:dyDescent="0.25">
      <c r="A1467" t="s">
        <v>3220</v>
      </c>
      <c r="B1467" t="s">
        <v>3206</v>
      </c>
      <c r="C1467" t="s">
        <v>3222</v>
      </c>
      <c r="D1467" s="3">
        <f t="shared" si="115"/>
        <v>9</v>
      </c>
      <c r="E1467" t="s">
        <v>12</v>
      </c>
      <c r="F1467" t="s">
        <v>34</v>
      </c>
      <c r="G1467">
        <f t="shared" si="116"/>
        <v>2625000</v>
      </c>
      <c r="H1467" t="s">
        <v>2257</v>
      </c>
      <c r="I1467" t="s">
        <v>3221</v>
      </c>
      <c r="J1467" s="2">
        <f t="shared" si="117"/>
        <v>2495000</v>
      </c>
      <c r="K1467" t="s">
        <v>2259</v>
      </c>
      <c r="L1467">
        <f t="shared" si="118"/>
        <v>0.17013888888888887</v>
      </c>
      <c r="M1467" s="5">
        <v>0.17013888888888887</v>
      </c>
      <c r="N1467" t="s">
        <v>43</v>
      </c>
      <c r="P1467" t="s">
        <v>686</v>
      </c>
      <c r="R1467" s="3">
        <f t="shared" si="114"/>
        <v>4.083333333333333</v>
      </c>
    </row>
    <row r="1468" spans="1:18" x14ac:dyDescent="0.25">
      <c r="A1468" t="s">
        <v>1011</v>
      </c>
      <c r="B1468" t="s">
        <v>640</v>
      </c>
      <c r="C1468" t="s">
        <v>643</v>
      </c>
      <c r="D1468" s="3">
        <f t="shared" si="115"/>
        <v>9.990000000000002</v>
      </c>
      <c r="E1468" t="s">
        <v>1012</v>
      </c>
      <c r="F1468" t="s">
        <v>13</v>
      </c>
      <c r="G1468" t="str">
        <f t="shared" si="116"/>
        <v/>
      </c>
      <c r="H1468" t="s">
        <v>14</v>
      </c>
      <c r="I1468" t="s">
        <v>1013</v>
      </c>
      <c r="J1468" s="2">
        <f t="shared" si="117"/>
        <v>1875000</v>
      </c>
      <c r="K1468" t="s">
        <v>884</v>
      </c>
      <c r="L1468">
        <f t="shared" si="118"/>
        <v>0.17013888888888887</v>
      </c>
      <c r="M1468" s="5">
        <v>0.17013888888888887</v>
      </c>
      <c r="N1468" t="s">
        <v>18</v>
      </c>
      <c r="P1468" t="s">
        <v>762</v>
      </c>
      <c r="R1468" s="3">
        <f t="shared" si="114"/>
        <v>4.083333333333333</v>
      </c>
    </row>
    <row r="1469" spans="1:18" hidden="1" x14ac:dyDescent="0.25">
      <c r="A1469" t="s">
        <v>1688</v>
      </c>
      <c r="B1469" t="s">
        <v>1303</v>
      </c>
      <c r="C1469" t="s">
        <v>1312</v>
      </c>
      <c r="D1469" s="3">
        <f t="shared" si="115"/>
        <v>9.8999999999999986</v>
      </c>
      <c r="E1469" t="s">
        <v>837</v>
      </c>
      <c r="F1469" t="s">
        <v>34</v>
      </c>
      <c r="G1469" t="str">
        <f t="shared" si="116"/>
        <v/>
      </c>
      <c r="H1469" t="s">
        <v>14</v>
      </c>
      <c r="I1469" t="s">
        <v>1689</v>
      </c>
      <c r="J1469" s="2">
        <f t="shared" si="117"/>
        <v>2500000</v>
      </c>
      <c r="K1469" t="s">
        <v>272</v>
      </c>
      <c r="L1469">
        <f t="shared" si="118"/>
        <v>0.17222222222222225</v>
      </c>
      <c r="M1469" s="5">
        <v>0.17222222222222225</v>
      </c>
      <c r="N1469" t="s">
        <v>43</v>
      </c>
      <c r="P1469" t="s">
        <v>1053</v>
      </c>
      <c r="R1469" s="3">
        <f t="shared" si="114"/>
        <v>4.1333333333333337</v>
      </c>
    </row>
    <row r="1470" spans="1:18" hidden="1" x14ac:dyDescent="0.25">
      <c r="A1470" t="s">
        <v>1054</v>
      </c>
      <c r="B1470" t="s">
        <v>640</v>
      </c>
      <c r="C1470" t="s">
        <v>749</v>
      </c>
      <c r="D1470" s="3">
        <f t="shared" si="115"/>
        <v>10.5</v>
      </c>
      <c r="E1470" t="s">
        <v>1051</v>
      </c>
      <c r="F1470" t="s">
        <v>13</v>
      </c>
      <c r="G1470">
        <f t="shared" si="116"/>
        <v>1775000</v>
      </c>
      <c r="H1470" t="s">
        <v>1055</v>
      </c>
      <c r="I1470" t="s">
        <v>1056</v>
      </c>
      <c r="J1470" s="2">
        <f t="shared" si="117"/>
        <v>1600000</v>
      </c>
      <c r="K1470" t="s">
        <v>95</v>
      </c>
      <c r="L1470">
        <f t="shared" si="118"/>
        <v>0.17222222222222225</v>
      </c>
      <c r="M1470" s="5">
        <v>0.17222222222222225</v>
      </c>
      <c r="N1470" t="s">
        <v>18</v>
      </c>
      <c r="P1470" t="s">
        <v>1057</v>
      </c>
      <c r="R1470" s="3">
        <f t="shared" si="114"/>
        <v>4.1333333333333337</v>
      </c>
    </row>
    <row r="1471" spans="1:18" hidden="1" x14ac:dyDescent="0.25">
      <c r="A1471" t="s">
        <v>843</v>
      </c>
      <c r="B1471" t="s">
        <v>640</v>
      </c>
      <c r="C1471" t="s">
        <v>749</v>
      </c>
      <c r="D1471" s="3">
        <f t="shared" si="115"/>
        <v>9</v>
      </c>
      <c r="E1471" t="s">
        <v>12</v>
      </c>
      <c r="F1471" t="s">
        <v>13</v>
      </c>
      <c r="G1471">
        <f t="shared" si="116"/>
        <v>1525000</v>
      </c>
      <c r="H1471" t="s">
        <v>27</v>
      </c>
      <c r="I1471" t="s">
        <v>844</v>
      </c>
      <c r="J1471" s="2">
        <f t="shared" si="117"/>
        <v>1375000</v>
      </c>
      <c r="K1471" t="s">
        <v>812</v>
      </c>
      <c r="L1471">
        <f t="shared" si="118"/>
        <v>0.17222222222222225</v>
      </c>
      <c r="M1471" s="5">
        <v>0.17222222222222225</v>
      </c>
      <c r="N1471" t="s">
        <v>18</v>
      </c>
      <c r="P1471" t="s">
        <v>681</v>
      </c>
      <c r="R1471" s="3">
        <f t="shared" si="114"/>
        <v>4.1333333333333337</v>
      </c>
    </row>
    <row r="1472" spans="1:18" hidden="1" x14ac:dyDescent="0.25">
      <c r="A1472" t="s">
        <v>5621</v>
      </c>
      <c r="B1472" t="s">
        <v>5848</v>
      </c>
      <c r="C1472" t="s">
        <v>5339</v>
      </c>
      <c r="D1472" s="3">
        <f t="shared" si="115"/>
        <v>15.179999999999998</v>
      </c>
      <c r="E1472" t="s">
        <v>5622</v>
      </c>
      <c r="F1472" t="s">
        <v>13</v>
      </c>
      <c r="G1472">
        <f t="shared" si="116"/>
        <v>2825000</v>
      </c>
      <c r="H1472" t="s">
        <v>1604</v>
      </c>
      <c r="I1472" t="s">
        <v>5623</v>
      </c>
      <c r="J1472" s="2">
        <f t="shared" si="117"/>
        <v>2685000</v>
      </c>
      <c r="K1472" t="s">
        <v>1606</v>
      </c>
      <c r="L1472">
        <f t="shared" si="118"/>
        <v>0.17013888888888887</v>
      </c>
      <c r="M1472" s="5">
        <v>0.17013888888888887</v>
      </c>
      <c r="N1472" t="s">
        <v>18</v>
      </c>
      <c r="P1472" t="s">
        <v>1607</v>
      </c>
      <c r="R1472" s="3">
        <f t="shared" si="114"/>
        <v>4.083333333333333</v>
      </c>
    </row>
    <row r="1473" spans="1:18" hidden="1" x14ac:dyDescent="0.25">
      <c r="A1473" t="s">
        <v>5412</v>
      </c>
      <c r="B1473" t="s">
        <v>5848</v>
      </c>
      <c r="C1473" t="s">
        <v>5339</v>
      </c>
      <c r="D1473" s="3">
        <f t="shared" si="115"/>
        <v>12.209999999999999</v>
      </c>
      <c r="E1473" t="s">
        <v>2813</v>
      </c>
      <c r="F1473" t="s">
        <v>13</v>
      </c>
      <c r="G1473" t="str">
        <f t="shared" si="116"/>
        <v/>
      </c>
      <c r="H1473" t="s">
        <v>14</v>
      </c>
      <c r="I1473" t="s">
        <v>5413</v>
      </c>
      <c r="J1473" s="2">
        <f t="shared" si="117"/>
        <v>2375000</v>
      </c>
      <c r="K1473" t="s">
        <v>1388</v>
      </c>
      <c r="L1473">
        <f t="shared" si="118"/>
        <v>0.20833333333333334</v>
      </c>
      <c r="M1473" s="5">
        <v>0.20833333333333334</v>
      </c>
      <c r="N1473" t="s">
        <v>18</v>
      </c>
      <c r="P1473" t="s">
        <v>2143</v>
      </c>
      <c r="R1473" s="3">
        <f t="shared" si="114"/>
        <v>5</v>
      </c>
    </row>
    <row r="1474" spans="1:18" hidden="1" x14ac:dyDescent="0.25">
      <c r="A1474" t="s">
        <v>5426</v>
      </c>
      <c r="B1474" t="s">
        <v>5848</v>
      </c>
      <c r="C1474" t="s">
        <v>5339</v>
      </c>
      <c r="D1474" s="3">
        <f t="shared" si="115"/>
        <v>12.209999999999999</v>
      </c>
      <c r="E1474" t="s">
        <v>2813</v>
      </c>
      <c r="F1474" t="s">
        <v>13</v>
      </c>
      <c r="G1474">
        <f t="shared" si="116"/>
        <v>2275000</v>
      </c>
      <c r="H1474" t="s">
        <v>1027</v>
      </c>
      <c r="I1474" t="s">
        <v>5427</v>
      </c>
      <c r="J1474" s="2">
        <f t="shared" si="117"/>
        <v>2162500</v>
      </c>
      <c r="K1474" t="s">
        <v>1029</v>
      </c>
      <c r="L1474">
        <f t="shared" si="118"/>
        <v>0.17222222222222225</v>
      </c>
      <c r="M1474" s="5">
        <v>0.17222222222222225</v>
      </c>
      <c r="N1474" t="s">
        <v>18</v>
      </c>
      <c r="P1474" t="s">
        <v>1030</v>
      </c>
      <c r="R1474" s="3">
        <f t="shared" ref="R1474:R1537" si="119">24*L1474</f>
        <v>4.1333333333333337</v>
      </c>
    </row>
    <row r="1475" spans="1:18" hidden="1" x14ac:dyDescent="0.25">
      <c r="A1475" t="s">
        <v>5489</v>
      </c>
      <c r="B1475" t="s">
        <v>5848</v>
      </c>
      <c r="C1475" t="s">
        <v>5339</v>
      </c>
      <c r="D1475" s="3">
        <f t="shared" si="115"/>
        <v>12.209999999999999</v>
      </c>
      <c r="E1475" t="s">
        <v>2813</v>
      </c>
      <c r="F1475" t="s">
        <v>13</v>
      </c>
      <c r="G1475">
        <f t="shared" si="116"/>
        <v>2175000</v>
      </c>
      <c r="H1475" t="s">
        <v>1386</v>
      </c>
      <c r="I1475" t="s">
        <v>5427</v>
      </c>
      <c r="J1475" s="2">
        <f t="shared" si="117"/>
        <v>2067500</v>
      </c>
      <c r="K1475" t="s">
        <v>3872</v>
      </c>
      <c r="L1475">
        <f t="shared" si="118"/>
        <v>0.17222222222222225</v>
      </c>
      <c r="M1475" s="5">
        <v>0.17222222222222225</v>
      </c>
      <c r="N1475" t="s">
        <v>18</v>
      </c>
      <c r="P1475" t="s">
        <v>2143</v>
      </c>
      <c r="R1475" s="3">
        <f t="shared" si="119"/>
        <v>4.1333333333333337</v>
      </c>
    </row>
    <row r="1476" spans="1:18" hidden="1" x14ac:dyDescent="0.25">
      <c r="A1476" t="s">
        <v>3009</v>
      </c>
      <c r="B1476" t="s">
        <v>3206</v>
      </c>
      <c r="C1476" t="s">
        <v>2600</v>
      </c>
      <c r="D1476" s="3">
        <f t="shared" ref="D1476:D1539" si="120">VALUE(LEFT(E1476,SEARCH(" x ",E1476)-1))*VALUE(MID(E1476,SEARCH(" x ",E1476)+3,SEARCH(" meter",E1476)-SEARCH(" x ",E1476)-3))</f>
        <v>14.399999999999999</v>
      </c>
      <c r="E1476" t="s">
        <v>561</v>
      </c>
      <c r="F1476" t="s">
        <v>13</v>
      </c>
      <c r="G1476">
        <f t="shared" ref="G1476:G1539" si="121">IF(H1476="N/A","",VALUE(SUBSTITUTE(SUBSTITUTE(H1476,"Rp",""),".","")))</f>
        <v>3525000</v>
      </c>
      <c r="H1476" t="s">
        <v>2719</v>
      </c>
      <c r="I1476" t="s">
        <v>3010</v>
      </c>
      <c r="J1476" s="2">
        <f t="shared" ref="J1476:J1539" si="122">VALUE(SUBSTITUTE(SUBSTITUTE(K1476,"Rp",""),".",""))</f>
        <v>3350000</v>
      </c>
      <c r="K1476" t="s">
        <v>2906</v>
      </c>
      <c r="L1476">
        <f t="shared" ref="L1476:L1539" si="123">M1476:M3816</f>
        <v>0.17083333333333331</v>
      </c>
      <c r="M1476" s="5">
        <v>0.17083333333333331</v>
      </c>
      <c r="N1476" t="s">
        <v>43</v>
      </c>
      <c r="P1476" t="s">
        <v>1057</v>
      </c>
      <c r="R1476" s="3">
        <f t="shared" si="119"/>
        <v>4.0999999999999996</v>
      </c>
    </row>
    <row r="1477" spans="1:18" hidden="1" x14ac:dyDescent="0.25">
      <c r="A1477" t="s">
        <v>5519</v>
      </c>
      <c r="B1477" t="s">
        <v>5848</v>
      </c>
      <c r="C1477" t="s">
        <v>5350</v>
      </c>
      <c r="D1477" s="3">
        <f t="shared" si="120"/>
        <v>7.8000000000000007</v>
      </c>
      <c r="E1477" t="s">
        <v>5520</v>
      </c>
      <c r="F1477" t="s">
        <v>13</v>
      </c>
      <c r="G1477">
        <f t="shared" si="121"/>
        <v>1605000</v>
      </c>
      <c r="H1477" t="s">
        <v>5521</v>
      </c>
      <c r="I1477" t="s">
        <v>5522</v>
      </c>
      <c r="J1477" s="2">
        <f t="shared" si="122"/>
        <v>1526000</v>
      </c>
      <c r="K1477" t="s">
        <v>5523</v>
      </c>
      <c r="L1477">
        <f t="shared" si="123"/>
        <v>0.17222222222222225</v>
      </c>
      <c r="M1477" s="5">
        <v>0.17222222222222225</v>
      </c>
      <c r="N1477" t="s">
        <v>43</v>
      </c>
      <c r="P1477" t="s">
        <v>5524</v>
      </c>
      <c r="R1477" s="3">
        <f t="shared" si="119"/>
        <v>4.1333333333333337</v>
      </c>
    </row>
    <row r="1478" spans="1:18" hidden="1" x14ac:dyDescent="0.25">
      <c r="A1478" t="s">
        <v>5618</v>
      </c>
      <c r="B1478" t="s">
        <v>5848</v>
      </c>
      <c r="C1478" t="s">
        <v>5350</v>
      </c>
      <c r="D1478" s="3">
        <f t="shared" si="120"/>
        <v>7.8000000000000007</v>
      </c>
      <c r="E1478" t="s">
        <v>5520</v>
      </c>
      <c r="F1478" t="s">
        <v>13</v>
      </c>
      <c r="G1478" t="str">
        <f t="shared" si="121"/>
        <v/>
      </c>
      <c r="H1478" t="s">
        <v>14</v>
      </c>
      <c r="I1478" t="s">
        <v>5619</v>
      </c>
      <c r="J1478" s="2">
        <f t="shared" si="122"/>
        <v>1275000</v>
      </c>
      <c r="K1478" t="s">
        <v>698</v>
      </c>
      <c r="L1478">
        <f t="shared" si="123"/>
        <v>0.17013888888888887</v>
      </c>
      <c r="M1478" s="5">
        <v>0.17013888888888887</v>
      </c>
      <c r="N1478" t="s">
        <v>43</v>
      </c>
      <c r="P1478" t="s">
        <v>5524</v>
      </c>
      <c r="R1478" s="3">
        <f t="shared" si="119"/>
        <v>4.083333333333333</v>
      </c>
    </row>
    <row r="1479" spans="1:18" hidden="1" x14ac:dyDescent="0.25">
      <c r="A1479" t="s">
        <v>5407</v>
      </c>
      <c r="B1479" t="s">
        <v>5848</v>
      </c>
      <c r="C1479" t="s">
        <v>5409</v>
      </c>
      <c r="D1479" s="3">
        <f t="shared" si="120"/>
        <v>10.8</v>
      </c>
      <c r="E1479" t="s">
        <v>4774</v>
      </c>
      <c r="F1479" t="s">
        <v>13</v>
      </c>
      <c r="G1479" t="str">
        <f t="shared" si="121"/>
        <v/>
      </c>
      <c r="H1479" t="s">
        <v>14</v>
      </c>
      <c r="I1479" t="s">
        <v>5408</v>
      </c>
      <c r="J1479" s="2">
        <f t="shared" si="122"/>
        <v>1700000</v>
      </c>
      <c r="K1479" t="s">
        <v>23</v>
      </c>
      <c r="L1479">
        <f t="shared" si="123"/>
        <v>0.17291666666666669</v>
      </c>
      <c r="M1479" s="5">
        <v>0.17291666666666669</v>
      </c>
      <c r="N1479" t="s">
        <v>18</v>
      </c>
      <c r="P1479" t="s">
        <v>691</v>
      </c>
      <c r="R1479" s="3">
        <f t="shared" si="119"/>
        <v>4.1500000000000004</v>
      </c>
    </row>
    <row r="1480" spans="1:18" hidden="1" x14ac:dyDescent="0.25">
      <c r="A1480" t="s">
        <v>5643</v>
      </c>
      <c r="B1480" t="s">
        <v>5848</v>
      </c>
      <c r="C1480" t="s">
        <v>5409</v>
      </c>
      <c r="D1480" s="3">
        <f t="shared" si="120"/>
        <v>8.8000000000000007</v>
      </c>
      <c r="E1480" t="s">
        <v>1300</v>
      </c>
      <c r="F1480" t="s">
        <v>13</v>
      </c>
      <c r="G1480" t="str">
        <f t="shared" si="121"/>
        <v/>
      </c>
      <c r="H1480" t="s">
        <v>14</v>
      </c>
      <c r="I1480" t="s">
        <v>5644</v>
      </c>
      <c r="J1480" s="2">
        <f t="shared" si="122"/>
        <v>1600000</v>
      </c>
      <c r="K1480" t="s">
        <v>95</v>
      </c>
      <c r="L1480">
        <f t="shared" si="123"/>
        <v>0.17222222222222225</v>
      </c>
      <c r="M1480" s="5">
        <v>0.17222222222222225</v>
      </c>
      <c r="N1480" t="s">
        <v>18</v>
      </c>
      <c r="P1480" t="s">
        <v>691</v>
      </c>
      <c r="R1480" s="3">
        <f t="shared" si="119"/>
        <v>4.1333333333333337</v>
      </c>
    </row>
    <row r="1481" spans="1:18" hidden="1" x14ac:dyDescent="0.25">
      <c r="A1481" t="s">
        <v>1384</v>
      </c>
      <c r="B1481" t="s">
        <v>1303</v>
      </c>
      <c r="C1481" t="s">
        <v>1316</v>
      </c>
      <c r="D1481" s="3">
        <f t="shared" si="120"/>
        <v>9</v>
      </c>
      <c r="E1481" t="s">
        <v>12</v>
      </c>
      <c r="F1481" t="s">
        <v>34</v>
      </c>
      <c r="G1481">
        <f t="shared" si="121"/>
        <v>2275000</v>
      </c>
      <c r="H1481" t="s">
        <v>1027</v>
      </c>
      <c r="I1481" t="s">
        <v>1385</v>
      </c>
      <c r="J1481" s="2">
        <f t="shared" si="122"/>
        <v>2175000</v>
      </c>
      <c r="K1481" t="s">
        <v>1386</v>
      </c>
      <c r="L1481">
        <f t="shared" si="123"/>
        <v>0.17291666666666669</v>
      </c>
      <c r="M1481" s="5">
        <v>0.17291666666666669</v>
      </c>
      <c r="N1481" t="s">
        <v>43</v>
      </c>
      <c r="P1481" t="s">
        <v>669</v>
      </c>
      <c r="R1481" s="3">
        <f t="shared" si="119"/>
        <v>4.1500000000000004</v>
      </c>
    </row>
    <row r="1482" spans="1:18" x14ac:dyDescent="0.25">
      <c r="A1482" t="s">
        <v>1439</v>
      </c>
      <c r="B1482" t="s">
        <v>1303</v>
      </c>
      <c r="C1482" t="s">
        <v>1316</v>
      </c>
      <c r="D1482" s="3">
        <f t="shared" si="120"/>
        <v>8.75</v>
      </c>
      <c r="E1482" t="s">
        <v>1404</v>
      </c>
      <c r="F1482" t="s">
        <v>13</v>
      </c>
      <c r="G1482">
        <f t="shared" si="121"/>
        <v>1975000</v>
      </c>
      <c r="H1482" t="s">
        <v>956</v>
      </c>
      <c r="I1482" t="s">
        <v>1440</v>
      </c>
      <c r="J1482" s="2">
        <f t="shared" si="122"/>
        <v>1877500</v>
      </c>
      <c r="K1482" t="s">
        <v>1441</v>
      </c>
      <c r="L1482">
        <f t="shared" si="123"/>
        <v>0.17083333333333331</v>
      </c>
      <c r="M1482" s="5">
        <v>0.17083333333333331</v>
      </c>
      <c r="N1482" t="s">
        <v>43</v>
      </c>
      <c r="P1482" t="s">
        <v>1442</v>
      </c>
      <c r="R1482" s="3">
        <f t="shared" si="119"/>
        <v>4.0999999999999996</v>
      </c>
    </row>
    <row r="1483" spans="1:18" hidden="1" x14ac:dyDescent="0.25">
      <c r="A1483" t="s">
        <v>1533</v>
      </c>
      <c r="B1483" t="s">
        <v>1303</v>
      </c>
      <c r="C1483" t="s">
        <v>1342</v>
      </c>
      <c r="D1483" s="3">
        <f t="shared" si="120"/>
        <v>9.8999999999999986</v>
      </c>
      <c r="E1483" t="s">
        <v>837</v>
      </c>
      <c r="F1483" t="s">
        <v>34</v>
      </c>
      <c r="G1483">
        <f t="shared" si="121"/>
        <v>1800000</v>
      </c>
      <c r="H1483" t="s">
        <v>228</v>
      </c>
      <c r="I1483" t="s">
        <v>1534</v>
      </c>
      <c r="J1483" s="2">
        <f t="shared" si="122"/>
        <v>1622500</v>
      </c>
      <c r="K1483" t="s">
        <v>1535</v>
      </c>
      <c r="L1483">
        <f t="shared" si="123"/>
        <v>0.17222222222222225</v>
      </c>
      <c r="M1483" s="5">
        <v>0.17222222222222225</v>
      </c>
      <c r="N1483" t="s">
        <v>43</v>
      </c>
      <c r="P1483" t="s">
        <v>1536</v>
      </c>
      <c r="R1483" s="3">
        <f t="shared" si="119"/>
        <v>4.1333333333333337</v>
      </c>
    </row>
    <row r="1484" spans="1:18" hidden="1" x14ac:dyDescent="0.25">
      <c r="A1484" t="s">
        <v>1551</v>
      </c>
      <c r="B1484" t="s">
        <v>1303</v>
      </c>
      <c r="C1484" t="s">
        <v>1342</v>
      </c>
      <c r="D1484" s="3">
        <f t="shared" si="120"/>
        <v>13.299999999999999</v>
      </c>
      <c r="E1484" t="s">
        <v>1552</v>
      </c>
      <c r="F1484" t="s">
        <v>34</v>
      </c>
      <c r="G1484">
        <f t="shared" si="121"/>
        <v>1675000</v>
      </c>
      <c r="H1484" t="s">
        <v>1119</v>
      </c>
      <c r="I1484" t="s">
        <v>1553</v>
      </c>
      <c r="J1484" s="2">
        <f t="shared" si="122"/>
        <v>1510000</v>
      </c>
      <c r="K1484" t="s">
        <v>1554</v>
      </c>
      <c r="L1484">
        <f t="shared" si="123"/>
        <v>0.17222222222222225</v>
      </c>
      <c r="M1484" s="5">
        <v>0.17222222222222225</v>
      </c>
      <c r="N1484" t="s">
        <v>43</v>
      </c>
      <c r="P1484" t="s">
        <v>1555</v>
      </c>
      <c r="R1484" s="3">
        <f t="shared" si="119"/>
        <v>4.1333333333333337</v>
      </c>
    </row>
    <row r="1485" spans="1:18" hidden="1" x14ac:dyDescent="0.25">
      <c r="A1485" t="s">
        <v>1541</v>
      </c>
      <c r="B1485" t="s">
        <v>1303</v>
      </c>
      <c r="C1485" t="s">
        <v>1312</v>
      </c>
      <c r="D1485" s="3">
        <f t="shared" si="120"/>
        <v>6.6000000000000005</v>
      </c>
      <c r="E1485" t="s">
        <v>1096</v>
      </c>
      <c r="F1485" t="s">
        <v>13</v>
      </c>
      <c r="G1485">
        <f t="shared" si="121"/>
        <v>1825000</v>
      </c>
      <c r="H1485" t="s">
        <v>196</v>
      </c>
      <c r="I1485" t="s">
        <v>1538</v>
      </c>
      <c r="J1485" s="2">
        <f t="shared" si="122"/>
        <v>1735000</v>
      </c>
      <c r="K1485" t="s">
        <v>198</v>
      </c>
      <c r="L1485">
        <f t="shared" si="123"/>
        <v>0.16944444444444443</v>
      </c>
      <c r="M1485" s="5">
        <v>0.16944444444444443</v>
      </c>
      <c r="N1485" t="s">
        <v>43</v>
      </c>
      <c r="P1485" t="s">
        <v>199</v>
      </c>
      <c r="R1485" s="3">
        <f t="shared" si="119"/>
        <v>4.0666666666666664</v>
      </c>
    </row>
    <row r="1486" spans="1:18" hidden="1" x14ac:dyDescent="0.25">
      <c r="A1486" t="s">
        <v>1734</v>
      </c>
      <c r="B1486" t="s">
        <v>1303</v>
      </c>
      <c r="C1486" t="s">
        <v>1312</v>
      </c>
      <c r="D1486" s="3">
        <f t="shared" si="120"/>
        <v>6.6000000000000005</v>
      </c>
      <c r="E1486" t="s">
        <v>1096</v>
      </c>
      <c r="F1486" t="s">
        <v>13</v>
      </c>
      <c r="G1486">
        <f t="shared" si="121"/>
        <v>1725000</v>
      </c>
      <c r="H1486" t="s">
        <v>897</v>
      </c>
      <c r="I1486" t="s">
        <v>1538</v>
      </c>
      <c r="J1486" s="2">
        <f t="shared" si="122"/>
        <v>1640000</v>
      </c>
      <c r="K1486" t="s">
        <v>1735</v>
      </c>
      <c r="L1486">
        <f t="shared" si="123"/>
        <v>0.17013888888888887</v>
      </c>
      <c r="M1486" s="5">
        <v>0.17013888888888887</v>
      </c>
      <c r="N1486" t="s">
        <v>43</v>
      </c>
      <c r="P1486" t="s">
        <v>713</v>
      </c>
      <c r="R1486" s="3">
        <f t="shared" si="119"/>
        <v>4.083333333333333</v>
      </c>
    </row>
    <row r="1487" spans="1:18" hidden="1" x14ac:dyDescent="0.25">
      <c r="A1487" t="s">
        <v>1537</v>
      </c>
      <c r="B1487" t="s">
        <v>1303</v>
      </c>
      <c r="C1487" t="s">
        <v>1312</v>
      </c>
      <c r="D1487" s="3">
        <f t="shared" si="120"/>
        <v>6.6000000000000005</v>
      </c>
      <c r="E1487" t="s">
        <v>1096</v>
      </c>
      <c r="F1487" t="s">
        <v>13</v>
      </c>
      <c r="G1487" t="str">
        <f t="shared" si="121"/>
        <v/>
      </c>
      <c r="H1487" t="s">
        <v>14</v>
      </c>
      <c r="I1487" t="s">
        <v>1538</v>
      </c>
      <c r="J1487" s="2">
        <f t="shared" si="122"/>
        <v>1625000</v>
      </c>
      <c r="K1487" t="s">
        <v>702</v>
      </c>
      <c r="L1487">
        <f t="shared" si="123"/>
        <v>0.16944444444444443</v>
      </c>
      <c r="M1487" s="5">
        <v>0.16944444444444443</v>
      </c>
      <c r="N1487" t="s">
        <v>43</v>
      </c>
      <c r="P1487" t="s">
        <v>713</v>
      </c>
      <c r="R1487" s="3">
        <f t="shared" si="119"/>
        <v>4.0666666666666664</v>
      </c>
    </row>
    <row r="1488" spans="1:18" hidden="1" x14ac:dyDescent="0.25">
      <c r="A1488" t="s">
        <v>3040</v>
      </c>
      <c r="B1488" t="s">
        <v>3206</v>
      </c>
      <c r="C1488" t="s">
        <v>2640</v>
      </c>
      <c r="D1488" s="3">
        <f t="shared" si="120"/>
        <v>20</v>
      </c>
      <c r="E1488" t="s">
        <v>159</v>
      </c>
      <c r="F1488" t="s">
        <v>13</v>
      </c>
      <c r="G1488">
        <f t="shared" si="121"/>
        <v>2055000</v>
      </c>
      <c r="H1488" t="s">
        <v>2740</v>
      </c>
      <c r="I1488" t="s">
        <v>3041</v>
      </c>
      <c r="J1488" s="2">
        <f t="shared" si="122"/>
        <v>1953500</v>
      </c>
      <c r="K1488" t="s">
        <v>3042</v>
      </c>
      <c r="L1488">
        <f t="shared" si="123"/>
        <v>0.17222222222222225</v>
      </c>
      <c r="M1488" s="5">
        <v>0.17222222222222225</v>
      </c>
      <c r="N1488" t="s">
        <v>43</v>
      </c>
      <c r="P1488" t="s">
        <v>3043</v>
      </c>
      <c r="R1488" s="3">
        <f t="shared" si="119"/>
        <v>4.1333333333333337</v>
      </c>
    </row>
    <row r="1489" spans="1:18" hidden="1" x14ac:dyDescent="0.25">
      <c r="A1489" t="s">
        <v>2931</v>
      </c>
      <c r="B1489" t="s">
        <v>3206</v>
      </c>
      <c r="C1489" t="s">
        <v>2682</v>
      </c>
      <c r="D1489" s="3">
        <f t="shared" si="120"/>
        <v>8.3999999999999986</v>
      </c>
      <c r="E1489" t="s">
        <v>723</v>
      </c>
      <c r="F1489" t="s">
        <v>13</v>
      </c>
      <c r="G1489">
        <f t="shared" si="121"/>
        <v>2125000</v>
      </c>
      <c r="H1489" t="s">
        <v>936</v>
      </c>
      <c r="I1489" t="s">
        <v>2932</v>
      </c>
      <c r="J1489" s="2">
        <f t="shared" si="122"/>
        <v>2020000</v>
      </c>
      <c r="K1489" t="s">
        <v>1378</v>
      </c>
      <c r="L1489">
        <f t="shared" si="123"/>
        <v>0.17222222222222225</v>
      </c>
      <c r="M1489" s="5">
        <v>0.17222222222222225</v>
      </c>
      <c r="N1489" t="s">
        <v>43</v>
      </c>
      <c r="P1489" t="s">
        <v>840</v>
      </c>
      <c r="R1489" s="3">
        <f t="shared" si="119"/>
        <v>4.1333333333333337</v>
      </c>
    </row>
    <row r="1490" spans="1:18" x14ac:dyDescent="0.25">
      <c r="A1490" t="s">
        <v>4996</v>
      </c>
      <c r="B1490" t="s">
        <v>4806</v>
      </c>
      <c r="C1490" t="s">
        <v>4805</v>
      </c>
      <c r="D1490" s="3">
        <f t="shared" si="120"/>
        <v>12</v>
      </c>
      <c r="E1490" t="s">
        <v>33</v>
      </c>
      <c r="F1490" t="s">
        <v>34</v>
      </c>
      <c r="G1490" t="str">
        <f t="shared" si="121"/>
        <v/>
      </c>
      <c r="H1490" t="s">
        <v>14</v>
      </c>
      <c r="I1490" t="s">
        <v>4997</v>
      </c>
      <c r="J1490" s="2">
        <f t="shared" si="122"/>
        <v>1880000</v>
      </c>
      <c r="K1490" t="s">
        <v>4998</v>
      </c>
      <c r="L1490">
        <f t="shared" si="123"/>
        <v>0</v>
      </c>
      <c r="N1490" t="s">
        <v>43</v>
      </c>
      <c r="R1490" s="3">
        <f t="shared" si="119"/>
        <v>0</v>
      </c>
    </row>
    <row r="1491" spans="1:18" hidden="1" x14ac:dyDescent="0.25">
      <c r="A1491" t="s">
        <v>5357</v>
      </c>
      <c r="B1491" t="s">
        <v>5848</v>
      </c>
      <c r="C1491" t="s">
        <v>5342</v>
      </c>
      <c r="D1491" s="3">
        <f t="shared" si="120"/>
        <v>18</v>
      </c>
      <c r="E1491" t="s">
        <v>126</v>
      </c>
      <c r="F1491" t="s">
        <v>13</v>
      </c>
      <c r="G1491">
        <f t="shared" si="121"/>
        <v>2725000</v>
      </c>
      <c r="H1491" t="s">
        <v>2295</v>
      </c>
      <c r="I1491" t="s">
        <v>5358</v>
      </c>
      <c r="J1491" s="2">
        <f t="shared" si="122"/>
        <v>2590000</v>
      </c>
      <c r="K1491" t="s">
        <v>2623</v>
      </c>
      <c r="L1491">
        <f t="shared" si="123"/>
        <v>0.17291666666666669</v>
      </c>
      <c r="M1491" s="5">
        <v>0.17291666666666669</v>
      </c>
      <c r="N1491" t="s">
        <v>18</v>
      </c>
      <c r="P1491" t="s">
        <v>815</v>
      </c>
      <c r="R1491" s="3">
        <f t="shared" si="119"/>
        <v>4.1500000000000004</v>
      </c>
    </row>
    <row r="1492" spans="1:18" hidden="1" x14ac:dyDescent="0.25">
      <c r="A1492" t="s">
        <v>5751</v>
      </c>
      <c r="B1492" t="s">
        <v>5848</v>
      </c>
      <c r="C1492" t="s">
        <v>5342</v>
      </c>
      <c r="D1492" s="3">
        <f t="shared" si="120"/>
        <v>8</v>
      </c>
      <c r="E1492" t="s">
        <v>1708</v>
      </c>
      <c r="F1492" t="s">
        <v>13</v>
      </c>
      <c r="G1492">
        <f t="shared" si="121"/>
        <v>1825000</v>
      </c>
      <c r="H1492" t="s">
        <v>196</v>
      </c>
      <c r="I1492" t="s">
        <v>5752</v>
      </c>
      <c r="J1492" s="2">
        <f t="shared" si="122"/>
        <v>1735000</v>
      </c>
      <c r="K1492" t="s">
        <v>198</v>
      </c>
      <c r="L1492">
        <f t="shared" si="123"/>
        <v>0.20833333333333334</v>
      </c>
      <c r="M1492" s="5">
        <v>0.20833333333333334</v>
      </c>
      <c r="N1492" t="s">
        <v>18</v>
      </c>
      <c r="P1492" t="s">
        <v>199</v>
      </c>
      <c r="R1492" s="3">
        <f t="shared" si="119"/>
        <v>5</v>
      </c>
    </row>
    <row r="1493" spans="1:18" hidden="1" x14ac:dyDescent="0.25">
      <c r="A1493" t="s">
        <v>3199</v>
      </c>
      <c r="B1493" t="s">
        <v>3206</v>
      </c>
      <c r="C1493" t="s">
        <v>2604</v>
      </c>
      <c r="D1493" s="3">
        <f t="shared" si="120"/>
        <v>15.75</v>
      </c>
      <c r="E1493" t="s">
        <v>1099</v>
      </c>
      <c r="F1493" t="s">
        <v>13</v>
      </c>
      <c r="G1493" t="str">
        <f t="shared" si="121"/>
        <v/>
      </c>
      <c r="H1493" t="s">
        <v>14</v>
      </c>
      <c r="I1493" t="s">
        <v>3200</v>
      </c>
      <c r="J1493" s="2">
        <f t="shared" si="122"/>
        <v>2995000</v>
      </c>
      <c r="K1493" t="s">
        <v>3201</v>
      </c>
      <c r="L1493">
        <f t="shared" si="123"/>
        <v>0.17083333333333331</v>
      </c>
      <c r="M1493" s="5">
        <v>0.17083333333333331</v>
      </c>
      <c r="N1493" t="s">
        <v>43</v>
      </c>
      <c r="P1493" t="s">
        <v>3202</v>
      </c>
      <c r="R1493" s="3">
        <f t="shared" si="119"/>
        <v>4.0999999999999996</v>
      </c>
    </row>
    <row r="1494" spans="1:18" hidden="1" x14ac:dyDescent="0.25">
      <c r="A1494" t="s">
        <v>1791</v>
      </c>
      <c r="B1494" t="s">
        <v>1303</v>
      </c>
      <c r="C1494" t="s">
        <v>1312</v>
      </c>
      <c r="D1494" s="3">
        <f t="shared" si="120"/>
        <v>13.5</v>
      </c>
      <c r="E1494" t="s">
        <v>667</v>
      </c>
      <c r="F1494" t="s">
        <v>13</v>
      </c>
      <c r="G1494" t="str">
        <f t="shared" si="121"/>
        <v/>
      </c>
      <c r="H1494" t="s">
        <v>14</v>
      </c>
      <c r="I1494" t="s">
        <v>1792</v>
      </c>
      <c r="J1494" s="2">
        <f t="shared" si="122"/>
        <v>3025000</v>
      </c>
      <c r="K1494" t="s">
        <v>1793</v>
      </c>
      <c r="L1494">
        <f t="shared" si="123"/>
        <v>0.20833333333333334</v>
      </c>
      <c r="M1494" s="5">
        <v>0.20833333333333334</v>
      </c>
      <c r="N1494" t="s">
        <v>43</v>
      </c>
      <c r="P1494" t="s">
        <v>1547</v>
      </c>
      <c r="R1494" s="3">
        <f t="shared" si="119"/>
        <v>5</v>
      </c>
    </row>
    <row r="1495" spans="1:18" hidden="1" x14ac:dyDescent="0.25">
      <c r="A1495" t="s">
        <v>1813</v>
      </c>
      <c r="B1495" t="s">
        <v>1303</v>
      </c>
      <c r="C1495" t="s">
        <v>1312</v>
      </c>
      <c r="D1495" s="3">
        <f t="shared" si="120"/>
        <v>12</v>
      </c>
      <c r="E1495" t="s">
        <v>347</v>
      </c>
      <c r="F1495" t="s">
        <v>13</v>
      </c>
      <c r="G1495">
        <f t="shared" si="121"/>
        <v>2425000</v>
      </c>
      <c r="H1495" t="s">
        <v>1544</v>
      </c>
      <c r="I1495" t="s">
        <v>1814</v>
      </c>
      <c r="J1495" s="2">
        <f t="shared" si="122"/>
        <v>2233000</v>
      </c>
      <c r="K1495" t="s">
        <v>1546</v>
      </c>
      <c r="L1495">
        <f t="shared" si="123"/>
        <v>0.17013888888888887</v>
      </c>
      <c r="M1495" s="5">
        <v>0.17013888888888887</v>
      </c>
      <c r="N1495" t="s">
        <v>43</v>
      </c>
      <c r="P1495" t="s">
        <v>1547</v>
      </c>
      <c r="R1495" s="3">
        <f t="shared" si="119"/>
        <v>4.083333333333333</v>
      </c>
    </row>
    <row r="1496" spans="1:18" hidden="1" x14ac:dyDescent="0.25">
      <c r="A1496" t="s">
        <v>1572</v>
      </c>
      <c r="B1496" t="s">
        <v>1303</v>
      </c>
      <c r="C1496" t="s">
        <v>1312</v>
      </c>
      <c r="D1496" s="3">
        <f t="shared" si="120"/>
        <v>9</v>
      </c>
      <c r="E1496" t="s">
        <v>12</v>
      </c>
      <c r="F1496" t="s">
        <v>13</v>
      </c>
      <c r="G1496" t="str">
        <f t="shared" si="121"/>
        <v/>
      </c>
      <c r="H1496" t="s">
        <v>14</v>
      </c>
      <c r="I1496" t="s">
        <v>1573</v>
      </c>
      <c r="J1496" s="2">
        <f t="shared" si="122"/>
        <v>1925000</v>
      </c>
      <c r="K1496" t="s">
        <v>552</v>
      </c>
      <c r="L1496">
        <f t="shared" si="123"/>
        <v>0.17291666666666669</v>
      </c>
      <c r="M1496" s="5">
        <v>0.17291666666666669</v>
      </c>
      <c r="N1496" t="s">
        <v>43</v>
      </c>
      <c r="P1496" t="s">
        <v>1547</v>
      </c>
      <c r="R1496" s="3">
        <f t="shared" si="119"/>
        <v>4.1500000000000004</v>
      </c>
    </row>
    <row r="1497" spans="1:18" hidden="1" x14ac:dyDescent="0.25">
      <c r="A1497" t="s">
        <v>705</v>
      </c>
      <c r="B1497" t="s">
        <v>640</v>
      </c>
      <c r="C1497" t="s">
        <v>657</v>
      </c>
      <c r="D1497" s="3">
        <f t="shared" si="120"/>
        <v>10.5</v>
      </c>
      <c r="E1497" t="s">
        <v>653</v>
      </c>
      <c r="F1497" t="s">
        <v>13</v>
      </c>
      <c r="G1497">
        <f t="shared" si="121"/>
        <v>1195000</v>
      </c>
      <c r="H1497" t="s">
        <v>685</v>
      </c>
      <c r="I1497" t="s">
        <v>706</v>
      </c>
      <c r="J1497" s="2">
        <f t="shared" si="122"/>
        <v>1078000</v>
      </c>
      <c r="K1497" t="s">
        <v>707</v>
      </c>
      <c r="L1497">
        <f t="shared" si="123"/>
        <v>0.17291666666666669</v>
      </c>
      <c r="M1497" s="5">
        <v>0.17291666666666669</v>
      </c>
      <c r="N1497" t="s">
        <v>18</v>
      </c>
      <c r="P1497" t="s">
        <v>708</v>
      </c>
      <c r="R1497" s="3">
        <f t="shared" si="119"/>
        <v>4.1500000000000004</v>
      </c>
    </row>
    <row r="1498" spans="1:18" x14ac:dyDescent="0.25">
      <c r="A1498" t="s">
        <v>3895</v>
      </c>
      <c r="B1498" t="s">
        <v>3746</v>
      </c>
      <c r="C1498" t="s">
        <v>3897</v>
      </c>
      <c r="D1498" s="3">
        <f t="shared" si="120"/>
        <v>12</v>
      </c>
      <c r="E1498" t="s">
        <v>33</v>
      </c>
      <c r="F1498" t="s">
        <v>13</v>
      </c>
      <c r="G1498" t="str">
        <f t="shared" si="121"/>
        <v/>
      </c>
      <c r="H1498" t="s">
        <v>14</v>
      </c>
      <c r="I1498" t="s">
        <v>3896</v>
      </c>
      <c r="J1498" s="2">
        <f t="shared" si="122"/>
        <v>1900000</v>
      </c>
      <c r="K1498" t="s">
        <v>352</v>
      </c>
      <c r="L1498">
        <f t="shared" si="123"/>
        <v>0.20833333333333334</v>
      </c>
      <c r="M1498" s="5">
        <v>0.20833333333333334</v>
      </c>
      <c r="N1498" t="s">
        <v>43</v>
      </c>
      <c r="P1498" t="s">
        <v>1171</v>
      </c>
      <c r="R1498" s="3">
        <f t="shared" si="119"/>
        <v>5</v>
      </c>
    </row>
    <row r="1499" spans="1:18" hidden="1" x14ac:dyDescent="0.25">
      <c r="A1499" t="s">
        <v>709</v>
      </c>
      <c r="B1499" t="s">
        <v>640</v>
      </c>
      <c r="C1499" t="s">
        <v>643</v>
      </c>
      <c r="D1499" s="3">
        <f t="shared" si="120"/>
        <v>7.5</v>
      </c>
      <c r="E1499" t="s">
        <v>614</v>
      </c>
      <c r="F1499" t="s">
        <v>13</v>
      </c>
      <c r="G1499">
        <f t="shared" si="121"/>
        <v>875000</v>
      </c>
      <c r="H1499" t="s">
        <v>710</v>
      </c>
      <c r="I1499" t="s">
        <v>711</v>
      </c>
      <c r="J1499" s="2">
        <f t="shared" si="122"/>
        <v>790000</v>
      </c>
      <c r="K1499" t="s">
        <v>712</v>
      </c>
      <c r="L1499">
        <f t="shared" si="123"/>
        <v>0.17291666666666669</v>
      </c>
      <c r="M1499" s="5">
        <v>0.17291666666666669</v>
      </c>
      <c r="N1499" t="s">
        <v>18</v>
      </c>
      <c r="P1499" t="s">
        <v>713</v>
      </c>
      <c r="R1499" s="3">
        <f t="shared" si="119"/>
        <v>4.1500000000000004</v>
      </c>
    </row>
    <row r="1500" spans="1:18" x14ac:dyDescent="0.25">
      <c r="A1500" t="s">
        <v>1944</v>
      </c>
      <c r="B1500" t="s">
        <v>1303</v>
      </c>
      <c r="C1500" t="s">
        <v>1915</v>
      </c>
      <c r="D1500" s="3">
        <f t="shared" si="120"/>
        <v>12</v>
      </c>
      <c r="E1500" t="s">
        <v>33</v>
      </c>
      <c r="F1500" t="s">
        <v>13</v>
      </c>
      <c r="G1500" t="str">
        <f t="shared" si="121"/>
        <v/>
      </c>
      <c r="H1500" t="s">
        <v>14</v>
      </c>
      <c r="I1500" t="s">
        <v>1945</v>
      </c>
      <c r="J1500" s="2">
        <f t="shared" si="122"/>
        <v>1900000</v>
      </c>
      <c r="K1500" t="s">
        <v>352</v>
      </c>
      <c r="L1500">
        <f t="shared" si="123"/>
        <v>0.17291666666666669</v>
      </c>
      <c r="M1500" s="5">
        <v>0.17291666666666669</v>
      </c>
      <c r="N1500" t="s">
        <v>43</v>
      </c>
      <c r="P1500" t="s">
        <v>673</v>
      </c>
      <c r="R1500" s="3">
        <f t="shared" si="119"/>
        <v>4.1500000000000004</v>
      </c>
    </row>
    <row r="1501" spans="1:18" hidden="1" x14ac:dyDescent="0.25">
      <c r="A1501" t="s">
        <v>722</v>
      </c>
      <c r="B1501" t="s">
        <v>640</v>
      </c>
      <c r="C1501" t="s">
        <v>643</v>
      </c>
      <c r="D1501" s="3">
        <f t="shared" si="120"/>
        <v>8.3999999999999986</v>
      </c>
      <c r="E1501" t="s">
        <v>723</v>
      </c>
      <c r="F1501" t="s">
        <v>13</v>
      </c>
      <c r="G1501">
        <f t="shared" si="121"/>
        <v>1125000</v>
      </c>
      <c r="H1501" t="s">
        <v>724</v>
      </c>
      <c r="I1501" t="s">
        <v>725</v>
      </c>
      <c r="J1501" s="2">
        <f t="shared" si="122"/>
        <v>1015000</v>
      </c>
      <c r="K1501" t="s">
        <v>726</v>
      </c>
      <c r="L1501">
        <f t="shared" si="123"/>
        <v>0.20833333333333334</v>
      </c>
      <c r="M1501" s="5">
        <v>0.20833333333333334</v>
      </c>
      <c r="N1501" t="s">
        <v>18</v>
      </c>
      <c r="P1501" t="s">
        <v>727</v>
      </c>
      <c r="R1501" s="3">
        <f t="shared" si="119"/>
        <v>5</v>
      </c>
    </row>
    <row r="1502" spans="1:18" hidden="1" x14ac:dyDescent="0.25">
      <c r="A1502" t="s">
        <v>2273</v>
      </c>
      <c r="B1502" t="s">
        <v>2596</v>
      </c>
      <c r="C1502" t="s">
        <v>2071</v>
      </c>
      <c r="D1502" s="3">
        <f t="shared" si="120"/>
        <v>11.7</v>
      </c>
      <c r="E1502" t="s">
        <v>2274</v>
      </c>
      <c r="F1502" t="s">
        <v>13</v>
      </c>
      <c r="G1502">
        <f t="shared" si="121"/>
        <v>2000000</v>
      </c>
      <c r="H1502" t="s">
        <v>128</v>
      </c>
      <c r="I1502" t="s">
        <v>2275</v>
      </c>
      <c r="J1502" s="2">
        <f t="shared" si="122"/>
        <v>1900000</v>
      </c>
      <c r="K1502" t="s">
        <v>352</v>
      </c>
      <c r="L1502">
        <f t="shared" si="123"/>
        <v>0.17083333333333331</v>
      </c>
      <c r="M1502" s="5">
        <v>0.17083333333333331</v>
      </c>
      <c r="N1502" t="s">
        <v>18</v>
      </c>
      <c r="P1502" t="s">
        <v>669</v>
      </c>
      <c r="R1502" s="3">
        <f t="shared" si="119"/>
        <v>4.0999999999999996</v>
      </c>
    </row>
    <row r="1503" spans="1:18" hidden="1" x14ac:dyDescent="0.25">
      <c r="A1503" t="s">
        <v>5372</v>
      </c>
      <c r="B1503" t="s">
        <v>5848</v>
      </c>
      <c r="C1503" t="s">
        <v>5369</v>
      </c>
      <c r="D1503" s="3">
        <f t="shared" si="120"/>
        <v>13.5</v>
      </c>
      <c r="E1503" t="s">
        <v>5373</v>
      </c>
      <c r="F1503" t="s">
        <v>13</v>
      </c>
      <c r="G1503">
        <f t="shared" si="121"/>
        <v>2025000</v>
      </c>
      <c r="H1503" t="s">
        <v>1065</v>
      </c>
      <c r="I1503" t="s">
        <v>5374</v>
      </c>
      <c r="J1503" s="2">
        <f t="shared" si="122"/>
        <v>1925000</v>
      </c>
      <c r="K1503" t="s">
        <v>552</v>
      </c>
      <c r="L1503">
        <f t="shared" si="123"/>
        <v>0.17291666666666669</v>
      </c>
      <c r="M1503" s="5">
        <v>0.17291666666666669</v>
      </c>
      <c r="N1503" t="s">
        <v>43</v>
      </c>
      <c r="P1503" t="s">
        <v>669</v>
      </c>
      <c r="R1503" s="3">
        <f t="shared" si="119"/>
        <v>4.1500000000000004</v>
      </c>
    </row>
    <row r="1504" spans="1:18" hidden="1" x14ac:dyDescent="0.25">
      <c r="A1504" t="s">
        <v>5500</v>
      </c>
      <c r="B1504" t="s">
        <v>5848</v>
      </c>
      <c r="C1504" t="s">
        <v>5369</v>
      </c>
      <c r="D1504" s="3">
        <f t="shared" si="120"/>
        <v>12</v>
      </c>
      <c r="E1504" t="s">
        <v>33</v>
      </c>
      <c r="F1504" t="s">
        <v>13</v>
      </c>
      <c r="G1504">
        <f t="shared" si="121"/>
        <v>2025000</v>
      </c>
      <c r="H1504" t="s">
        <v>1065</v>
      </c>
      <c r="I1504" t="s">
        <v>5501</v>
      </c>
      <c r="J1504" s="2">
        <f t="shared" si="122"/>
        <v>1925000</v>
      </c>
      <c r="K1504" t="s">
        <v>552</v>
      </c>
      <c r="L1504">
        <f t="shared" si="123"/>
        <v>0.17083333333333331</v>
      </c>
      <c r="M1504" s="5">
        <v>0.17083333333333331</v>
      </c>
      <c r="N1504" t="s">
        <v>43</v>
      </c>
      <c r="P1504" t="s">
        <v>669</v>
      </c>
      <c r="R1504" s="3">
        <f t="shared" si="119"/>
        <v>4.0999999999999996</v>
      </c>
    </row>
    <row r="1505" spans="1:18" hidden="1" x14ac:dyDescent="0.25">
      <c r="A1505" t="s">
        <v>5367</v>
      </c>
      <c r="B1505" t="s">
        <v>5848</v>
      </c>
      <c r="C1505" t="s">
        <v>5369</v>
      </c>
      <c r="D1505" s="3">
        <f t="shared" si="120"/>
        <v>9</v>
      </c>
      <c r="E1505" t="s">
        <v>12</v>
      </c>
      <c r="F1505" t="s">
        <v>13</v>
      </c>
      <c r="G1505">
        <f t="shared" si="121"/>
        <v>1825000</v>
      </c>
      <c r="H1505" t="s">
        <v>196</v>
      </c>
      <c r="I1505" t="s">
        <v>5368</v>
      </c>
      <c r="J1505" s="2">
        <f t="shared" si="122"/>
        <v>1735000</v>
      </c>
      <c r="K1505" t="s">
        <v>198</v>
      </c>
      <c r="L1505">
        <f t="shared" si="123"/>
        <v>0.17083333333333331</v>
      </c>
      <c r="M1505" s="5">
        <v>0.17083333333333331</v>
      </c>
      <c r="N1505" t="s">
        <v>43</v>
      </c>
      <c r="P1505" t="s">
        <v>199</v>
      </c>
      <c r="R1505" s="3">
        <f t="shared" si="119"/>
        <v>4.0999999999999996</v>
      </c>
    </row>
    <row r="1506" spans="1:18" hidden="1" x14ac:dyDescent="0.25">
      <c r="A1506" t="s">
        <v>5697</v>
      </c>
      <c r="B1506" t="s">
        <v>5848</v>
      </c>
      <c r="C1506" t="s">
        <v>5335</v>
      </c>
      <c r="D1506" s="3">
        <f t="shared" si="120"/>
        <v>7.5</v>
      </c>
      <c r="E1506" t="s">
        <v>178</v>
      </c>
      <c r="F1506" t="s">
        <v>34</v>
      </c>
      <c r="G1506">
        <f t="shared" si="121"/>
        <v>1525000</v>
      </c>
      <c r="H1506" t="s">
        <v>27</v>
      </c>
      <c r="I1506" t="s">
        <v>5698</v>
      </c>
      <c r="J1506" s="2">
        <f t="shared" si="122"/>
        <v>1405000</v>
      </c>
      <c r="K1506" t="s">
        <v>2039</v>
      </c>
      <c r="L1506">
        <f t="shared" si="123"/>
        <v>0.20833333333333334</v>
      </c>
      <c r="M1506" s="5">
        <v>0.20833333333333334</v>
      </c>
      <c r="N1506" t="s">
        <v>43</v>
      </c>
      <c r="P1506" t="s">
        <v>665</v>
      </c>
      <c r="R1506" s="3">
        <f t="shared" si="119"/>
        <v>5</v>
      </c>
    </row>
    <row r="1507" spans="1:18" x14ac:dyDescent="0.25">
      <c r="A1507" t="s">
        <v>1944</v>
      </c>
      <c r="B1507" t="s">
        <v>1303</v>
      </c>
      <c r="C1507" t="s">
        <v>1915</v>
      </c>
      <c r="D1507" s="3">
        <f t="shared" si="120"/>
        <v>12</v>
      </c>
      <c r="E1507" t="s">
        <v>33</v>
      </c>
      <c r="F1507" t="s">
        <v>13</v>
      </c>
      <c r="G1507" t="str">
        <f t="shared" si="121"/>
        <v/>
      </c>
      <c r="H1507" t="s">
        <v>14</v>
      </c>
      <c r="I1507" t="s">
        <v>1945</v>
      </c>
      <c r="J1507" s="2">
        <f t="shared" si="122"/>
        <v>1900000</v>
      </c>
      <c r="K1507" t="s">
        <v>352</v>
      </c>
      <c r="L1507">
        <f t="shared" si="123"/>
        <v>0.17222222222222225</v>
      </c>
      <c r="M1507" s="5">
        <v>0.17222222222222225</v>
      </c>
      <c r="N1507" t="s">
        <v>43</v>
      </c>
      <c r="P1507" t="s">
        <v>1564</v>
      </c>
      <c r="R1507" s="3">
        <f t="shared" si="119"/>
        <v>4.1333333333333337</v>
      </c>
    </row>
    <row r="1508" spans="1:18" hidden="1" x14ac:dyDescent="0.25">
      <c r="A1508" t="s">
        <v>3026</v>
      </c>
      <c r="B1508" t="s">
        <v>3206</v>
      </c>
      <c r="C1508" t="s">
        <v>2772</v>
      </c>
      <c r="D1508" s="3">
        <f t="shared" si="120"/>
        <v>15.2</v>
      </c>
      <c r="E1508" t="s">
        <v>2983</v>
      </c>
      <c r="F1508" t="s">
        <v>13</v>
      </c>
      <c r="G1508" t="str">
        <f t="shared" si="121"/>
        <v/>
      </c>
      <c r="H1508" t="s">
        <v>14</v>
      </c>
      <c r="I1508" t="s">
        <v>3027</v>
      </c>
      <c r="J1508" s="2">
        <f t="shared" si="122"/>
        <v>3365000</v>
      </c>
      <c r="K1508" t="s">
        <v>3028</v>
      </c>
      <c r="L1508">
        <f t="shared" si="123"/>
        <v>0.17083333333333331</v>
      </c>
      <c r="M1508" s="5">
        <v>0.17083333333333331</v>
      </c>
      <c r="N1508" t="s">
        <v>43</v>
      </c>
      <c r="P1508" t="s">
        <v>1622</v>
      </c>
      <c r="R1508" s="3">
        <f t="shared" si="119"/>
        <v>4.0999999999999996</v>
      </c>
    </row>
    <row r="1509" spans="1:18" hidden="1" x14ac:dyDescent="0.25">
      <c r="A1509" t="s">
        <v>3148</v>
      </c>
      <c r="B1509" t="s">
        <v>3206</v>
      </c>
      <c r="C1509" t="s">
        <v>2604</v>
      </c>
      <c r="D1509" s="3">
        <f t="shared" si="120"/>
        <v>8.9599999999999991</v>
      </c>
      <c r="E1509" t="s">
        <v>785</v>
      </c>
      <c r="F1509" t="s">
        <v>13</v>
      </c>
      <c r="G1509" t="str">
        <f t="shared" si="121"/>
        <v/>
      </c>
      <c r="H1509" t="s">
        <v>14</v>
      </c>
      <c r="I1509" t="s">
        <v>3149</v>
      </c>
      <c r="J1509" s="2">
        <f t="shared" si="122"/>
        <v>2525000</v>
      </c>
      <c r="K1509" t="s">
        <v>131</v>
      </c>
      <c r="L1509">
        <f t="shared" si="123"/>
        <v>0.17291666666666669</v>
      </c>
      <c r="M1509" s="5">
        <v>0.17291666666666669</v>
      </c>
      <c r="N1509" t="s">
        <v>18</v>
      </c>
      <c r="R1509" s="3">
        <f t="shared" si="119"/>
        <v>4.1500000000000004</v>
      </c>
    </row>
    <row r="1510" spans="1:18" hidden="1" x14ac:dyDescent="0.25">
      <c r="A1510" t="s">
        <v>5490</v>
      </c>
      <c r="B1510" t="s">
        <v>5848</v>
      </c>
      <c r="C1510" t="s">
        <v>5339</v>
      </c>
      <c r="D1510" s="3">
        <f t="shared" si="120"/>
        <v>12.25</v>
      </c>
      <c r="E1510" t="s">
        <v>187</v>
      </c>
      <c r="F1510" t="s">
        <v>13</v>
      </c>
      <c r="G1510">
        <f t="shared" si="121"/>
        <v>2675000</v>
      </c>
      <c r="H1510" t="s">
        <v>1730</v>
      </c>
      <c r="I1510" t="s">
        <v>5491</v>
      </c>
      <c r="J1510" s="2">
        <f t="shared" si="122"/>
        <v>2463000</v>
      </c>
      <c r="K1510" t="s">
        <v>5492</v>
      </c>
      <c r="L1510">
        <f t="shared" si="123"/>
        <v>0.17291666666666669</v>
      </c>
      <c r="M1510" s="5">
        <v>0.17291666666666669</v>
      </c>
      <c r="N1510" t="s">
        <v>43</v>
      </c>
      <c r="P1510" t="s">
        <v>5493</v>
      </c>
      <c r="R1510" s="3">
        <f t="shared" si="119"/>
        <v>4.1500000000000004</v>
      </c>
    </row>
    <row r="1511" spans="1:18" hidden="1" x14ac:dyDescent="0.25">
      <c r="A1511" t="s">
        <v>5753</v>
      </c>
      <c r="B1511" t="s">
        <v>5848</v>
      </c>
      <c r="C1511" t="s">
        <v>5339</v>
      </c>
      <c r="D1511" s="3">
        <f t="shared" si="120"/>
        <v>12.25</v>
      </c>
      <c r="E1511" t="s">
        <v>187</v>
      </c>
      <c r="F1511" t="s">
        <v>13</v>
      </c>
      <c r="G1511" t="str">
        <f t="shared" si="121"/>
        <v/>
      </c>
      <c r="H1511" t="s">
        <v>14</v>
      </c>
      <c r="I1511" t="s">
        <v>5754</v>
      </c>
      <c r="J1511" s="2">
        <f t="shared" si="122"/>
        <v>2775000</v>
      </c>
      <c r="K1511" t="s">
        <v>2338</v>
      </c>
      <c r="L1511">
        <f t="shared" si="123"/>
        <v>0.20833333333333334</v>
      </c>
      <c r="M1511" s="5">
        <v>0.20833333333333334</v>
      </c>
      <c r="N1511" t="s">
        <v>43</v>
      </c>
      <c r="P1511" t="s">
        <v>5493</v>
      </c>
      <c r="R1511" s="3">
        <f t="shared" si="119"/>
        <v>5</v>
      </c>
    </row>
    <row r="1512" spans="1:18" hidden="1" x14ac:dyDescent="0.25">
      <c r="A1512" t="s">
        <v>3797</v>
      </c>
      <c r="B1512" t="s">
        <v>3746</v>
      </c>
      <c r="C1512" t="s">
        <v>3753</v>
      </c>
      <c r="D1512" s="3">
        <f t="shared" si="120"/>
        <v>9</v>
      </c>
      <c r="E1512" t="s">
        <v>12</v>
      </c>
      <c r="F1512" t="s">
        <v>13</v>
      </c>
      <c r="G1512">
        <f t="shared" si="121"/>
        <v>1525000</v>
      </c>
      <c r="H1512" t="s">
        <v>27</v>
      </c>
      <c r="I1512" t="s">
        <v>3798</v>
      </c>
      <c r="J1512" s="2">
        <f t="shared" si="122"/>
        <v>1450000</v>
      </c>
      <c r="K1512" t="s">
        <v>29</v>
      </c>
      <c r="L1512">
        <f t="shared" si="123"/>
        <v>0.17291666666666669</v>
      </c>
      <c r="M1512" s="5">
        <v>0.17291666666666669</v>
      </c>
      <c r="N1512" t="s">
        <v>43</v>
      </c>
      <c r="P1512" t="s">
        <v>31</v>
      </c>
      <c r="R1512" s="3">
        <f t="shared" si="119"/>
        <v>4.1500000000000004</v>
      </c>
    </row>
    <row r="1513" spans="1:18" x14ac:dyDescent="0.25">
      <c r="A1513" t="s">
        <v>1699</v>
      </c>
      <c r="B1513" t="s">
        <v>1303</v>
      </c>
      <c r="C1513" t="s">
        <v>1362</v>
      </c>
      <c r="D1513" s="3">
        <f t="shared" si="120"/>
        <v>9</v>
      </c>
      <c r="E1513" t="s">
        <v>12</v>
      </c>
      <c r="F1513" t="s">
        <v>13</v>
      </c>
      <c r="G1513" t="str">
        <f t="shared" si="121"/>
        <v/>
      </c>
      <c r="H1513" t="s">
        <v>14</v>
      </c>
      <c r="I1513" t="s">
        <v>1700</v>
      </c>
      <c r="J1513" s="2">
        <f t="shared" si="122"/>
        <v>1900000</v>
      </c>
      <c r="K1513" t="s">
        <v>352</v>
      </c>
      <c r="L1513">
        <f t="shared" si="123"/>
        <v>0.17083333333333331</v>
      </c>
      <c r="M1513" s="5">
        <v>0.17083333333333331</v>
      </c>
      <c r="N1513" t="s">
        <v>43</v>
      </c>
      <c r="R1513" s="3">
        <f t="shared" si="119"/>
        <v>4.0999999999999996</v>
      </c>
    </row>
    <row r="1514" spans="1:18" x14ac:dyDescent="0.25">
      <c r="A1514" t="s">
        <v>632</v>
      </c>
      <c r="B1514" t="s">
        <v>20</v>
      </c>
      <c r="C1514" t="s">
        <v>113</v>
      </c>
      <c r="D1514" s="3">
        <f t="shared" si="120"/>
        <v>16</v>
      </c>
      <c r="E1514" t="s">
        <v>79</v>
      </c>
      <c r="F1514" t="s">
        <v>13</v>
      </c>
      <c r="G1514" t="str">
        <f t="shared" si="121"/>
        <v/>
      </c>
      <c r="H1514" t="s">
        <v>14</v>
      </c>
      <c r="I1514" t="s">
        <v>633</v>
      </c>
      <c r="J1514" s="2">
        <f t="shared" si="122"/>
        <v>1900000</v>
      </c>
      <c r="K1514" t="s">
        <v>352</v>
      </c>
      <c r="L1514">
        <f t="shared" si="123"/>
        <v>0</v>
      </c>
      <c r="N1514" t="s">
        <v>43</v>
      </c>
      <c r="R1514" s="3">
        <f t="shared" si="119"/>
        <v>0</v>
      </c>
    </row>
    <row r="1515" spans="1:18" hidden="1" x14ac:dyDescent="0.25">
      <c r="A1515" t="s">
        <v>2400</v>
      </c>
      <c r="B1515" t="s">
        <v>2596</v>
      </c>
      <c r="C1515" t="s">
        <v>1994</v>
      </c>
      <c r="D1515" s="3">
        <f t="shared" si="120"/>
        <v>9</v>
      </c>
      <c r="E1515" t="s">
        <v>12</v>
      </c>
      <c r="F1515" t="s">
        <v>34</v>
      </c>
      <c r="G1515" t="str">
        <f t="shared" si="121"/>
        <v/>
      </c>
      <c r="H1515" t="s">
        <v>14</v>
      </c>
      <c r="I1515" t="s">
        <v>2401</v>
      </c>
      <c r="J1515" s="2">
        <f t="shared" si="122"/>
        <v>2425000</v>
      </c>
      <c r="K1515" t="s">
        <v>1544</v>
      </c>
      <c r="L1515">
        <f t="shared" si="123"/>
        <v>0.17013888888888887</v>
      </c>
      <c r="M1515" s="5">
        <v>0.17013888888888887</v>
      </c>
      <c r="N1515" t="s">
        <v>18</v>
      </c>
      <c r="R1515" s="3">
        <f t="shared" si="119"/>
        <v>4.083333333333333</v>
      </c>
    </row>
    <row r="1516" spans="1:18" hidden="1" x14ac:dyDescent="0.25">
      <c r="A1516" t="s">
        <v>2109</v>
      </c>
      <c r="B1516" t="s">
        <v>2596</v>
      </c>
      <c r="C1516" t="s">
        <v>1994</v>
      </c>
      <c r="D1516" s="3">
        <f t="shared" si="120"/>
        <v>9</v>
      </c>
      <c r="E1516" t="s">
        <v>12</v>
      </c>
      <c r="F1516" t="s">
        <v>34</v>
      </c>
      <c r="G1516" t="str">
        <f t="shared" si="121"/>
        <v/>
      </c>
      <c r="H1516" t="s">
        <v>14</v>
      </c>
      <c r="I1516" t="s">
        <v>2110</v>
      </c>
      <c r="J1516" s="2">
        <f t="shared" si="122"/>
        <v>1975000</v>
      </c>
      <c r="K1516" t="s">
        <v>956</v>
      </c>
      <c r="L1516">
        <f t="shared" si="123"/>
        <v>0.17083333333333331</v>
      </c>
      <c r="M1516" s="5">
        <v>0.17083333333333331</v>
      </c>
      <c r="N1516" t="s">
        <v>18</v>
      </c>
      <c r="R1516" s="3">
        <f t="shared" si="119"/>
        <v>4.0999999999999996</v>
      </c>
    </row>
    <row r="1517" spans="1:18" hidden="1" x14ac:dyDescent="0.25">
      <c r="A1517" t="s">
        <v>2488</v>
      </c>
      <c r="B1517" t="s">
        <v>2596</v>
      </c>
      <c r="C1517" t="s">
        <v>2036</v>
      </c>
      <c r="D1517" s="3">
        <f t="shared" si="120"/>
        <v>7.5</v>
      </c>
      <c r="E1517" t="s">
        <v>614</v>
      </c>
      <c r="F1517" t="s">
        <v>13</v>
      </c>
      <c r="G1517" t="str">
        <f t="shared" si="121"/>
        <v/>
      </c>
      <c r="H1517" t="s">
        <v>14</v>
      </c>
      <c r="I1517" t="s">
        <v>2489</v>
      </c>
      <c r="J1517" s="2">
        <f t="shared" si="122"/>
        <v>1725000</v>
      </c>
      <c r="K1517" t="s">
        <v>897</v>
      </c>
      <c r="L1517">
        <f t="shared" si="123"/>
        <v>0.20833333333333334</v>
      </c>
      <c r="M1517" s="5">
        <v>0.20833333333333334</v>
      </c>
      <c r="N1517" t="s">
        <v>18</v>
      </c>
      <c r="R1517" s="3">
        <f t="shared" si="119"/>
        <v>5</v>
      </c>
    </row>
    <row r="1518" spans="1:18" hidden="1" x14ac:dyDescent="0.25">
      <c r="A1518" t="s">
        <v>2713</v>
      </c>
      <c r="B1518" t="s">
        <v>3206</v>
      </c>
      <c r="C1518" t="s">
        <v>2628</v>
      </c>
      <c r="D1518" s="3">
        <f t="shared" si="120"/>
        <v>21.08</v>
      </c>
      <c r="E1518" t="s">
        <v>2714</v>
      </c>
      <c r="F1518" t="s">
        <v>13</v>
      </c>
      <c r="G1518">
        <f t="shared" si="121"/>
        <v>2725000</v>
      </c>
      <c r="H1518" t="s">
        <v>2295</v>
      </c>
      <c r="I1518" t="s">
        <v>2715</v>
      </c>
      <c r="J1518" s="2">
        <f t="shared" si="122"/>
        <v>2590000</v>
      </c>
      <c r="K1518" t="s">
        <v>2623</v>
      </c>
      <c r="L1518">
        <f t="shared" si="123"/>
        <v>0.20833333333333334</v>
      </c>
      <c r="M1518" s="5">
        <v>0.20833333333333334</v>
      </c>
      <c r="N1518" t="s">
        <v>18</v>
      </c>
      <c r="P1518" t="s">
        <v>815</v>
      </c>
      <c r="R1518" s="3">
        <f t="shared" si="119"/>
        <v>5</v>
      </c>
    </row>
    <row r="1519" spans="1:18" hidden="1" x14ac:dyDescent="0.25">
      <c r="A1519" t="s">
        <v>2762</v>
      </c>
      <c r="B1519" t="s">
        <v>3206</v>
      </c>
      <c r="C1519" t="s">
        <v>2628</v>
      </c>
      <c r="D1519" s="3">
        <f t="shared" si="120"/>
        <v>12.600000000000001</v>
      </c>
      <c r="E1519" t="s">
        <v>2173</v>
      </c>
      <c r="F1519" t="s">
        <v>13</v>
      </c>
      <c r="G1519">
        <f t="shared" si="121"/>
        <v>2375000</v>
      </c>
      <c r="H1519" t="s">
        <v>1388</v>
      </c>
      <c r="I1519" t="s">
        <v>2763</v>
      </c>
      <c r="J1519" s="2">
        <f t="shared" si="122"/>
        <v>2257500</v>
      </c>
      <c r="K1519" t="s">
        <v>1389</v>
      </c>
      <c r="L1519">
        <f t="shared" si="123"/>
        <v>0.16944444444444443</v>
      </c>
      <c r="M1519" s="5">
        <v>0.16944444444444443</v>
      </c>
      <c r="N1519" t="s">
        <v>18</v>
      </c>
      <c r="P1519" t="s">
        <v>1309</v>
      </c>
      <c r="R1519" s="3">
        <f t="shared" si="119"/>
        <v>4.0666666666666664</v>
      </c>
    </row>
    <row r="1520" spans="1:18" x14ac:dyDescent="0.25">
      <c r="A1520" t="s">
        <v>3592</v>
      </c>
      <c r="B1520" t="s">
        <v>3233</v>
      </c>
      <c r="C1520" t="s">
        <v>3248</v>
      </c>
      <c r="D1520" s="3">
        <f t="shared" si="120"/>
        <v>9</v>
      </c>
      <c r="E1520" t="s">
        <v>12</v>
      </c>
      <c r="F1520" t="s">
        <v>34</v>
      </c>
      <c r="G1520" t="str">
        <f t="shared" si="121"/>
        <v/>
      </c>
      <c r="H1520" t="s">
        <v>14</v>
      </c>
      <c r="I1520" t="s">
        <v>3593</v>
      </c>
      <c r="J1520" s="2">
        <f t="shared" si="122"/>
        <v>1900000</v>
      </c>
      <c r="K1520" t="s">
        <v>352</v>
      </c>
      <c r="L1520">
        <f t="shared" si="123"/>
        <v>0.16666666666666666</v>
      </c>
      <c r="M1520" s="5">
        <v>0.16666666666666666</v>
      </c>
      <c r="N1520" t="s">
        <v>43</v>
      </c>
      <c r="R1520" s="3">
        <f t="shared" si="119"/>
        <v>4</v>
      </c>
    </row>
    <row r="1521" spans="1:18" hidden="1" x14ac:dyDescent="0.25">
      <c r="A1521" t="s">
        <v>2203</v>
      </c>
      <c r="B1521" t="s">
        <v>2596</v>
      </c>
      <c r="C1521" t="s">
        <v>2024</v>
      </c>
      <c r="D1521" s="3">
        <f t="shared" si="120"/>
        <v>12</v>
      </c>
      <c r="E1521" t="s">
        <v>347</v>
      </c>
      <c r="F1521" t="s">
        <v>13</v>
      </c>
      <c r="G1521">
        <f t="shared" si="121"/>
        <v>2025000</v>
      </c>
      <c r="H1521" t="s">
        <v>1065</v>
      </c>
      <c r="I1521" t="s">
        <v>2204</v>
      </c>
      <c r="J1521" s="2">
        <f t="shared" si="122"/>
        <v>1865000</v>
      </c>
      <c r="K1521" t="s">
        <v>1349</v>
      </c>
      <c r="L1521">
        <f t="shared" si="123"/>
        <v>0.1673611111111111</v>
      </c>
      <c r="M1521" s="5">
        <v>0.1673611111111111</v>
      </c>
      <c r="N1521" t="s">
        <v>43</v>
      </c>
      <c r="P1521" t="s">
        <v>673</v>
      </c>
      <c r="R1521" s="3">
        <f t="shared" si="119"/>
        <v>4.0166666666666666</v>
      </c>
    </row>
    <row r="1522" spans="1:18" hidden="1" x14ac:dyDescent="0.25">
      <c r="A1522" t="s">
        <v>2738</v>
      </c>
      <c r="B1522" t="s">
        <v>3206</v>
      </c>
      <c r="C1522" t="s">
        <v>2631</v>
      </c>
      <c r="D1522" s="3">
        <f t="shared" si="120"/>
        <v>6</v>
      </c>
      <c r="E1522" t="s">
        <v>64</v>
      </c>
      <c r="F1522" t="s">
        <v>13</v>
      </c>
      <c r="G1522" t="str">
        <f t="shared" si="121"/>
        <v/>
      </c>
      <c r="H1522" t="s">
        <v>14</v>
      </c>
      <c r="I1522" t="s">
        <v>2739</v>
      </c>
      <c r="J1522" s="2">
        <f t="shared" si="122"/>
        <v>2055000</v>
      </c>
      <c r="K1522" t="s">
        <v>2740</v>
      </c>
      <c r="L1522">
        <f t="shared" si="123"/>
        <v>0.17222222222222225</v>
      </c>
      <c r="M1522" s="5">
        <v>0.17222222222222225</v>
      </c>
      <c r="N1522" t="s">
        <v>18</v>
      </c>
      <c r="P1522" t="s">
        <v>669</v>
      </c>
      <c r="R1522" s="3">
        <f t="shared" si="119"/>
        <v>4.1333333333333337</v>
      </c>
    </row>
    <row r="1523" spans="1:18" hidden="1" x14ac:dyDescent="0.25">
      <c r="A1523" t="s">
        <v>2710</v>
      </c>
      <c r="B1523" t="s">
        <v>3206</v>
      </c>
      <c r="C1523" t="s">
        <v>2631</v>
      </c>
      <c r="D1523" s="3">
        <f t="shared" si="120"/>
        <v>6</v>
      </c>
      <c r="E1523" t="s">
        <v>64</v>
      </c>
      <c r="F1523" t="s">
        <v>13</v>
      </c>
      <c r="G1523" t="str">
        <f t="shared" si="121"/>
        <v/>
      </c>
      <c r="H1523" t="s">
        <v>14</v>
      </c>
      <c r="I1523" t="s">
        <v>2711</v>
      </c>
      <c r="J1523" s="2">
        <f t="shared" si="122"/>
        <v>2455000</v>
      </c>
      <c r="K1523" t="s">
        <v>2712</v>
      </c>
      <c r="L1523">
        <f t="shared" si="123"/>
        <v>0.17083333333333331</v>
      </c>
      <c r="M1523" s="5">
        <v>0.17083333333333331</v>
      </c>
      <c r="N1523" t="s">
        <v>18</v>
      </c>
      <c r="P1523" t="s">
        <v>665</v>
      </c>
      <c r="R1523" s="3">
        <f t="shared" si="119"/>
        <v>4.0999999999999996</v>
      </c>
    </row>
    <row r="1524" spans="1:18" hidden="1" x14ac:dyDescent="0.25">
      <c r="A1524" t="s">
        <v>1992</v>
      </c>
      <c r="B1524" t="s">
        <v>2596</v>
      </c>
      <c r="C1524" t="s">
        <v>1994</v>
      </c>
      <c r="D1524" s="3">
        <f t="shared" si="120"/>
        <v>12.25</v>
      </c>
      <c r="E1524" t="s">
        <v>187</v>
      </c>
      <c r="F1524" t="s">
        <v>13</v>
      </c>
      <c r="G1524" t="str">
        <f t="shared" si="121"/>
        <v/>
      </c>
      <c r="H1524" t="s">
        <v>14</v>
      </c>
      <c r="I1524" t="s">
        <v>1993</v>
      </c>
      <c r="J1524" s="2">
        <f t="shared" si="122"/>
        <v>1525000</v>
      </c>
      <c r="K1524" t="s">
        <v>27</v>
      </c>
      <c r="L1524">
        <f t="shared" si="123"/>
        <v>0.17083333333333331</v>
      </c>
      <c r="M1524" s="5">
        <v>0.17083333333333331</v>
      </c>
      <c r="N1524" t="s">
        <v>43</v>
      </c>
      <c r="P1524" t="s">
        <v>1449</v>
      </c>
      <c r="R1524" s="3">
        <f t="shared" si="119"/>
        <v>4.0999999999999996</v>
      </c>
    </row>
    <row r="1525" spans="1:18" hidden="1" x14ac:dyDescent="0.25">
      <c r="A1525" t="s">
        <v>4410</v>
      </c>
      <c r="B1525" t="s">
        <v>4272</v>
      </c>
      <c r="C1525" t="s">
        <v>4351</v>
      </c>
      <c r="D1525" s="3">
        <f t="shared" si="120"/>
        <v>6</v>
      </c>
      <c r="E1525" t="s">
        <v>64</v>
      </c>
      <c r="F1525" t="s">
        <v>34</v>
      </c>
      <c r="G1525" t="str">
        <f t="shared" si="121"/>
        <v/>
      </c>
      <c r="H1525" t="s">
        <v>14</v>
      </c>
      <c r="I1525" t="s">
        <v>4411</v>
      </c>
      <c r="J1525" s="2">
        <f t="shared" si="122"/>
        <v>1025000</v>
      </c>
      <c r="K1525" t="s">
        <v>914</v>
      </c>
      <c r="L1525">
        <f t="shared" si="123"/>
        <v>0.17222222222222225</v>
      </c>
      <c r="M1525" s="5">
        <v>0.17222222222222225</v>
      </c>
      <c r="N1525" t="s">
        <v>43</v>
      </c>
      <c r="P1525" t="s">
        <v>1652</v>
      </c>
      <c r="R1525" s="3">
        <f t="shared" si="119"/>
        <v>4.1333333333333337</v>
      </c>
    </row>
    <row r="1526" spans="1:18" hidden="1" x14ac:dyDescent="0.25">
      <c r="A1526" t="s">
        <v>4363</v>
      </c>
      <c r="B1526" t="s">
        <v>4272</v>
      </c>
      <c r="C1526" t="s">
        <v>4351</v>
      </c>
      <c r="D1526" s="3">
        <f t="shared" si="120"/>
        <v>6</v>
      </c>
      <c r="E1526" t="s">
        <v>64</v>
      </c>
      <c r="F1526" t="s">
        <v>34</v>
      </c>
      <c r="G1526" t="str">
        <f t="shared" si="121"/>
        <v/>
      </c>
      <c r="H1526" t="s">
        <v>14</v>
      </c>
      <c r="I1526" t="s">
        <v>4364</v>
      </c>
      <c r="J1526" s="2">
        <f t="shared" si="122"/>
        <v>1725000</v>
      </c>
      <c r="K1526" t="s">
        <v>897</v>
      </c>
      <c r="L1526">
        <f t="shared" si="123"/>
        <v>0.16944444444444443</v>
      </c>
      <c r="M1526" s="5">
        <v>0.16944444444444443</v>
      </c>
      <c r="N1526" t="s">
        <v>43</v>
      </c>
      <c r="P1526" t="s">
        <v>1652</v>
      </c>
      <c r="R1526" s="3">
        <f t="shared" si="119"/>
        <v>4.0666666666666664</v>
      </c>
    </row>
    <row r="1527" spans="1:18" x14ac:dyDescent="0.25">
      <c r="A1527" t="s">
        <v>4953</v>
      </c>
      <c r="B1527" t="s">
        <v>4806</v>
      </c>
      <c r="C1527" t="s">
        <v>4830</v>
      </c>
      <c r="D1527" s="3">
        <f t="shared" si="120"/>
        <v>9</v>
      </c>
      <c r="E1527" t="s">
        <v>12</v>
      </c>
      <c r="F1527" t="s">
        <v>34</v>
      </c>
      <c r="G1527" t="str">
        <f t="shared" si="121"/>
        <v/>
      </c>
      <c r="H1527" t="s">
        <v>14</v>
      </c>
      <c r="I1527" t="s">
        <v>4954</v>
      </c>
      <c r="J1527" s="2">
        <f t="shared" si="122"/>
        <v>1900000</v>
      </c>
      <c r="K1527" t="s">
        <v>352</v>
      </c>
      <c r="L1527">
        <f t="shared" si="123"/>
        <v>0</v>
      </c>
      <c r="N1527" t="s">
        <v>18</v>
      </c>
      <c r="R1527" s="3">
        <f t="shared" si="119"/>
        <v>0</v>
      </c>
    </row>
    <row r="1528" spans="1:18" hidden="1" x14ac:dyDescent="0.25">
      <c r="A1528" t="s">
        <v>4349</v>
      </c>
      <c r="B1528" t="s">
        <v>4272</v>
      </c>
      <c r="C1528" t="s">
        <v>4351</v>
      </c>
      <c r="D1528" s="3">
        <f t="shared" si="120"/>
        <v>16</v>
      </c>
      <c r="E1528" t="s">
        <v>79</v>
      </c>
      <c r="F1528" t="s">
        <v>34</v>
      </c>
      <c r="G1528">
        <f t="shared" si="121"/>
        <v>3025000</v>
      </c>
      <c r="H1528" t="s">
        <v>1793</v>
      </c>
      <c r="I1528" t="s">
        <v>4350</v>
      </c>
      <c r="J1528" s="2">
        <f t="shared" si="122"/>
        <v>2875000</v>
      </c>
      <c r="K1528" t="s">
        <v>1414</v>
      </c>
      <c r="L1528">
        <f t="shared" si="123"/>
        <v>0.17222222222222225</v>
      </c>
      <c r="M1528" s="5">
        <v>0.17222222222222225</v>
      </c>
      <c r="N1528" t="s">
        <v>43</v>
      </c>
      <c r="P1528" t="s">
        <v>681</v>
      </c>
      <c r="R1528" s="3">
        <f t="shared" si="119"/>
        <v>4.1333333333333337</v>
      </c>
    </row>
    <row r="1529" spans="1:18" hidden="1" x14ac:dyDescent="0.25">
      <c r="A1529" t="s">
        <v>4491</v>
      </c>
      <c r="B1529" t="s">
        <v>4272</v>
      </c>
      <c r="C1529" t="s">
        <v>4351</v>
      </c>
      <c r="D1529" s="3">
        <f t="shared" si="120"/>
        <v>6</v>
      </c>
      <c r="E1529" t="s">
        <v>64</v>
      </c>
      <c r="F1529" t="s">
        <v>34</v>
      </c>
      <c r="G1529">
        <f t="shared" si="121"/>
        <v>1125000</v>
      </c>
      <c r="H1529" t="s">
        <v>724</v>
      </c>
      <c r="I1529" t="s">
        <v>4492</v>
      </c>
      <c r="J1529" s="2">
        <f t="shared" si="122"/>
        <v>1070000</v>
      </c>
      <c r="K1529" t="s">
        <v>1651</v>
      </c>
      <c r="L1529">
        <f t="shared" si="123"/>
        <v>0.16874999999999998</v>
      </c>
      <c r="M1529" s="5">
        <v>0.16874999999999998</v>
      </c>
      <c r="N1529" t="s">
        <v>43</v>
      </c>
      <c r="P1529" t="s">
        <v>1652</v>
      </c>
      <c r="R1529" s="3">
        <f t="shared" si="119"/>
        <v>4.05</v>
      </c>
    </row>
    <row r="1530" spans="1:18" hidden="1" x14ac:dyDescent="0.25">
      <c r="A1530" t="s">
        <v>2144</v>
      </c>
      <c r="B1530" t="s">
        <v>2596</v>
      </c>
      <c r="C1530" t="s">
        <v>2024</v>
      </c>
      <c r="D1530" s="3">
        <f t="shared" si="120"/>
        <v>13.939999999999998</v>
      </c>
      <c r="E1530" t="s">
        <v>2145</v>
      </c>
      <c r="F1530" t="s">
        <v>13</v>
      </c>
      <c r="G1530">
        <f t="shared" si="121"/>
        <v>2075000</v>
      </c>
      <c r="H1530" t="s">
        <v>1567</v>
      </c>
      <c r="I1530" t="s">
        <v>2146</v>
      </c>
      <c r="J1530" s="2">
        <f t="shared" si="122"/>
        <v>1972500</v>
      </c>
      <c r="K1530" t="s">
        <v>1569</v>
      </c>
      <c r="L1530">
        <f t="shared" si="123"/>
        <v>0.17291666666666669</v>
      </c>
      <c r="M1530" s="5">
        <v>0.17291666666666669</v>
      </c>
      <c r="N1530" t="s">
        <v>18</v>
      </c>
      <c r="P1530" t="s">
        <v>678</v>
      </c>
      <c r="R1530" s="3">
        <f t="shared" si="119"/>
        <v>4.1500000000000004</v>
      </c>
    </row>
    <row r="1531" spans="1:18" hidden="1" x14ac:dyDescent="0.25">
      <c r="A1531" t="s">
        <v>2751</v>
      </c>
      <c r="B1531" t="s">
        <v>3206</v>
      </c>
      <c r="C1531" t="s">
        <v>2628</v>
      </c>
      <c r="D1531" s="3">
        <f t="shared" si="120"/>
        <v>7</v>
      </c>
      <c r="E1531" t="s">
        <v>2752</v>
      </c>
      <c r="F1531" t="s">
        <v>34</v>
      </c>
      <c r="G1531" t="str">
        <f t="shared" si="121"/>
        <v/>
      </c>
      <c r="H1531" t="s">
        <v>14</v>
      </c>
      <c r="I1531" t="s">
        <v>2753</v>
      </c>
      <c r="J1531" s="2">
        <f t="shared" si="122"/>
        <v>1675000</v>
      </c>
      <c r="K1531" t="s">
        <v>1119</v>
      </c>
      <c r="L1531">
        <f t="shared" si="123"/>
        <v>0.20833333333333334</v>
      </c>
      <c r="M1531" s="5">
        <v>0.20833333333333334</v>
      </c>
      <c r="N1531" t="s">
        <v>18</v>
      </c>
      <c r="P1531" t="s">
        <v>31</v>
      </c>
      <c r="R1531" s="3">
        <f t="shared" si="119"/>
        <v>5</v>
      </c>
    </row>
    <row r="1532" spans="1:18" hidden="1" x14ac:dyDescent="0.25">
      <c r="A1532" t="s">
        <v>2652</v>
      </c>
      <c r="B1532" t="s">
        <v>3206</v>
      </c>
      <c r="C1532" t="s">
        <v>2628</v>
      </c>
      <c r="D1532" s="3">
        <f t="shared" si="120"/>
        <v>5.75</v>
      </c>
      <c r="E1532" t="s">
        <v>2653</v>
      </c>
      <c r="F1532" t="s">
        <v>34</v>
      </c>
      <c r="G1532" t="str">
        <f t="shared" si="121"/>
        <v/>
      </c>
      <c r="H1532" t="s">
        <v>14</v>
      </c>
      <c r="I1532" t="s">
        <v>2654</v>
      </c>
      <c r="J1532" s="2">
        <f t="shared" si="122"/>
        <v>1475000</v>
      </c>
      <c r="K1532" t="s">
        <v>182</v>
      </c>
      <c r="L1532">
        <f t="shared" si="123"/>
        <v>0.17291666666666669</v>
      </c>
      <c r="M1532" s="5">
        <v>0.17291666666666669</v>
      </c>
      <c r="N1532" t="s">
        <v>18</v>
      </c>
      <c r="P1532" t="s">
        <v>31</v>
      </c>
      <c r="R1532" s="3">
        <f t="shared" si="119"/>
        <v>4.1500000000000004</v>
      </c>
    </row>
    <row r="1533" spans="1:18" hidden="1" x14ac:dyDescent="0.25">
      <c r="A1533" t="s">
        <v>4389</v>
      </c>
      <c r="B1533" t="s">
        <v>4272</v>
      </c>
      <c r="C1533" t="s">
        <v>4281</v>
      </c>
      <c r="D1533" s="3">
        <f t="shared" si="120"/>
        <v>9</v>
      </c>
      <c r="E1533" t="s">
        <v>12</v>
      </c>
      <c r="F1533" t="s">
        <v>13</v>
      </c>
      <c r="G1533">
        <f t="shared" si="121"/>
        <v>2000000</v>
      </c>
      <c r="H1533" t="s">
        <v>128</v>
      </c>
      <c r="I1533" t="s">
        <v>4390</v>
      </c>
      <c r="J1533" s="2">
        <f t="shared" si="122"/>
        <v>1900000</v>
      </c>
      <c r="K1533" t="s">
        <v>352</v>
      </c>
      <c r="L1533">
        <f t="shared" si="123"/>
        <v>0.17083333333333331</v>
      </c>
      <c r="M1533" s="5">
        <v>0.17083333333333331</v>
      </c>
      <c r="N1533" t="s">
        <v>43</v>
      </c>
      <c r="P1533" t="s">
        <v>669</v>
      </c>
      <c r="R1533" s="3">
        <f t="shared" si="119"/>
        <v>4.0999999999999996</v>
      </c>
    </row>
    <row r="1534" spans="1:18" hidden="1" x14ac:dyDescent="0.25">
      <c r="A1534" t="s">
        <v>4355</v>
      </c>
      <c r="B1534" t="s">
        <v>4272</v>
      </c>
      <c r="C1534" t="s">
        <v>4281</v>
      </c>
      <c r="D1534" s="3">
        <f t="shared" si="120"/>
        <v>7.5</v>
      </c>
      <c r="E1534" t="s">
        <v>614</v>
      </c>
      <c r="F1534" t="s">
        <v>13</v>
      </c>
      <c r="G1534">
        <f t="shared" si="121"/>
        <v>1500000</v>
      </c>
      <c r="H1534" t="s">
        <v>66</v>
      </c>
      <c r="I1534" t="s">
        <v>4356</v>
      </c>
      <c r="J1534" s="2">
        <f t="shared" si="122"/>
        <v>1425000</v>
      </c>
      <c r="K1534" t="s">
        <v>909</v>
      </c>
      <c r="L1534">
        <f t="shared" si="123"/>
        <v>0.17013888888888887</v>
      </c>
      <c r="M1534" s="5">
        <v>0.17013888888888887</v>
      </c>
      <c r="N1534" t="s">
        <v>43</v>
      </c>
      <c r="P1534" t="s">
        <v>31</v>
      </c>
      <c r="R1534" s="3">
        <f t="shared" si="119"/>
        <v>4.083333333333333</v>
      </c>
    </row>
    <row r="1535" spans="1:18" hidden="1" x14ac:dyDescent="0.25">
      <c r="A1535" t="s">
        <v>4538</v>
      </c>
      <c r="B1535" t="s">
        <v>4272</v>
      </c>
      <c r="C1535" t="s">
        <v>4281</v>
      </c>
      <c r="D1535" s="3">
        <f t="shared" si="120"/>
        <v>3.61</v>
      </c>
      <c r="E1535" t="s">
        <v>4539</v>
      </c>
      <c r="F1535" t="s">
        <v>13</v>
      </c>
      <c r="G1535">
        <f t="shared" si="121"/>
        <v>1200000</v>
      </c>
      <c r="H1535" t="s">
        <v>36</v>
      </c>
      <c r="I1535" t="s">
        <v>4540</v>
      </c>
      <c r="J1535" s="2">
        <f t="shared" si="122"/>
        <v>1104000</v>
      </c>
      <c r="K1535" t="s">
        <v>4541</v>
      </c>
      <c r="L1535">
        <f t="shared" si="123"/>
        <v>0.17083333333333331</v>
      </c>
      <c r="M1535" s="5">
        <v>0.17083333333333331</v>
      </c>
      <c r="N1535" t="s">
        <v>43</v>
      </c>
      <c r="P1535" t="s">
        <v>1581</v>
      </c>
      <c r="R1535" s="3">
        <f t="shared" si="119"/>
        <v>4.0999999999999996</v>
      </c>
    </row>
    <row r="1536" spans="1:18" hidden="1" x14ac:dyDescent="0.25">
      <c r="A1536" t="s">
        <v>1965</v>
      </c>
      <c r="B1536" t="s">
        <v>1303</v>
      </c>
      <c r="C1536" t="s">
        <v>1392</v>
      </c>
      <c r="D1536" s="3">
        <f t="shared" si="120"/>
        <v>5</v>
      </c>
      <c r="E1536" t="s">
        <v>60</v>
      </c>
      <c r="F1536" t="s">
        <v>13</v>
      </c>
      <c r="G1536">
        <f t="shared" si="121"/>
        <v>1975000</v>
      </c>
      <c r="H1536" t="s">
        <v>956</v>
      </c>
      <c r="I1536" t="s">
        <v>1966</v>
      </c>
      <c r="J1536" s="2">
        <f t="shared" si="122"/>
        <v>1877500</v>
      </c>
      <c r="K1536" t="s">
        <v>1441</v>
      </c>
      <c r="L1536">
        <f t="shared" si="123"/>
        <v>0.16944444444444443</v>
      </c>
      <c r="M1536" s="5">
        <v>0.16944444444444443</v>
      </c>
      <c r="N1536" t="s">
        <v>43</v>
      </c>
      <c r="P1536" t="s">
        <v>1442</v>
      </c>
      <c r="R1536" s="3">
        <f t="shared" si="119"/>
        <v>4.0666666666666664</v>
      </c>
    </row>
    <row r="1537" spans="1:18" hidden="1" x14ac:dyDescent="0.25">
      <c r="A1537" t="s">
        <v>3082</v>
      </c>
      <c r="B1537" t="s">
        <v>3206</v>
      </c>
      <c r="C1537" t="s">
        <v>2613</v>
      </c>
      <c r="D1537" s="3">
        <f t="shared" si="120"/>
        <v>15</v>
      </c>
      <c r="E1537" t="s">
        <v>71</v>
      </c>
      <c r="F1537" t="s">
        <v>13</v>
      </c>
      <c r="G1537">
        <f t="shared" si="121"/>
        <v>3525000</v>
      </c>
      <c r="H1537" t="s">
        <v>2719</v>
      </c>
      <c r="I1537" t="s">
        <v>3083</v>
      </c>
      <c r="J1537" s="2">
        <f t="shared" si="122"/>
        <v>3245000</v>
      </c>
      <c r="K1537" t="s">
        <v>3084</v>
      </c>
      <c r="L1537">
        <f t="shared" si="123"/>
        <v>0.17222222222222225</v>
      </c>
      <c r="M1537" s="5">
        <v>0.17222222222222225</v>
      </c>
      <c r="N1537" t="s">
        <v>43</v>
      </c>
      <c r="P1537" t="s">
        <v>3085</v>
      </c>
      <c r="R1537" s="3">
        <f t="shared" si="119"/>
        <v>4.1333333333333337</v>
      </c>
    </row>
    <row r="1538" spans="1:18" hidden="1" x14ac:dyDescent="0.25">
      <c r="A1538" t="s">
        <v>4569</v>
      </c>
      <c r="B1538" t="s">
        <v>4272</v>
      </c>
      <c r="C1538" t="s">
        <v>4285</v>
      </c>
      <c r="D1538" s="3">
        <f t="shared" si="120"/>
        <v>16.32</v>
      </c>
      <c r="E1538" t="s">
        <v>4570</v>
      </c>
      <c r="F1538" t="s">
        <v>13</v>
      </c>
      <c r="G1538">
        <f t="shared" si="121"/>
        <v>1525000</v>
      </c>
      <c r="H1538" t="s">
        <v>27</v>
      </c>
      <c r="I1538" t="s">
        <v>4571</v>
      </c>
      <c r="J1538" s="2">
        <f t="shared" si="122"/>
        <v>1450000</v>
      </c>
      <c r="K1538" t="s">
        <v>29</v>
      </c>
      <c r="L1538">
        <f t="shared" si="123"/>
        <v>0.17291666666666669</v>
      </c>
      <c r="M1538" s="5">
        <v>0.17291666666666669</v>
      </c>
      <c r="N1538" t="s">
        <v>43</v>
      </c>
      <c r="P1538" t="s">
        <v>31</v>
      </c>
      <c r="R1538" s="3">
        <f t="shared" ref="R1538:R1601" si="124">24*L1538</f>
        <v>4.1500000000000004</v>
      </c>
    </row>
    <row r="1539" spans="1:18" x14ac:dyDescent="0.25">
      <c r="A1539" t="s">
        <v>5436</v>
      </c>
      <c r="B1539" t="s">
        <v>5848</v>
      </c>
      <c r="C1539" t="s">
        <v>5335</v>
      </c>
      <c r="D1539" s="3">
        <f t="shared" si="120"/>
        <v>12</v>
      </c>
      <c r="E1539" t="s">
        <v>347</v>
      </c>
      <c r="F1539" t="s">
        <v>34</v>
      </c>
      <c r="G1539">
        <f t="shared" si="121"/>
        <v>2005000</v>
      </c>
      <c r="H1539" t="s">
        <v>1671</v>
      </c>
      <c r="I1539" t="s">
        <v>5437</v>
      </c>
      <c r="J1539" s="2">
        <f t="shared" si="122"/>
        <v>1906000</v>
      </c>
      <c r="K1539" t="s">
        <v>1673</v>
      </c>
      <c r="L1539">
        <f t="shared" si="123"/>
        <v>0.17083333333333331</v>
      </c>
      <c r="M1539" s="5">
        <v>0.17083333333333331</v>
      </c>
      <c r="N1539" t="s">
        <v>43</v>
      </c>
      <c r="P1539" t="s">
        <v>1084</v>
      </c>
      <c r="R1539" s="3">
        <f t="shared" si="124"/>
        <v>4.0999999999999996</v>
      </c>
    </row>
    <row r="1540" spans="1:18" hidden="1" x14ac:dyDescent="0.25">
      <c r="A1540" t="s">
        <v>3520</v>
      </c>
      <c r="B1540" t="s">
        <v>3233</v>
      </c>
      <c r="C1540" t="s">
        <v>3264</v>
      </c>
      <c r="D1540" s="3">
        <f t="shared" ref="D1540:D1603" si="125">VALUE(LEFT(E1540,SEARCH(" x ",E1540)-1))*VALUE(MID(E1540,SEARCH(" x ",E1540)+3,SEARCH(" meter",E1540)-SEARCH(" x ",E1540)-3))</f>
        <v>9</v>
      </c>
      <c r="E1540" t="s">
        <v>12</v>
      </c>
      <c r="F1540" t="s">
        <v>13</v>
      </c>
      <c r="G1540">
        <f t="shared" ref="G1540:G1603" si="126">IF(H1540="N/A","",VALUE(SUBSTITUTE(SUBSTITUTE(H1540,"Rp",""),".","")))</f>
        <v>1325000</v>
      </c>
      <c r="H1540" t="s">
        <v>683</v>
      </c>
      <c r="I1540" t="s">
        <v>3521</v>
      </c>
      <c r="J1540" s="2">
        <f t="shared" ref="J1540:J1603" si="127">VALUE(SUBSTITUTE(SUBSTITUTE(K1540,"Rp",""),".",""))</f>
        <v>1260000</v>
      </c>
      <c r="K1540" t="s">
        <v>2165</v>
      </c>
      <c r="L1540">
        <f t="shared" ref="L1540:L1603" si="128">M1540:M3880</f>
        <v>0</v>
      </c>
      <c r="N1540" t="s">
        <v>43</v>
      </c>
      <c r="P1540" t="s">
        <v>2166</v>
      </c>
      <c r="R1540" s="3">
        <f t="shared" si="124"/>
        <v>0</v>
      </c>
    </row>
    <row r="1541" spans="1:18" hidden="1" x14ac:dyDescent="0.25">
      <c r="A1541" t="s">
        <v>3262</v>
      </c>
      <c r="B1541" t="s">
        <v>3233</v>
      </c>
      <c r="C1541" t="s">
        <v>3264</v>
      </c>
      <c r="D1541" s="3">
        <f t="shared" si="125"/>
        <v>9</v>
      </c>
      <c r="E1541" t="s">
        <v>12</v>
      </c>
      <c r="F1541" t="s">
        <v>13</v>
      </c>
      <c r="G1541">
        <f t="shared" si="126"/>
        <v>925000</v>
      </c>
      <c r="H1541" t="s">
        <v>649</v>
      </c>
      <c r="I1541" t="s">
        <v>3263</v>
      </c>
      <c r="J1541" s="2">
        <f t="shared" si="127"/>
        <v>880000</v>
      </c>
      <c r="K1541" t="s">
        <v>1170</v>
      </c>
      <c r="L1541">
        <f t="shared" si="128"/>
        <v>0.16944444444444443</v>
      </c>
      <c r="M1541" s="5">
        <v>0.16944444444444443</v>
      </c>
      <c r="N1541" t="s">
        <v>43</v>
      </c>
      <c r="P1541" t="s">
        <v>1397</v>
      </c>
      <c r="R1541" s="3">
        <f t="shared" si="124"/>
        <v>4.0666666666666664</v>
      </c>
    </row>
    <row r="1542" spans="1:18" x14ac:dyDescent="0.25">
      <c r="A1542" t="s">
        <v>935</v>
      </c>
      <c r="B1542" t="s">
        <v>640</v>
      </c>
      <c r="C1542" t="s">
        <v>918</v>
      </c>
      <c r="D1542" s="3">
        <f t="shared" si="125"/>
        <v>16</v>
      </c>
      <c r="E1542" t="s">
        <v>79</v>
      </c>
      <c r="F1542" t="s">
        <v>13</v>
      </c>
      <c r="G1542">
        <f t="shared" si="126"/>
        <v>2125000</v>
      </c>
      <c r="H1542" t="s">
        <v>936</v>
      </c>
      <c r="I1542" t="s">
        <v>937</v>
      </c>
      <c r="J1542" s="2">
        <f t="shared" si="127"/>
        <v>1915000</v>
      </c>
      <c r="K1542" t="s">
        <v>938</v>
      </c>
      <c r="L1542">
        <f t="shared" si="128"/>
        <v>0.17083333333333331</v>
      </c>
      <c r="M1542" s="5">
        <v>0.17083333333333331</v>
      </c>
      <c r="N1542" t="s">
        <v>18</v>
      </c>
      <c r="P1542" t="s">
        <v>939</v>
      </c>
      <c r="R1542" s="3">
        <f t="shared" si="124"/>
        <v>4.0999999999999996</v>
      </c>
    </row>
    <row r="1543" spans="1:18" x14ac:dyDescent="0.25">
      <c r="A1543" t="s">
        <v>2011</v>
      </c>
      <c r="B1543" t="s">
        <v>2596</v>
      </c>
      <c r="C1543" t="s">
        <v>2013</v>
      </c>
      <c r="D1543" s="3">
        <f t="shared" si="125"/>
        <v>8</v>
      </c>
      <c r="E1543" t="s">
        <v>1996</v>
      </c>
      <c r="F1543" t="s">
        <v>13</v>
      </c>
      <c r="G1543">
        <f t="shared" si="126"/>
        <v>2025000</v>
      </c>
      <c r="H1543" t="s">
        <v>1065</v>
      </c>
      <c r="I1543" t="s">
        <v>2012</v>
      </c>
      <c r="J1543" s="2">
        <f t="shared" si="127"/>
        <v>1925000</v>
      </c>
      <c r="K1543" t="s">
        <v>552</v>
      </c>
      <c r="L1543">
        <f t="shared" si="128"/>
        <v>0.17222222222222225</v>
      </c>
      <c r="M1543" s="5">
        <v>0.17222222222222225</v>
      </c>
      <c r="N1543" t="s">
        <v>43</v>
      </c>
      <c r="P1543" t="s">
        <v>669</v>
      </c>
      <c r="R1543" s="3">
        <f t="shared" si="124"/>
        <v>4.1333333333333337</v>
      </c>
    </row>
    <row r="1544" spans="1:18" hidden="1" x14ac:dyDescent="0.25">
      <c r="A1544" t="s">
        <v>1424</v>
      </c>
      <c r="B1544" t="s">
        <v>1303</v>
      </c>
      <c r="C1544" t="s">
        <v>1362</v>
      </c>
      <c r="D1544" s="3">
        <f t="shared" si="125"/>
        <v>16.12</v>
      </c>
      <c r="E1544" t="s">
        <v>1425</v>
      </c>
      <c r="F1544" t="s">
        <v>13</v>
      </c>
      <c r="G1544" t="str">
        <f t="shared" si="126"/>
        <v/>
      </c>
      <c r="H1544" t="s">
        <v>14</v>
      </c>
      <c r="I1544" t="s">
        <v>1426</v>
      </c>
      <c r="J1544" s="2">
        <f t="shared" si="127"/>
        <v>2225000</v>
      </c>
      <c r="K1544" t="s">
        <v>1339</v>
      </c>
      <c r="L1544">
        <f t="shared" si="128"/>
        <v>0.17013888888888887</v>
      </c>
      <c r="M1544" s="5">
        <v>0.17013888888888887</v>
      </c>
      <c r="N1544" t="s">
        <v>43</v>
      </c>
      <c r="P1544" t="s">
        <v>1427</v>
      </c>
      <c r="R1544" s="3">
        <f t="shared" si="124"/>
        <v>4.083333333333333</v>
      </c>
    </row>
    <row r="1545" spans="1:18" hidden="1" x14ac:dyDescent="0.25">
      <c r="A1545" t="s">
        <v>1359</v>
      </c>
      <c r="B1545" t="s">
        <v>1303</v>
      </c>
      <c r="C1545" t="s">
        <v>1362</v>
      </c>
      <c r="D1545" s="3">
        <f t="shared" si="125"/>
        <v>8.68</v>
      </c>
      <c r="E1545" t="s">
        <v>1360</v>
      </c>
      <c r="F1545" t="s">
        <v>13</v>
      </c>
      <c r="G1545" t="str">
        <f t="shared" si="126"/>
        <v/>
      </c>
      <c r="H1545" t="s">
        <v>14</v>
      </c>
      <c r="I1545" t="s">
        <v>1361</v>
      </c>
      <c r="J1545" s="2">
        <f t="shared" si="127"/>
        <v>1925000</v>
      </c>
      <c r="K1545" t="s">
        <v>552</v>
      </c>
      <c r="L1545">
        <f t="shared" si="128"/>
        <v>0.17291666666666669</v>
      </c>
      <c r="M1545" s="5">
        <v>0.17291666666666669</v>
      </c>
      <c r="N1545" t="s">
        <v>43</v>
      </c>
      <c r="R1545" s="3">
        <f t="shared" si="124"/>
        <v>4.1500000000000004</v>
      </c>
    </row>
    <row r="1546" spans="1:18" hidden="1" x14ac:dyDescent="0.25">
      <c r="A1546" t="s">
        <v>1890</v>
      </c>
      <c r="B1546" t="s">
        <v>1303</v>
      </c>
      <c r="C1546" t="s">
        <v>1362</v>
      </c>
      <c r="D1546" s="3">
        <f t="shared" si="125"/>
        <v>12.18</v>
      </c>
      <c r="E1546" t="s">
        <v>1891</v>
      </c>
      <c r="F1546" t="s">
        <v>13</v>
      </c>
      <c r="G1546" t="str">
        <f t="shared" si="126"/>
        <v/>
      </c>
      <c r="H1546" t="s">
        <v>14</v>
      </c>
      <c r="I1546" t="s">
        <v>1892</v>
      </c>
      <c r="J1546" s="2">
        <f t="shared" si="127"/>
        <v>1000000</v>
      </c>
      <c r="K1546" t="s">
        <v>52</v>
      </c>
      <c r="L1546">
        <f t="shared" si="128"/>
        <v>0.17083333333333331</v>
      </c>
      <c r="M1546" s="5">
        <v>0.17083333333333331</v>
      </c>
      <c r="N1546" t="s">
        <v>43</v>
      </c>
      <c r="R1546" s="3">
        <f t="shared" si="124"/>
        <v>4.0999999999999996</v>
      </c>
    </row>
    <row r="1547" spans="1:18" hidden="1" x14ac:dyDescent="0.25">
      <c r="A1547" t="s">
        <v>4472</v>
      </c>
      <c r="B1547" t="s">
        <v>4272</v>
      </c>
      <c r="C1547" t="s">
        <v>4281</v>
      </c>
      <c r="D1547" s="3">
        <f t="shared" si="125"/>
        <v>12</v>
      </c>
      <c r="E1547" t="s">
        <v>347</v>
      </c>
      <c r="F1547" t="s">
        <v>13</v>
      </c>
      <c r="G1547">
        <f t="shared" si="126"/>
        <v>2225000</v>
      </c>
      <c r="H1547" t="s">
        <v>1339</v>
      </c>
      <c r="I1547" t="s">
        <v>4473</v>
      </c>
      <c r="J1547" s="2">
        <f t="shared" si="127"/>
        <v>2115000</v>
      </c>
      <c r="K1547" t="s">
        <v>1341</v>
      </c>
      <c r="L1547">
        <f t="shared" si="128"/>
        <v>0.20833333333333334</v>
      </c>
      <c r="M1547" s="5">
        <v>0.20833333333333334</v>
      </c>
      <c r="N1547" t="s">
        <v>43</v>
      </c>
      <c r="P1547" t="s">
        <v>727</v>
      </c>
      <c r="R1547" s="3">
        <f t="shared" si="124"/>
        <v>5</v>
      </c>
    </row>
    <row r="1548" spans="1:18" hidden="1" x14ac:dyDescent="0.25">
      <c r="A1548" t="s">
        <v>4493</v>
      </c>
      <c r="B1548" t="s">
        <v>4272</v>
      </c>
      <c r="C1548" t="s">
        <v>4281</v>
      </c>
      <c r="D1548" s="3">
        <f t="shared" si="125"/>
        <v>12</v>
      </c>
      <c r="E1548" t="s">
        <v>347</v>
      </c>
      <c r="F1548" t="s">
        <v>13</v>
      </c>
      <c r="G1548" t="str">
        <f t="shared" si="126"/>
        <v/>
      </c>
      <c r="H1548" t="s">
        <v>14</v>
      </c>
      <c r="I1548" t="s">
        <v>4494</v>
      </c>
      <c r="J1548" s="2">
        <f t="shared" si="127"/>
        <v>1975000</v>
      </c>
      <c r="K1548" t="s">
        <v>956</v>
      </c>
      <c r="L1548">
        <f t="shared" si="128"/>
        <v>0.17291666666666669</v>
      </c>
      <c r="M1548" s="5">
        <v>0.17291666666666669</v>
      </c>
      <c r="N1548" t="s">
        <v>43</v>
      </c>
      <c r="P1548" t="s">
        <v>727</v>
      </c>
      <c r="R1548" s="3">
        <f t="shared" si="124"/>
        <v>4.1500000000000004</v>
      </c>
    </row>
    <row r="1549" spans="1:18" hidden="1" x14ac:dyDescent="0.25">
      <c r="A1549" t="s">
        <v>4442</v>
      </c>
      <c r="B1549" t="s">
        <v>4272</v>
      </c>
      <c r="C1549" t="s">
        <v>4285</v>
      </c>
      <c r="D1549" s="3">
        <f t="shared" si="125"/>
        <v>9</v>
      </c>
      <c r="E1549" t="s">
        <v>12</v>
      </c>
      <c r="F1549" t="s">
        <v>13</v>
      </c>
      <c r="G1549" t="str">
        <f t="shared" si="126"/>
        <v/>
      </c>
      <c r="H1549" t="s">
        <v>14</v>
      </c>
      <c r="I1549" t="s">
        <v>4327</v>
      </c>
      <c r="J1549" s="2">
        <f t="shared" si="127"/>
        <v>1775000</v>
      </c>
      <c r="K1549" t="s">
        <v>1055</v>
      </c>
      <c r="L1549">
        <f t="shared" si="128"/>
        <v>0.17083333333333331</v>
      </c>
      <c r="M1549" s="5">
        <v>0.17083333333333331</v>
      </c>
      <c r="N1549" t="s">
        <v>18</v>
      </c>
      <c r="R1549" s="3">
        <f t="shared" si="124"/>
        <v>4.0999999999999996</v>
      </c>
    </row>
    <row r="1550" spans="1:18" hidden="1" x14ac:dyDescent="0.25">
      <c r="A1550" t="s">
        <v>4326</v>
      </c>
      <c r="B1550" t="s">
        <v>4272</v>
      </c>
      <c r="C1550" t="s">
        <v>4285</v>
      </c>
      <c r="D1550" s="3">
        <f t="shared" si="125"/>
        <v>9</v>
      </c>
      <c r="E1550" t="s">
        <v>12</v>
      </c>
      <c r="F1550" t="s">
        <v>13</v>
      </c>
      <c r="G1550" t="str">
        <f t="shared" si="126"/>
        <v/>
      </c>
      <c r="H1550" t="s">
        <v>14</v>
      </c>
      <c r="I1550" t="s">
        <v>4327</v>
      </c>
      <c r="J1550" s="2">
        <f t="shared" si="127"/>
        <v>1625000</v>
      </c>
      <c r="K1550" t="s">
        <v>702</v>
      </c>
      <c r="L1550">
        <f t="shared" si="128"/>
        <v>0.17222222222222225</v>
      </c>
      <c r="M1550" s="5">
        <v>0.17222222222222225</v>
      </c>
      <c r="N1550" t="s">
        <v>18</v>
      </c>
      <c r="R1550" s="3">
        <f t="shared" si="124"/>
        <v>4.1333333333333337</v>
      </c>
    </row>
    <row r="1551" spans="1:18" hidden="1" x14ac:dyDescent="0.25">
      <c r="A1551" t="s">
        <v>4292</v>
      </c>
      <c r="B1551" t="s">
        <v>4272</v>
      </c>
      <c r="C1551" t="s">
        <v>4285</v>
      </c>
      <c r="D1551" s="3">
        <f t="shared" si="125"/>
        <v>9.1</v>
      </c>
      <c r="E1551" t="s">
        <v>1435</v>
      </c>
      <c r="F1551" t="s">
        <v>34</v>
      </c>
      <c r="G1551" t="str">
        <f t="shared" si="126"/>
        <v/>
      </c>
      <c r="H1551" t="s">
        <v>14</v>
      </c>
      <c r="I1551" t="s">
        <v>4284</v>
      </c>
      <c r="J1551" s="2">
        <f t="shared" si="127"/>
        <v>2125000</v>
      </c>
      <c r="K1551" t="s">
        <v>936</v>
      </c>
      <c r="L1551">
        <f t="shared" si="128"/>
        <v>0.17222222222222225</v>
      </c>
      <c r="M1551" s="5">
        <v>0.17222222222222225</v>
      </c>
      <c r="N1551" t="s">
        <v>37</v>
      </c>
      <c r="R1551" s="3">
        <f t="shared" si="124"/>
        <v>4.1333333333333337</v>
      </c>
    </row>
    <row r="1552" spans="1:18" hidden="1" x14ac:dyDescent="0.25">
      <c r="A1552" t="s">
        <v>4283</v>
      </c>
      <c r="B1552" t="s">
        <v>4272</v>
      </c>
      <c r="C1552" t="s">
        <v>4285</v>
      </c>
      <c r="D1552" s="3">
        <f t="shared" si="125"/>
        <v>9.1</v>
      </c>
      <c r="E1552" t="s">
        <v>1435</v>
      </c>
      <c r="F1552" t="s">
        <v>34</v>
      </c>
      <c r="G1552" t="str">
        <f t="shared" si="126"/>
        <v/>
      </c>
      <c r="H1552" t="s">
        <v>14</v>
      </c>
      <c r="I1552" t="s">
        <v>4284</v>
      </c>
      <c r="J1552" s="2">
        <f t="shared" si="127"/>
        <v>1825000</v>
      </c>
      <c r="K1552" t="s">
        <v>196</v>
      </c>
      <c r="L1552">
        <f t="shared" si="128"/>
        <v>0.17291666666666669</v>
      </c>
      <c r="M1552" s="5">
        <v>0.17291666666666669</v>
      </c>
      <c r="N1552" t="s">
        <v>37</v>
      </c>
      <c r="R1552" s="3">
        <f t="shared" si="124"/>
        <v>4.1500000000000004</v>
      </c>
    </row>
    <row r="1553" spans="1:18" hidden="1" x14ac:dyDescent="0.25">
      <c r="A1553" t="s">
        <v>4701</v>
      </c>
      <c r="B1553" t="s">
        <v>4272</v>
      </c>
      <c r="C1553" t="s">
        <v>4285</v>
      </c>
      <c r="D1553" s="3">
        <f t="shared" si="125"/>
        <v>10.26</v>
      </c>
      <c r="E1553" t="s">
        <v>3139</v>
      </c>
      <c r="F1553" t="s">
        <v>13</v>
      </c>
      <c r="G1553">
        <f t="shared" si="126"/>
        <v>1825000</v>
      </c>
      <c r="H1553" t="s">
        <v>196</v>
      </c>
      <c r="I1553" t="s">
        <v>4702</v>
      </c>
      <c r="J1553" s="2">
        <f t="shared" si="127"/>
        <v>1701000</v>
      </c>
      <c r="K1553" t="s">
        <v>4703</v>
      </c>
      <c r="L1553">
        <f t="shared" si="128"/>
        <v>0.17222222222222225</v>
      </c>
      <c r="M1553" s="5">
        <v>0.17222222222222225</v>
      </c>
      <c r="N1553" t="s">
        <v>43</v>
      </c>
      <c r="P1553" t="s">
        <v>1810</v>
      </c>
      <c r="R1553" s="3">
        <f t="shared" si="124"/>
        <v>4.1333333333333337</v>
      </c>
    </row>
    <row r="1554" spans="1:18" hidden="1" x14ac:dyDescent="0.25">
      <c r="A1554" t="s">
        <v>4461</v>
      </c>
      <c r="B1554" t="s">
        <v>4272</v>
      </c>
      <c r="C1554" t="s">
        <v>4285</v>
      </c>
      <c r="D1554" s="3">
        <f t="shared" si="125"/>
        <v>11.02</v>
      </c>
      <c r="E1554" t="s">
        <v>4462</v>
      </c>
      <c r="F1554" t="s">
        <v>13</v>
      </c>
      <c r="G1554" t="str">
        <f t="shared" si="126"/>
        <v/>
      </c>
      <c r="H1554" t="s">
        <v>14</v>
      </c>
      <c r="I1554" t="s">
        <v>4463</v>
      </c>
      <c r="J1554" s="2">
        <f t="shared" si="127"/>
        <v>1875000</v>
      </c>
      <c r="K1554" t="s">
        <v>884</v>
      </c>
      <c r="L1554">
        <f t="shared" si="128"/>
        <v>0.17083333333333331</v>
      </c>
      <c r="M1554" s="5">
        <v>0.17083333333333331</v>
      </c>
      <c r="N1554" t="s">
        <v>43</v>
      </c>
      <c r="P1554" t="s">
        <v>1810</v>
      </c>
      <c r="R1554" s="3">
        <f t="shared" si="124"/>
        <v>4.0999999999999996</v>
      </c>
    </row>
    <row r="1555" spans="1:18" hidden="1" x14ac:dyDescent="0.25">
      <c r="A1555" t="s">
        <v>4418</v>
      </c>
      <c r="B1555" t="s">
        <v>4272</v>
      </c>
      <c r="C1555" t="s">
        <v>4285</v>
      </c>
      <c r="D1555" s="3">
        <f t="shared" si="125"/>
        <v>8.91</v>
      </c>
      <c r="E1555" t="s">
        <v>2869</v>
      </c>
      <c r="F1555" t="s">
        <v>13</v>
      </c>
      <c r="G1555" t="str">
        <f t="shared" si="126"/>
        <v/>
      </c>
      <c r="H1555" t="s">
        <v>14</v>
      </c>
      <c r="I1555" t="s">
        <v>4419</v>
      </c>
      <c r="J1555" s="2">
        <f t="shared" si="127"/>
        <v>1445000</v>
      </c>
      <c r="K1555" t="s">
        <v>858</v>
      </c>
      <c r="L1555">
        <f t="shared" si="128"/>
        <v>0.17291666666666669</v>
      </c>
      <c r="M1555" s="5">
        <v>0.17291666666666669</v>
      </c>
      <c r="N1555" t="s">
        <v>43</v>
      </c>
      <c r="P1555" t="s">
        <v>1810</v>
      </c>
      <c r="R1555" s="3">
        <f t="shared" si="124"/>
        <v>4.1500000000000004</v>
      </c>
    </row>
    <row r="1556" spans="1:18" hidden="1" x14ac:dyDescent="0.25">
      <c r="A1556" t="s">
        <v>2794</v>
      </c>
      <c r="B1556" t="s">
        <v>3206</v>
      </c>
      <c r="C1556" t="s">
        <v>2682</v>
      </c>
      <c r="D1556" s="3">
        <f t="shared" si="125"/>
        <v>9.7999999999999989</v>
      </c>
      <c r="E1556" t="s">
        <v>2765</v>
      </c>
      <c r="F1556" t="s">
        <v>13</v>
      </c>
      <c r="G1556" t="str">
        <f t="shared" si="126"/>
        <v/>
      </c>
      <c r="H1556" t="s">
        <v>14</v>
      </c>
      <c r="I1556" t="s">
        <v>2795</v>
      </c>
      <c r="J1556" s="2">
        <f t="shared" si="127"/>
        <v>1825000</v>
      </c>
      <c r="K1556" t="s">
        <v>196</v>
      </c>
      <c r="L1556">
        <f t="shared" si="128"/>
        <v>0.16944444444444443</v>
      </c>
      <c r="M1556" s="5">
        <v>0.16944444444444443</v>
      </c>
      <c r="N1556" t="s">
        <v>43</v>
      </c>
      <c r="R1556" s="3">
        <f t="shared" si="124"/>
        <v>4.0666666666666664</v>
      </c>
    </row>
    <row r="1557" spans="1:18" hidden="1" x14ac:dyDescent="0.25">
      <c r="A1557" t="s">
        <v>2796</v>
      </c>
      <c r="B1557" t="s">
        <v>3206</v>
      </c>
      <c r="C1557" t="s">
        <v>2682</v>
      </c>
      <c r="D1557" s="3">
        <f t="shared" si="125"/>
        <v>9</v>
      </c>
      <c r="E1557" t="s">
        <v>12</v>
      </c>
      <c r="F1557" t="s">
        <v>34</v>
      </c>
      <c r="G1557" t="str">
        <f t="shared" si="126"/>
        <v/>
      </c>
      <c r="H1557" t="s">
        <v>14</v>
      </c>
      <c r="I1557" t="s">
        <v>2797</v>
      </c>
      <c r="J1557" s="2">
        <f t="shared" si="127"/>
        <v>1805000</v>
      </c>
      <c r="K1557" t="s">
        <v>2269</v>
      </c>
      <c r="L1557">
        <f t="shared" si="128"/>
        <v>0.17013888888888887</v>
      </c>
      <c r="M1557" s="5">
        <v>0.17013888888888887</v>
      </c>
      <c r="N1557" t="s">
        <v>37</v>
      </c>
      <c r="R1557" s="3">
        <f t="shared" si="124"/>
        <v>4.083333333333333</v>
      </c>
    </row>
    <row r="1558" spans="1:18" hidden="1" x14ac:dyDescent="0.25">
      <c r="A1558" t="s">
        <v>2696</v>
      </c>
      <c r="B1558" t="s">
        <v>3206</v>
      </c>
      <c r="C1558" t="s">
        <v>2618</v>
      </c>
      <c r="D1558" s="3">
        <f t="shared" si="125"/>
        <v>12</v>
      </c>
      <c r="E1558" t="s">
        <v>347</v>
      </c>
      <c r="F1558" t="s">
        <v>13</v>
      </c>
      <c r="G1558">
        <f t="shared" si="126"/>
        <v>2365000</v>
      </c>
      <c r="H1558" t="s">
        <v>2697</v>
      </c>
      <c r="I1558" t="s">
        <v>2698</v>
      </c>
      <c r="J1558" s="2">
        <f t="shared" si="127"/>
        <v>2248000</v>
      </c>
      <c r="K1558" t="s">
        <v>2699</v>
      </c>
      <c r="L1558">
        <f t="shared" si="128"/>
        <v>0.16944444444444443</v>
      </c>
      <c r="M1558" s="5">
        <v>0.16944444444444443</v>
      </c>
      <c r="N1558" t="s">
        <v>18</v>
      </c>
      <c r="P1558" t="s">
        <v>708</v>
      </c>
      <c r="R1558" s="3">
        <f t="shared" si="124"/>
        <v>4.0666666666666664</v>
      </c>
    </row>
    <row r="1559" spans="1:18" hidden="1" x14ac:dyDescent="0.25">
      <c r="A1559" t="s">
        <v>2660</v>
      </c>
      <c r="B1559" t="s">
        <v>3206</v>
      </c>
      <c r="C1559" t="s">
        <v>2618</v>
      </c>
      <c r="D1559" s="3">
        <f t="shared" si="125"/>
        <v>9</v>
      </c>
      <c r="E1559" t="s">
        <v>12</v>
      </c>
      <c r="F1559" t="s">
        <v>13</v>
      </c>
      <c r="G1559">
        <f t="shared" si="126"/>
        <v>1825000</v>
      </c>
      <c r="H1559" t="s">
        <v>196</v>
      </c>
      <c r="I1559" t="s">
        <v>2661</v>
      </c>
      <c r="J1559" s="2">
        <f t="shared" si="127"/>
        <v>1735000</v>
      </c>
      <c r="K1559" t="s">
        <v>198</v>
      </c>
      <c r="L1559">
        <f t="shared" si="128"/>
        <v>0.17222222222222225</v>
      </c>
      <c r="M1559" s="5">
        <v>0.17222222222222225</v>
      </c>
      <c r="N1559" t="s">
        <v>18</v>
      </c>
      <c r="P1559" t="s">
        <v>199</v>
      </c>
      <c r="R1559" s="3">
        <f t="shared" si="124"/>
        <v>4.1333333333333337</v>
      </c>
    </row>
    <row r="1560" spans="1:18" hidden="1" x14ac:dyDescent="0.25">
      <c r="A1560" t="s">
        <v>3774</v>
      </c>
      <c r="B1560" t="s">
        <v>3746</v>
      </c>
      <c r="C1560" t="s">
        <v>3775</v>
      </c>
      <c r="D1560" s="3" t="e">
        <f t="shared" si="125"/>
        <v>#VALUE!</v>
      </c>
      <c r="E1560" t="s">
        <v>14</v>
      </c>
      <c r="F1560" t="s">
        <v>14</v>
      </c>
      <c r="G1560">
        <f t="shared" si="126"/>
        <v>1925000</v>
      </c>
      <c r="H1560" t="s">
        <v>552</v>
      </c>
      <c r="I1560" t="s">
        <v>110</v>
      </c>
      <c r="J1560" s="2">
        <f t="shared" si="127"/>
        <v>1830000</v>
      </c>
      <c r="K1560" t="s">
        <v>1828</v>
      </c>
      <c r="L1560">
        <f t="shared" si="128"/>
        <v>0.20833333333333334</v>
      </c>
      <c r="M1560" s="5">
        <v>0.20833333333333334</v>
      </c>
      <c r="N1560" t="s">
        <v>43</v>
      </c>
      <c r="P1560" t="s">
        <v>1171</v>
      </c>
      <c r="R1560" s="3">
        <f t="shared" si="124"/>
        <v>5</v>
      </c>
    </row>
    <row r="1561" spans="1:18" hidden="1" x14ac:dyDescent="0.25">
      <c r="A1561" t="s">
        <v>2679</v>
      </c>
      <c r="B1561" t="s">
        <v>3206</v>
      </c>
      <c r="C1561" t="s">
        <v>2682</v>
      </c>
      <c r="D1561" s="3">
        <f t="shared" si="125"/>
        <v>12</v>
      </c>
      <c r="E1561" t="s">
        <v>347</v>
      </c>
      <c r="F1561" t="s">
        <v>13</v>
      </c>
      <c r="G1561" t="str">
        <f t="shared" si="126"/>
        <v/>
      </c>
      <c r="H1561" t="s">
        <v>14</v>
      </c>
      <c r="I1561" t="s">
        <v>2680</v>
      </c>
      <c r="J1561" s="2">
        <f t="shared" si="127"/>
        <v>1395000</v>
      </c>
      <c r="K1561" t="s">
        <v>2681</v>
      </c>
      <c r="L1561">
        <f t="shared" si="128"/>
        <v>0.16874999999999998</v>
      </c>
      <c r="M1561" s="5">
        <v>0.16874999999999998</v>
      </c>
      <c r="N1561" t="s">
        <v>18</v>
      </c>
      <c r="P1561" t="s">
        <v>31</v>
      </c>
      <c r="R1561" s="3">
        <f t="shared" si="124"/>
        <v>4.05</v>
      </c>
    </row>
    <row r="1562" spans="1:18" hidden="1" x14ac:dyDescent="0.25">
      <c r="A1562" t="s">
        <v>3210</v>
      </c>
      <c r="B1562" t="s">
        <v>3206</v>
      </c>
      <c r="C1562" t="s">
        <v>2631</v>
      </c>
      <c r="D1562" s="3">
        <f t="shared" si="125"/>
        <v>12</v>
      </c>
      <c r="E1562" t="s">
        <v>347</v>
      </c>
      <c r="F1562" t="s">
        <v>13</v>
      </c>
      <c r="G1562" t="str">
        <f t="shared" si="126"/>
        <v/>
      </c>
      <c r="H1562" t="s">
        <v>14</v>
      </c>
      <c r="I1562" t="s">
        <v>2680</v>
      </c>
      <c r="J1562" s="2">
        <f t="shared" si="127"/>
        <v>1255000</v>
      </c>
      <c r="K1562" t="s">
        <v>3089</v>
      </c>
      <c r="L1562">
        <f t="shared" si="128"/>
        <v>0.17083333333333331</v>
      </c>
      <c r="M1562" s="5">
        <v>0.17083333333333331</v>
      </c>
      <c r="N1562" t="s">
        <v>18</v>
      </c>
      <c r="R1562" s="3">
        <f t="shared" si="124"/>
        <v>4.0999999999999996</v>
      </c>
    </row>
    <row r="1563" spans="1:18" hidden="1" x14ac:dyDescent="0.25">
      <c r="A1563" t="s">
        <v>2707</v>
      </c>
      <c r="B1563" t="s">
        <v>3206</v>
      </c>
      <c r="C1563" t="s">
        <v>2631</v>
      </c>
      <c r="D1563" s="3">
        <f t="shared" si="125"/>
        <v>12</v>
      </c>
      <c r="E1563" t="s">
        <v>347</v>
      </c>
      <c r="F1563" t="s">
        <v>13</v>
      </c>
      <c r="G1563" t="str">
        <f t="shared" si="126"/>
        <v/>
      </c>
      <c r="H1563" t="s">
        <v>14</v>
      </c>
      <c r="I1563" t="s">
        <v>2680</v>
      </c>
      <c r="J1563" s="2">
        <f t="shared" si="127"/>
        <v>1425000</v>
      </c>
      <c r="K1563" t="s">
        <v>909</v>
      </c>
      <c r="L1563">
        <f t="shared" si="128"/>
        <v>0.17222222222222225</v>
      </c>
      <c r="M1563" s="5">
        <v>0.17222222222222225</v>
      </c>
      <c r="N1563" t="s">
        <v>18</v>
      </c>
      <c r="P1563" t="s">
        <v>31</v>
      </c>
      <c r="R1563" s="3">
        <f t="shared" si="124"/>
        <v>4.1333333333333337</v>
      </c>
    </row>
    <row r="1564" spans="1:18" x14ac:dyDescent="0.25">
      <c r="A1564" t="s">
        <v>3251</v>
      </c>
      <c r="B1564" t="s">
        <v>3233</v>
      </c>
      <c r="C1564" t="s">
        <v>3232</v>
      </c>
      <c r="D1564" s="3">
        <f t="shared" si="125"/>
        <v>6.72</v>
      </c>
      <c r="E1564" t="s">
        <v>1561</v>
      </c>
      <c r="F1564" t="s">
        <v>13</v>
      </c>
      <c r="G1564" t="str">
        <f t="shared" si="126"/>
        <v/>
      </c>
      <c r="H1564" t="s">
        <v>14</v>
      </c>
      <c r="I1564" t="s">
        <v>3252</v>
      </c>
      <c r="J1564" s="2">
        <f t="shared" si="127"/>
        <v>1925000</v>
      </c>
      <c r="K1564" t="s">
        <v>552</v>
      </c>
      <c r="L1564">
        <f t="shared" si="128"/>
        <v>0.17291666666666669</v>
      </c>
      <c r="M1564" s="5">
        <v>0.17291666666666669</v>
      </c>
      <c r="N1564" t="s">
        <v>43</v>
      </c>
      <c r="P1564" t="s">
        <v>1622</v>
      </c>
      <c r="R1564" s="3">
        <f t="shared" si="124"/>
        <v>4.1500000000000004</v>
      </c>
    </row>
    <row r="1565" spans="1:18" hidden="1" x14ac:dyDescent="0.25">
      <c r="A1565" t="s">
        <v>3161</v>
      </c>
      <c r="B1565" t="s">
        <v>3206</v>
      </c>
      <c r="C1565" t="s">
        <v>2618</v>
      </c>
      <c r="D1565" s="3">
        <f t="shared" si="125"/>
        <v>11.2</v>
      </c>
      <c r="E1565" t="s">
        <v>1543</v>
      </c>
      <c r="F1565" t="s">
        <v>13</v>
      </c>
      <c r="G1565">
        <f t="shared" si="126"/>
        <v>2825000</v>
      </c>
      <c r="H1565" t="s">
        <v>1604</v>
      </c>
      <c r="I1565" t="s">
        <v>3120</v>
      </c>
      <c r="J1565" s="2">
        <f t="shared" si="127"/>
        <v>2685000</v>
      </c>
      <c r="K1565" t="s">
        <v>1606</v>
      </c>
      <c r="L1565">
        <f t="shared" si="128"/>
        <v>0.17083333333333331</v>
      </c>
      <c r="M1565" s="5">
        <v>0.17083333333333331</v>
      </c>
      <c r="N1565" t="s">
        <v>43</v>
      </c>
      <c r="P1565" t="s">
        <v>1607</v>
      </c>
      <c r="R1565" s="3">
        <f t="shared" si="124"/>
        <v>4.0999999999999996</v>
      </c>
    </row>
    <row r="1566" spans="1:18" hidden="1" x14ac:dyDescent="0.25">
      <c r="A1566" t="s">
        <v>3161</v>
      </c>
      <c r="B1566" t="s">
        <v>3206</v>
      </c>
      <c r="C1566" t="s">
        <v>2618</v>
      </c>
      <c r="D1566" s="3" t="e">
        <f t="shared" si="125"/>
        <v>#VALUE!</v>
      </c>
      <c r="E1566" t="s">
        <v>14</v>
      </c>
      <c r="F1566" t="s">
        <v>14</v>
      </c>
      <c r="G1566">
        <f t="shared" si="126"/>
        <v>2825000</v>
      </c>
      <c r="H1566" t="s">
        <v>1604</v>
      </c>
      <c r="I1566" t="s">
        <v>110</v>
      </c>
      <c r="J1566" s="2">
        <f t="shared" si="127"/>
        <v>2685000</v>
      </c>
      <c r="K1566" t="s">
        <v>1606</v>
      </c>
      <c r="L1566">
        <f t="shared" si="128"/>
        <v>0.17083333333333331</v>
      </c>
      <c r="M1566" s="5">
        <v>0.17083333333333331</v>
      </c>
      <c r="N1566" t="s">
        <v>43</v>
      </c>
      <c r="P1566" t="s">
        <v>1607</v>
      </c>
      <c r="R1566" s="3">
        <f t="shared" si="124"/>
        <v>4.0999999999999996</v>
      </c>
    </row>
    <row r="1567" spans="1:18" x14ac:dyDescent="0.25">
      <c r="A1567" t="s">
        <v>4551</v>
      </c>
      <c r="B1567" t="s">
        <v>4272</v>
      </c>
      <c r="C1567" t="s">
        <v>4351</v>
      </c>
      <c r="D1567" s="3">
        <f t="shared" si="125"/>
        <v>6</v>
      </c>
      <c r="E1567" t="s">
        <v>4552</v>
      </c>
      <c r="F1567" t="s">
        <v>13</v>
      </c>
      <c r="G1567" t="str">
        <f t="shared" si="126"/>
        <v/>
      </c>
      <c r="H1567" t="s">
        <v>14</v>
      </c>
      <c r="I1567" t="s">
        <v>4553</v>
      </c>
      <c r="J1567" s="2">
        <f t="shared" si="127"/>
        <v>1925000</v>
      </c>
      <c r="K1567" t="s">
        <v>552</v>
      </c>
      <c r="L1567">
        <f t="shared" si="128"/>
        <v>0.20833333333333334</v>
      </c>
      <c r="M1567" s="5">
        <v>0.20833333333333334</v>
      </c>
      <c r="N1567" t="s">
        <v>18</v>
      </c>
      <c r="R1567" s="3">
        <f t="shared" si="124"/>
        <v>5</v>
      </c>
    </row>
    <row r="1568" spans="1:18" hidden="1" x14ac:dyDescent="0.25">
      <c r="A1568" t="s">
        <v>3024</v>
      </c>
      <c r="B1568" t="s">
        <v>3206</v>
      </c>
      <c r="C1568" t="s">
        <v>2772</v>
      </c>
      <c r="D1568" s="3">
        <f t="shared" si="125"/>
        <v>8.68</v>
      </c>
      <c r="E1568" t="s">
        <v>1360</v>
      </c>
      <c r="F1568" t="s">
        <v>13</v>
      </c>
      <c r="G1568" t="str">
        <f t="shared" si="126"/>
        <v/>
      </c>
      <c r="H1568" t="s">
        <v>14</v>
      </c>
      <c r="I1568" t="s">
        <v>3025</v>
      </c>
      <c r="J1568" s="2">
        <f t="shared" si="127"/>
        <v>2675000</v>
      </c>
      <c r="K1568" t="s">
        <v>1730</v>
      </c>
      <c r="L1568">
        <f t="shared" si="128"/>
        <v>0.17291666666666669</v>
      </c>
      <c r="M1568" s="5">
        <v>0.17291666666666669</v>
      </c>
      <c r="N1568" t="s">
        <v>43</v>
      </c>
      <c r="P1568" t="s">
        <v>1607</v>
      </c>
      <c r="R1568" s="3">
        <f t="shared" si="124"/>
        <v>4.1500000000000004</v>
      </c>
    </row>
    <row r="1569" spans="1:18" hidden="1" x14ac:dyDescent="0.25">
      <c r="A1569" t="s">
        <v>3162</v>
      </c>
      <c r="B1569" t="s">
        <v>3206</v>
      </c>
      <c r="C1569" t="s">
        <v>2772</v>
      </c>
      <c r="D1569" s="3">
        <f t="shared" si="125"/>
        <v>10.639999999999999</v>
      </c>
      <c r="E1569" t="s">
        <v>3074</v>
      </c>
      <c r="F1569" t="s">
        <v>13</v>
      </c>
      <c r="G1569" t="str">
        <f t="shared" si="126"/>
        <v/>
      </c>
      <c r="H1569" t="s">
        <v>14</v>
      </c>
      <c r="I1569" t="s">
        <v>3163</v>
      </c>
      <c r="J1569" s="2">
        <f t="shared" si="127"/>
        <v>2525000</v>
      </c>
      <c r="K1569" t="s">
        <v>131</v>
      </c>
      <c r="L1569">
        <f t="shared" si="128"/>
        <v>0.17291666666666669</v>
      </c>
      <c r="M1569" s="5">
        <v>0.17291666666666669</v>
      </c>
      <c r="N1569" t="s">
        <v>43</v>
      </c>
      <c r="P1569" t="s">
        <v>752</v>
      </c>
      <c r="R1569" s="3">
        <f t="shared" si="124"/>
        <v>4.1500000000000004</v>
      </c>
    </row>
    <row r="1570" spans="1:18" hidden="1" x14ac:dyDescent="0.25">
      <c r="A1570" t="s">
        <v>2743</v>
      </c>
      <c r="B1570" t="s">
        <v>3206</v>
      </c>
      <c r="C1570" t="s">
        <v>2720</v>
      </c>
      <c r="D1570" s="3">
        <f t="shared" si="125"/>
        <v>12.96</v>
      </c>
      <c r="E1570" t="s">
        <v>1432</v>
      </c>
      <c r="F1570" t="s">
        <v>13</v>
      </c>
      <c r="G1570" t="str">
        <f t="shared" si="126"/>
        <v/>
      </c>
      <c r="H1570" t="s">
        <v>14</v>
      </c>
      <c r="I1570" t="s">
        <v>2744</v>
      </c>
      <c r="J1570" s="2">
        <f t="shared" si="127"/>
        <v>3825000</v>
      </c>
      <c r="K1570" t="s">
        <v>2457</v>
      </c>
      <c r="L1570">
        <f t="shared" si="128"/>
        <v>0.17222222222222225</v>
      </c>
      <c r="M1570" s="5">
        <v>0.17222222222222225</v>
      </c>
      <c r="N1570" t="s">
        <v>18</v>
      </c>
      <c r="R1570" s="3">
        <f t="shared" si="124"/>
        <v>4.1333333333333337</v>
      </c>
    </row>
    <row r="1571" spans="1:18" hidden="1" x14ac:dyDescent="0.25">
      <c r="A1571" t="s">
        <v>2716</v>
      </c>
      <c r="B1571" t="s">
        <v>3206</v>
      </c>
      <c r="C1571" t="s">
        <v>2720</v>
      </c>
      <c r="D1571" s="3">
        <f t="shared" si="125"/>
        <v>9.8999999999999986</v>
      </c>
      <c r="E1571" t="s">
        <v>2717</v>
      </c>
      <c r="F1571" t="s">
        <v>13</v>
      </c>
      <c r="G1571" t="str">
        <f t="shared" si="126"/>
        <v/>
      </c>
      <c r="H1571" t="s">
        <v>14</v>
      </c>
      <c r="I1571" t="s">
        <v>2718</v>
      </c>
      <c r="J1571" s="2">
        <f t="shared" si="127"/>
        <v>3525000</v>
      </c>
      <c r="K1571" t="s">
        <v>2719</v>
      </c>
      <c r="L1571">
        <f t="shared" si="128"/>
        <v>0.17291666666666669</v>
      </c>
      <c r="M1571" s="5">
        <v>0.17291666666666669</v>
      </c>
      <c r="N1571" t="s">
        <v>18</v>
      </c>
      <c r="R1571" s="3">
        <f t="shared" si="124"/>
        <v>4.1500000000000004</v>
      </c>
    </row>
    <row r="1572" spans="1:18" hidden="1" x14ac:dyDescent="0.25">
      <c r="A1572" t="s">
        <v>2741</v>
      </c>
      <c r="B1572" t="s">
        <v>3206</v>
      </c>
      <c r="C1572" t="s">
        <v>2618</v>
      </c>
      <c r="D1572" s="3">
        <f t="shared" si="125"/>
        <v>12</v>
      </c>
      <c r="E1572" t="s">
        <v>33</v>
      </c>
      <c r="F1572" t="s">
        <v>13</v>
      </c>
      <c r="G1572" t="str">
        <f t="shared" si="126"/>
        <v/>
      </c>
      <c r="H1572" t="s">
        <v>14</v>
      </c>
      <c r="I1572" t="s">
        <v>2742</v>
      </c>
      <c r="J1572" s="2">
        <f t="shared" si="127"/>
        <v>3225000</v>
      </c>
      <c r="K1572" t="s">
        <v>2507</v>
      </c>
      <c r="L1572">
        <f t="shared" si="128"/>
        <v>0.17291666666666669</v>
      </c>
      <c r="M1572" s="5">
        <v>0.17291666666666669</v>
      </c>
      <c r="N1572" t="s">
        <v>18</v>
      </c>
      <c r="R1572" s="3">
        <f t="shared" si="124"/>
        <v>4.1500000000000004</v>
      </c>
    </row>
    <row r="1573" spans="1:18" hidden="1" x14ac:dyDescent="0.25">
      <c r="A1573" t="s">
        <v>25</v>
      </c>
      <c r="B1573" t="s">
        <v>20</v>
      </c>
      <c r="C1573" t="s">
        <v>30</v>
      </c>
      <c r="D1573" s="3">
        <f t="shared" si="125"/>
        <v>9.6000000000000014</v>
      </c>
      <c r="E1573" t="s">
        <v>26</v>
      </c>
      <c r="F1573" t="s">
        <v>13</v>
      </c>
      <c r="G1573">
        <f t="shared" si="126"/>
        <v>1525000</v>
      </c>
      <c r="H1573" t="s">
        <v>27</v>
      </c>
      <c r="I1573" t="s">
        <v>28</v>
      </c>
      <c r="J1573" s="2">
        <f t="shared" si="127"/>
        <v>1450000</v>
      </c>
      <c r="K1573" t="s">
        <v>29</v>
      </c>
      <c r="L1573">
        <f t="shared" si="128"/>
        <v>0.20833333333333334</v>
      </c>
      <c r="M1573" s="5">
        <v>0.20833333333333334</v>
      </c>
      <c r="N1573" t="s">
        <v>18</v>
      </c>
      <c r="P1573" t="s">
        <v>31</v>
      </c>
      <c r="R1573" s="3">
        <f t="shared" si="124"/>
        <v>5</v>
      </c>
    </row>
    <row r="1574" spans="1:18" hidden="1" x14ac:dyDescent="0.25">
      <c r="A1574" t="s">
        <v>166</v>
      </c>
      <c r="B1574" t="s">
        <v>20</v>
      </c>
      <c r="C1574" t="s">
        <v>30</v>
      </c>
      <c r="D1574" s="3">
        <f t="shared" si="125"/>
        <v>9</v>
      </c>
      <c r="E1574" t="s">
        <v>12</v>
      </c>
      <c r="F1574" t="s">
        <v>13</v>
      </c>
      <c r="G1574">
        <f t="shared" si="126"/>
        <v>4525000</v>
      </c>
      <c r="H1574" t="s">
        <v>167</v>
      </c>
      <c r="I1574" t="s">
        <v>168</v>
      </c>
      <c r="J1574" s="2">
        <f t="shared" si="127"/>
        <v>4165000</v>
      </c>
      <c r="K1574" t="s">
        <v>169</v>
      </c>
      <c r="L1574">
        <f t="shared" si="128"/>
        <v>0.17291666666666669</v>
      </c>
      <c r="M1574" s="5">
        <v>0.17291666666666669</v>
      </c>
      <c r="N1574" t="s">
        <v>18</v>
      </c>
      <c r="P1574" t="s">
        <v>170</v>
      </c>
      <c r="R1574" s="3">
        <f t="shared" si="124"/>
        <v>4.1500000000000004</v>
      </c>
    </row>
    <row r="1575" spans="1:18" hidden="1" x14ac:dyDescent="0.25">
      <c r="A1575" t="s">
        <v>129</v>
      </c>
      <c r="B1575" t="s">
        <v>20</v>
      </c>
      <c r="C1575" t="s">
        <v>30</v>
      </c>
      <c r="D1575" s="3">
        <f t="shared" si="125"/>
        <v>14.399999999999999</v>
      </c>
      <c r="E1575" t="s">
        <v>130</v>
      </c>
      <c r="F1575" t="s">
        <v>13</v>
      </c>
      <c r="G1575">
        <f t="shared" si="126"/>
        <v>2525000</v>
      </c>
      <c r="H1575" t="s">
        <v>131</v>
      </c>
      <c r="I1575" t="s">
        <v>132</v>
      </c>
      <c r="J1575" s="2">
        <f t="shared" si="127"/>
        <v>2400000</v>
      </c>
      <c r="K1575" t="s">
        <v>133</v>
      </c>
      <c r="L1575">
        <f t="shared" si="128"/>
        <v>0</v>
      </c>
      <c r="N1575" t="s">
        <v>18</v>
      </c>
      <c r="P1575" t="s">
        <v>134</v>
      </c>
      <c r="R1575" s="3">
        <f t="shared" si="124"/>
        <v>0</v>
      </c>
    </row>
    <row r="1576" spans="1:18" hidden="1" x14ac:dyDescent="0.25">
      <c r="A1576" t="s">
        <v>195</v>
      </c>
      <c r="B1576" t="s">
        <v>20</v>
      </c>
      <c r="C1576" t="s">
        <v>30</v>
      </c>
      <c r="D1576" s="3">
        <f t="shared" si="125"/>
        <v>9</v>
      </c>
      <c r="E1576" t="s">
        <v>12</v>
      </c>
      <c r="F1576" t="s">
        <v>13</v>
      </c>
      <c r="G1576">
        <f t="shared" si="126"/>
        <v>1825000</v>
      </c>
      <c r="H1576" t="s">
        <v>196</v>
      </c>
      <c r="I1576" t="s">
        <v>197</v>
      </c>
      <c r="J1576" s="2">
        <f t="shared" si="127"/>
        <v>1735000</v>
      </c>
      <c r="K1576" t="s">
        <v>198</v>
      </c>
      <c r="L1576">
        <f t="shared" si="128"/>
        <v>0</v>
      </c>
      <c r="N1576" t="s">
        <v>18</v>
      </c>
      <c r="P1576" t="s">
        <v>199</v>
      </c>
      <c r="R1576" s="3">
        <f t="shared" si="124"/>
        <v>0</v>
      </c>
    </row>
    <row r="1577" spans="1:18" hidden="1" x14ac:dyDescent="0.25">
      <c r="A1577" t="s">
        <v>2341</v>
      </c>
      <c r="B1577" t="s">
        <v>2596</v>
      </c>
      <c r="C1577" t="s">
        <v>2193</v>
      </c>
      <c r="D1577" s="3">
        <f t="shared" si="125"/>
        <v>12</v>
      </c>
      <c r="E1577" t="s">
        <v>347</v>
      </c>
      <c r="F1577" t="s">
        <v>13</v>
      </c>
      <c r="G1577" t="str">
        <f t="shared" si="126"/>
        <v/>
      </c>
      <c r="H1577" t="s">
        <v>14</v>
      </c>
      <c r="I1577" t="s">
        <v>2342</v>
      </c>
      <c r="J1577" s="2">
        <f t="shared" si="127"/>
        <v>1925000</v>
      </c>
      <c r="K1577" t="s">
        <v>552</v>
      </c>
      <c r="L1577">
        <f t="shared" si="128"/>
        <v>0.17222222222222225</v>
      </c>
      <c r="M1577" s="5">
        <v>0.17222222222222225</v>
      </c>
      <c r="N1577" t="s">
        <v>43</v>
      </c>
      <c r="R1577" s="3">
        <f t="shared" si="124"/>
        <v>4.1333333333333337</v>
      </c>
    </row>
    <row r="1578" spans="1:18" hidden="1" x14ac:dyDescent="0.25">
      <c r="A1578" t="s">
        <v>2470</v>
      </c>
      <c r="B1578" t="s">
        <v>2596</v>
      </c>
      <c r="C1578" t="s">
        <v>2193</v>
      </c>
      <c r="D1578" s="3">
        <f t="shared" si="125"/>
        <v>12.8</v>
      </c>
      <c r="E1578" t="s">
        <v>1382</v>
      </c>
      <c r="F1578" t="s">
        <v>13</v>
      </c>
      <c r="G1578" t="str">
        <f t="shared" si="126"/>
        <v/>
      </c>
      <c r="H1578" t="s">
        <v>14</v>
      </c>
      <c r="I1578" t="s">
        <v>2471</v>
      </c>
      <c r="J1578" s="2">
        <f t="shared" si="127"/>
        <v>2115000</v>
      </c>
      <c r="K1578" t="s">
        <v>1341</v>
      </c>
      <c r="L1578">
        <f t="shared" si="128"/>
        <v>0.17083333333333331</v>
      </c>
      <c r="M1578" s="5">
        <v>0.17083333333333331</v>
      </c>
      <c r="N1578" t="s">
        <v>43</v>
      </c>
      <c r="R1578" s="3">
        <f t="shared" si="124"/>
        <v>4.0999999999999996</v>
      </c>
    </row>
    <row r="1579" spans="1:18" hidden="1" x14ac:dyDescent="0.25">
      <c r="A1579" t="s">
        <v>2461</v>
      </c>
      <c r="B1579" t="s">
        <v>2596</v>
      </c>
      <c r="C1579" t="s">
        <v>2193</v>
      </c>
      <c r="D1579" s="3">
        <f t="shared" si="125"/>
        <v>14</v>
      </c>
      <c r="E1579" t="s">
        <v>875</v>
      </c>
      <c r="F1579" t="s">
        <v>13</v>
      </c>
      <c r="G1579" t="str">
        <f t="shared" si="126"/>
        <v/>
      </c>
      <c r="H1579" t="s">
        <v>14</v>
      </c>
      <c r="I1579" t="s">
        <v>2462</v>
      </c>
      <c r="J1579" s="2">
        <f t="shared" si="127"/>
        <v>2225000</v>
      </c>
      <c r="K1579" t="s">
        <v>1339</v>
      </c>
      <c r="L1579">
        <f t="shared" si="128"/>
        <v>0.17291666666666669</v>
      </c>
      <c r="M1579" s="5">
        <v>0.17291666666666669</v>
      </c>
      <c r="N1579" t="s">
        <v>43</v>
      </c>
      <c r="R1579" s="3">
        <f t="shared" si="124"/>
        <v>4.1500000000000004</v>
      </c>
    </row>
    <row r="1580" spans="1:18" hidden="1" x14ac:dyDescent="0.25">
      <c r="A1580" t="s">
        <v>3092</v>
      </c>
      <c r="B1580" t="s">
        <v>3206</v>
      </c>
      <c r="C1580" t="s">
        <v>2604</v>
      </c>
      <c r="D1580" s="3">
        <f t="shared" si="125"/>
        <v>8.58</v>
      </c>
      <c r="E1580" t="s">
        <v>3093</v>
      </c>
      <c r="F1580" t="s">
        <v>34</v>
      </c>
      <c r="G1580" t="str">
        <f t="shared" si="126"/>
        <v/>
      </c>
      <c r="H1580" t="s">
        <v>14</v>
      </c>
      <c r="I1580" t="s">
        <v>3094</v>
      </c>
      <c r="J1580" s="2">
        <f t="shared" si="127"/>
        <v>2575000</v>
      </c>
      <c r="K1580" t="s">
        <v>2154</v>
      </c>
      <c r="L1580">
        <f t="shared" si="128"/>
        <v>0.17083333333333331</v>
      </c>
      <c r="M1580" s="5">
        <v>0.17083333333333331</v>
      </c>
      <c r="N1580" t="s">
        <v>43</v>
      </c>
      <c r="P1580" t="s">
        <v>1618</v>
      </c>
      <c r="R1580" s="3">
        <f t="shared" si="124"/>
        <v>4.0999999999999996</v>
      </c>
    </row>
    <row r="1581" spans="1:18" hidden="1" x14ac:dyDescent="0.25">
      <c r="A1581" t="s">
        <v>3098</v>
      </c>
      <c r="B1581" t="s">
        <v>3206</v>
      </c>
      <c r="C1581" t="s">
        <v>2604</v>
      </c>
      <c r="D1581" s="3">
        <f t="shared" si="125"/>
        <v>14</v>
      </c>
      <c r="E1581" t="s">
        <v>238</v>
      </c>
      <c r="F1581" t="s">
        <v>34</v>
      </c>
      <c r="G1581" t="str">
        <f t="shared" si="126"/>
        <v/>
      </c>
      <c r="H1581" t="s">
        <v>14</v>
      </c>
      <c r="I1581" t="s">
        <v>3099</v>
      </c>
      <c r="J1581" s="2">
        <f t="shared" si="127"/>
        <v>2845000</v>
      </c>
      <c r="K1581" t="s">
        <v>3100</v>
      </c>
      <c r="L1581">
        <f t="shared" si="128"/>
        <v>0.17013888888888887</v>
      </c>
      <c r="M1581" s="5">
        <v>0.17013888888888887</v>
      </c>
      <c r="N1581" t="s">
        <v>43</v>
      </c>
      <c r="P1581" t="s">
        <v>1618</v>
      </c>
      <c r="R1581" s="3">
        <f t="shared" si="124"/>
        <v>4.083333333333333</v>
      </c>
    </row>
    <row r="1582" spans="1:18" hidden="1" x14ac:dyDescent="0.25">
      <c r="A1582" t="s">
        <v>2978</v>
      </c>
      <c r="B1582" t="s">
        <v>3206</v>
      </c>
      <c r="C1582" t="s">
        <v>2600</v>
      </c>
      <c r="D1582" s="3">
        <f t="shared" si="125"/>
        <v>13.5</v>
      </c>
      <c r="E1582" t="s">
        <v>446</v>
      </c>
      <c r="F1582" t="s">
        <v>13</v>
      </c>
      <c r="G1582" t="str">
        <f t="shared" si="126"/>
        <v/>
      </c>
      <c r="H1582" t="s">
        <v>14</v>
      </c>
      <c r="I1582" t="s">
        <v>2979</v>
      </c>
      <c r="J1582" s="2">
        <f t="shared" si="127"/>
        <v>3700000</v>
      </c>
      <c r="K1582" t="s">
        <v>2580</v>
      </c>
      <c r="L1582">
        <f t="shared" si="128"/>
        <v>0.20833333333333334</v>
      </c>
      <c r="M1582" s="5">
        <v>0.20833333333333334</v>
      </c>
      <c r="N1582" t="s">
        <v>43</v>
      </c>
      <c r="P1582" t="s">
        <v>2826</v>
      </c>
      <c r="R1582" s="3">
        <f t="shared" si="124"/>
        <v>5</v>
      </c>
    </row>
    <row r="1583" spans="1:18" x14ac:dyDescent="0.25">
      <c r="A1583" t="s">
        <v>3750</v>
      </c>
      <c r="B1583" t="s">
        <v>3746</v>
      </c>
      <c r="C1583" t="s">
        <v>3753</v>
      </c>
      <c r="D1583" s="3" t="e">
        <f t="shared" si="125"/>
        <v>#VALUE!</v>
      </c>
      <c r="E1583" t="s">
        <v>14</v>
      </c>
      <c r="F1583" t="s">
        <v>13</v>
      </c>
      <c r="G1583">
        <f t="shared" si="126"/>
        <v>2050000</v>
      </c>
      <c r="H1583" t="s">
        <v>240</v>
      </c>
      <c r="I1583" t="s">
        <v>3751</v>
      </c>
      <c r="J1583" s="2">
        <f t="shared" si="127"/>
        <v>1948750</v>
      </c>
      <c r="K1583" t="s">
        <v>3752</v>
      </c>
      <c r="L1583">
        <f t="shared" si="128"/>
        <v>0.17222222222222225</v>
      </c>
      <c r="M1583" s="5">
        <v>0.17222222222222225</v>
      </c>
      <c r="N1583" t="s">
        <v>43</v>
      </c>
      <c r="P1583" t="s">
        <v>1615</v>
      </c>
      <c r="R1583" s="3">
        <f t="shared" si="124"/>
        <v>4.1333333333333337</v>
      </c>
    </row>
    <row r="1584" spans="1:18" hidden="1" x14ac:dyDescent="0.25">
      <c r="A1584" t="s">
        <v>5533</v>
      </c>
      <c r="B1584" t="s">
        <v>5848</v>
      </c>
      <c r="C1584" t="s">
        <v>5339</v>
      </c>
      <c r="D1584" s="3">
        <f t="shared" si="125"/>
        <v>10.5</v>
      </c>
      <c r="E1584" t="s">
        <v>653</v>
      </c>
      <c r="F1584" t="s">
        <v>13</v>
      </c>
      <c r="G1584">
        <f t="shared" si="126"/>
        <v>1525000</v>
      </c>
      <c r="H1584" t="s">
        <v>27</v>
      </c>
      <c r="I1584" t="s">
        <v>5534</v>
      </c>
      <c r="J1584" s="2">
        <f t="shared" si="127"/>
        <v>1450000</v>
      </c>
      <c r="K1584" t="s">
        <v>29</v>
      </c>
      <c r="L1584">
        <f t="shared" si="128"/>
        <v>0.20833333333333334</v>
      </c>
      <c r="M1584" s="5">
        <v>0.20833333333333334</v>
      </c>
      <c r="N1584" t="s">
        <v>43</v>
      </c>
      <c r="P1584" t="s">
        <v>31</v>
      </c>
      <c r="R1584" s="3">
        <f t="shared" si="124"/>
        <v>5</v>
      </c>
    </row>
    <row r="1585" spans="1:18" hidden="1" x14ac:dyDescent="0.25">
      <c r="A1585" t="s">
        <v>3112</v>
      </c>
      <c r="B1585" t="s">
        <v>3206</v>
      </c>
      <c r="C1585" t="s">
        <v>2682</v>
      </c>
      <c r="D1585" s="3">
        <f t="shared" si="125"/>
        <v>12</v>
      </c>
      <c r="E1585" t="s">
        <v>33</v>
      </c>
      <c r="F1585" t="s">
        <v>34</v>
      </c>
      <c r="G1585">
        <f t="shared" si="126"/>
        <v>1825000</v>
      </c>
      <c r="H1585" t="s">
        <v>196</v>
      </c>
      <c r="I1585" t="s">
        <v>3113</v>
      </c>
      <c r="J1585" s="2">
        <f t="shared" si="127"/>
        <v>1735000</v>
      </c>
      <c r="K1585" t="s">
        <v>198</v>
      </c>
      <c r="L1585">
        <f t="shared" si="128"/>
        <v>0.17222222222222225</v>
      </c>
      <c r="M1585" s="5">
        <v>0.17222222222222225</v>
      </c>
      <c r="N1585" t="s">
        <v>37</v>
      </c>
      <c r="P1585" t="s">
        <v>199</v>
      </c>
      <c r="R1585" s="3">
        <f t="shared" si="124"/>
        <v>4.1333333333333337</v>
      </c>
    </row>
    <row r="1586" spans="1:18" hidden="1" x14ac:dyDescent="0.25">
      <c r="A1586" t="s">
        <v>4412</v>
      </c>
      <c r="B1586" t="s">
        <v>4272</v>
      </c>
      <c r="C1586" t="s">
        <v>4311</v>
      </c>
      <c r="D1586" s="3">
        <f t="shared" si="125"/>
        <v>10.15</v>
      </c>
      <c r="E1586" t="s">
        <v>4413</v>
      </c>
      <c r="F1586" t="s">
        <v>13</v>
      </c>
      <c r="G1586" t="str">
        <f t="shared" si="126"/>
        <v/>
      </c>
      <c r="H1586" t="s">
        <v>14</v>
      </c>
      <c r="I1586" t="s">
        <v>4414</v>
      </c>
      <c r="J1586" s="2">
        <f t="shared" si="127"/>
        <v>1525000</v>
      </c>
      <c r="K1586" t="s">
        <v>27</v>
      </c>
      <c r="L1586">
        <f t="shared" si="128"/>
        <v>0.17083333333333331</v>
      </c>
      <c r="M1586" s="5">
        <v>0.17083333333333331</v>
      </c>
      <c r="N1586" t="s">
        <v>43</v>
      </c>
      <c r="R1586" s="3">
        <f t="shared" si="124"/>
        <v>4.0999999999999996</v>
      </c>
    </row>
    <row r="1587" spans="1:18" x14ac:dyDescent="0.25">
      <c r="A1587" t="s">
        <v>3916</v>
      </c>
      <c r="B1587" t="s">
        <v>3746</v>
      </c>
      <c r="C1587" t="s">
        <v>3780</v>
      </c>
      <c r="D1587" s="3">
        <f t="shared" si="125"/>
        <v>9.9</v>
      </c>
      <c r="E1587" t="s">
        <v>1330</v>
      </c>
      <c r="F1587" t="s">
        <v>13</v>
      </c>
      <c r="G1587" t="str">
        <f t="shared" si="126"/>
        <v/>
      </c>
      <c r="H1587" t="s">
        <v>14</v>
      </c>
      <c r="I1587" t="s">
        <v>3917</v>
      </c>
      <c r="J1587" s="2">
        <f t="shared" si="127"/>
        <v>1950000</v>
      </c>
      <c r="K1587" t="s">
        <v>748</v>
      </c>
      <c r="L1587">
        <f t="shared" si="128"/>
        <v>0</v>
      </c>
      <c r="N1587" t="s">
        <v>43</v>
      </c>
      <c r="R1587" s="3">
        <f t="shared" si="124"/>
        <v>0</v>
      </c>
    </row>
    <row r="1588" spans="1:18" hidden="1" x14ac:dyDescent="0.25">
      <c r="A1588" t="s">
        <v>2809</v>
      </c>
      <c r="B1588" t="s">
        <v>3206</v>
      </c>
      <c r="C1588" t="s">
        <v>2604</v>
      </c>
      <c r="D1588" s="3">
        <f t="shared" si="125"/>
        <v>20</v>
      </c>
      <c r="E1588" t="s">
        <v>565</v>
      </c>
      <c r="F1588" t="s">
        <v>13</v>
      </c>
      <c r="G1588">
        <f t="shared" si="126"/>
        <v>3875000</v>
      </c>
      <c r="H1588" t="s">
        <v>1661</v>
      </c>
      <c r="I1588" t="s">
        <v>2810</v>
      </c>
      <c r="J1588" s="2">
        <f t="shared" si="127"/>
        <v>3682500</v>
      </c>
      <c r="K1588" t="s">
        <v>2811</v>
      </c>
      <c r="L1588">
        <f t="shared" si="128"/>
        <v>0.17083333333333331</v>
      </c>
      <c r="M1588" s="5">
        <v>0.17083333333333331</v>
      </c>
      <c r="N1588" t="s">
        <v>43</v>
      </c>
      <c r="P1588" t="s">
        <v>2605</v>
      </c>
      <c r="R1588" s="3">
        <f t="shared" si="124"/>
        <v>4.0999999999999996</v>
      </c>
    </row>
    <row r="1589" spans="1:18" hidden="1" x14ac:dyDescent="0.25">
      <c r="A1589" t="s">
        <v>1431</v>
      </c>
      <c r="B1589" t="s">
        <v>1303</v>
      </c>
      <c r="C1589" t="s">
        <v>1350</v>
      </c>
      <c r="D1589" s="3">
        <f t="shared" si="125"/>
        <v>12.96</v>
      </c>
      <c r="E1589" t="s">
        <v>1432</v>
      </c>
      <c r="F1589" t="s">
        <v>13</v>
      </c>
      <c r="G1589" t="str">
        <f t="shared" si="126"/>
        <v/>
      </c>
      <c r="H1589" t="s">
        <v>14</v>
      </c>
      <c r="I1589" t="s">
        <v>1433</v>
      </c>
      <c r="J1589" s="2">
        <f t="shared" si="127"/>
        <v>2025000</v>
      </c>
      <c r="K1589" t="s">
        <v>1065</v>
      </c>
      <c r="L1589">
        <f t="shared" si="128"/>
        <v>0.16666666666666666</v>
      </c>
      <c r="M1589" s="5">
        <v>0.16666666666666666</v>
      </c>
      <c r="N1589" t="s">
        <v>43</v>
      </c>
      <c r="P1589" t="s">
        <v>1402</v>
      </c>
      <c r="R1589" s="3">
        <f t="shared" si="124"/>
        <v>4</v>
      </c>
    </row>
    <row r="1590" spans="1:18" hidden="1" x14ac:dyDescent="0.25">
      <c r="A1590" t="s">
        <v>1421</v>
      </c>
      <c r="B1590" t="s">
        <v>1303</v>
      </c>
      <c r="C1590" t="s">
        <v>1350</v>
      </c>
      <c r="D1590" s="3">
        <f t="shared" si="125"/>
        <v>10.56</v>
      </c>
      <c r="E1590" t="s">
        <v>1422</v>
      </c>
      <c r="F1590" t="s">
        <v>13</v>
      </c>
      <c r="G1590" t="str">
        <f t="shared" si="126"/>
        <v/>
      </c>
      <c r="H1590" t="s">
        <v>14</v>
      </c>
      <c r="I1590" t="s">
        <v>1423</v>
      </c>
      <c r="J1590" s="2">
        <f t="shared" si="127"/>
        <v>1925000</v>
      </c>
      <c r="K1590" t="s">
        <v>552</v>
      </c>
      <c r="L1590">
        <f t="shared" si="128"/>
        <v>0.17222222222222225</v>
      </c>
      <c r="M1590" s="5">
        <v>0.17222222222222225</v>
      </c>
      <c r="N1590" t="s">
        <v>43</v>
      </c>
      <c r="P1590" t="s">
        <v>1402</v>
      </c>
      <c r="R1590" s="3">
        <f t="shared" si="124"/>
        <v>4.1333333333333337</v>
      </c>
    </row>
    <row r="1591" spans="1:18" hidden="1" x14ac:dyDescent="0.25">
      <c r="A1591" t="s">
        <v>1398</v>
      </c>
      <c r="B1591" t="s">
        <v>1303</v>
      </c>
      <c r="C1591" t="s">
        <v>1350</v>
      </c>
      <c r="D1591" s="3">
        <f t="shared" si="125"/>
        <v>11.16</v>
      </c>
      <c r="E1591" t="s">
        <v>1399</v>
      </c>
      <c r="F1591" t="s">
        <v>13</v>
      </c>
      <c r="G1591">
        <f t="shared" si="126"/>
        <v>1825000</v>
      </c>
      <c r="H1591" t="s">
        <v>196</v>
      </c>
      <c r="I1591" t="s">
        <v>1400</v>
      </c>
      <c r="J1591" s="2">
        <f t="shared" si="127"/>
        <v>1681000</v>
      </c>
      <c r="K1591" t="s">
        <v>1401</v>
      </c>
      <c r="L1591">
        <f t="shared" si="128"/>
        <v>0.17013888888888887</v>
      </c>
      <c r="M1591" s="5">
        <v>0.17013888888888887</v>
      </c>
      <c r="N1591" t="s">
        <v>43</v>
      </c>
      <c r="P1591" t="s">
        <v>1402</v>
      </c>
      <c r="R1591" s="3">
        <f t="shared" si="124"/>
        <v>4.083333333333333</v>
      </c>
    </row>
    <row r="1592" spans="1:18" hidden="1" x14ac:dyDescent="0.25">
      <c r="A1592" t="s">
        <v>3191</v>
      </c>
      <c r="B1592" t="s">
        <v>3206</v>
      </c>
      <c r="C1592" t="s">
        <v>2600</v>
      </c>
      <c r="D1592" s="3">
        <f t="shared" si="125"/>
        <v>18</v>
      </c>
      <c r="E1592" t="s">
        <v>3192</v>
      </c>
      <c r="F1592" t="s">
        <v>13</v>
      </c>
      <c r="G1592" t="str">
        <f t="shared" si="126"/>
        <v/>
      </c>
      <c r="H1592" t="s">
        <v>14</v>
      </c>
      <c r="I1592" t="s">
        <v>3193</v>
      </c>
      <c r="J1592" s="2">
        <f t="shared" si="127"/>
        <v>3625000</v>
      </c>
      <c r="K1592" t="s">
        <v>2759</v>
      </c>
      <c r="L1592">
        <f t="shared" si="128"/>
        <v>0.17083333333333331</v>
      </c>
      <c r="M1592" s="5">
        <v>0.17083333333333331</v>
      </c>
      <c r="N1592" t="s">
        <v>43</v>
      </c>
      <c r="R1592" s="3">
        <f t="shared" si="124"/>
        <v>4.0999999999999996</v>
      </c>
    </row>
    <row r="1593" spans="1:18" hidden="1" x14ac:dyDescent="0.25">
      <c r="A1593" t="s">
        <v>5529</v>
      </c>
      <c r="B1593" t="s">
        <v>5848</v>
      </c>
      <c r="C1593" t="s">
        <v>5342</v>
      </c>
      <c r="D1593" s="3">
        <f t="shared" si="125"/>
        <v>7.5</v>
      </c>
      <c r="E1593" t="s">
        <v>178</v>
      </c>
      <c r="F1593" t="s">
        <v>34</v>
      </c>
      <c r="G1593">
        <f t="shared" si="126"/>
        <v>1775000</v>
      </c>
      <c r="H1593" t="s">
        <v>1055</v>
      </c>
      <c r="I1593" t="s">
        <v>5530</v>
      </c>
      <c r="J1593" s="2">
        <f t="shared" si="127"/>
        <v>1635000</v>
      </c>
      <c r="K1593" t="s">
        <v>4526</v>
      </c>
      <c r="L1593">
        <f t="shared" si="128"/>
        <v>0.17222222222222225</v>
      </c>
      <c r="M1593" s="5">
        <v>0.17222222222222225</v>
      </c>
      <c r="N1593" t="s">
        <v>43</v>
      </c>
      <c r="P1593" t="s">
        <v>1607</v>
      </c>
      <c r="R1593" s="3">
        <f t="shared" si="124"/>
        <v>4.1333333333333337</v>
      </c>
    </row>
    <row r="1594" spans="1:18" x14ac:dyDescent="0.25">
      <c r="A1594" t="s">
        <v>4866</v>
      </c>
      <c r="B1594" t="s">
        <v>4806</v>
      </c>
      <c r="C1594" t="s">
        <v>4805</v>
      </c>
      <c r="D1594" s="3">
        <f t="shared" si="125"/>
        <v>12</v>
      </c>
      <c r="E1594" t="s">
        <v>33</v>
      </c>
      <c r="F1594" t="s">
        <v>13</v>
      </c>
      <c r="G1594" t="str">
        <f t="shared" si="126"/>
        <v/>
      </c>
      <c r="H1594" t="s">
        <v>14</v>
      </c>
      <c r="I1594" t="s">
        <v>4867</v>
      </c>
      <c r="J1594" s="2">
        <f t="shared" si="127"/>
        <v>1950000</v>
      </c>
      <c r="K1594" t="s">
        <v>748</v>
      </c>
      <c r="L1594">
        <f t="shared" si="128"/>
        <v>0.17291666666666669</v>
      </c>
      <c r="M1594" s="5">
        <v>0.17291666666666669</v>
      </c>
      <c r="N1594" t="s">
        <v>43</v>
      </c>
      <c r="R1594" s="3">
        <f t="shared" si="124"/>
        <v>4.1500000000000004</v>
      </c>
    </row>
    <row r="1595" spans="1:18" x14ac:dyDescent="0.25">
      <c r="A1595" t="s">
        <v>3296</v>
      </c>
      <c r="B1595" t="s">
        <v>3233</v>
      </c>
      <c r="C1595" t="s">
        <v>3248</v>
      </c>
      <c r="D1595" s="3">
        <f t="shared" si="125"/>
        <v>10.240000000000002</v>
      </c>
      <c r="E1595" t="s">
        <v>941</v>
      </c>
      <c r="F1595" t="s">
        <v>13</v>
      </c>
      <c r="G1595">
        <f t="shared" si="126"/>
        <v>2125000</v>
      </c>
      <c r="H1595" t="s">
        <v>936</v>
      </c>
      <c r="I1595" t="s">
        <v>3297</v>
      </c>
      <c r="J1595" s="2">
        <f t="shared" si="127"/>
        <v>1957000</v>
      </c>
      <c r="K1595" t="s">
        <v>1621</v>
      </c>
      <c r="L1595">
        <f t="shared" si="128"/>
        <v>0.17013888888888887</v>
      </c>
      <c r="M1595" s="5">
        <v>0.17013888888888887</v>
      </c>
      <c r="N1595" t="s">
        <v>43</v>
      </c>
      <c r="P1595" t="s">
        <v>1622</v>
      </c>
      <c r="R1595" s="3">
        <f t="shared" si="124"/>
        <v>4.083333333333333</v>
      </c>
    </row>
    <row r="1596" spans="1:18" hidden="1" x14ac:dyDescent="0.25">
      <c r="A1596" t="s">
        <v>5608</v>
      </c>
      <c r="B1596" t="s">
        <v>5848</v>
      </c>
      <c r="C1596" t="s">
        <v>5342</v>
      </c>
      <c r="D1596" s="3">
        <f t="shared" si="125"/>
        <v>8.3999999999999986</v>
      </c>
      <c r="E1596" t="s">
        <v>729</v>
      </c>
      <c r="F1596" t="s">
        <v>34</v>
      </c>
      <c r="G1596">
        <f t="shared" si="126"/>
        <v>975000</v>
      </c>
      <c r="H1596" t="s">
        <v>544</v>
      </c>
      <c r="I1596" t="s">
        <v>5609</v>
      </c>
      <c r="J1596" s="2">
        <f t="shared" si="127"/>
        <v>927500</v>
      </c>
      <c r="K1596" t="s">
        <v>1506</v>
      </c>
      <c r="L1596">
        <f t="shared" si="128"/>
        <v>0.17083333333333331</v>
      </c>
      <c r="M1596" s="5">
        <v>0.17083333333333331</v>
      </c>
      <c r="N1596" t="s">
        <v>43</v>
      </c>
      <c r="P1596" t="s">
        <v>1507</v>
      </c>
      <c r="R1596" s="3">
        <f t="shared" si="124"/>
        <v>4.0999999999999996</v>
      </c>
    </row>
    <row r="1597" spans="1:18" x14ac:dyDescent="0.25">
      <c r="A1597" t="s">
        <v>600</v>
      </c>
      <c r="B1597" t="s">
        <v>20</v>
      </c>
      <c r="C1597" t="s">
        <v>603</v>
      </c>
      <c r="D1597" s="3">
        <f t="shared" si="125"/>
        <v>24</v>
      </c>
      <c r="E1597" t="s">
        <v>601</v>
      </c>
      <c r="F1597" t="s">
        <v>13</v>
      </c>
      <c r="G1597" t="str">
        <f t="shared" si="126"/>
        <v/>
      </c>
      <c r="H1597" t="s">
        <v>14</v>
      </c>
      <c r="I1597" t="s">
        <v>602</v>
      </c>
      <c r="J1597" s="2">
        <f t="shared" si="127"/>
        <v>2000000</v>
      </c>
      <c r="K1597" t="s">
        <v>128</v>
      </c>
      <c r="L1597">
        <f t="shared" si="128"/>
        <v>0</v>
      </c>
      <c r="N1597" t="s">
        <v>43</v>
      </c>
      <c r="R1597" s="3">
        <f t="shared" si="124"/>
        <v>0</v>
      </c>
    </row>
    <row r="1598" spans="1:18" x14ac:dyDescent="0.25">
      <c r="A1598" t="s">
        <v>4023</v>
      </c>
      <c r="B1598" t="s">
        <v>3746</v>
      </c>
      <c r="C1598" t="s">
        <v>3821</v>
      </c>
      <c r="D1598" s="3">
        <f t="shared" si="125"/>
        <v>12</v>
      </c>
      <c r="E1598" t="s">
        <v>33</v>
      </c>
      <c r="F1598" t="s">
        <v>13</v>
      </c>
      <c r="G1598" t="str">
        <f t="shared" si="126"/>
        <v/>
      </c>
      <c r="H1598" t="s">
        <v>14</v>
      </c>
      <c r="I1598" t="s">
        <v>4024</v>
      </c>
      <c r="J1598" s="2">
        <f t="shared" si="127"/>
        <v>2000000</v>
      </c>
      <c r="K1598" t="s">
        <v>128</v>
      </c>
      <c r="L1598">
        <f t="shared" si="128"/>
        <v>0.17083333333333331</v>
      </c>
      <c r="M1598" s="5">
        <v>0.17083333333333331</v>
      </c>
      <c r="N1598" t="s">
        <v>43</v>
      </c>
      <c r="R1598" s="3">
        <f t="shared" si="124"/>
        <v>4.0999999999999996</v>
      </c>
    </row>
    <row r="1599" spans="1:18" hidden="1" x14ac:dyDescent="0.25">
      <c r="A1599" t="s">
        <v>2005</v>
      </c>
      <c r="B1599" t="s">
        <v>2596</v>
      </c>
      <c r="C1599" t="s">
        <v>1981</v>
      </c>
      <c r="D1599" s="3">
        <f t="shared" si="125"/>
        <v>7.1999999999999993</v>
      </c>
      <c r="E1599" t="s">
        <v>1987</v>
      </c>
      <c r="F1599" t="s">
        <v>13</v>
      </c>
      <c r="G1599">
        <f t="shared" si="126"/>
        <v>2000000</v>
      </c>
      <c r="H1599" t="s">
        <v>128</v>
      </c>
      <c r="I1599" t="s">
        <v>2006</v>
      </c>
      <c r="J1599" s="2">
        <f t="shared" si="127"/>
        <v>1842000</v>
      </c>
      <c r="K1599" t="s">
        <v>2007</v>
      </c>
      <c r="L1599">
        <f t="shared" si="128"/>
        <v>0.17222222222222225</v>
      </c>
      <c r="M1599" s="5">
        <v>0.17222222222222225</v>
      </c>
      <c r="N1599" t="s">
        <v>43</v>
      </c>
      <c r="P1599" t="s">
        <v>2008</v>
      </c>
      <c r="R1599" s="3">
        <f t="shared" si="124"/>
        <v>4.1333333333333337</v>
      </c>
    </row>
    <row r="1600" spans="1:18" hidden="1" x14ac:dyDescent="0.25">
      <c r="A1600" t="s">
        <v>1986</v>
      </c>
      <c r="B1600" t="s">
        <v>2596</v>
      </c>
      <c r="C1600" t="s">
        <v>1981</v>
      </c>
      <c r="D1600" s="3">
        <f t="shared" si="125"/>
        <v>7.1999999999999993</v>
      </c>
      <c r="E1600" t="s">
        <v>1987</v>
      </c>
      <c r="F1600" t="s">
        <v>13</v>
      </c>
      <c r="G1600">
        <f t="shared" si="126"/>
        <v>1900000</v>
      </c>
      <c r="H1600" t="s">
        <v>352</v>
      </c>
      <c r="I1600" t="s">
        <v>1988</v>
      </c>
      <c r="J1600" s="2">
        <f t="shared" si="127"/>
        <v>1750000</v>
      </c>
      <c r="K1600" t="s">
        <v>306</v>
      </c>
      <c r="L1600">
        <f t="shared" si="128"/>
        <v>0.17222222222222225</v>
      </c>
      <c r="M1600" s="5">
        <v>0.17222222222222225</v>
      </c>
      <c r="N1600" t="s">
        <v>43</v>
      </c>
      <c r="P1600" t="s">
        <v>681</v>
      </c>
      <c r="R1600" s="3">
        <f t="shared" si="124"/>
        <v>4.1333333333333337</v>
      </c>
    </row>
    <row r="1601" spans="1:18" x14ac:dyDescent="0.25">
      <c r="A1601" t="s">
        <v>2019</v>
      </c>
      <c r="B1601" t="s">
        <v>2596</v>
      </c>
      <c r="C1601" t="s">
        <v>2013</v>
      </c>
      <c r="D1601" s="3">
        <f t="shared" si="125"/>
        <v>12</v>
      </c>
      <c r="E1601" t="s">
        <v>33</v>
      </c>
      <c r="F1601" t="s">
        <v>13</v>
      </c>
      <c r="G1601" t="str">
        <f t="shared" si="126"/>
        <v/>
      </c>
      <c r="H1601" t="s">
        <v>14</v>
      </c>
      <c r="I1601" t="s">
        <v>2020</v>
      </c>
      <c r="J1601" s="2">
        <f t="shared" si="127"/>
        <v>2000000</v>
      </c>
      <c r="K1601" t="s">
        <v>128</v>
      </c>
      <c r="L1601">
        <f t="shared" si="128"/>
        <v>0.17083333333333331</v>
      </c>
      <c r="M1601" s="5">
        <v>0.17083333333333331</v>
      </c>
      <c r="N1601" t="s">
        <v>43</v>
      </c>
      <c r="P1601" t="s">
        <v>669</v>
      </c>
      <c r="R1601" s="3">
        <f t="shared" si="124"/>
        <v>4.0999999999999996</v>
      </c>
    </row>
    <row r="1602" spans="1:18" hidden="1" x14ac:dyDescent="0.25">
      <c r="A1602" t="s">
        <v>5599</v>
      </c>
      <c r="B1602" t="s">
        <v>5848</v>
      </c>
      <c r="C1602" t="s">
        <v>5335</v>
      </c>
      <c r="D1602" s="3">
        <f t="shared" si="125"/>
        <v>16</v>
      </c>
      <c r="E1602" t="s">
        <v>79</v>
      </c>
      <c r="F1602" t="s">
        <v>34</v>
      </c>
      <c r="G1602">
        <f t="shared" si="126"/>
        <v>2225000</v>
      </c>
      <c r="H1602" t="s">
        <v>1339</v>
      </c>
      <c r="I1602" t="s">
        <v>5600</v>
      </c>
      <c r="J1602" s="2">
        <f t="shared" si="127"/>
        <v>2115000</v>
      </c>
      <c r="K1602" t="s">
        <v>1341</v>
      </c>
      <c r="L1602">
        <f t="shared" si="128"/>
        <v>0.17083333333333331</v>
      </c>
      <c r="M1602" s="5">
        <v>0.17083333333333331</v>
      </c>
      <c r="N1602" t="s">
        <v>43</v>
      </c>
      <c r="P1602" t="s">
        <v>727</v>
      </c>
      <c r="R1602" s="3">
        <f t="shared" ref="R1602:R1665" si="129">24*L1602</f>
        <v>4.0999999999999996</v>
      </c>
    </row>
    <row r="1603" spans="1:18" x14ac:dyDescent="0.25">
      <c r="A1603" t="s">
        <v>3280</v>
      </c>
      <c r="B1603" t="s">
        <v>3233</v>
      </c>
      <c r="C1603" t="s">
        <v>3261</v>
      </c>
      <c r="D1603" s="3">
        <f t="shared" si="125"/>
        <v>12.25</v>
      </c>
      <c r="E1603" t="s">
        <v>187</v>
      </c>
      <c r="F1603" t="s">
        <v>13</v>
      </c>
      <c r="G1603" t="str">
        <f t="shared" si="126"/>
        <v/>
      </c>
      <c r="H1603" t="s">
        <v>14</v>
      </c>
      <c r="I1603" t="s">
        <v>3281</v>
      </c>
      <c r="J1603" s="2">
        <f t="shared" si="127"/>
        <v>2000000</v>
      </c>
      <c r="K1603" t="s">
        <v>128</v>
      </c>
      <c r="L1603">
        <f t="shared" si="128"/>
        <v>0</v>
      </c>
      <c r="N1603" t="s">
        <v>43</v>
      </c>
      <c r="R1603" s="3">
        <f t="shared" si="129"/>
        <v>0</v>
      </c>
    </row>
    <row r="1604" spans="1:18" hidden="1" x14ac:dyDescent="0.25">
      <c r="A1604" t="s">
        <v>2136</v>
      </c>
      <c r="B1604" t="s">
        <v>2596</v>
      </c>
      <c r="C1604" t="s">
        <v>2013</v>
      </c>
      <c r="D1604" s="3">
        <f t="shared" ref="D1604:D1667" si="130">VALUE(LEFT(E1604,SEARCH(" x ",E1604)-1))*VALUE(MID(E1604,SEARCH(" x ",E1604)+3,SEARCH(" meter",E1604)-SEARCH(" x ",E1604)-3))</f>
        <v>9.6100000000000012</v>
      </c>
      <c r="E1604" t="s">
        <v>2137</v>
      </c>
      <c r="F1604" t="s">
        <v>13</v>
      </c>
      <c r="G1604">
        <f t="shared" ref="G1604:G1667" si="131">IF(H1604="N/A","",VALUE(SUBSTITUTE(SUBSTITUTE(H1604,"Rp",""),".","")))</f>
        <v>2925000</v>
      </c>
      <c r="H1604" t="s">
        <v>1968</v>
      </c>
      <c r="I1604" t="s">
        <v>2138</v>
      </c>
      <c r="J1604" s="2">
        <f t="shared" ref="J1604:J1667" si="132">VALUE(SUBSTITUTE(SUBSTITUTE(K1604,"Rp",""),".",""))</f>
        <v>2691000</v>
      </c>
      <c r="K1604" t="s">
        <v>2139</v>
      </c>
      <c r="L1604">
        <f t="shared" ref="L1604:L1667" si="133">M1604:M3944</f>
        <v>0.17083333333333331</v>
      </c>
      <c r="M1604" s="5">
        <v>0.17083333333333331</v>
      </c>
      <c r="N1604" t="s">
        <v>43</v>
      </c>
      <c r="P1604" t="s">
        <v>2140</v>
      </c>
      <c r="R1604" s="3">
        <f t="shared" si="129"/>
        <v>4.0999999999999996</v>
      </c>
    </row>
    <row r="1605" spans="1:18" x14ac:dyDescent="0.25">
      <c r="A1605" t="s">
        <v>2845</v>
      </c>
      <c r="B1605" t="s">
        <v>3206</v>
      </c>
      <c r="C1605" t="s">
        <v>2847</v>
      </c>
      <c r="D1605" s="3">
        <f t="shared" si="130"/>
        <v>9</v>
      </c>
      <c r="E1605" t="s">
        <v>12</v>
      </c>
      <c r="F1605" t="s">
        <v>13</v>
      </c>
      <c r="G1605" t="str">
        <f t="shared" si="131"/>
        <v/>
      </c>
      <c r="H1605" t="s">
        <v>14</v>
      </c>
      <c r="I1605" t="s">
        <v>2846</v>
      </c>
      <c r="J1605" s="2">
        <f t="shared" si="132"/>
        <v>2000000</v>
      </c>
      <c r="K1605" t="s">
        <v>128</v>
      </c>
      <c r="L1605">
        <f t="shared" si="133"/>
        <v>0</v>
      </c>
      <c r="N1605" t="s">
        <v>43</v>
      </c>
      <c r="R1605" s="3">
        <f t="shared" si="129"/>
        <v>0</v>
      </c>
    </row>
    <row r="1606" spans="1:18" hidden="1" x14ac:dyDescent="0.25">
      <c r="A1606" t="s">
        <v>2523</v>
      </c>
      <c r="B1606" t="s">
        <v>2596</v>
      </c>
      <c r="C1606" t="s">
        <v>2013</v>
      </c>
      <c r="D1606" s="3">
        <f t="shared" si="130"/>
        <v>10.5</v>
      </c>
      <c r="E1606" t="s">
        <v>1051</v>
      </c>
      <c r="F1606" t="s">
        <v>13</v>
      </c>
      <c r="G1606">
        <f t="shared" si="131"/>
        <v>3150000</v>
      </c>
      <c r="H1606" t="s">
        <v>2524</v>
      </c>
      <c r="I1606" t="s">
        <v>2525</v>
      </c>
      <c r="J1606" s="2">
        <f t="shared" si="132"/>
        <v>2992500</v>
      </c>
      <c r="K1606" t="s">
        <v>2526</v>
      </c>
      <c r="L1606">
        <f t="shared" si="133"/>
        <v>0.16666666666666666</v>
      </c>
      <c r="M1606" s="5">
        <v>0.16666666666666666</v>
      </c>
      <c r="N1606" t="s">
        <v>43</v>
      </c>
      <c r="P1606" t="s">
        <v>2008</v>
      </c>
      <c r="R1606" s="3">
        <f t="shared" si="129"/>
        <v>4</v>
      </c>
    </row>
    <row r="1607" spans="1:18" hidden="1" x14ac:dyDescent="0.25">
      <c r="A1607" t="s">
        <v>5462</v>
      </c>
      <c r="B1607" t="s">
        <v>5848</v>
      </c>
      <c r="C1607" t="s">
        <v>5369</v>
      </c>
      <c r="D1607" s="3">
        <f t="shared" si="130"/>
        <v>12</v>
      </c>
      <c r="E1607" t="s">
        <v>33</v>
      </c>
      <c r="F1607" t="s">
        <v>13</v>
      </c>
      <c r="G1607">
        <f t="shared" si="131"/>
        <v>1675000</v>
      </c>
      <c r="H1607" t="s">
        <v>1119</v>
      </c>
      <c r="I1607" t="s">
        <v>5463</v>
      </c>
      <c r="J1607" s="2">
        <f t="shared" si="132"/>
        <v>1592500</v>
      </c>
      <c r="K1607" t="s">
        <v>1448</v>
      </c>
      <c r="L1607">
        <f t="shared" si="133"/>
        <v>0.17222222222222225</v>
      </c>
      <c r="M1607" s="5">
        <v>0.17222222222222225</v>
      </c>
      <c r="N1607" t="s">
        <v>43</v>
      </c>
      <c r="P1607" t="s">
        <v>1449</v>
      </c>
      <c r="R1607" s="3">
        <f t="shared" si="129"/>
        <v>4.1333333333333337</v>
      </c>
    </row>
    <row r="1608" spans="1:18" hidden="1" x14ac:dyDescent="0.25">
      <c r="A1608" t="s">
        <v>5582</v>
      </c>
      <c r="B1608" t="s">
        <v>5848</v>
      </c>
      <c r="C1608" t="s">
        <v>5369</v>
      </c>
      <c r="D1608" s="3">
        <f t="shared" si="130"/>
        <v>14</v>
      </c>
      <c r="E1608" t="s">
        <v>238</v>
      </c>
      <c r="F1608" t="s">
        <v>34</v>
      </c>
      <c r="G1608">
        <f t="shared" si="131"/>
        <v>1925000</v>
      </c>
      <c r="H1608" t="s">
        <v>552</v>
      </c>
      <c r="I1608" t="s">
        <v>5583</v>
      </c>
      <c r="J1608" s="2">
        <f t="shared" si="132"/>
        <v>1830000</v>
      </c>
      <c r="K1608" t="s">
        <v>1828</v>
      </c>
      <c r="L1608">
        <f t="shared" si="133"/>
        <v>0.17013888888888887</v>
      </c>
      <c r="M1608" s="5">
        <v>0.17013888888888887</v>
      </c>
      <c r="N1608" t="s">
        <v>43</v>
      </c>
      <c r="P1608" t="s">
        <v>1171</v>
      </c>
      <c r="R1608" s="3">
        <f t="shared" si="129"/>
        <v>4.083333333333333</v>
      </c>
    </row>
    <row r="1609" spans="1:18" hidden="1" x14ac:dyDescent="0.25">
      <c r="A1609" t="s">
        <v>3784</v>
      </c>
      <c r="B1609" t="s">
        <v>3746</v>
      </c>
      <c r="C1609" t="s">
        <v>3746</v>
      </c>
      <c r="D1609" s="3">
        <f t="shared" si="130"/>
        <v>11.7</v>
      </c>
      <c r="E1609" t="s">
        <v>2274</v>
      </c>
      <c r="F1609" t="s">
        <v>13</v>
      </c>
      <c r="G1609">
        <f t="shared" si="131"/>
        <v>1625000</v>
      </c>
      <c r="H1609" t="s">
        <v>702</v>
      </c>
      <c r="I1609" t="s">
        <v>3785</v>
      </c>
      <c r="J1609" s="2">
        <f t="shared" si="132"/>
        <v>1545000</v>
      </c>
      <c r="K1609" t="s">
        <v>1503</v>
      </c>
      <c r="L1609">
        <f t="shared" si="133"/>
        <v>0.17222222222222225</v>
      </c>
      <c r="M1609" s="5">
        <v>0.17222222222222225</v>
      </c>
      <c r="N1609" t="s">
        <v>18</v>
      </c>
      <c r="P1609" t="s">
        <v>719</v>
      </c>
      <c r="R1609" s="3">
        <f t="shared" si="129"/>
        <v>4.1333333333333337</v>
      </c>
    </row>
    <row r="1610" spans="1:18" hidden="1" x14ac:dyDescent="0.25">
      <c r="A1610" t="s">
        <v>3841</v>
      </c>
      <c r="B1610" t="s">
        <v>3746</v>
      </c>
      <c r="C1610" t="s">
        <v>3746</v>
      </c>
      <c r="D1610" s="3">
        <f t="shared" si="130"/>
        <v>11.7</v>
      </c>
      <c r="E1610" t="s">
        <v>2274</v>
      </c>
      <c r="F1610" t="s">
        <v>13</v>
      </c>
      <c r="G1610">
        <f t="shared" si="131"/>
        <v>1725000</v>
      </c>
      <c r="H1610" t="s">
        <v>897</v>
      </c>
      <c r="I1610" t="s">
        <v>3785</v>
      </c>
      <c r="J1610" s="2">
        <f t="shared" si="132"/>
        <v>1589000</v>
      </c>
      <c r="K1610" t="s">
        <v>1656</v>
      </c>
      <c r="L1610">
        <f t="shared" si="133"/>
        <v>0.17291666666666669</v>
      </c>
      <c r="M1610" s="5">
        <v>0.17291666666666669</v>
      </c>
      <c r="N1610" t="s">
        <v>18</v>
      </c>
      <c r="P1610" t="s">
        <v>1657</v>
      </c>
      <c r="R1610" s="3">
        <f t="shared" si="129"/>
        <v>4.1500000000000004</v>
      </c>
    </row>
    <row r="1611" spans="1:18" hidden="1" x14ac:dyDescent="0.25">
      <c r="A1611" t="s">
        <v>3253</v>
      </c>
      <c r="B1611" t="s">
        <v>3233</v>
      </c>
      <c r="C1611" t="s">
        <v>3248</v>
      </c>
      <c r="D1611" s="3">
        <f t="shared" si="130"/>
        <v>9</v>
      </c>
      <c r="E1611" t="s">
        <v>12</v>
      </c>
      <c r="F1611" t="s">
        <v>13</v>
      </c>
      <c r="G1611">
        <f t="shared" si="131"/>
        <v>2025000</v>
      </c>
      <c r="H1611" t="s">
        <v>1065</v>
      </c>
      <c r="I1611" t="s">
        <v>3254</v>
      </c>
      <c r="J1611" s="2">
        <f t="shared" si="132"/>
        <v>1865000</v>
      </c>
      <c r="K1611" t="s">
        <v>1349</v>
      </c>
      <c r="L1611">
        <f t="shared" si="133"/>
        <v>0.17291666666666669</v>
      </c>
      <c r="M1611" s="5">
        <v>0.17291666666666669</v>
      </c>
      <c r="N1611" t="s">
        <v>18</v>
      </c>
      <c r="P1611" t="s">
        <v>673</v>
      </c>
      <c r="R1611" s="3">
        <f t="shared" si="129"/>
        <v>4.1500000000000004</v>
      </c>
    </row>
    <row r="1612" spans="1:18" hidden="1" x14ac:dyDescent="0.25">
      <c r="A1612" t="s">
        <v>3255</v>
      </c>
      <c r="B1612" t="s">
        <v>3233</v>
      </c>
      <c r="C1612" t="s">
        <v>3248</v>
      </c>
      <c r="D1612" s="3">
        <f t="shared" si="130"/>
        <v>7.1999999999999993</v>
      </c>
      <c r="E1612" t="s">
        <v>1987</v>
      </c>
      <c r="F1612" t="s">
        <v>13</v>
      </c>
      <c r="G1612" t="str">
        <f t="shared" si="131"/>
        <v/>
      </c>
      <c r="H1612" t="s">
        <v>14</v>
      </c>
      <c r="I1612" t="s">
        <v>3256</v>
      </c>
      <c r="J1612" s="2">
        <f t="shared" si="132"/>
        <v>1875000</v>
      </c>
      <c r="K1612" t="s">
        <v>884</v>
      </c>
      <c r="L1612">
        <f t="shared" si="133"/>
        <v>0.17291666666666669</v>
      </c>
      <c r="M1612" s="5">
        <v>0.17291666666666669</v>
      </c>
      <c r="N1612" t="s">
        <v>18</v>
      </c>
      <c r="P1612" t="s">
        <v>673</v>
      </c>
      <c r="R1612" s="3">
        <f t="shared" si="129"/>
        <v>4.1500000000000004</v>
      </c>
    </row>
    <row r="1613" spans="1:18" hidden="1" x14ac:dyDescent="0.25">
      <c r="A1613" t="s">
        <v>3246</v>
      </c>
      <c r="B1613" t="s">
        <v>3233</v>
      </c>
      <c r="C1613" t="s">
        <v>3248</v>
      </c>
      <c r="D1613" s="3">
        <f t="shared" si="130"/>
        <v>6.3000000000000007</v>
      </c>
      <c r="E1613" t="s">
        <v>304</v>
      </c>
      <c r="F1613" t="s">
        <v>13</v>
      </c>
      <c r="G1613" t="str">
        <f t="shared" si="131"/>
        <v/>
      </c>
      <c r="H1613" t="s">
        <v>14</v>
      </c>
      <c r="I1613" t="s">
        <v>3247</v>
      </c>
      <c r="J1613" s="2">
        <f t="shared" si="132"/>
        <v>1625000</v>
      </c>
      <c r="K1613" t="s">
        <v>702</v>
      </c>
      <c r="L1613">
        <f t="shared" si="133"/>
        <v>0.17222222222222225</v>
      </c>
      <c r="M1613" s="5">
        <v>0.17222222222222225</v>
      </c>
      <c r="N1613" t="s">
        <v>18</v>
      </c>
      <c r="P1613" t="s">
        <v>673</v>
      </c>
      <c r="R1613" s="3">
        <f t="shared" si="129"/>
        <v>4.1333333333333337</v>
      </c>
    </row>
    <row r="1614" spans="1:18" hidden="1" x14ac:dyDescent="0.25">
      <c r="A1614" t="s">
        <v>3249</v>
      </c>
      <c r="B1614" t="s">
        <v>3233</v>
      </c>
      <c r="C1614" t="s">
        <v>3248</v>
      </c>
      <c r="D1614" s="3">
        <f t="shared" si="130"/>
        <v>5.76</v>
      </c>
      <c r="E1614" t="s">
        <v>2491</v>
      </c>
      <c r="F1614" t="s">
        <v>13</v>
      </c>
      <c r="G1614" t="str">
        <f t="shared" si="131"/>
        <v/>
      </c>
      <c r="H1614" t="s">
        <v>14</v>
      </c>
      <c r="I1614" t="s">
        <v>3250</v>
      </c>
      <c r="J1614" s="2">
        <f t="shared" si="132"/>
        <v>1525000</v>
      </c>
      <c r="K1614" t="s">
        <v>27</v>
      </c>
      <c r="L1614">
        <f t="shared" si="133"/>
        <v>0.17291666666666669</v>
      </c>
      <c r="M1614" s="5">
        <v>0.17291666666666669</v>
      </c>
      <c r="N1614" t="s">
        <v>18</v>
      </c>
      <c r="P1614" t="s">
        <v>673</v>
      </c>
      <c r="R1614" s="3">
        <f t="shared" si="129"/>
        <v>4.1500000000000004</v>
      </c>
    </row>
    <row r="1615" spans="1:18" hidden="1" x14ac:dyDescent="0.25">
      <c r="A1615" t="s">
        <v>3173</v>
      </c>
      <c r="B1615" t="s">
        <v>3206</v>
      </c>
      <c r="C1615" t="s">
        <v>2720</v>
      </c>
      <c r="D1615" s="3">
        <f t="shared" si="130"/>
        <v>9</v>
      </c>
      <c r="E1615" t="s">
        <v>12</v>
      </c>
      <c r="F1615" t="s">
        <v>34</v>
      </c>
      <c r="G1615" t="str">
        <f t="shared" si="131"/>
        <v/>
      </c>
      <c r="H1615" t="s">
        <v>14</v>
      </c>
      <c r="I1615" t="s">
        <v>3174</v>
      </c>
      <c r="J1615" s="2">
        <f t="shared" si="132"/>
        <v>1925000</v>
      </c>
      <c r="K1615" t="s">
        <v>552</v>
      </c>
      <c r="L1615">
        <f t="shared" si="133"/>
        <v>0.17222222222222225</v>
      </c>
      <c r="M1615" s="5">
        <v>0.17222222222222225</v>
      </c>
      <c r="N1615" t="s">
        <v>37</v>
      </c>
      <c r="P1615" t="s">
        <v>2833</v>
      </c>
      <c r="R1615" s="3">
        <f t="shared" si="129"/>
        <v>4.1333333333333337</v>
      </c>
    </row>
    <row r="1616" spans="1:18" hidden="1" x14ac:dyDescent="0.25">
      <c r="A1616" t="s">
        <v>3173</v>
      </c>
      <c r="B1616" t="s">
        <v>3206</v>
      </c>
      <c r="C1616" t="s">
        <v>2720</v>
      </c>
      <c r="D1616" s="3" t="e">
        <f t="shared" si="130"/>
        <v>#VALUE!</v>
      </c>
      <c r="E1616" t="s">
        <v>14</v>
      </c>
      <c r="F1616" t="s">
        <v>14</v>
      </c>
      <c r="G1616" t="str">
        <f t="shared" si="131"/>
        <v/>
      </c>
      <c r="H1616" t="s">
        <v>14</v>
      </c>
      <c r="I1616" t="s">
        <v>110</v>
      </c>
      <c r="J1616" s="2">
        <f t="shared" si="132"/>
        <v>1925000</v>
      </c>
      <c r="K1616" t="s">
        <v>552</v>
      </c>
      <c r="L1616">
        <f t="shared" si="133"/>
        <v>0.17222222222222225</v>
      </c>
      <c r="M1616" s="5">
        <v>0.17222222222222225</v>
      </c>
      <c r="N1616" t="s">
        <v>37</v>
      </c>
      <c r="R1616" s="3">
        <f t="shared" si="129"/>
        <v>4.1333333333333337</v>
      </c>
    </row>
    <row r="1617" spans="1:18" hidden="1" x14ac:dyDescent="0.25">
      <c r="A1617" t="s">
        <v>2831</v>
      </c>
      <c r="B1617" t="s">
        <v>3206</v>
      </c>
      <c r="C1617" t="s">
        <v>2720</v>
      </c>
      <c r="D1617" s="3">
        <f t="shared" si="130"/>
        <v>12</v>
      </c>
      <c r="E1617" t="s">
        <v>347</v>
      </c>
      <c r="F1617" t="s">
        <v>34</v>
      </c>
      <c r="G1617" t="str">
        <f t="shared" si="131"/>
        <v/>
      </c>
      <c r="H1617" t="s">
        <v>14</v>
      </c>
      <c r="I1617" t="s">
        <v>2832</v>
      </c>
      <c r="J1617" s="2">
        <f t="shared" si="132"/>
        <v>2025000</v>
      </c>
      <c r="K1617" t="s">
        <v>1065</v>
      </c>
      <c r="L1617">
        <f t="shared" si="133"/>
        <v>0.17222222222222225</v>
      </c>
      <c r="M1617" s="5">
        <v>0.17222222222222225</v>
      </c>
      <c r="N1617" t="s">
        <v>43</v>
      </c>
      <c r="P1617" t="s">
        <v>2833</v>
      </c>
      <c r="R1617" s="3">
        <f t="shared" si="129"/>
        <v>4.1333333333333337</v>
      </c>
    </row>
    <row r="1618" spans="1:18" hidden="1" x14ac:dyDescent="0.25">
      <c r="A1618" t="s">
        <v>2918</v>
      </c>
      <c r="B1618" t="s">
        <v>3206</v>
      </c>
      <c r="C1618" t="s">
        <v>2600</v>
      </c>
      <c r="D1618" s="3">
        <f t="shared" si="130"/>
        <v>13.5</v>
      </c>
      <c r="E1618" t="s">
        <v>667</v>
      </c>
      <c r="F1618" t="s">
        <v>13</v>
      </c>
      <c r="G1618" t="str">
        <f t="shared" si="131"/>
        <v/>
      </c>
      <c r="H1618" t="s">
        <v>14</v>
      </c>
      <c r="I1618" t="s">
        <v>2919</v>
      </c>
      <c r="J1618" s="2">
        <f t="shared" si="132"/>
        <v>4075000</v>
      </c>
      <c r="K1618" t="s">
        <v>2920</v>
      </c>
      <c r="L1618">
        <f t="shared" si="133"/>
        <v>0.17222222222222225</v>
      </c>
      <c r="M1618" s="5">
        <v>0.17222222222222225</v>
      </c>
      <c r="N1618" t="s">
        <v>43</v>
      </c>
      <c r="P1618" t="s">
        <v>2605</v>
      </c>
      <c r="R1618" s="3">
        <f t="shared" si="129"/>
        <v>4.1333333333333337</v>
      </c>
    </row>
    <row r="1619" spans="1:18" hidden="1" x14ac:dyDescent="0.25">
      <c r="A1619" t="s">
        <v>2950</v>
      </c>
      <c r="B1619" t="s">
        <v>3206</v>
      </c>
      <c r="C1619" t="s">
        <v>2600</v>
      </c>
      <c r="D1619" s="3">
        <f t="shared" si="130"/>
        <v>13.5</v>
      </c>
      <c r="E1619" t="s">
        <v>667</v>
      </c>
      <c r="F1619" t="s">
        <v>13</v>
      </c>
      <c r="G1619" t="str">
        <f t="shared" si="131"/>
        <v/>
      </c>
      <c r="H1619" t="s">
        <v>14</v>
      </c>
      <c r="I1619" t="s">
        <v>2951</v>
      </c>
      <c r="J1619" s="2">
        <f t="shared" si="132"/>
        <v>3025000</v>
      </c>
      <c r="K1619" t="s">
        <v>1793</v>
      </c>
      <c r="L1619">
        <f t="shared" si="133"/>
        <v>0.17222222222222225</v>
      </c>
      <c r="M1619" s="5">
        <v>0.17222222222222225</v>
      </c>
      <c r="N1619" t="s">
        <v>43</v>
      </c>
      <c r="P1619" t="s">
        <v>1970</v>
      </c>
      <c r="R1619" s="3">
        <f t="shared" si="129"/>
        <v>4.1333333333333337</v>
      </c>
    </row>
    <row r="1620" spans="1:18" x14ac:dyDescent="0.25">
      <c r="A1620" t="s">
        <v>3398</v>
      </c>
      <c r="B1620" t="s">
        <v>3233</v>
      </c>
      <c r="C1620" t="s">
        <v>3232</v>
      </c>
      <c r="D1620" s="3">
        <f t="shared" si="130"/>
        <v>9</v>
      </c>
      <c r="E1620" t="s">
        <v>12</v>
      </c>
      <c r="F1620" t="s">
        <v>13</v>
      </c>
      <c r="G1620" t="str">
        <f t="shared" si="131"/>
        <v/>
      </c>
      <c r="H1620" t="s">
        <v>14</v>
      </c>
      <c r="I1620" t="s">
        <v>3399</v>
      </c>
      <c r="J1620" s="2">
        <f t="shared" si="132"/>
        <v>2000000</v>
      </c>
      <c r="K1620" t="s">
        <v>128</v>
      </c>
      <c r="L1620">
        <f t="shared" si="133"/>
        <v>0.16666666666666666</v>
      </c>
      <c r="M1620" s="5">
        <v>0.16666666666666666</v>
      </c>
      <c r="N1620" t="s">
        <v>43</v>
      </c>
      <c r="P1620" t="s">
        <v>840</v>
      </c>
      <c r="R1620" s="3">
        <f t="shared" si="129"/>
        <v>4</v>
      </c>
    </row>
    <row r="1621" spans="1:18" hidden="1" x14ac:dyDescent="0.25">
      <c r="A1621" t="s">
        <v>4301</v>
      </c>
      <c r="B1621" t="s">
        <v>4272</v>
      </c>
      <c r="C1621" t="s">
        <v>4271</v>
      </c>
      <c r="D1621" s="3">
        <f t="shared" si="130"/>
        <v>15</v>
      </c>
      <c r="E1621" t="s">
        <v>504</v>
      </c>
      <c r="F1621" t="s">
        <v>13</v>
      </c>
      <c r="G1621" t="str">
        <f t="shared" si="131"/>
        <v/>
      </c>
      <c r="H1621" t="s">
        <v>14</v>
      </c>
      <c r="I1621" t="s">
        <v>4302</v>
      </c>
      <c r="J1621" s="2">
        <f t="shared" si="132"/>
        <v>1050000</v>
      </c>
      <c r="K1621" t="s">
        <v>477</v>
      </c>
      <c r="L1621">
        <f t="shared" si="133"/>
        <v>0.17291666666666669</v>
      </c>
      <c r="M1621" s="5">
        <v>0.17291666666666669</v>
      </c>
      <c r="N1621" t="s">
        <v>18</v>
      </c>
      <c r="R1621" s="3">
        <f t="shared" si="129"/>
        <v>4.1500000000000004</v>
      </c>
    </row>
    <row r="1622" spans="1:18" x14ac:dyDescent="0.25">
      <c r="A1622" t="s">
        <v>905</v>
      </c>
      <c r="B1622" t="s">
        <v>640</v>
      </c>
      <c r="C1622" t="s">
        <v>657</v>
      </c>
      <c r="D1622" s="3">
        <f t="shared" si="130"/>
        <v>12</v>
      </c>
      <c r="E1622" t="s">
        <v>33</v>
      </c>
      <c r="F1622" t="s">
        <v>13</v>
      </c>
      <c r="G1622" t="str">
        <f t="shared" si="131"/>
        <v/>
      </c>
      <c r="H1622" t="s">
        <v>14</v>
      </c>
      <c r="I1622" t="s">
        <v>906</v>
      </c>
      <c r="J1622" s="2">
        <f t="shared" si="132"/>
        <v>2000000</v>
      </c>
      <c r="K1622" t="s">
        <v>128</v>
      </c>
      <c r="L1622">
        <f t="shared" si="133"/>
        <v>0</v>
      </c>
      <c r="N1622" t="s">
        <v>37</v>
      </c>
      <c r="R1622" s="3">
        <f t="shared" si="129"/>
        <v>0</v>
      </c>
    </row>
    <row r="1623" spans="1:18" hidden="1" x14ac:dyDescent="0.25">
      <c r="A1623" t="s">
        <v>5584</v>
      </c>
      <c r="B1623" t="s">
        <v>5848</v>
      </c>
      <c r="C1623" t="s">
        <v>5350</v>
      </c>
      <c r="D1623" s="3">
        <f t="shared" si="130"/>
        <v>12</v>
      </c>
      <c r="E1623" t="s">
        <v>33</v>
      </c>
      <c r="F1623" t="s">
        <v>13</v>
      </c>
      <c r="G1623">
        <f t="shared" si="131"/>
        <v>2425000</v>
      </c>
      <c r="H1623" t="s">
        <v>1544</v>
      </c>
      <c r="I1623" t="s">
        <v>5585</v>
      </c>
      <c r="J1623" s="2">
        <f t="shared" si="132"/>
        <v>2305000</v>
      </c>
      <c r="K1623" t="s">
        <v>1841</v>
      </c>
      <c r="L1623">
        <f t="shared" si="133"/>
        <v>0.16874999999999998</v>
      </c>
      <c r="M1623" s="5">
        <v>0.16874999999999998</v>
      </c>
      <c r="N1623" t="s">
        <v>18</v>
      </c>
      <c r="P1623" t="s">
        <v>665</v>
      </c>
      <c r="R1623" s="3">
        <f t="shared" si="129"/>
        <v>4.05</v>
      </c>
    </row>
    <row r="1624" spans="1:18" hidden="1" x14ac:dyDescent="0.25">
      <c r="A1624" t="s">
        <v>5475</v>
      </c>
      <c r="B1624" t="s">
        <v>5848</v>
      </c>
      <c r="C1624" t="s">
        <v>5350</v>
      </c>
      <c r="D1624" s="3">
        <f t="shared" si="130"/>
        <v>8.1000000000000014</v>
      </c>
      <c r="E1624" t="s">
        <v>1168</v>
      </c>
      <c r="F1624" t="s">
        <v>13</v>
      </c>
      <c r="G1624" t="str">
        <f t="shared" si="131"/>
        <v/>
      </c>
      <c r="H1624" t="s">
        <v>14</v>
      </c>
      <c r="I1624" t="s">
        <v>5476</v>
      </c>
      <c r="J1624" s="2">
        <f t="shared" si="132"/>
        <v>2275000</v>
      </c>
      <c r="K1624" t="s">
        <v>1027</v>
      </c>
      <c r="L1624">
        <f t="shared" si="133"/>
        <v>0.16944444444444443</v>
      </c>
      <c r="M1624" s="5">
        <v>0.16944444444444443</v>
      </c>
      <c r="N1624" t="s">
        <v>18</v>
      </c>
      <c r="P1624" t="s">
        <v>665</v>
      </c>
      <c r="R1624" s="3">
        <f t="shared" si="129"/>
        <v>4.0666666666666664</v>
      </c>
    </row>
    <row r="1625" spans="1:18" hidden="1" x14ac:dyDescent="0.25">
      <c r="A1625" t="s">
        <v>5486</v>
      </c>
      <c r="B1625" t="s">
        <v>5848</v>
      </c>
      <c r="C1625" t="s">
        <v>5350</v>
      </c>
      <c r="D1625" s="3">
        <f t="shared" si="130"/>
        <v>8.1000000000000014</v>
      </c>
      <c r="E1625" t="s">
        <v>1168</v>
      </c>
      <c r="F1625" t="s">
        <v>13</v>
      </c>
      <c r="G1625" t="str">
        <f t="shared" si="131"/>
        <v/>
      </c>
      <c r="H1625" t="s">
        <v>14</v>
      </c>
      <c r="I1625" t="s">
        <v>5476</v>
      </c>
      <c r="J1625" s="2">
        <f t="shared" si="132"/>
        <v>2025000</v>
      </c>
      <c r="K1625" t="s">
        <v>1065</v>
      </c>
      <c r="L1625">
        <f t="shared" si="133"/>
        <v>0.17013888888888887</v>
      </c>
      <c r="M1625" s="5">
        <v>0.17013888888888887</v>
      </c>
      <c r="N1625" t="s">
        <v>18</v>
      </c>
      <c r="P1625" t="s">
        <v>665</v>
      </c>
      <c r="R1625" s="3">
        <f t="shared" si="129"/>
        <v>4.083333333333333</v>
      </c>
    </row>
    <row r="1626" spans="1:18" x14ac:dyDescent="0.25">
      <c r="A1626" t="s">
        <v>3411</v>
      </c>
      <c r="B1626" t="s">
        <v>3233</v>
      </c>
      <c r="C1626" t="s">
        <v>3261</v>
      </c>
      <c r="D1626" s="3">
        <f t="shared" si="130"/>
        <v>12</v>
      </c>
      <c r="E1626" t="s">
        <v>33</v>
      </c>
      <c r="F1626" t="s">
        <v>13</v>
      </c>
      <c r="G1626" t="str">
        <f t="shared" si="131"/>
        <v/>
      </c>
      <c r="H1626" t="s">
        <v>14</v>
      </c>
      <c r="I1626" t="s">
        <v>3412</v>
      </c>
      <c r="J1626" s="2">
        <f t="shared" si="132"/>
        <v>2000000</v>
      </c>
      <c r="K1626" t="s">
        <v>128</v>
      </c>
      <c r="L1626">
        <f t="shared" si="133"/>
        <v>0.17083333333333331</v>
      </c>
      <c r="M1626" s="5">
        <v>0.17083333333333331</v>
      </c>
      <c r="N1626" t="s">
        <v>43</v>
      </c>
      <c r="P1626" t="s">
        <v>669</v>
      </c>
      <c r="R1626" s="3">
        <f t="shared" si="129"/>
        <v>4.0999999999999996</v>
      </c>
    </row>
    <row r="1627" spans="1:18" hidden="1" x14ac:dyDescent="0.25">
      <c r="A1627" t="s">
        <v>3203</v>
      </c>
      <c r="B1627" t="s">
        <v>3206</v>
      </c>
      <c r="C1627" t="s">
        <v>2640</v>
      </c>
      <c r="D1627" s="3">
        <f t="shared" si="130"/>
        <v>12</v>
      </c>
      <c r="E1627" t="s">
        <v>347</v>
      </c>
      <c r="F1627" t="s">
        <v>13</v>
      </c>
      <c r="G1627">
        <f t="shared" si="131"/>
        <v>1825000</v>
      </c>
      <c r="H1627" t="s">
        <v>196</v>
      </c>
      <c r="I1627" t="s">
        <v>3204</v>
      </c>
      <c r="J1627" s="2">
        <f t="shared" si="132"/>
        <v>1681000</v>
      </c>
      <c r="K1627" t="s">
        <v>1401</v>
      </c>
      <c r="L1627">
        <f t="shared" si="133"/>
        <v>0.16874999999999998</v>
      </c>
      <c r="M1627" s="5">
        <v>0.16874999999999998</v>
      </c>
      <c r="N1627" t="s">
        <v>43</v>
      </c>
      <c r="P1627" t="s">
        <v>1402</v>
      </c>
      <c r="R1627" s="3">
        <f t="shared" si="129"/>
        <v>4.05</v>
      </c>
    </row>
    <row r="1628" spans="1:18" hidden="1" x14ac:dyDescent="0.25">
      <c r="A1628" t="s">
        <v>4342</v>
      </c>
      <c r="B1628" t="s">
        <v>4272</v>
      </c>
      <c r="C1628" t="s">
        <v>4311</v>
      </c>
      <c r="D1628" s="3">
        <f t="shared" si="130"/>
        <v>12.48</v>
      </c>
      <c r="E1628" t="s">
        <v>4343</v>
      </c>
      <c r="F1628" t="s">
        <v>13</v>
      </c>
      <c r="G1628">
        <f t="shared" si="131"/>
        <v>1525000</v>
      </c>
      <c r="H1628" t="s">
        <v>27</v>
      </c>
      <c r="I1628" t="s">
        <v>4344</v>
      </c>
      <c r="J1628" s="2">
        <f t="shared" si="132"/>
        <v>1450000</v>
      </c>
      <c r="K1628" t="s">
        <v>29</v>
      </c>
      <c r="L1628">
        <f t="shared" si="133"/>
        <v>0.17291666666666669</v>
      </c>
      <c r="M1628" s="5">
        <v>0.17291666666666669</v>
      </c>
      <c r="N1628" t="s">
        <v>18</v>
      </c>
      <c r="P1628" t="s">
        <v>31</v>
      </c>
      <c r="R1628" s="3">
        <f t="shared" si="129"/>
        <v>4.1500000000000004</v>
      </c>
    </row>
    <row r="1629" spans="1:18" hidden="1" x14ac:dyDescent="0.25">
      <c r="A1629" t="s">
        <v>4393</v>
      </c>
      <c r="B1629" t="s">
        <v>4272</v>
      </c>
      <c r="C1629" t="s">
        <v>4311</v>
      </c>
      <c r="D1629" s="3">
        <f t="shared" si="130"/>
        <v>12.48</v>
      </c>
      <c r="E1629" t="s">
        <v>4343</v>
      </c>
      <c r="F1629" t="s">
        <v>13</v>
      </c>
      <c r="G1629">
        <f t="shared" si="131"/>
        <v>1125000</v>
      </c>
      <c r="H1629" t="s">
        <v>724</v>
      </c>
      <c r="I1629" t="s">
        <v>4394</v>
      </c>
      <c r="J1629" s="2">
        <f t="shared" si="132"/>
        <v>1070000</v>
      </c>
      <c r="K1629" t="s">
        <v>1651</v>
      </c>
      <c r="L1629">
        <f t="shared" si="133"/>
        <v>0.1673611111111111</v>
      </c>
      <c r="M1629" s="5">
        <v>0.1673611111111111</v>
      </c>
      <c r="N1629" t="s">
        <v>18</v>
      </c>
      <c r="P1629" t="s">
        <v>1652</v>
      </c>
      <c r="R1629" s="3">
        <f t="shared" si="129"/>
        <v>4.0166666666666666</v>
      </c>
    </row>
    <row r="1630" spans="1:18" hidden="1" x14ac:dyDescent="0.25">
      <c r="A1630" t="s">
        <v>2132</v>
      </c>
      <c r="B1630" t="s">
        <v>2596</v>
      </c>
      <c r="C1630" t="s">
        <v>2053</v>
      </c>
      <c r="D1630" s="3">
        <f t="shared" si="130"/>
        <v>25</v>
      </c>
      <c r="E1630" t="s">
        <v>481</v>
      </c>
      <c r="F1630" t="s">
        <v>34</v>
      </c>
      <c r="G1630">
        <f t="shared" si="131"/>
        <v>3325000</v>
      </c>
      <c r="H1630" t="s">
        <v>2133</v>
      </c>
      <c r="I1630" t="s">
        <v>2134</v>
      </c>
      <c r="J1630" s="2">
        <f t="shared" si="132"/>
        <v>3160000</v>
      </c>
      <c r="K1630" t="s">
        <v>2135</v>
      </c>
      <c r="L1630">
        <f t="shared" si="133"/>
        <v>0.16874999999999998</v>
      </c>
      <c r="M1630" s="5">
        <v>0.16874999999999998</v>
      </c>
      <c r="N1630" t="s">
        <v>43</v>
      </c>
      <c r="P1630" t="s">
        <v>1555</v>
      </c>
      <c r="R1630" s="3">
        <f t="shared" si="129"/>
        <v>4.05</v>
      </c>
    </row>
    <row r="1631" spans="1:18" hidden="1" x14ac:dyDescent="0.25">
      <c r="A1631" t="s">
        <v>2371</v>
      </c>
      <c r="B1631" t="s">
        <v>2596</v>
      </c>
      <c r="C1631" t="s">
        <v>2053</v>
      </c>
      <c r="D1631" s="3">
        <f t="shared" si="130"/>
        <v>16</v>
      </c>
      <c r="E1631" t="s">
        <v>79</v>
      </c>
      <c r="F1631" t="s">
        <v>34</v>
      </c>
      <c r="G1631">
        <f t="shared" si="131"/>
        <v>2325000</v>
      </c>
      <c r="H1631" t="s">
        <v>1352</v>
      </c>
      <c r="I1631" t="s">
        <v>2372</v>
      </c>
      <c r="J1631" s="2">
        <f t="shared" si="132"/>
        <v>2210000</v>
      </c>
      <c r="K1631" t="s">
        <v>1354</v>
      </c>
      <c r="L1631">
        <f t="shared" si="133"/>
        <v>0.17083333333333331</v>
      </c>
      <c r="M1631" s="5">
        <v>0.17083333333333331</v>
      </c>
      <c r="N1631" t="s">
        <v>43</v>
      </c>
      <c r="P1631" t="s">
        <v>752</v>
      </c>
      <c r="R1631" s="3">
        <f t="shared" si="129"/>
        <v>4.0999999999999996</v>
      </c>
    </row>
    <row r="1632" spans="1:18" hidden="1" x14ac:dyDescent="0.25">
      <c r="A1632" t="s">
        <v>2516</v>
      </c>
      <c r="B1632" t="s">
        <v>2596</v>
      </c>
      <c r="C1632" t="s">
        <v>2053</v>
      </c>
      <c r="D1632" s="3">
        <f t="shared" si="130"/>
        <v>11.520000000000001</v>
      </c>
      <c r="E1632" t="s">
        <v>1364</v>
      </c>
      <c r="F1632" t="s">
        <v>34</v>
      </c>
      <c r="G1632">
        <f t="shared" si="131"/>
        <v>2075000</v>
      </c>
      <c r="H1632" t="s">
        <v>1567</v>
      </c>
      <c r="I1632" t="s">
        <v>2517</v>
      </c>
      <c r="J1632" s="2">
        <f t="shared" si="132"/>
        <v>1911000</v>
      </c>
      <c r="K1632" t="s">
        <v>1789</v>
      </c>
      <c r="L1632">
        <f t="shared" si="133"/>
        <v>0.16666666666666666</v>
      </c>
      <c r="M1632" s="5">
        <v>0.16666666666666666</v>
      </c>
      <c r="N1632" t="s">
        <v>43</v>
      </c>
      <c r="P1632" t="s">
        <v>1790</v>
      </c>
      <c r="R1632" s="3">
        <f t="shared" si="129"/>
        <v>4</v>
      </c>
    </row>
    <row r="1633" spans="1:18" hidden="1" x14ac:dyDescent="0.25">
      <c r="A1633" t="s">
        <v>2148</v>
      </c>
      <c r="B1633" t="s">
        <v>2596</v>
      </c>
      <c r="C1633" t="s">
        <v>2053</v>
      </c>
      <c r="D1633" s="3">
        <f t="shared" si="130"/>
        <v>10.08</v>
      </c>
      <c r="E1633" t="s">
        <v>2149</v>
      </c>
      <c r="F1633" t="s">
        <v>34</v>
      </c>
      <c r="G1633">
        <f t="shared" si="131"/>
        <v>1875000</v>
      </c>
      <c r="H1633" t="s">
        <v>884</v>
      </c>
      <c r="I1633" t="s">
        <v>2150</v>
      </c>
      <c r="J1633" s="2">
        <f t="shared" si="132"/>
        <v>1782500</v>
      </c>
      <c r="K1633" t="s">
        <v>2151</v>
      </c>
      <c r="L1633">
        <f t="shared" si="133"/>
        <v>0.17083333333333331</v>
      </c>
      <c r="M1633" s="5">
        <v>0.17083333333333331</v>
      </c>
      <c r="N1633" t="s">
        <v>43</v>
      </c>
      <c r="P1633" t="s">
        <v>1461</v>
      </c>
      <c r="R1633" s="3">
        <f t="shared" si="129"/>
        <v>4.0999999999999996</v>
      </c>
    </row>
    <row r="1634" spans="1:18" hidden="1" x14ac:dyDescent="0.25">
      <c r="A1634" t="s">
        <v>1025</v>
      </c>
      <c r="B1634" t="s">
        <v>640</v>
      </c>
      <c r="C1634" t="s">
        <v>749</v>
      </c>
      <c r="D1634" s="3">
        <f t="shared" si="130"/>
        <v>15.040000000000001</v>
      </c>
      <c r="E1634" t="s">
        <v>1026</v>
      </c>
      <c r="F1634" t="s">
        <v>13</v>
      </c>
      <c r="G1634">
        <f t="shared" si="131"/>
        <v>2275000</v>
      </c>
      <c r="H1634" t="s">
        <v>1027</v>
      </c>
      <c r="I1634" t="s">
        <v>1028</v>
      </c>
      <c r="J1634" s="2">
        <f t="shared" si="132"/>
        <v>2162500</v>
      </c>
      <c r="K1634" t="s">
        <v>1029</v>
      </c>
      <c r="L1634">
        <f t="shared" si="133"/>
        <v>0.17083333333333331</v>
      </c>
      <c r="M1634" s="5">
        <v>0.17083333333333331</v>
      </c>
      <c r="N1634" t="s">
        <v>18</v>
      </c>
      <c r="P1634" t="s">
        <v>1030</v>
      </c>
      <c r="R1634" s="3">
        <f t="shared" si="129"/>
        <v>4.0999999999999996</v>
      </c>
    </row>
    <row r="1635" spans="1:18" hidden="1" x14ac:dyDescent="0.25">
      <c r="A1635" t="s">
        <v>1064</v>
      </c>
      <c r="B1635" t="s">
        <v>640</v>
      </c>
      <c r="C1635" t="s">
        <v>749</v>
      </c>
      <c r="D1635" s="3">
        <f t="shared" si="130"/>
        <v>9.990000000000002</v>
      </c>
      <c r="E1635" t="s">
        <v>1012</v>
      </c>
      <c r="F1635" t="s">
        <v>13</v>
      </c>
      <c r="G1635">
        <f t="shared" si="131"/>
        <v>2025000</v>
      </c>
      <c r="H1635" t="s">
        <v>1065</v>
      </c>
      <c r="I1635" t="s">
        <v>1066</v>
      </c>
      <c r="J1635" s="2">
        <f t="shared" si="132"/>
        <v>1825000</v>
      </c>
      <c r="K1635" t="s">
        <v>196</v>
      </c>
      <c r="L1635">
        <f t="shared" si="133"/>
        <v>0.20833333333333334</v>
      </c>
      <c r="M1635" s="5">
        <v>0.20833333333333334</v>
      </c>
      <c r="N1635" t="s">
        <v>18</v>
      </c>
      <c r="P1635" t="s">
        <v>1053</v>
      </c>
      <c r="R1635" s="3">
        <f t="shared" si="129"/>
        <v>5</v>
      </c>
    </row>
    <row r="1636" spans="1:18" x14ac:dyDescent="0.25">
      <c r="A1636" t="s">
        <v>888</v>
      </c>
      <c r="B1636" t="s">
        <v>640</v>
      </c>
      <c r="C1636" t="s">
        <v>657</v>
      </c>
      <c r="D1636" s="3">
        <f t="shared" si="130"/>
        <v>16</v>
      </c>
      <c r="E1636" t="s">
        <v>79</v>
      </c>
      <c r="F1636" t="s">
        <v>13</v>
      </c>
      <c r="G1636" t="str">
        <f t="shared" si="131"/>
        <v/>
      </c>
      <c r="H1636" t="s">
        <v>14</v>
      </c>
      <c r="I1636" t="s">
        <v>889</v>
      </c>
      <c r="J1636" s="2">
        <f t="shared" si="132"/>
        <v>2000000</v>
      </c>
      <c r="K1636" t="s">
        <v>128</v>
      </c>
      <c r="L1636">
        <f t="shared" si="133"/>
        <v>0.20833333333333334</v>
      </c>
      <c r="M1636" s="5">
        <v>0.20833333333333334</v>
      </c>
      <c r="N1636" t="s">
        <v>18</v>
      </c>
      <c r="P1636" t="s">
        <v>762</v>
      </c>
      <c r="R1636" s="3">
        <f t="shared" si="129"/>
        <v>5</v>
      </c>
    </row>
    <row r="1637" spans="1:18" hidden="1" x14ac:dyDescent="0.25">
      <c r="A1637" t="s">
        <v>3006</v>
      </c>
      <c r="B1637" t="s">
        <v>3206</v>
      </c>
      <c r="C1637" t="s">
        <v>2640</v>
      </c>
      <c r="D1637" s="3">
        <f t="shared" si="130"/>
        <v>19.11</v>
      </c>
      <c r="E1637" t="s">
        <v>3007</v>
      </c>
      <c r="F1637" t="s">
        <v>13</v>
      </c>
      <c r="G1637" t="str">
        <f t="shared" si="131"/>
        <v/>
      </c>
      <c r="H1637" t="s">
        <v>14</v>
      </c>
      <c r="I1637" t="s">
        <v>3008</v>
      </c>
      <c r="J1637" s="2">
        <f t="shared" si="132"/>
        <v>3025000</v>
      </c>
      <c r="K1637" t="s">
        <v>1793</v>
      </c>
      <c r="L1637">
        <f t="shared" si="133"/>
        <v>0.17222222222222225</v>
      </c>
      <c r="M1637" s="5">
        <v>0.17222222222222225</v>
      </c>
      <c r="N1637" t="s">
        <v>43</v>
      </c>
      <c r="R1637" s="3">
        <f t="shared" si="129"/>
        <v>4.1333333333333337</v>
      </c>
    </row>
    <row r="1638" spans="1:18" hidden="1" x14ac:dyDescent="0.25">
      <c r="A1638" t="s">
        <v>3003</v>
      </c>
      <c r="B1638" t="s">
        <v>3206</v>
      </c>
      <c r="C1638" t="s">
        <v>2640</v>
      </c>
      <c r="D1638" s="3">
        <f t="shared" si="130"/>
        <v>10.5</v>
      </c>
      <c r="E1638" t="s">
        <v>1051</v>
      </c>
      <c r="F1638" t="s">
        <v>13</v>
      </c>
      <c r="G1638" t="str">
        <f t="shared" si="131"/>
        <v/>
      </c>
      <c r="H1638" t="s">
        <v>14</v>
      </c>
      <c r="I1638" t="s">
        <v>3004</v>
      </c>
      <c r="J1638" s="2">
        <f t="shared" si="132"/>
        <v>2525000</v>
      </c>
      <c r="K1638" t="s">
        <v>131</v>
      </c>
      <c r="L1638">
        <f t="shared" si="133"/>
        <v>0.17222222222222225</v>
      </c>
      <c r="M1638" s="5">
        <v>0.17222222222222225</v>
      </c>
      <c r="N1638" t="s">
        <v>43</v>
      </c>
      <c r="R1638" s="3">
        <f t="shared" si="129"/>
        <v>4.1333333333333337</v>
      </c>
    </row>
    <row r="1639" spans="1:18" hidden="1" x14ac:dyDescent="0.25">
      <c r="A1639" t="s">
        <v>2989</v>
      </c>
      <c r="B1639" t="s">
        <v>3206</v>
      </c>
      <c r="C1639" t="s">
        <v>2640</v>
      </c>
      <c r="D1639" s="3">
        <f t="shared" si="130"/>
        <v>6.96</v>
      </c>
      <c r="E1639" t="s">
        <v>2990</v>
      </c>
      <c r="F1639" t="s">
        <v>13</v>
      </c>
      <c r="G1639" t="str">
        <f t="shared" si="131"/>
        <v/>
      </c>
      <c r="H1639" t="s">
        <v>14</v>
      </c>
      <c r="I1639" t="s">
        <v>2991</v>
      </c>
      <c r="J1639" s="2">
        <f t="shared" si="132"/>
        <v>2225000</v>
      </c>
      <c r="K1639" t="s">
        <v>1339</v>
      </c>
      <c r="L1639">
        <f t="shared" si="133"/>
        <v>0.20833333333333334</v>
      </c>
      <c r="M1639" s="5">
        <v>0.20833333333333334</v>
      </c>
      <c r="N1639" t="s">
        <v>43</v>
      </c>
      <c r="R1639" s="3">
        <f t="shared" si="129"/>
        <v>5</v>
      </c>
    </row>
    <row r="1640" spans="1:18" hidden="1" x14ac:dyDescent="0.25">
      <c r="A1640" t="s">
        <v>3197</v>
      </c>
      <c r="B1640" t="s">
        <v>3206</v>
      </c>
      <c r="C1640" t="s">
        <v>2604</v>
      </c>
      <c r="D1640" s="3">
        <f t="shared" si="130"/>
        <v>9</v>
      </c>
      <c r="E1640" t="s">
        <v>12</v>
      </c>
      <c r="F1640" t="s">
        <v>13</v>
      </c>
      <c r="G1640" t="str">
        <f t="shared" si="131"/>
        <v/>
      </c>
      <c r="H1640" t="s">
        <v>14</v>
      </c>
      <c r="I1640" t="s">
        <v>3198</v>
      </c>
      <c r="J1640" s="2">
        <f t="shared" si="132"/>
        <v>3325000</v>
      </c>
      <c r="K1640" t="s">
        <v>2133</v>
      </c>
      <c r="L1640">
        <f t="shared" si="133"/>
        <v>0.17222222222222225</v>
      </c>
      <c r="M1640" s="5">
        <v>0.17222222222222225</v>
      </c>
      <c r="N1640" t="s">
        <v>43</v>
      </c>
      <c r="P1640" t="s">
        <v>1622</v>
      </c>
      <c r="R1640" s="3">
        <f t="shared" si="129"/>
        <v>4.1333333333333337</v>
      </c>
    </row>
    <row r="1641" spans="1:18" hidden="1" x14ac:dyDescent="0.25">
      <c r="A1641" t="s">
        <v>5557</v>
      </c>
      <c r="B1641" t="s">
        <v>5848</v>
      </c>
      <c r="C1641" t="s">
        <v>5369</v>
      </c>
      <c r="D1641" s="3">
        <f t="shared" si="130"/>
        <v>10.240000000000002</v>
      </c>
      <c r="E1641" t="s">
        <v>941</v>
      </c>
      <c r="F1641" t="s">
        <v>13</v>
      </c>
      <c r="G1641">
        <f t="shared" si="131"/>
        <v>1300000</v>
      </c>
      <c r="H1641" t="s">
        <v>17</v>
      </c>
      <c r="I1641" t="s">
        <v>5558</v>
      </c>
      <c r="J1641" s="2">
        <f t="shared" si="132"/>
        <v>1235000</v>
      </c>
      <c r="K1641" t="s">
        <v>2542</v>
      </c>
      <c r="L1641">
        <f t="shared" si="133"/>
        <v>0.20833333333333334</v>
      </c>
      <c r="M1641" s="5">
        <v>0.20833333333333334</v>
      </c>
      <c r="N1641" t="s">
        <v>43</v>
      </c>
      <c r="P1641" t="s">
        <v>2166</v>
      </c>
      <c r="R1641" s="3">
        <f t="shared" si="129"/>
        <v>5</v>
      </c>
    </row>
    <row r="1642" spans="1:18" hidden="1" x14ac:dyDescent="0.25">
      <c r="A1642" t="s">
        <v>2072</v>
      </c>
      <c r="B1642" t="s">
        <v>2596</v>
      </c>
      <c r="C1642" t="s">
        <v>2013</v>
      </c>
      <c r="D1642" s="3">
        <f t="shared" si="130"/>
        <v>12.04</v>
      </c>
      <c r="E1642" t="s">
        <v>2073</v>
      </c>
      <c r="F1642" t="s">
        <v>13</v>
      </c>
      <c r="G1642">
        <f t="shared" si="131"/>
        <v>1975000</v>
      </c>
      <c r="H1642" t="s">
        <v>956</v>
      </c>
      <c r="I1642" t="s">
        <v>2074</v>
      </c>
      <c r="J1642" s="2">
        <f t="shared" si="132"/>
        <v>1877500</v>
      </c>
      <c r="K1642" t="s">
        <v>1441</v>
      </c>
      <c r="L1642">
        <f t="shared" si="133"/>
        <v>0.17291666666666669</v>
      </c>
      <c r="M1642" s="5">
        <v>0.17291666666666669</v>
      </c>
      <c r="N1642" t="s">
        <v>43</v>
      </c>
      <c r="P1642" t="s">
        <v>1442</v>
      </c>
      <c r="R1642" s="3">
        <f t="shared" si="129"/>
        <v>4.1500000000000004</v>
      </c>
    </row>
    <row r="1643" spans="1:18" hidden="1" x14ac:dyDescent="0.25">
      <c r="A1643" t="s">
        <v>2096</v>
      </c>
      <c r="B1643" t="s">
        <v>2596</v>
      </c>
      <c r="C1643" t="s">
        <v>2013</v>
      </c>
      <c r="D1643" s="3">
        <f t="shared" si="130"/>
        <v>6.09</v>
      </c>
      <c r="E1643" t="s">
        <v>2097</v>
      </c>
      <c r="F1643" t="s">
        <v>13</v>
      </c>
      <c r="G1643">
        <f t="shared" si="131"/>
        <v>1675000</v>
      </c>
      <c r="H1643" t="s">
        <v>1119</v>
      </c>
      <c r="I1643" t="s">
        <v>2098</v>
      </c>
      <c r="J1643" s="2">
        <f t="shared" si="132"/>
        <v>1592500</v>
      </c>
      <c r="K1643" t="s">
        <v>1448</v>
      </c>
      <c r="L1643">
        <f t="shared" si="133"/>
        <v>0.17222222222222225</v>
      </c>
      <c r="M1643" s="5">
        <v>0.17222222222222225</v>
      </c>
      <c r="N1643" t="s">
        <v>43</v>
      </c>
      <c r="P1643" t="s">
        <v>1449</v>
      </c>
      <c r="R1643" s="3">
        <f t="shared" si="129"/>
        <v>4.1333333333333337</v>
      </c>
    </row>
    <row r="1644" spans="1:18" hidden="1" x14ac:dyDescent="0.25">
      <c r="A1644" t="s">
        <v>2840</v>
      </c>
      <c r="B1644" t="s">
        <v>3206</v>
      </c>
      <c r="C1644" t="s">
        <v>2618</v>
      </c>
      <c r="D1644" s="3">
        <f t="shared" si="130"/>
        <v>6.21</v>
      </c>
      <c r="E1644" t="s">
        <v>2841</v>
      </c>
      <c r="F1644" t="s">
        <v>13</v>
      </c>
      <c r="G1644" t="str">
        <f t="shared" si="131"/>
        <v/>
      </c>
      <c r="H1644" t="s">
        <v>14</v>
      </c>
      <c r="I1644" t="s">
        <v>2842</v>
      </c>
      <c r="J1644" s="2">
        <f t="shared" si="132"/>
        <v>1895000</v>
      </c>
      <c r="K1644" t="s">
        <v>1418</v>
      </c>
      <c r="L1644">
        <f t="shared" si="133"/>
        <v>0.17083333333333331</v>
      </c>
      <c r="M1644" s="5">
        <v>0.17083333333333331</v>
      </c>
      <c r="N1644" t="s">
        <v>37</v>
      </c>
      <c r="P1644" t="s">
        <v>134</v>
      </c>
      <c r="R1644" s="3">
        <f t="shared" si="129"/>
        <v>4.0999999999999996</v>
      </c>
    </row>
    <row r="1645" spans="1:18" hidden="1" x14ac:dyDescent="0.25">
      <c r="A1645" t="s">
        <v>2992</v>
      </c>
      <c r="B1645" t="s">
        <v>3206</v>
      </c>
      <c r="C1645" t="s">
        <v>2618</v>
      </c>
      <c r="D1645" s="3">
        <f t="shared" si="130"/>
        <v>6</v>
      </c>
      <c r="E1645" t="s">
        <v>285</v>
      </c>
      <c r="F1645" t="s">
        <v>13</v>
      </c>
      <c r="G1645" t="str">
        <f t="shared" si="131"/>
        <v/>
      </c>
      <c r="H1645" t="s">
        <v>14</v>
      </c>
      <c r="I1645" t="s">
        <v>2993</v>
      </c>
      <c r="J1645" s="2">
        <f t="shared" si="132"/>
        <v>1725000</v>
      </c>
      <c r="K1645" t="s">
        <v>897</v>
      </c>
      <c r="L1645">
        <f t="shared" si="133"/>
        <v>0.17222222222222225</v>
      </c>
      <c r="M1645" s="5">
        <v>0.17222222222222225</v>
      </c>
      <c r="N1645" t="s">
        <v>43</v>
      </c>
      <c r="P1645" t="s">
        <v>134</v>
      </c>
      <c r="R1645" s="3">
        <f t="shared" si="129"/>
        <v>4.1333333333333337</v>
      </c>
    </row>
    <row r="1646" spans="1:18" hidden="1" x14ac:dyDescent="0.25">
      <c r="A1646" t="s">
        <v>2357</v>
      </c>
      <c r="B1646" t="s">
        <v>2596</v>
      </c>
      <c r="C1646" t="s">
        <v>1999</v>
      </c>
      <c r="D1646" s="3">
        <f t="shared" si="130"/>
        <v>7</v>
      </c>
      <c r="E1646" t="s">
        <v>2358</v>
      </c>
      <c r="F1646" t="s">
        <v>34</v>
      </c>
      <c r="G1646">
        <f t="shared" si="131"/>
        <v>1675000</v>
      </c>
      <c r="H1646" t="s">
        <v>1119</v>
      </c>
      <c r="I1646" t="s">
        <v>2359</v>
      </c>
      <c r="J1646" s="2">
        <f t="shared" si="132"/>
        <v>1591250</v>
      </c>
      <c r="K1646" t="s">
        <v>2360</v>
      </c>
      <c r="L1646">
        <f t="shared" si="133"/>
        <v>0.17222222222222225</v>
      </c>
      <c r="M1646" s="5">
        <v>0.17222222222222225</v>
      </c>
      <c r="N1646" t="s">
        <v>43</v>
      </c>
      <c r="P1646" t="s">
        <v>1063</v>
      </c>
      <c r="R1646" s="3">
        <f t="shared" si="129"/>
        <v>4.1333333333333337</v>
      </c>
    </row>
    <row r="1647" spans="1:18" hidden="1" x14ac:dyDescent="0.25">
      <c r="A1647" t="s">
        <v>2278</v>
      </c>
      <c r="B1647" t="s">
        <v>2596</v>
      </c>
      <c r="C1647" t="s">
        <v>1999</v>
      </c>
      <c r="D1647" s="3">
        <f t="shared" si="130"/>
        <v>10.5</v>
      </c>
      <c r="E1647" t="s">
        <v>1051</v>
      </c>
      <c r="F1647" t="s">
        <v>34</v>
      </c>
      <c r="G1647">
        <f t="shared" si="131"/>
        <v>2225000</v>
      </c>
      <c r="H1647" t="s">
        <v>1339</v>
      </c>
      <c r="I1647" t="s">
        <v>2279</v>
      </c>
      <c r="J1647" s="2">
        <f t="shared" si="132"/>
        <v>2113750</v>
      </c>
      <c r="K1647" t="s">
        <v>2280</v>
      </c>
      <c r="L1647">
        <f t="shared" si="133"/>
        <v>0.17222222222222225</v>
      </c>
      <c r="M1647" s="5">
        <v>0.17222222222222225</v>
      </c>
      <c r="N1647" t="s">
        <v>43</v>
      </c>
      <c r="P1647" t="s">
        <v>2281</v>
      </c>
      <c r="R1647" s="3">
        <f t="shared" si="129"/>
        <v>4.1333333333333337</v>
      </c>
    </row>
    <row r="1648" spans="1:18" hidden="1" x14ac:dyDescent="0.25">
      <c r="A1648" t="s">
        <v>2288</v>
      </c>
      <c r="B1648" t="s">
        <v>2596</v>
      </c>
      <c r="C1648" t="s">
        <v>1999</v>
      </c>
      <c r="D1648" s="3">
        <f t="shared" si="130"/>
        <v>10.5</v>
      </c>
      <c r="E1648" t="s">
        <v>1051</v>
      </c>
      <c r="F1648" t="s">
        <v>34</v>
      </c>
      <c r="G1648">
        <f t="shared" si="131"/>
        <v>3075000</v>
      </c>
      <c r="H1648" t="s">
        <v>797</v>
      </c>
      <c r="I1648" t="s">
        <v>2289</v>
      </c>
      <c r="J1648" s="2">
        <f t="shared" si="132"/>
        <v>2921250</v>
      </c>
      <c r="K1648" t="s">
        <v>2290</v>
      </c>
      <c r="L1648">
        <f t="shared" si="133"/>
        <v>0.20833333333333334</v>
      </c>
      <c r="M1648" s="5">
        <v>0.20833333333333334</v>
      </c>
      <c r="N1648" t="s">
        <v>43</v>
      </c>
      <c r="P1648" t="s">
        <v>2291</v>
      </c>
      <c r="R1648" s="3">
        <f t="shared" si="129"/>
        <v>5</v>
      </c>
    </row>
    <row r="1649" spans="1:18" hidden="1" x14ac:dyDescent="0.25">
      <c r="A1649" t="s">
        <v>2444</v>
      </c>
      <c r="B1649" t="s">
        <v>2596</v>
      </c>
      <c r="C1649" t="s">
        <v>1999</v>
      </c>
      <c r="D1649" s="3">
        <f t="shared" si="130"/>
        <v>10.5</v>
      </c>
      <c r="E1649" t="s">
        <v>1051</v>
      </c>
      <c r="F1649" t="s">
        <v>34</v>
      </c>
      <c r="G1649">
        <f t="shared" si="131"/>
        <v>2575000</v>
      </c>
      <c r="H1649" t="s">
        <v>2154</v>
      </c>
      <c r="I1649" t="s">
        <v>2279</v>
      </c>
      <c r="J1649" s="2">
        <f t="shared" si="132"/>
        <v>2369000</v>
      </c>
      <c r="K1649" t="s">
        <v>2445</v>
      </c>
      <c r="L1649">
        <f t="shared" si="133"/>
        <v>0.17291666666666669</v>
      </c>
      <c r="M1649" s="5">
        <v>0.17291666666666669</v>
      </c>
      <c r="N1649" t="s">
        <v>43</v>
      </c>
      <c r="P1649" t="s">
        <v>2446</v>
      </c>
      <c r="R1649" s="3">
        <f t="shared" si="129"/>
        <v>4.1500000000000004</v>
      </c>
    </row>
    <row r="1650" spans="1:18" hidden="1" x14ac:dyDescent="0.25">
      <c r="A1650" t="s">
        <v>2418</v>
      </c>
      <c r="B1650" t="s">
        <v>2596</v>
      </c>
      <c r="C1650" t="s">
        <v>1999</v>
      </c>
      <c r="D1650" s="3">
        <f t="shared" si="130"/>
        <v>10.5</v>
      </c>
      <c r="E1650" t="s">
        <v>1051</v>
      </c>
      <c r="F1650" t="s">
        <v>34</v>
      </c>
      <c r="G1650">
        <f t="shared" si="131"/>
        <v>3550000</v>
      </c>
      <c r="H1650" t="s">
        <v>2419</v>
      </c>
      <c r="I1650" t="s">
        <v>2279</v>
      </c>
      <c r="J1650" s="2">
        <f t="shared" si="132"/>
        <v>3266000</v>
      </c>
      <c r="K1650" t="s">
        <v>2420</v>
      </c>
      <c r="L1650">
        <f t="shared" si="133"/>
        <v>0.17291666666666669</v>
      </c>
      <c r="M1650" s="5">
        <v>0.17291666666666669</v>
      </c>
      <c r="N1650" t="s">
        <v>43</v>
      </c>
      <c r="P1650" t="s">
        <v>2421</v>
      </c>
      <c r="R1650" s="3">
        <f t="shared" si="129"/>
        <v>4.1500000000000004</v>
      </c>
    </row>
    <row r="1651" spans="1:18" hidden="1" x14ac:dyDescent="0.25">
      <c r="A1651" t="s">
        <v>5347</v>
      </c>
      <c r="B1651" t="s">
        <v>5848</v>
      </c>
      <c r="C1651" t="s">
        <v>5350</v>
      </c>
      <c r="D1651" s="3">
        <f t="shared" si="130"/>
        <v>9.52</v>
      </c>
      <c r="E1651" t="s">
        <v>5348</v>
      </c>
      <c r="F1651" t="s">
        <v>13</v>
      </c>
      <c r="G1651" t="str">
        <f t="shared" si="131"/>
        <v/>
      </c>
      <c r="H1651" t="s">
        <v>14</v>
      </c>
      <c r="I1651" t="s">
        <v>5349</v>
      </c>
      <c r="J1651" s="2">
        <f t="shared" si="132"/>
        <v>1875000</v>
      </c>
      <c r="K1651" t="s">
        <v>884</v>
      </c>
      <c r="L1651">
        <f t="shared" si="133"/>
        <v>0.17222222222222225</v>
      </c>
      <c r="M1651" s="5">
        <v>0.17222222222222225</v>
      </c>
      <c r="N1651" t="s">
        <v>43</v>
      </c>
      <c r="R1651" s="3">
        <f t="shared" si="129"/>
        <v>4.1333333333333337</v>
      </c>
    </row>
    <row r="1652" spans="1:18" hidden="1" x14ac:dyDescent="0.25">
      <c r="A1652" t="s">
        <v>3101</v>
      </c>
      <c r="B1652" t="s">
        <v>3206</v>
      </c>
      <c r="C1652" t="s">
        <v>2618</v>
      </c>
      <c r="D1652" s="3">
        <f t="shared" si="130"/>
        <v>10.240000000000002</v>
      </c>
      <c r="E1652" t="s">
        <v>941</v>
      </c>
      <c r="F1652" t="s">
        <v>13</v>
      </c>
      <c r="G1652">
        <f t="shared" si="131"/>
        <v>2000000</v>
      </c>
      <c r="H1652" t="s">
        <v>128</v>
      </c>
      <c r="I1652" t="s">
        <v>3102</v>
      </c>
      <c r="J1652" s="2">
        <f t="shared" si="132"/>
        <v>1900000</v>
      </c>
      <c r="K1652" t="s">
        <v>352</v>
      </c>
      <c r="L1652">
        <f t="shared" si="133"/>
        <v>0.17222222222222225</v>
      </c>
      <c r="M1652" s="5">
        <v>0.17222222222222225</v>
      </c>
      <c r="N1652" t="s">
        <v>18</v>
      </c>
      <c r="P1652" t="s">
        <v>669</v>
      </c>
      <c r="R1652" s="3">
        <f t="shared" si="129"/>
        <v>4.1333333333333337</v>
      </c>
    </row>
    <row r="1653" spans="1:18" hidden="1" x14ac:dyDescent="0.25">
      <c r="A1653" t="s">
        <v>3805</v>
      </c>
      <c r="B1653" t="s">
        <v>3746</v>
      </c>
      <c r="C1653" t="s">
        <v>3808</v>
      </c>
      <c r="D1653" s="3">
        <f t="shared" si="130"/>
        <v>13.75</v>
      </c>
      <c r="E1653" t="s">
        <v>3806</v>
      </c>
      <c r="F1653" t="s">
        <v>13</v>
      </c>
      <c r="G1653">
        <f t="shared" si="131"/>
        <v>1425000</v>
      </c>
      <c r="H1653" t="s">
        <v>909</v>
      </c>
      <c r="I1653" t="s">
        <v>3807</v>
      </c>
      <c r="J1653" s="2">
        <f t="shared" si="132"/>
        <v>1355000</v>
      </c>
      <c r="K1653" t="s">
        <v>2063</v>
      </c>
      <c r="L1653">
        <f t="shared" si="133"/>
        <v>0.17083333333333331</v>
      </c>
      <c r="M1653" s="5">
        <v>0.17083333333333331</v>
      </c>
      <c r="N1653" t="s">
        <v>43</v>
      </c>
      <c r="P1653" t="s">
        <v>2065</v>
      </c>
      <c r="R1653" s="3">
        <f t="shared" si="129"/>
        <v>4.0999999999999996</v>
      </c>
    </row>
    <row r="1654" spans="1:18" hidden="1" x14ac:dyDescent="0.25">
      <c r="A1654" t="s">
        <v>3822</v>
      </c>
      <c r="B1654" t="s">
        <v>3746</v>
      </c>
      <c r="C1654" t="s">
        <v>3808</v>
      </c>
      <c r="D1654" s="3">
        <f t="shared" si="130"/>
        <v>13.75</v>
      </c>
      <c r="E1654" t="s">
        <v>3806</v>
      </c>
      <c r="F1654" t="s">
        <v>13</v>
      </c>
      <c r="G1654">
        <f t="shared" si="131"/>
        <v>1025000</v>
      </c>
      <c r="H1654" t="s">
        <v>914</v>
      </c>
      <c r="I1654" t="s">
        <v>3823</v>
      </c>
      <c r="J1654" s="2">
        <f t="shared" si="132"/>
        <v>975000</v>
      </c>
      <c r="K1654" t="s">
        <v>544</v>
      </c>
      <c r="L1654">
        <f t="shared" si="133"/>
        <v>0.16874999999999998</v>
      </c>
      <c r="M1654" s="5">
        <v>0.16874999999999998</v>
      </c>
      <c r="N1654" t="s">
        <v>43</v>
      </c>
      <c r="P1654" t="s">
        <v>2025</v>
      </c>
      <c r="R1654" s="3">
        <f t="shared" si="129"/>
        <v>4.05</v>
      </c>
    </row>
    <row r="1655" spans="1:18" hidden="1" x14ac:dyDescent="0.25">
      <c r="A1655" t="s">
        <v>5707</v>
      </c>
      <c r="B1655" t="s">
        <v>5848</v>
      </c>
      <c r="C1655" t="s">
        <v>1163</v>
      </c>
      <c r="D1655" s="3">
        <f t="shared" si="130"/>
        <v>15</v>
      </c>
      <c r="E1655" t="s">
        <v>504</v>
      </c>
      <c r="F1655" t="s">
        <v>13</v>
      </c>
      <c r="G1655">
        <f t="shared" si="131"/>
        <v>1725000</v>
      </c>
      <c r="H1655" t="s">
        <v>897</v>
      </c>
      <c r="I1655" t="s">
        <v>5708</v>
      </c>
      <c r="J1655" s="2">
        <f t="shared" si="132"/>
        <v>1589000</v>
      </c>
      <c r="K1655" t="s">
        <v>1656</v>
      </c>
      <c r="L1655">
        <f t="shared" si="133"/>
        <v>0.20833333333333334</v>
      </c>
      <c r="M1655" s="5">
        <v>0.20833333333333334</v>
      </c>
      <c r="N1655" t="s">
        <v>43</v>
      </c>
      <c r="P1655" t="s">
        <v>1657</v>
      </c>
      <c r="R1655" s="3">
        <f t="shared" si="129"/>
        <v>5</v>
      </c>
    </row>
    <row r="1656" spans="1:18" hidden="1" x14ac:dyDescent="0.25">
      <c r="A1656" t="s">
        <v>5433</v>
      </c>
      <c r="B1656" t="s">
        <v>5848</v>
      </c>
      <c r="C1656" t="s">
        <v>1163</v>
      </c>
      <c r="D1656" s="3">
        <f t="shared" si="130"/>
        <v>11.7</v>
      </c>
      <c r="E1656" t="s">
        <v>5434</v>
      </c>
      <c r="F1656" t="s">
        <v>13</v>
      </c>
      <c r="G1656">
        <f t="shared" si="131"/>
        <v>1525000</v>
      </c>
      <c r="H1656" t="s">
        <v>27</v>
      </c>
      <c r="I1656" t="s">
        <v>5435</v>
      </c>
      <c r="J1656" s="2">
        <f t="shared" si="132"/>
        <v>1405000</v>
      </c>
      <c r="K1656" t="s">
        <v>2039</v>
      </c>
      <c r="L1656">
        <f t="shared" si="133"/>
        <v>0.17291666666666669</v>
      </c>
      <c r="M1656" s="5">
        <v>0.17291666666666669</v>
      </c>
      <c r="N1656" t="s">
        <v>43</v>
      </c>
      <c r="P1656" t="s">
        <v>665</v>
      </c>
      <c r="R1656" s="3">
        <f t="shared" si="129"/>
        <v>4.1500000000000004</v>
      </c>
    </row>
    <row r="1657" spans="1:18" hidden="1" x14ac:dyDescent="0.25">
      <c r="A1657" t="s">
        <v>5730</v>
      </c>
      <c r="B1657" t="s">
        <v>5848</v>
      </c>
      <c r="C1657" t="s">
        <v>1163</v>
      </c>
      <c r="D1657" s="3">
        <f t="shared" si="130"/>
        <v>15</v>
      </c>
      <c r="E1657" t="s">
        <v>504</v>
      </c>
      <c r="F1657" t="s">
        <v>13</v>
      </c>
      <c r="G1657">
        <f t="shared" si="131"/>
        <v>1325000</v>
      </c>
      <c r="H1657" t="s">
        <v>683</v>
      </c>
      <c r="I1657" t="s">
        <v>5731</v>
      </c>
      <c r="J1657" s="2">
        <f t="shared" si="132"/>
        <v>1260000</v>
      </c>
      <c r="K1657" t="s">
        <v>2165</v>
      </c>
      <c r="L1657">
        <f t="shared" si="133"/>
        <v>0.20833333333333334</v>
      </c>
      <c r="M1657" s="5">
        <v>0.20833333333333334</v>
      </c>
      <c r="N1657" t="s">
        <v>43</v>
      </c>
      <c r="P1657" t="s">
        <v>2166</v>
      </c>
      <c r="R1657" s="3">
        <f t="shared" si="129"/>
        <v>5</v>
      </c>
    </row>
    <row r="1658" spans="1:18" hidden="1" x14ac:dyDescent="0.25">
      <c r="A1658" t="s">
        <v>5612</v>
      </c>
      <c r="B1658" t="s">
        <v>5848</v>
      </c>
      <c r="C1658" t="s">
        <v>1163</v>
      </c>
      <c r="D1658" s="3">
        <f t="shared" si="130"/>
        <v>11.7</v>
      </c>
      <c r="E1658" t="s">
        <v>5434</v>
      </c>
      <c r="F1658" t="s">
        <v>13</v>
      </c>
      <c r="G1658">
        <f t="shared" si="131"/>
        <v>1125000</v>
      </c>
      <c r="H1658" t="s">
        <v>724</v>
      </c>
      <c r="I1658" t="s">
        <v>5613</v>
      </c>
      <c r="J1658" s="2">
        <f t="shared" si="132"/>
        <v>1070000</v>
      </c>
      <c r="K1658" t="s">
        <v>1651</v>
      </c>
      <c r="L1658">
        <f t="shared" si="133"/>
        <v>0.20833333333333334</v>
      </c>
      <c r="M1658" s="5">
        <v>0.20833333333333334</v>
      </c>
      <c r="N1658" t="s">
        <v>43</v>
      </c>
      <c r="P1658" t="s">
        <v>1652</v>
      </c>
      <c r="R1658" s="3">
        <f t="shared" si="129"/>
        <v>5</v>
      </c>
    </row>
    <row r="1659" spans="1:18" x14ac:dyDescent="0.25">
      <c r="A1659" t="s">
        <v>4338</v>
      </c>
      <c r="B1659" t="s">
        <v>4272</v>
      </c>
      <c r="C1659" t="s">
        <v>4311</v>
      </c>
      <c r="D1659" s="3">
        <f t="shared" si="130"/>
        <v>9</v>
      </c>
      <c r="E1659" t="s">
        <v>12</v>
      </c>
      <c r="F1659" t="s">
        <v>13</v>
      </c>
      <c r="G1659" t="str">
        <f t="shared" si="131"/>
        <v/>
      </c>
      <c r="H1659" t="s">
        <v>14</v>
      </c>
      <c r="I1659" t="s">
        <v>4339</v>
      </c>
      <c r="J1659" s="2">
        <f t="shared" si="132"/>
        <v>2000000</v>
      </c>
      <c r="K1659" t="s">
        <v>128</v>
      </c>
      <c r="L1659">
        <f t="shared" si="133"/>
        <v>0.17291666666666669</v>
      </c>
      <c r="M1659" s="5">
        <v>0.17291666666666669</v>
      </c>
      <c r="N1659" t="s">
        <v>43</v>
      </c>
      <c r="R1659" s="3">
        <f t="shared" si="129"/>
        <v>4.1500000000000004</v>
      </c>
    </row>
    <row r="1660" spans="1:18" hidden="1" x14ac:dyDescent="0.25">
      <c r="A1660" t="s">
        <v>3977</v>
      </c>
      <c r="B1660" t="s">
        <v>3746</v>
      </c>
      <c r="C1660" t="s">
        <v>3753</v>
      </c>
      <c r="D1660" s="3">
        <f t="shared" si="130"/>
        <v>16.5</v>
      </c>
      <c r="E1660" t="s">
        <v>2554</v>
      </c>
      <c r="F1660" t="s">
        <v>13</v>
      </c>
      <c r="G1660">
        <f t="shared" si="131"/>
        <v>1925000</v>
      </c>
      <c r="H1660" t="s">
        <v>552</v>
      </c>
      <c r="I1660" t="s">
        <v>3978</v>
      </c>
      <c r="J1660" s="2">
        <f t="shared" si="132"/>
        <v>1830000</v>
      </c>
      <c r="K1660" t="s">
        <v>1828</v>
      </c>
      <c r="L1660">
        <f t="shared" si="133"/>
        <v>0.17222222222222225</v>
      </c>
      <c r="M1660" s="5">
        <v>0.17222222222222225</v>
      </c>
      <c r="N1660" t="s">
        <v>43</v>
      </c>
      <c r="P1660" t="s">
        <v>1171</v>
      </c>
      <c r="R1660" s="3">
        <f t="shared" si="129"/>
        <v>4.1333333333333337</v>
      </c>
    </row>
    <row r="1661" spans="1:18" hidden="1" x14ac:dyDescent="0.25">
      <c r="A1661" t="s">
        <v>3933</v>
      </c>
      <c r="B1661" t="s">
        <v>3746</v>
      </c>
      <c r="C1661" t="s">
        <v>3753</v>
      </c>
      <c r="D1661" s="3">
        <f t="shared" si="130"/>
        <v>9</v>
      </c>
      <c r="E1661" t="s">
        <v>12</v>
      </c>
      <c r="F1661" t="s">
        <v>13</v>
      </c>
      <c r="G1661">
        <f t="shared" si="131"/>
        <v>1775000</v>
      </c>
      <c r="H1661" t="s">
        <v>1055</v>
      </c>
      <c r="I1661" t="s">
        <v>3934</v>
      </c>
      <c r="J1661" s="2">
        <f t="shared" si="132"/>
        <v>1687500</v>
      </c>
      <c r="K1661" t="s">
        <v>2963</v>
      </c>
      <c r="L1661">
        <f t="shared" si="133"/>
        <v>0.16944444444444443</v>
      </c>
      <c r="M1661" s="5">
        <v>0.16944444444444443</v>
      </c>
      <c r="N1661" t="s">
        <v>43</v>
      </c>
      <c r="P1661" t="s">
        <v>2379</v>
      </c>
      <c r="R1661" s="3">
        <f t="shared" si="129"/>
        <v>4.0666666666666664</v>
      </c>
    </row>
    <row r="1662" spans="1:18" hidden="1" x14ac:dyDescent="0.25">
      <c r="A1662" t="s">
        <v>3952</v>
      </c>
      <c r="B1662" t="s">
        <v>3746</v>
      </c>
      <c r="C1662" t="s">
        <v>3753</v>
      </c>
      <c r="D1662" s="3">
        <f t="shared" si="130"/>
        <v>8.1000000000000014</v>
      </c>
      <c r="E1662" t="s">
        <v>1168</v>
      </c>
      <c r="F1662" t="s">
        <v>13</v>
      </c>
      <c r="G1662">
        <f t="shared" si="131"/>
        <v>1725000</v>
      </c>
      <c r="H1662" t="s">
        <v>897</v>
      </c>
      <c r="I1662" t="s">
        <v>3953</v>
      </c>
      <c r="J1662" s="2">
        <f t="shared" si="132"/>
        <v>1640000</v>
      </c>
      <c r="K1662" t="s">
        <v>1735</v>
      </c>
      <c r="L1662">
        <f t="shared" si="133"/>
        <v>0.17222222222222225</v>
      </c>
      <c r="M1662" s="5">
        <v>0.17222222222222225</v>
      </c>
      <c r="N1662" t="s">
        <v>43</v>
      </c>
      <c r="P1662" t="s">
        <v>713</v>
      </c>
      <c r="R1662" s="3">
        <f t="shared" si="129"/>
        <v>4.1333333333333337</v>
      </c>
    </row>
    <row r="1663" spans="1:18" hidden="1" x14ac:dyDescent="0.25">
      <c r="A1663" t="s">
        <v>3794</v>
      </c>
      <c r="B1663" t="s">
        <v>3746</v>
      </c>
      <c r="C1663" t="s">
        <v>3753</v>
      </c>
      <c r="D1663" s="3">
        <f t="shared" si="130"/>
        <v>8.1199999999999992</v>
      </c>
      <c r="E1663" t="s">
        <v>3795</v>
      </c>
      <c r="F1663" t="s">
        <v>13</v>
      </c>
      <c r="G1663">
        <f t="shared" si="131"/>
        <v>1575000</v>
      </c>
      <c r="H1663" t="s">
        <v>1021</v>
      </c>
      <c r="I1663" t="s">
        <v>3796</v>
      </c>
      <c r="J1663" s="2">
        <f t="shared" si="132"/>
        <v>1497500</v>
      </c>
      <c r="K1663" t="s">
        <v>3351</v>
      </c>
      <c r="L1663">
        <f t="shared" si="133"/>
        <v>0.20833333333333334</v>
      </c>
      <c r="M1663" s="5">
        <v>0.20833333333333334</v>
      </c>
      <c r="N1663" t="s">
        <v>43</v>
      </c>
      <c r="P1663" t="s">
        <v>3352</v>
      </c>
      <c r="R1663" s="3">
        <f t="shared" si="129"/>
        <v>5</v>
      </c>
    </row>
    <row r="1664" spans="1:18" hidden="1" x14ac:dyDescent="0.25">
      <c r="A1664" t="s">
        <v>2854</v>
      </c>
      <c r="B1664" t="s">
        <v>3206</v>
      </c>
      <c r="C1664" t="s">
        <v>2618</v>
      </c>
      <c r="D1664" s="3">
        <f t="shared" si="130"/>
        <v>12</v>
      </c>
      <c r="E1664" t="s">
        <v>347</v>
      </c>
      <c r="F1664" t="s">
        <v>13</v>
      </c>
      <c r="G1664">
        <f t="shared" si="131"/>
        <v>2300000</v>
      </c>
      <c r="H1664" t="s">
        <v>820</v>
      </c>
      <c r="I1664" t="s">
        <v>2855</v>
      </c>
      <c r="J1664" s="2">
        <f t="shared" si="132"/>
        <v>2072500</v>
      </c>
      <c r="K1664" t="s">
        <v>2856</v>
      </c>
      <c r="L1664">
        <f t="shared" si="133"/>
        <v>0.17291666666666669</v>
      </c>
      <c r="M1664" s="5">
        <v>0.17291666666666669</v>
      </c>
      <c r="N1664" t="s">
        <v>37</v>
      </c>
      <c r="P1664" t="s">
        <v>1416</v>
      </c>
      <c r="R1664" s="3">
        <f t="shared" si="129"/>
        <v>4.1500000000000004</v>
      </c>
    </row>
    <row r="1665" spans="1:18" x14ac:dyDescent="0.25">
      <c r="A1665" t="s">
        <v>1042</v>
      </c>
      <c r="B1665" t="s">
        <v>640</v>
      </c>
      <c r="C1665" t="s">
        <v>643</v>
      </c>
      <c r="D1665" s="3">
        <f t="shared" si="130"/>
        <v>12</v>
      </c>
      <c r="E1665" t="s">
        <v>33</v>
      </c>
      <c r="F1665" t="s">
        <v>34</v>
      </c>
      <c r="G1665" t="str">
        <f t="shared" si="131"/>
        <v/>
      </c>
      <c r="H1665" t="s">
        <v>14</v>
      </c>
      <c r="I1665" t="s">
        <v>1043</v>
      </c>
      <c r="J1665" s="2">
        <f t="shared" si="132"/>
        <v>2000000</v>
      </c>
      <c r="K1665" t="s">
        <v>128</v>
      </c>
      <c r="L1665">
        <f t="shared" si="133"/>
        <v>0.17291666666666669</v>
      </c>
      <c r="M1665" s="5">
        <v>0.17291666666666669</v>
      </c>
      <c r="N1665" t="s">
        <v>43</v>
      </c>
      <c r="P1665" t="s">
        <v>199</v>
      </c>
      <c r="R1665" s="3">
        <f t="shared" si="129"/>
        <v>4.1500000000000004</v>
      </c>
    </row>
    <row r="1666" spans="1:18" hidden="1" x14ac:dyDescent="0.25">
      <c r="A1666" t="s">
        <v>5340</v>
      </c>
      <c r="B1666" t="s">
        <v>5848</v>
      </c>
      <c r="C1666" t="s">
        <v>5342</v>
      </c>
      <c r="D1666" s="3">
        <f t="shared" si="130"/>
        <v>8.75</v>
      </c>
      <c r="E1666" t="s">
        <v>1404</v>
      </c>
      <c r="F1666" t="s">
        <v>13</v>
      </c>
      <c r="G1666">
        <f t="shared" si="131"/>
        <v>1575000</v>
      </c>
      <c r="H1666" t="s">
        <v>1021</v>
      </c>
      <c r="I1666" t="s">
        <v>5341</v>
      </c>
      <c r="J1666" s="2">
        <f t="shared" si="132"/>
        <v>1497500</v>
      </c>
      <c r="K1666" t="s">
        <v>3351</v>
      </c>
      <c r="L1666">
        <f t="shared" si="133"/>
        <v>0.17291666666666669</v>
      </c>
      <c r="M1666" s="5">
        <v>0.17291666666666669</v>
      </c>
      <c r="N1666" t="s">
        <v>18</v>
      </c>
      <c r="P1666" t="s">
        <v>3352</v>
      </c>
      <c r="R1666" s="3">
        <f t="shared" ref="R1666:R1729" si="134">24*L1666</f>
        <v>4.1500000000000004</v>
      </c>
    </row>
    <row r="1667" spans="1:18" hidden="1" x14ac:dyDescent="0.25">
      <c r="A1667" t="s">
        <v>3845</v>
      </c>
      <c r="B1667" t="s">
        <v>3746</v>
      </c>
      <c r="C1667" t="s">
        <v>3847</v>
      </c>
      <c r="D1667" s="3">
        <f t="shared" si="130"/>
        <v>15</v>
      </c>
      <c r="E1667" t="s">
        <v>71</v>
      </c>
      <c r="F1667" t="s">
        <v>13</v>
      </c>
      <c r="G1667">
        <f t="shared" si="131"/>
        <v>1525000</v>
      </c>
      <c r="H1667" t="s">
        <v>27</v>
      </c>
      <c r="I1667" t="s">
        <v>3846</v>
      </c>
      <c r="J1667" s="2">
        <f t="shared" si="132"/>
        <v>1450000</v>
      </c>
      <c r="K1667" t="s">
        <v>29</v>
      </c>
      <c r="L1667">
        <f t="shared" si="133"/>
        <v>0.16944444444444443</v>
      </c>
      <c r="M1667" s="5">
        <v>0.16944444444444443</v>
      </c>
      <c r="N1667" t="s">
        <v>18</v>
      </c>
      <c r="P1667" t="s">
        <v>31</v>
      </c>
      <c r="R1667" s="3">
        <f t="shared" si="134"/>
        <v>4.0666666666666664</v>
      </c>
    </row>
    <row r="1668" spans="1:18" hidden="1" x14ac:dyDescent="0.25">
      <c r="A1668" t="s">
        <v>1450</v>
      </c>
      <c r="B1668" t="s">
        <v>1303</v>
      </c>
      <c r="C1668" t="s">
        <v>1366</v>
      </c>
      <c r="D1668" s="3">
        <f t="shared" ref="D1668:D1731" si="135">VALUE(LEFT(E1668,SEARCH(" x ",E1668)-1))*VALUE(MID(E1668,SEARCH(" x ",E1668)+3,SEARCH(" meter",E1668)-SEARCH(" x ",E1668)-3))</f>
        <v>14</v>
      </c>
      <c r="E1668" t="s">
        <v>875</v>
      </c>
      <c r="F1668" t="s">
        <v>13</v>
      </c>
      <c r="G1668" t="str">
        <f t="shared" ref="G1668:G1731" si="136">IF(H1668="N/A","",VALUE(SUBSTITUTE(SUBSTITUTE(H1668,"Rp",""),".","")))</f>
        <v/>
      </c>
      <c r="H1668" t="s">
        <v>14</v>
      </c>
      <c r="I1668" t="s">
        <v>1451</v>
      </c>
      <c r="J1668" s="2">
        <f t="shared" ref="J1668:J1731" si="137">VALUE(SUBSTITUTE(SUBSTITUTE(K1668,"Rp",""),".",""))</f>
        <v>1900000</v>
      </c>
      <c r="K1668" t="s">
        <v>352</v>
      </c>
      <c r="L1668">
        <f t="shared" ref="L1668:L1731" si="138">M1668:M4008</f>
        <v>0.20833333333333334</v>
      </c>
      <c r="M1668" s="5">
        <v>0.20833333333333334</v>
      </c>
      <c r="N1668" t="s">
        <v>43</v>
      </c>
      <c r="P1668" t="s">
        <v>1171</v>
      </c>
      <c r="R1668" s="3">
        <f t="shared" si="134"/>
        <v>5</v>
      </c>
    </row>
    <row r="1669" spans="1:18" hidden="1" x14ac:dyDescent="0.25">
      <c r="A1669" t="s">
        <v>1443</v>
      </c>
      <c r="B1669" t="s">
        <v>1303</v>
      </c>
      <c r="C1669" t="s">
        <v>1366</v>
      </c>
      <c r="D1669" s="3">
        <f t="shared" si="135"/>
        <v>9.620000000000001</v>
      </c>
      <c r="E1669" t="s">
        <v>1444</v>
      </c>
      <c r="F1669" t="s">
        <v>13</v>
      </c>
      <c r="G1669" t="str">
        <f t="shared" si="136"/>
        <v/>
      </c>
      <c r="H1669" t="s">
        <v>14</v>
      </c>
      <c r="I1669" t="s">
        <v>1445</v>
      </c>
      <c r="J1669" s="2">
        <f t="shared" si="137"/>
        <v>1725000</v>
      </c>
      <c r="K1669" t="s">
        <v>897</v>
      </c>
      <c r="L1669">
        <f t="shared" si="138"/>
        <v>0.17083333333333331</v>
      </c>
      <c r="M1669" s="5">
        <v>0.17083333333333331</v>
      </c>
      <c r="N1669" t="s">
        <v>43</v>
      </c>
      <c r="R1669" s="3">
        <f t="shared" si="134"/>
        <v>4.0999999999999996</v>
      </c>
    </row>
    <row r="1670" spans="1:18" x14ac:dyDescent="0.25">
      <c r="A1670" t="s">
        <v>4506</v>
      </c>
      <c r="B1670" t="s">
        <v>4272</v>
      </c>
      <c r="C1670" t="s">
        <v>4351</v>
      </c>
      <c r="D1670" s="3">
        <f t="shared" si="135"/>
        <v>9</v>
      </c>
      <c r="E1670" t="s">
        <v>12</v>
      </c>
      <c r="F1670" t="s">
        <v>34</v>
      </c>
      <c r="G1670">
        <f t="shared" si="136"/>
        <v>2125000</v>
      </c>
      <c r="H1670" t="s">
        <v>936</v>
      </c>
      <c r="I1670" t="s">
        <v>4507</v>
      </c>
      <c r="J1670" s="2">
        <f t="shared" si="137"/>
        <v>2020000</v>
      </c>
      <c r="K1670" t="s">
        <v>1378</v>
      </c>
      <c r="L1670">
        <f t="shared" si="138"/>
        <v>0.17013888888888887</v>
      </c>
      <c r="M1670" s="5">
        <v>0.17013888888888887</v>
      </c>
      <c r="N1670" t="s">
        <v>43</v>
      </c>
      <c r="P1670" t="s">
        <v>840</v>
      </c>
      <c r="R1670" s="3">
        <f t="shared" si="134"/>
        <v>4.083333333333333</v>
      </c>
    </row>
    <row r="1671" spans="1:18" hidden="1" x14ac:dyDescent="0.25">
      <c r="A1671" t="s">
        <v>2961</v>
      </c>
      <c r="B1671" t="s">
        <v>3206</v>
      </c>
      <c r="C1671" t="s">
        <v>2671</v>
      </c>
      <c r="D1671" s="3">
        <f t="shared" si="135"/>
        <v>12</v>
      </c>
      <c r="E1671" t="s">
        <v>33</v>
      </c>
      <c r="F1671" t="s">
        <v>13</v>
      </c>
      <c r="G1671">
        <f t="shared" si="136"/>
        <v>1775000</v>
      </c>
      <c r="H1671" t="s">
        <v>1055</v>
      </c>
      <c r="I1671" t="s">
        <v>2962</v>
      </c>
      <c r="J1671" s="2">
        <f t="shared" si="137"/>
        <v>1687500</v>
      </c>
      <c r="K1671" t="s">
        <v>2963</v>
      </c>
      <c r="L1671">
        <f t="shared" si="138"/>
        <v>0.17291666666666669</v>
      </c>
      <c r="M1671" s="5">
        <v>0.17291666666666669</v>
      </c>
      <c r="N1671" t="s">
        <v>18</v>
      </c>
      <c r="P1671" t="s">
        <v>2379</v>
      </c>
      <c r="R1671" s="3">
        <f t="shared" si="134"/>
        <v>4.1500000000000004</v>
      </c>
    </row>
    <row r="1672" spans="1:18" hidden="1" x14ac:dyDescent="0.25">
      <c r="A1672" t="s">
        <v>3080</v>
      </c>
      <c r="B1672" t="s">
        <v>3206</v>
      </c>
      <c r="C1672" t="s">
        <v>2671</v>
      </c>
      <c r="D1672" s="3">
        <f t="shared" si="135"/>
        <v>7</v>
      </c>
      <c r="E1672" t="s">
        <v>2061</v>
      </c>
      <c r="F1672" t="s">
        <v>13</v>
      </c>
      <c r="G1672">
        <f t="shared" si="136"/>
        <v>1375000</v>
      </c>
      <c r="H1672" t="s">
        <v>812</v>
      </c>
      <c r="I1672" t="s">
        <v>3081</v>
      </c>
      <c r="J1672" s="2">
        <f t="shared" si="137"/>
        <v>1307500</v>
      </c>
      <c r="K1672" t="s">
        <v>1817</v>
      </c>
      <c r="L1672">
        <f t="shared" si="138"/>
        <v>0.20833333333333334</v>
      </c>
      <c r="M1672" s="5">
        <v>0.20833333333333334</v>
      </c>
      <c r="N1672" t="s">
        <v>18</v>
      </c>
      <c r="P1672" t="s">
        <v>745</v>
      </c>
      <c r="R1672" s="3">
        <f t="shared" si="134"/>
        <v>5</v>
      </c>
    </row>
    <row r="1673" spans="1:18" hidden="1" x14ac:dyDescent="0.25">
      <c r="A1673" t="s">
        <v>1903</v>
      </c>
      <c r="B1673" t="s">
        <v>1303</v>
      </c>
      <c r="C1673" t="s">
        <v>1322</v>
      </c>
      <c r="D1673" s="3">
        <f t="shared" si="135"/>
        <v>9</v>
      </c>
      <c r="E1673" t="s">
        <v>12</v>
      </c>
      <c r="F1673" t="s">
        <v>34</v>
      </c>
      <c r="G1673" t="str">
        <f t="shared" si="136"/>
        <v/>
      </c>
      <c r="H1673" t="s">
        <v>14</v>
      </c>
      <c r="I1673" t="s">
        <v>1904</v>
      </c>
      <c r="J1673" s="2">
        <f t="shared" si="137"/>
        <v>2405000</v>
      </c>
      <c r="K1673" t="s">
        <v>1905</v>
      </c>
      <c r="L1673">
        <f t="shared" si="138"/>
        <v>0.17222222222222225</v>
      </c>
      <c r="M1673" s="5">
        <v>0.17222222222222225</v>
      </c>
      <c r="N1673" t="s">
        <v>18</v>
      </c>
      <c r="R1673" s="3">
        <f t="shared" si="134"/>
        <v>4.1333333333333337</v>
      </c>
    </row>
    <row r="1674" spans="1:18" hidden="1" x14ac:dyDescent="0.25">
      <c r="A1674" t="s">
        <v>1941</v>
      </c>
      <c r="B1674" t="s">
        <v>1303</v>
      </c>
      <c r="C1674" t="s">
        <v>1312</v>
      </c>
      <c r="D1674" s="3">
        <f t="shared" si="135"/>
        <v>8.51</v>
      </c>
      <c r="E1674" t="s">
        <v>1937</v>
      </c>
      <c r="F1674" t="s">
        <v>13</v>
      </c>
      <c r="G1674" t="str">
        <f t="shared" si="136"/>
        <v/>
      </c>
      <c r="H1674" t="s">
        <v>14</v>
      </c>
      <c r="I1674" t="s">
        <v>1938</v>
      </c>
      <c r="J1674" s="2">
        <f t="shared" si="137"/>
        <v>2025000</v>
      </c>
      <c r="K1674" t="s">
        <v>1065</v>
      </c>
      <c r="L1674">
        <f t="shared" si="138"/>
        <v>0.17222222222222225</v>
      </c>
      <c r="M1674" s="5">
        <v>0.17222222222222225</v>
      </c>
      <c r="N1674" t="s">
        <v>43</v>
      </c>
      <c r="P1674" t="s">
        <v>1442</v>
      </c>
      <c r="R1674" s="3">
        <f t="shared" si="134"/>
        <v>4.1333333333333337</v>
      </c>
    </row>
    <row r="1675" spans="1:18" hidden="1" x14ac:dyDescent="0.25">
      <c r="A1675" t="s">
        <v>1936</v>
      </c>
      <c r="B1675" t="s">
        <v>1303</v>
      </c>
      <c r="C1675" t="s">
        <v>1312</v>
      </c>
      <c r="D1675" s="3">
        <f t="shared" si="135"/>
        <v>8.51</v>
      </c>
      <c r="E1675" t="s">
        <v>1937</v>
      </c>
      <c r="F1675" t="s">
        <v>13</v>
      </c>
      <c r="G1675" t="str">
        <f t="shared" si="136"/>
        <v/>
      </c>
      <c r="H1675" t="s">
        <v>14</v>
      </c>
      <c r="I1675" t="s">
        <v>1938</v>
      </c>
      <c r="J1675" s="2">
        <f t="shared" si="137"/>
        <v>1825000</v>
      </c>
      <c r="K1675" t="s">
        <v>196</v>
      </c>
      <c r="L1675">
        <f t="shared" si="138"/>
        <v>0.17291666666666669</v>
      </c>
      <c r="M1675" s="5">
        <v>0.17291666666666669</v>
      </c>
      <c r="N1675" t="s">
        <v>43</v>
      </c>
      <c r="P1675" t="s">
        <v>1442</v>
      </c>
      <c r="R1675" s="3">
        <f t="shared" si="134"/>
        <v>4.1500000000000004</v>
      </c>
    </row>
    <row r="1676" spans="1:18" hidden="1" x14ac:dyDescent="0.25">
      <c r="A1676" t="s">
        <v>1916</v>
      </c>
      <c r="B1676" t="s">
        <v>1303</v>
      </c>
      <c r="C1676" t="s">
        <v>1312</v>
      </c>
      <c r="D1676" s="3">
        <f t="shared" si="135"/>
        <v>13.5</v>
      </c>
      <c r="E1676" t="s">
        <v>667</v>
      </c>
      <c r="F1676" t="s">
        <v>13</v>
      </c>
      <c r="G1676" t="str">
        <f t="shared" si="136"/>
        <v/>
      </c>
      <c r="H1676" t="s">
        <v>14</v>
      </c>
      <c r="I1676" t="s">
        <v>1917</v>
      </c>
      <c r="J1676" s="2">
        <f t="shared" si="137"/>
        <v>2450000</v>
      </c>
      <c r="K1676" t="s">
        <v>1918</v>
      </c>
      <c r="L1676">
        <f t="shared" si="138"/>
        <v>0.17083333333333331</v>
      </c>
      <c r="M1676" s="5">
        <v>0.17083333333333331</v>
      </c>
      <c r="N1676" t="s">
        <v>43</v>
      </c>
      <c r="R1676" s="3">
        <f t="shared" si="134"/>
        <v>4.0999999999999996</v>
      </c>
    </row>
    <row r="1677" spans="1:18" hidden="1" x14ac:dyDescent="0.25">
      <c r="A1677" t="s">
        <v>1521</v>
      </c>
      <c r="B1677" t="s">
        <v>1303</v>
      </c>
      <c r="C1677" t="s">
        <v>1312</v>
      </c>
      <c r="D1677" s="3">
        <f t="shared" si="135"/>
        <v>13.5</v>
      </c>
      <c r="E1677" t="s">
        <v>667</v>
      </c>
      <c r="F1677" t="s">
        <v>13</v>
      </c>
      <c r="G1677" t="str">
        <f t="shared" si="136"/>
        <v/>
      </c>
      <c r="H1677" t="s">
        <v>14</v>
      </c>
      <c r="I1677" t="s">
        <v>1522</v>
      </c>
      <c r="J1677" s="2">
        <f t="shared" si="137"/>
        <v>1750000</v>
      </c>
      <c r="K1677" t="s">
        <v>306</v>
      </c>
      <c r="L1677">
        <f t="shared" si="138"/>
        <v>0.17222222222222225</v>
      </c>
      <c r="M1677" s="5">
        <v>0.17222222222222225</v>
      </c>
      <c r="N1677" t="s">
        <v>43</v>
      </c>
      <c r="R1677" s="3">
        <f t="shared" si="134"/>
        <v>4.1333333333333337</v>
      </c>
    </row>
    <row r="1678" spans="1:18" hidden="1" x14ac:dyDescent="0.25">
      <c r="A1678" t="s">
        <v>1355</v>
      </c>
      <c r="B1678" t="s">
        <v>1303</v>
      </c>
      <c r="C1678" t="s">
        <v>1312</v>
      </c>
      <c r="D1678" s="3">
        <f t="shared" si="135"/>
        <v>12.15</v>
      </c>
      <c r="E1678" t="s">
        <v>1356</v>
      </c>
      <c r="F1678" t="s">
        <v>13</v>
      </c>
      <c r="G1678" t="str">
        <f t="shared" si="136"/>
        <v/>
      </c>
      <c r="H1678" t="s">
        <v>14</v>
      </c>
      <c r="I1678" t="s">
        <v>1357</v>
      </c>
      <c r="J1678" s="2">
        <f t="shared" si="137"/>
        <v>2630000</v>
      </c>
      <c r="K1678" t="s">
        <v>1358</v>
      </c>
      <c r="L1678">
        <f t="shared" si="138"/>
        <v>0.17083333333333331</v>
      </c>
      <c r="M1678" s="5">
        <v>0.17083333333333331</v>
      </c>
      <c r="N1678" t="s">
        <v>43</v>
      </c>
      <c r="R1678" s="3">
        <f t="shared" si="134"/>
        <v>4.0999999999999996</v>
      </c>
    </row>
    <row r="1679" spans="1:18" hidden="1" x14ac:dyDescent="0.25">
      <c r="A1679" t="s">
        <v>1370</v>
      </c>
      <c r="B1679" t="s">
        <v>1303</v>
      </c>
      <c r="C1679" t="s">
        <v>1312</v>
      </c>
      <c r="D1679" s="3">
        <f t="shared" si="135"/>
        <v>13.5</v>
      </c>
      <c r="E1679" t="s">
        <v>667</v>
      </c>
      <c r="F1679" t="s">
        <v>13</v>
      </c>
      <c r="G1679" t="str">
        <f t="shared" si="136"/>
        <v/>
      </c>
      <c r="H1679" t="s">
        <v>14</v>
      </c>
      <c r="I1679" t="s">
        <v>1371</v>
      </c>
      <c r="J1679" s="2">
        <f t="shared" si="137"/>
        <v>2730000</v>
      </c>
      <c r="K1679" t="s">
        <v>1372</v>
      </c>
      <c r="L1679">
        <f t="shared" si="138"/>
        <v>0.17083333333333331</v>
      </c>
      <c r="M1679" s="5">
        <v>0.17083333333333331</v>
      </c>
      <c r="N1679" t="s">
        <v>43</v>
      </c>
      <c r="R1679" s="3">
        <f t="shared" si="134"/>
        <v>4.0999999999999996</v>
      </c>
    </row>
    <row r="1680" spans="1:18" x14ac:dyDescent="0.25">
      <c r="A1680" t="s">
        <v>5450</v>
      </c>
      <c r="B1680" t="s">
        <v>5848</v>
      </c>
      <c r="C1680" t="s">
        <v>5339</v>
      </c>
      <c r="D1680" s="3">
        <f t="shared" si="135"/>
        <v>9</v>
      </c>
      <c r="E1680" t="s">
        <v>12</v>
      </c>
      <c r="F1680" t="s">
        <v>13</v>
      </c>
      <c r="G1680">
        <f t="shared" si="136"/>
        <v>2125000</v>
      </c>
      <c r="H1680" t="s">
        <v>936</v>
      </c>
      <c r="I1680" t="s">
        <v>5451</v>
      </c>
      <c r="J1680" s="2">
        <f t="shared" si="137"/>
        <v>2020000</v>
      </c>
      <c r="K1680" t="s">
        <v>1378</v>
      </c>
      <c r="L1680">
        <f t="shared" si="138"/>
        <v>0.17013888888888887</v>
      </c>
      <c r="M1680" s="5">
        <v>0.17013888888888887</v>
      </c>
      <c r="N1680" t="s">
        <v>43</v>
      </c>
      <c r="P1680" t="s">
        <v>840</v>
      </c>
      <c r="R1680" s="3">
        <f t="shared" si="134"/>
        <v>4.083333333333333</v>
      </c>
    </row>
    <row r="1681" spans="1:18" hidden="1" x14ac:dyDescent="0.25">
      <c r="A1681" t="s">
        <v>3408</v>
      </c>
      <c r="B1681" t="s">
        <v>3233</v>
      </c>
      <c r="C1681" t="s">
        <v>3248</v>
      </c>
      <c r="D1681" s="3">
        <f t="shared" si="135"/>
        <v>22.5</v>
      </c>
      <c r="E1681" t="s">
        <v>507</v>
      </c>
      <c r="F1681" t="s">
        <v>13</v>
      </c>
      <c r="G1681">
        <f t="shared" si="136"/>
        <v>4000000</v>
      </c>
      <c r="H1681" t="s">
        <v>2179</v>
      </c>
      <c r="I1681" t="s">
        <v>3409</v>
      </c>
      <c r="J1681" s="2">
        <f t="shared" si="137"/>
        <v>3680000</v>
      </c>
      <c r="K1681" t="s">
        <v>3410</v>
      </c>
      <c r="L1681">
        <f t="shared" si="138"/>
        <v>0</v>
      </c>
      <c r="N1681" t="s">
        <v>18</v>
      </c>
      <c r="P1681" t="s">
        <v>3079</v>
      </c>
      <c r="R1681" s="3">
        <f t="shared" si="134"/>
        <v>0</v>
      </c>
    </row>
    <row r="1682" spans="1:18" hidden="1" x14ac:dyDescent="0.25">
      <c r="A1682" t="s">
        <v>2994</v>
      </c>
      <c r="B1682" t="s">
        <v>3206</v>
      </c>
      <c r="C1682" t="s">
        <v>2618</v>
      </c>
      <c r="D1682" s="3">
        <f t="shared" si="135"/>
        <v>8.16</v>
      </c>
      <c r="E1682" t="s">
        <v>2995</v>
      </c>
      <c r="F1682" t="s">
        <v>13</v>
      </c>
      <c r="G1682" t="str">
        <f t="shared" si="136"/>
        <v/>
      </c>
      <c r="H1682" t="s">
        <v>14</v>
      </c>
      <c r="I1682" t="s">
        <v>2996</v>
      </c>
      <c r="J1682" s="2">
        <f t="shared" si="137"/>
        <v>1855000</v>
      </c>
      <c r="K1682" t="s">
        <v>2997</v>
      </c>
      <c r="L1682">
        <f t="shared" si="138"/>
        <v>0.17222222222222225</v>
      </c>
      <c r="M1682" s="5">
        <v>0.17222222222222225</v>
      </c>
      <c r="N1682" t="s">
        <v>43</v>
      </c>
      <c r="P1682" t="s">
        <v>199</v>
      </c>
      <c r="R1682" s="3">
        <f t="shared" si="134"/>
        <v>4.1333333333333337</v>
      </c>
    </row>
    <row r="1683" spans="1:18" hidden="1" x14ac:dyDescent="0.25">
      <c r="A1683" t="s">
        <v>3450</v>
      </c>
      <c r="B1683" t="s">
        <v>3233</v>
      </c>
      <c r="C1683" t="s">
        <v>3248</v>
      </c>
      <c r="D1683" s="3">
        <f t="shared" si="135"/>
        <v>15.040000000000001</v>
      </c>
      <c r="E1683" t="s">
        <v>1026</v>
      </c>
      <c r="F1683" t="s">
        <v>13</v>
      </c>
      <c r="G1683">
        <f t="shared" si="136"/>
        <v>3200000</v>
      </c>
      <c r="H1683" t="s">
        <v>1518</v>
      </c>
      <c r="I1683" t="s">
        <v>3451</v>
      </c>
      <c r="J1683" s="2">
        <f t="shared" si="137"/>
        <v>2944000</v>
      </c>
      <c r="K1683" t="s">
        <v>3452</v>
      </c>
      <c r="L1683">
        <f t="shared" si="138"/>
        <v>0.17291666666666669</v>
      </c>
      <c r="M1683" s="5">
        <v>0.17291666666666669</v>
      </c>
      <c r="N1683" t="s">
        <v>18</v>
      </c>
      <c r="P1683" t="s">
        <v>1824</v>
      </c>
      <c r="R1683" s="3">
        <f t="shared" si="134"/>
        <v>4.1500000000000004</v>
      </c>
    </row>
    <row r="1684" spans="1:18" hidden="1" x14ac:dyDescent="0.25">
      <c r="A1684" t="s">
        <v>3095</v>
      </c>
      <c r="B1684" t="s">
        <v>3206</v>
      </c>
      <c r="C1684" t="s">
        <v>2618</v>
      </c>
      <c r="D1684" s="3" t="e">
        <f t="shared" si="135"/>
        <v>#VALUE!</v>
      </c>
      <c r="E1684" t="s">
        <v>14</v>
      </c>
      <c r="F1684" t="s">
        <v>14</v>
      </c>
      <c r="G1684" t="str">
        <f t="shared" si="136"/>
        <v/>
      </c>
      <c r="H1684" t="s">
        <v>14</v>
      </c>
      <c r="I1684" t="s">
        <v>110</v>
      </c>
      <c r="J1684" s="2">
        <f t="shared" si="137"/>
        <v>1495000</v>
      </c>
      <c r="K1684" t="s">
        <v>2202</v>
      </c>
      <c r="L1684">
        <f t="shared" si="138"/>
        <v>0.17083333333333331</v>
      </c>
      <c r="M1684" s="5">
        <v>0.17083333333333331</v>
      </c>
      <c r="N1684" t="s">
        <v>43</v>
      </c>
      <c r="R1684" s="3">
        <f t="shared" si="134"/>
        <v>4.0999999999999996</v>
      </c>
    </row>
    <row r="1685" spans="1:18" hidden="1" x14ac:dyDescent="0.25">
      <c r="A1685" t="s">
        <v>3462</v>
      </c>
      <c r="B1685" t="s">
        <v>3233</v>
      </c>
      <c r="C1685" t="s">
        <v>3248</v>
      </c>
      <c r="D1685" s="3">
        <f t="shared" si="135"/>
        <v>12.600000000000001</v>
      </c>
      <c r="E1685" t="s">
        <v>2173</v>
      </c>
      <c r="F1685" t="s">
        <v>13</v>
      </c>
      <c r="G1685">
        <f t="shared" si="136"/>
        <v>3000000</v>
      </c>
      <c r="H1685" t="s">
        <v>1513</v>
      </c>
      <c r="I1685" t="s">
        <v>3463</v>
      </c>
      <c r="J1685" s="2">
        <f t="shared" si="137"/>
        <v>2760000</v>
      </c>
      <c r="K1685" t="s">
        <v>3464</v>
      </c>
      <c r="L1685">
        <f t="shared" si="138"/>
        <v>0.17291666666666669</v>
      </c>
      <c r="M1685" s="5">
        <v>0.17291666666666669</v>
      </c>
      <c r="N1685" t="s">
        <v>18</v>
      </c>
      <c r="P1685" t="s">
        <v>1592</v>
      </c>
      <c r="R1685" s="3">
        <f t="shared" si="134"/>
        <v>4.1500000000000004</v>
      </c>
    </row>
    <row r="1686" spans="1:18" hidden="1" x14ac:dyDescent="0.25">
      <c r="A1686" t="s">
        <v>3086</v>
      </c>
      <c r="B1686" t="s">
        <v>3206</v>
      </c>
      <c r="C1686" t="s">
        <v>2618</v>
      </c>
      <c r="D1686" s="3">
        <f t="shared" si="135"/>
        <v>5.9799999999999995</v>
      </c>
      <c r="E1686" t="s">
        <v>3087</v>
      </c>
      <c r="F1686" t="s">
        <v>13</v>
      </c>
      <c r="G1686" t="str">
        <f t="shared" si="136"/>
        <v/>
      </c>
      <c r="H1686" t="s">
        <v>14</v>
      </c>
      <c r="I1686" t="s">
        <v>3088</v>
      </c>
      <c r="J1686" s="2">
        <f t="shared" si="137"/>
        <v>1255000</v>
      </c>
      <c r="K1686" t="s">
        <v>3089</v>
      </c>
      <c r="L1686">
        <f t="shared" si="138"/>
        <v>0.17222222222222225</v>
      </c>
      <c r="M1686" s="5">
        <v>0.17222222222222225</v>
      </c>
      <c r="N1686" t="s">
        <v>43</v>
      </c>
      <c r="P1686" t="s">
        <v>2143</v>
      </c>
      <c r="R1686" s="3">
        <f t="shared" si="134"/>
        <v>4.1333333333333337</v>
      </c>
    </row>
    <row r="1687" spans="1:18" x14ac:dyDescent="0.25">
      <c r="A1687" t="s">
        <v>2780</v>
      </c>
      <c r="B1687" t="s">
        <v>3206</v>
      </c>
      <c r="C1687" t="s">
        <v>2671</v>
      </c>
      <c r="D1687" s="3">
        <f t="shared" si="135"/>
        <v>10.5</v>
      </c>
      <c r="E1687" t="s">
        <v>1051</v>
      </c>
      <c r="F1687" t="s">
        <v>13</v>
      </c>
      <c r="G1687" t="str">
        <f t="shared" si="136"/>
        <v/>
      </c>
      <c r="H1687" t="s">
        <v>14</v>
      </c>
      <c r="I1687" t="s">
        <v>2781</v>
      </c>
      <c r="J1687" s="2">
        <f t="shared" si="137"/>
        <v>2025000</v>
      </c>
      <c r="K1687" t="s">
        <v>1065</v>
      </c>
      <c r="L1687">
        <f t="shared" si="138"/>
        <v>0.16874999999999998</v>
      </c>
      <c r="M1687" s="5">
        <v>0.16874999999999998</v>
      </c>
      <c r="N1687" t="s">
        <v>43</v>
      </c>
      <c r="P1687" t="s">
        <v>2619</v>
      </c>
      <c r="R1687" s="3">
        <f t="shared" si="134"/>
        <v>4.05</v>
      </c>
    </row>
    <row r="1688" spans="1:18" hidden="1" x14ac:dyDescent="0.25">
      <c r="A1688" t="s">
        <v>2785</v>
      </c>
      <c r="B1688" t="s">
        <v>3206</v>
      </c>
      <c r="C1688" t="s">
        <v>2618</v>
      </c>
      <c r="D1688" s="3">
        <f t="shared" si="135"/>
        <v>9</v>
      </c>
      <c r="E1688" t="s">
        <v>12</v>
      </c>
      <c r="F1688" t="s">
        <v>13</v>
      </c>
      <c r="G1688" t="str">
        <f t="shared" si="136"/>
        <v/>
      </c>
      <c r="H1688" t="s">
        <v>14</v>
      </c>
      <c r="I1688" t="s">
        <v>2786</v>
      </c>
      <c r="J1688" s="2">
        <f t="shared" si="137"/>
        <v>1800000</v>
      </c>
      <c r="K1688" t="s">
        <v>228</v>
      </c>
      <c r="L1688">
        <f t="shared" si="138"/>
        <v>0.1673611111111111</v>
      </c>
      <c r="M1688" s="5">
        <v>0.1673611111111111</v>
      </c>
      <c r="N1688" t="s">
        <v>43</v>
      </c>
      <c r="P1688" t="s">
        <v>1622</v>
      </c>
      <c r="R1688" s="3">
        <f t="shared" si="134"/>
        <v>4.0166666666666666</v>
      </c>
    </row>
    <row r="1689" spans="1:18" hidden="1" x14ac:dyDescent="0.25">
      <c r="A1689" t="s">
        <v>5808</v>
      </c>
      <c r="B1689" t="s">
        <v>5848</v>
      </c>
      <c r="C1689" t="s">
        <v>5339</v>
      </c>
      <c r="D1689" s="3">
        <f t="shared" si="135"/>
        <v>7.9200000000000008</v>
      </c>
      <c r="E1689" t="s">
        <v>5809</v>
      </c>
      <c r="F1689" t="s">
        <v>34</v>
      </c>
      <c r="G1689">
        <f t="shared" si="136"/>
        <v>1825000</v>
      </c>
      <c r="H1689" t="s">
        <v>196</v>
      </c>
      <c r="I1689" t="s">
        <v>5810</v>
      </c>
      <c r="J1689" s="2">
        <f t="shared" si="137"/>
        <v>1735000</v>
      </c>
      <c r="K1689" t="s">
        <v>198</v>
      </c>
      <c r="L1689">
        <f t="shared" si="138"/>
        <v>0.17291666666666669</v>
      </c>
      <c r="M1689" s="5">
        <v>0.17291666666666669</v>
      </c>
      <c r="N1689" t="s">
        <v>18</v>
      </c>
      <c r="P1689" t="s">
        <v>199</v>
      </c>
      <c r="R1689" s="3">
        <f t="shared" si="134"/>
        <v>4.1500000000000004</v>
      </c>
    </row>
    <row r="1690" spans="1:18" hidden="1" x14ac:dyDescent="0.25">
      <c r="A1690" t="s">
        <v>5662</v>
      </c>
      <c r="B1690" t="s">
        <v>5848</v>
      </c>
      <c r="C1690" t="s">
        <v>5339</v>
      </c>
      <c r="D1690" s="3">
        <f t="shared" si="135"/>
        <v>8.1000000000000014</v>
      </c>
      <c r="E1690" t="s">
        <v>1168</v>
      </c>
      <c r="F1690" t="s">
        <v>34</v>
      </c>
      <c r="G1690">
        <f t="shared" si="136"/>
        <v>1225000</v>
      </c>
      <c r="H1690" t="s">
        <v>661</v>
      </c>
      <c r="I1690" t="s">
        <v>5663</v>
      </c>
      <c r="J1690" s="2">
        <f t="shared" si="137"/>
        <v>1165000</v>
      </c>
      <c r="K1690" t="s">
        <v>2949</v>
      </c>
      <c r="L1690">
        <f t="shared" si="138"/>
        <v>0.17222222222222225</v>
      </c>
      <c r="M1690" s="5">
        <v>0.17222222222222225</v>
      </c>
      <c r="N1690" t="s">
        <v>18</v>
      </c>
      <c r="P1690" t="s">
        <v>866</v>
      </c>
      <c r="R1690" s="3">
        <f t="shared" si="134"/>
        <v>4.1333333333333337</v>
      </c>
    </row>
    <row r="1691" spans="1:18" hidden="1" x14ac:dyDescent="0.25">
      <c r="A1691" t="s">
        <v>2111</v>
      </c>
      <c r="B1691" t="s">
        <v>2596</v>
      </c>
      <c r="C1691" t="s">
        <v>1994</v>
      </c>
      <c r="D1691" s="3">
        <f t="shared" si="135"/>
        <v>15.75</v>
      </c>
      <c r="E1691" t="s">
        <v>1099</v>
      </c>
      <c r="F1691" t="s">
        <v>13</v>
      </c>
      <c r="G1691" t="str">
        <f t="shared" si="136"/>
        <v/>
      </c>
      <c r="H1691" t="s">
        <v>14</v>
      </c>
      <c r="I1691" t="s">
        <v>2112</v>
      </c>
      <c r="J1691" s="2">
        <f t="shared" si="137"/>
        <v>3375000</v>
      </c>
      <c r="K1691" t="s">
        <v>2113</v>
      </c>
      <c r="L1691">
        <f t="shared" si="138"/>
        <v>0.17222222222222225</v>
      </c>
      <c r="M1691" s="5">
        <v>0.17222222222222225</v>
      </c>
      <c r="N1691" t="s">
        <v>43</v>
      </c>
      <c r="P1691" t="s">
        <v>1057</v>
      </c>
      <c r="R1691" s="3">
        <f t="shared" si="134"/>
        <v>4.1333333333333337</v>
      </c>
    </row>
    <row r="1692" spans="1:18" hidden="1" x14ac:dyDescent="0.25">
      <c r="A1692" t="s">
        <v>2231</v>
      </c>
      <c r="B1692" t="s">
        <v>2596</v>
      </c>
      <c r="C1692" t="s">
        <v>1994</v>
      </c>
      <c r="D1692" s="3">
        <f t="shared" si="135"/>
        <v>12</v>
      </c>
      <c r="E1692" t="s">
        <v>347</v>
      </c>
      <c r="F1692" t="s">
        <v>13</v>
      </c>
      <c r="G1692" t="str">
        <f t="shared" si="136"/>
        <v/>
      </c>
      <c r="H1692" t="s">
        <v>14</v>
      </c>
      <c r="I1692" t="s">
        <v>2232</v>
      </c>
      <c r="J1692" s="2">
        <f t="shared" si="137"/>
        <v>3175000</v>
      </c>
      <c r="K1692" t="s">
        <v>2233</v>
      </c>
      <c r="L1692">
        <f t="shared" si="138"/>
        <v>0.17083333333333331</v>
      </c>
      <c r="M1692" s="5">
        <v>0.17083333333333331</v>
      </c>
      <c r="N1692" t="s">
        <v>43</v>
      </c>
      <c r="R1692" s="3">
        <f t="shared" si="134"/>
        <v>4.0999999999999996</v>
      </c>
    </row>
    <row r="1693" spans="1:18" hidden="1" x14ac:dyDescent="0.25">
      <c r="A1693" t="s">
        <v>2335</v>
      </c>
      <c r="B1693" t="s">
        <v>2596</v>
      </c>
      <c r="C1693" t="s">
        <v>1994</v>
      </c>
      <c r="D1693" s="3">
        <f t="shared" si="135"/>
        <v>9</v>
      </c>
      <c r="E1693" t="s">
        <v>12</v>
      </c>
      <c r="F1693" t="s">
        <v>13</v>
      </c>
      <c r="G1693" t="str">
        <f t="shared" si="136"/>
        <v/>
      </c>
      <c r="H1693" t="s">
        <v>14</v>
      </c>
      <c r="I1693" t="s">
        <v>2336</v>
      </c>
      <c r="J1693" s="2">
        <f t="shared" si="137"/>
        <v>2825000</v>
      </c>
      <c r="K1693" t="s">
        <v>1604</v>
      </c>
      <c r="L1693">
        <f t="shared" si="138"/>
        <v>0.17083333333333331</v>
      </c>
      <c r="M1693" s="5">
        <v>0.17083333333333331</v>
      </c>
      <c r="N1693" t="s">
        <v>43</v>
      </c>
      <c r="R1693" s="3">
        <f t="shared" si="134"/>
        <v>4.0999999999999996</v>
      </c>
    </row>
    <row r="1694" spans="1:18" hidden="1" x14ac:dyDescent="0.25">
      <c r="A1694" t="s">
        <v>2899</v>
      </c>
      <c r="B1694" t="s">
        <v>3206</v>
      </c>
      <c r="C1694" t="s">
        <v>2769</v>
      </c>
      <c r="D1694" s="3">
        <f t="shared" si="135"/>
        <v>21</v>
      </c>
      <c r="E1694" t="s">
        <v>454</v>
      </c>
      <c r="F1694" t="s">
        <v>13</v>
      </c>
      <c r="G1694" t="str">
        <f t="shared" si="136"/>
        <v/>
      </c>
      <c r="H1694" t="s">
        <v>14</v>
      </c>
      <c r="I1694" t="s">
        <v>2900</v>
      </c>
      <c r="J1694" s="2">
        <f t="shared" si="137"/>
        <v>3025000</v>
      </c>
      <c r="K1694" t="s">
        <v>1793</v>
      </c>
      <c r="L1694">
        <f t="shared" si="138"/>
        <v>0.17083333333333331</v>
      </c>
      <c r="M1694" s="5">
        <v>0.17083333333333331</v>
      </c>
      <c r="N1694" t="s">
        <v>43</v>
      </c>
      <c r="P1694" t="s">
        <v>1970</v>
      </c>
      <c r="R1694" s="3">
        <f t="shared" si="134"/>
        <v>4.0999999999999996</v>
      </c>
    </row>
    <row r="1695" spans="1:18" hidden="1" x14ac:dyDescent="0.25">
      <c r="A1695" t="s">
        <v>787</v>
      </c>
      <c r="B1695" t="s">
        <v>640</v>
      </c>
      <c r="C1695" t="s">
        <v>643</v>
      </c>
      <c r="D1695" s="3">
        <f t="shared" si="135"/>
        <v>8.64</v>
      </c>
      <c r="E1695" t="s">
        <v>788</v>
      </c>
      <c r="F1695" t="s">
        <v>13</v>
      </c>
      <c r="G1695">
        <f t="shared" si="136"/>
        <v>1555000</v>
      </c>
      <c r="H1695" t="s">
        <v>789</v>
      </c>
      <c r="I1695" t="s">
        <v>790</v>
      </c>
      <c r="J1695" s="2">
        <f t="shared" si="137"/>
        <v>1402000</v>
      </c>
      <c r="K1695" t="s">
        <v>791</v>
      </c>
      <c r="L1695">
        <f t="shared" si="138"/>
        <v>0.17083333333333331</v>
      </c>
      <c r="M1695" s="5">
        <v>0.17083333333333331</v>
      </c>
      <c r="N1695" t="s">
        <v>18</v>
      </c>
      <c r="P1695" t="s">
        <v>792</v>
      </c>
      <c r="R1695" s="3">
        <f t="shared" si="134"/>
        <v>4.0999999999999996</v>
      </c>
    </row>
    <row r="1696" spans="1:18" hidden="1" x14ac:dyDescent="0.25">
      <c r="A1696" t="s">
        <v>3185</v>
      </c>
      <c r="B1696" t="s">
        <v>3206</v>
      </c>
      <c r="C1696" t="s">
        <v>2604</v>
      </c>
      <c r="D1696" s="3">
        <f t="shared" si="135"/>
        <v>12</v>
      </c>
      <c r="E1696" t="s">
        <v>347</v>
      </c>
      <c r="F1696" t="s">
        <v>13</v>
      </c>
      <c r="G1696" t="str">
        <f t="shared" si="136"/>
        <v/>
      </c>
      <c r="H1696" t="s">
        <v>14</v>
      </c>
      <c r="I1696" t="s">
        <v>3186</v>
      </c>
      <c r="J1696" s="2">
        <f t="shared" si="137"/>
        <v>2545000</v>
      </c>
      <c r="K1696" t="s">
        <v>2306</v>
      </c>
      <c r="L1696">
        <f t="shared" si="138"/>
        <v>0.17222222222222225</v>
      </c>
      <c r="M1696" s="5">
        <v>0.17222222222222225</v>
      </c>
      <c r="N1696" t="s">
        <v>43</v>
      </c>
      <c r="P1696" t="s">
        <v>1547</v>
      </c>
      <c r="R1696" s="3">
        <f t="shared" si="134"/>
        <v>4.1333333333333337</v>
      </c>
    </row>
    <row r="1697" spans="1:18" hidden="1" x14ac:dyDescent="0.25">
      <c r="A1697" t="s">
        <v>5379</v>
      </c>
      <c r="B1697" t="s">
        <v>5848</v>
      </c>
      <c r="C1697" t="s">
        <v>5339</v>
      </c>
      <c r="D1697" s="3">
        <f t="shared" si="135"/>
        <v>10.5</v>
      </c>
      <c r="E1697" t="s">
        <v>653</v>
      </c>
      <c r="F1697" t="s">
        <v>34</v>
      </c>
      <c r="G1697">
        <f t="shared" si="136"/>
        <v>2025000</v>
      </c>
      <c r="H1697" t="s">
        <v>1065</v>
      </c>
      <c r="I1697" t="s">
        <v>5380</v>
      </c>
      <c r="J1697" s="2">
        <f t="shared" si="137"/>
        <v>1925000</v>
      </c>
      <c r="K1697" t="s">
        <v>552</v>
      </c>
      <c r="L1697">
        <f t="shared" si="138"/>
        <v>0.20833333333333334</v>
      </c>
      <c r="M1697" s="5">
        <v>0.20833333333333334</v>
      </c>
      <c r="N1697" t="s">
        <v>43</v>
      </c>
      <c r="P1697" t="s">
        <v>669</v>
      </c>
      <c r="R1697" s="3">
        <f t="shared" si="134"/>
        <v>5</v>
      </c>
    </row>
    <row r="1698" spans="1:18" hidden="1" x14ac:dyDescent="0.25">
      <c r="A1698" t="s">
        <v>5555</v>
      </c>
      <c r="B1698" t="s">
        <v>5848</v>
      </c>
      <c r="C1698" t="s">
        <v>5339</v>
      </c>
      <c r="D1698" s="3">
        <f t="shared" si="135"/>
        <v>10.5</v>
      </c>
      <c r="E1698" t="s">
        <v>653</v>
      </c>
      <c r="F1698" t="s">
        <v>34</v>
      </c>
      <c r="G1698">
        <f t="shared" si="136"/>
        <v>1625000</v>
      </c>
      <c r="H1698" t="s">
        <v>702</v>
      </c>
      <c r="I1698" t="s">
        <v>5556</v>
      </c>
      <c r="J1698" s="2">
        <f t="shared" si="137"/>
        <v>1545000</v>
      </c>
      <c r="K1698" t="s">
        <v>1503</v>
      </c>
      <c r="L1698">
        <f t="shared" si="138"/>
        <v>0.20833333333333334</v>
      </c>
      <c r="M1698" s="5">
        <v>0.20833333333333334</v>
      </c>
      <c r="N1698" t="s">
        <v>43</v>
      </c>
      <c r="P1698" t="s">
        <v>719</v>
      </c>
      <c r="R1698" s="3">
        <f t="shared" si="134"/>
        <v>5</v>
      </c>
    </row>
    <row r="1699" spans="1:18" hidden="1" x14ac:dyDescent="0.25">
      <c r="A1699" t="s">
        <v>5666</v>
      </c>
      <c r="B1699" t="s">
        <v>5848</v>
      </c>
      <c r="C1699" t="s">
        <v>5339</v>
      </c>
      <c r="D1699" s="3">
        <f t="shared" si="135"/>
        <v>10.5</v>
      </c>
      <c r="E1699" t="s">
        <v>653</v>
      </c>
      <c r="F1699" t="s">
        <v>34</v>
      </c>
      <c r="G1699">
        <f t="shared" si="136"/>
        <v>1525000</v>
      </c>
      <c r="H1699" t="s">
        <v>27</v>
      </c>
      <c r="I1699" t="s">
        <v>5667</v>
      </c>
      <c r="J1699" s="2">
        <f t="shared" si="137"/>
        <v>1450000</v>
      </c>
      <c r="K1699" t="s">
        <v>29</v>
      </c>
      <c r="L1699">
        <f t="shared" si="138"/>
        <v>0.17222222222222225</v>
      </c>
      <c r="M1699" s="5">
        <v>0.17222222222222225</v>
      </c>
      <c r="N1699" t="s">
        <v>43</v>
      </c>
      <c r="P1699" t="s">
        <v>31</v>
      </c>
      <c r="R1699" s="3">
        <f t="shared" si="134"/>
        <v>4.1333333333333337</v>
      </c>
    </row>
    <row r="1700" spans="1:18" hidden="1" x14ac:dyDescent="0.25">
      <c r="A1700" t="s">
        <v>5471</v>
      </c>
      <c r="B1700" t="s">
        <v>5848</v>
      </c>
      <c r="C1700" t="s">
        <v>5339</v>
      </c>
      <c r="D1700" s="3">
        <f t="shared" si="135"/>
        <v>10.5</v>
      </c>
      <c r="E1700" t="s">
        <v>653</v>
      </c>
      <c r="F1700" t="s">
        <v>34</v>
      </c>
      <c r="G1700">
        <f t="shared" si="136"/>
        <v>1275000</v>
      </c>
      <c r="H1700" t="s">
        <v>698</v>
      </c>
      <c r="I1700" t="s">
        <v>5472</v>
      </c>
      <c r="J1700" s="2">
        <f t="shared" si="137"/>
        <v>1212500</v>
      </c>
      <c r="K1700" t="s">
        <v>1935</v>
      </c>
      <c r="L1700">
        <f t="shared" si="138"/>
        <v>0.20833333333333334</v>
      </c>
      <c r="M1700" s="5">
        <v>0.20833333333333334</v>
      </c>
      <c r="N1700" t="s">
        <v>43</v>
      </c>
      <c r="P1700" t="s">
        <v>1774</v>
      </c>
      <c r="R1700" s="3">
        <f t="shared" si="134"/>
        <v>5</v>
      </c>
    </row>
    <row r="1701" spans="1:18" hidden="1" x14ac:dyDescent="0.25">
      <c r="A1701" t="s">
        <v>5711</v>
      </c>
      <c r="B1701" t="s">
        <v>5848</v>
      </c>
      <c r="C1701" t="s">
        <v>5369</v>
      </c>
      <c r="D1701" s="3">
        <f t="shared" si="135"/>
        <v>25</v>
      </c>
      <c r="E1701" t="s">
        <v>481</v>
      </c>
      <c r="F1701" t="s">
        <v>13</v>
      </c>
      <c r="G1701">
        <f t="shared" si="136"/>
        <v>2525000</v>
      </c>
      <c r="H1701" t="s">
        <v>131</v>
      </c>
      <c r="I1701" t="s">
        <v>5712</v>
      </c>
      <c r="J1701" s="2">
        <f t="shared" si="137"/>
        <v>2275000</v>
      </c>
      <c r="K1701" t="s">
        <v>1027</v>
      </c>
      <c r="L1701">
        <f t="shared" si="138"/>
        <v>0</v>
      </c>
      <c r="N1701" t="s">
        <v>18</v>
      </c>
      <c r="P1701" t="s">
        <v>973</v>
      </c>
      <c r="R1701" s="3">
        <f t="shared" si="134"/>
        <v>0</v>
      </c>
    </row>
    <row r="1702" spans="1:18" x14ac:dyDescent="0.25">
      <c r="A1702" t="s">
        <v>1588</v>
      </c>
      <c r="B1702" t="s">
        <v>1303</v>
      </c>
      <c r="C1702" t="s">
        <v>1312</v>
      </c>
      <c r="D1702" s="3">
        <f t="shared" si="135"/>
        <v>9.8999999999999986</v>
      </c>
      <c r="E1702" t="s">
        <v>837</v>
      </c>
      <c r="F1702" t="s">
        <v>34</v>
      </c>
      <c r="G1702" t="str">
        <f t="shared" si="136"/>
        <v/>
      </c>
      <c r="H1702" t="s">
        <v>14</v>
      </c>
      <c r="I1702" t="s">
        <v>1589</v>
      </c>
      <c r="J1702" s="2">
        <f t="shared" si="137"/>
        <v>2050000</v>
      </c>
      <c r="K1702" t="s">
        <v>240</v>
      </c>
      <c r="L1702">
        <f t="shared" si="138"/>
        <v>0.17083333333333331</v>
      </c>
      <c r="M1702" s="5">
        <v>0.17083333333333331</v>
      </c>
      <c r="N1702" t="s">
        <v>43</v>
      </c>
      <c r="P1702" t="s">
        <v>1442</v>
      </c>
      <c r="R1702" s="3">
        <f t="shared" si="134"/>
        <v>4.0999999999999996</v>
      </c>
    </row>
    <row r="1703" spans="1:18" hidden="1" x14ac:dyDescent="0.25">
      <c r="A1703" t="s">
        <v>5673</v>
      </c>
      <c r="B1703" t="s">
        <v>5848</v>
      </c>
      <c r="C1703" t="s">
        <v>5369</v>
      </c>
      <c r="D1703" s="3">
        <f t="shared" si="135"/>
        <v>8.1000000000000014</v>
      </c>
      <c r="E1703" t="s">
        <v>1168</v>
      </c>
      <c r="F1703" t="s">
        <v>34</v>
      </c>
      <c r="G1703">
        <f t="shared" si="136"/>
        <v>1075000</v>
      </c>
      <c r="H1703" t="s">
        <v>838</v>
      </c>
      <c r="I1703" t="s">
        <v>5674</v>
      </c>
      <c r="J1703" s="2">
        <f t="shared" si="137"/>
        <v>970000</v>
      </c>
      <c r="K1703" t="s">
        <v>252</v>
      </c>
      <c r="L1703">
        <f t="shared" si="138"/>
        <v>0</v>
      </c>
      <c r="N1703" t="s">
        <v>18</v>
      </c>
      <c r="P1703" t="s">
        <v>840</v>
      </c>
      <c r="R1703" s="3">
        <f t="shared" si="134"/>
        <v>0</v>
      </c>
    </row>
    <row r="1704" spans="1:18" hidden="1" x14ac:dyDescent="0.25">
      <c r="A1704" t="s">
        <v>4391</v>
      </c>
      <c r="B1704" t="s">
        <v>4272</v>
      </c>
      <c r="C1704" t="s">
        <v>4354</v>
      </c>
      <c r="D1704" s="3">
        <f t="shared" si="135"/>
        <v>9</v>
      </c>
      <c r="E1704" t="s">
        <v>12</v>
      </c>
      <c r="F1704" t="s">
        <v>13</v>
      </c>
      <c r="G1704">
        <f t="shared" si="136"/>
        <v>1525000</v>
      </c>
      <c r="H1704" t="s">
        <v>27</v>
      </c>
      <c r="I1704" t="s">
        <v>4392</v>
      </c>
      <c r="J1704" s="2">
        <f t="shared" si="137"/>
        <v>1450000</v>
      </c>
      <c r="K1704" t="s">
        <v>29</v>
      </c>
      <c r="L1704">
        <f t="shared" si="138"/>
        <v>0.17291666666666669</v>
      </c>
      <c r="M1704" s="5">
        <v>0.17291666666666669</v>
      </c>
      <c r="N1704" t="s">
        <v>18</v>
      </c>
      <c r="P1704" t="s">
        <v>31</v>
      </c>
      <c r="R1704" s="3">
        <f t="shared" si="134"/>
        <v>4.1500000000000004</v>
      </c>
    </row>
    <row r="1705" spans="1:18" hidden="1" x14ac:dyDescent="0.25">
      <c r="A1705" t="s">
        <v>1346</v>
      </c>
      <c r="B1705" t="s">
        <v>1303</v>
      </c>
      <c r="C1705" t="s">
        <v>1350</v>
      </c>
      <c r="D1705" s="3">
        <f t="shared" si="135"/>
        <v>16.799999999999997</v>
      </c>
      <c r="E1705" t="s">
        <v>1347</v>
      </c>
      <c r="F1705" t="s">
        <v>13</v>
      </c>
      <c r="G1705">
        <f t="shared" si="136"/>
        <v>2025000</v>
      </c>
      <c r="H1705" t="s">
        <v>1065</v>
      </c>
      <c r="I1705" t="s">
        <v>1348</v>
      </c>
      <c r="J1705" s="2">
        <f t="shared" si="137"/>
        <v>1865000</v>
      </c>
      <c r="K1705" t="s">
        <v>1349</v>
      </c>
      <c r="L1705">
        <f t="shared" si="138"/>
        <v>0.16944444444444443</v>
      </c>
      <c r="M1705" s="5">
        <v>0.16944444444444443</v>
      </c>
      <c r="N1705" t="s">
        <v>43</v>
      </c>
      <c r="P1705" t="s">
        <v>673</v>
      </c>
      <c r="R1705" s="3">
        <f t="shared" si="134"/>
        <v>4.0666666666666664</v>
      </c>
    </row>
    <row r="1706" spans="1:18" hidden="1" x14ac:dyDescent="0.25">
      <c r="A1706" t="s">
        <v>1387</v>
      </c>
      <c r="B1706" t="s">
        <v>1303</v>
      </c>
      <c r="C1706" t="s">
        <v>1350</v>
      </c>
      <c r="D1706" s="3">
        <f t="shared" si="135"/>
        <v>16.799999999999997</v>
      </c>
      <c r="E1706" t="s">
        <v>1347</v>
      </c>
      <c r="F1706" t="s">
        <v>13</v>
      </c>
      <c r="G1706">
        <f t="shared" si="136"/>
        <v>2375000</v>
      </c>
      <c r="H1706" t="s">
        <v>1388</v>
      </c>
      <c r="I1706" t="s">
        <v>1348</v>
      </c>
      <c r="J1706" s="2">
        <f t="shared" si="137"/>
        <v>2257500</v>
      </c>
      <c r="K1706" t="s">
        <v>1389</v>
      </c>
      <c r="L1706">
        <f t="shared" si="138"/>
        <v>0.20833333333333334</v>
      </c>
      <c r="M1706" s="5">
        <v>0.20833333333333334</v>
      </c>
      <c r="N1706" t="s">
        <v>43</v>
      </c>
      <c r="P1706" t="s">
        <v>1309</v>
      </c>
      <c r="R1706" s="3">
        <f t="shared" si="134"/>
        <v>5</v>
      </c>
    </row>
    <row r="1707" spans="1:18" hidden="1" x14ac:dyDescent="0.25">
      <c r="A1707" t="s">
        <v>1413</v>
      </c>
      <c r="B1707" t="s">
        <v>1303</v>
      </c>
      <c r="C1707" t="s">
        <v>1350</v>
      </c>
      <c r="D1707" s="3">
        <f t="shared" si="135"/>
        <v>16.799999999999997</v>
      </c>
      <c r="E1707" t="s">
        <v>1347</v>
      </c>
      <c r="F1707" t="s">
        <v>13</v>
      </c>
      <c r="G1707">
        <f t="shared" si="136"/>
        <v>2875000</v>
      </c>
      <c r="H1707" t="s">
        <v>1414</v>
      </c>
      <c r="I1707" t="s">
        <v>1348</v>
      </c>
      <c r="J1707" s="2">
        <f t="shared" si="137"/>
        <v>2647000</v>
      </c>
      <c r="K1707" t="s">
        <v>1415</v>
      </c>
      <c r="L1707">
        <f t="shared" si="138"/>
        <v>0.17083333333333331</v>
      </c>
      <c r="M1707" s="5">
        <v>0.17083333333333331</v>
      </c>
      <c r="N1707" t="s">
        <v>43</v>
      </c>
      <c r="P1707" t="s">
        <v>1416</v>
      </c>
      <c r="R1707" s="3">
        <f t="shared" si="134"/>
        <v>4.0999999999999996</v>
      </c>
    </row>
    <row r="1708" spans="1:18" x14ac:dyDescent="0.25">
      <c r="A1708" t="s">
        <v>4286</v>
      </c>
      <c r="B1708" t="s">
        <v>4272</v>
      </c>
      <c r="C1708" t="s">
        <v>4281</v>
      </c>
      <c r="D1708" s="3">
        <f t="shared" si="135"/>
        <v>9</v>
      </c>
      <c r="E1708" t="s">
        <v>12</v>
      </c>
      <c r="F1708" t="s">
        <v>13</v>
      </c>
      <c r="G1708">
        <f t="shared" si="136"/>
        <v>2175000</v>
      </c>
      <c r="H1708" t="s">
        <v>1386</v>
      </c>
      <c r="I1708" t="s">
        <v>4287</v>
      </c>
      <c r="J1708" s="2">
        <f t="shared" si="137"/>
        <v>2067500</v>
      </c>
      <c r="K1708" t="s">
        <v>3872</v>
      </c>
      <c r="L1708">
        <f t="shared" si="138"/>
        <v>0.17083333333333331</v>
      </c>
      <c r="M1708" s="5">
        <v>0.17083333333333331</v>
      </c>
      <c r="N1708" t="s">
        <v>18</v>
      </c>
      <c r="P1708" t="s">
        <v>2143</v>
      </c>
      <c r="R1708" s="3">
        <f t="shared" si="134"/>
        <v>4.0999999999999996</v>
      </c>
    </row>
    <row r="1709" spans="1:18" hidden="1" x14ac:dyDescent="0.25">
      <c r="A1709" t="s">
        <v>1081</v>
      </c>
      <c r="B1709" t="s">
        <v>640</v>
      </c>
      <c r="C1709" t="s">
        <v>643</v>
      </c>
      <c r="D1709" s="3">
        <f t="shared" si="135"/>
        <v>12</v>
      </c>
      <c r="E1709" t="s">
        <v>347</v>
      </c>
      <c r="F1709" t="s">
        <v>13</v>
      </c>
      <c r="G1709">
        <f t="shared" si="136"/>
        <v>1015000</v>
      </c>
      <c r="H1709" t="s">
        <v>726</v>
      </c>
      <c r="I1709" t="s">
        <v>1082</v>
      </c>
      <c r="J1709" s="2">
        <f t="shared" si="137"/>
        <v>916000</v>
      </c>
      <c r="K1709" t="s">
        <v>1083</v>
      </c>
      <c r="L1709">
        <f t="shared" si="138"/>
        <v>0.17291666666666669</v>
      </c>
      <c r="M1709" s="5">
        <v>0.17291666666666669</v>
      </c>
      <c r="N1709" t="s">
        <v>18</v>
      </c>
      <c r="P1709" t="s">
        <v>1084</v>
      </c>
      <c r="R1709" s="3">
        <f t="shared" si="134"/>
        <v>4.1500000000000004</v>
      </c>
    </row>
    <row r="1710" spans="1:18" hidden="1" x14ac:dyDescent="0.25">
      <c r="A1710" t="s">
        <v>1881</v>
      </c>
      <c r="B1710" t="s">
        <v>1303</v>
      </c>
      <c r="C1710" t="s">
        <v>1322</v>
      </c>
      <c r="D1710" s="3">
        <f t="shared" si="135"/>
        <v>10.5</v>
      </c>
      <c r="E1710" t="s">
        <v>1051</v>
      </c>
      <c r="F1710" t="s">
        <v>13</v>
      </c>
      <c r="G1710">
        <f t="shared" si="136"/>
        <v>3215000</v>
      </c>
      <c r="H1710" t="s">
        <v>1882</v>
      </c>
      <c r="I1710" t="s">
        <v>1883</v>
      </c>
      <c r="J1710" s="2">
        <f t="shared" si="137"/>
        <v>2959800</v>
      </c>
      <c r="K1710" t="s">
        <v>1884</v>
      </c>
      <c r="L1710">
        <f t="shared" si="138"/>
        <v>0.17222222222222225</v>
      </c>
      <c r="M1710" s="5">
        <v>0.17222222222222225</v>
      </c>
      <c r="N1710" t="s">
        <v>43</v>
      </c>
      <c r="P1710" t="s">
        <v>1455</v>
      </c>
      <c r="R1710" s="3">
        <f t="shared" si="134"/>
        <v>4.1333333333333337</v>
      </c>
    </row>
    <row r="1711" spans="1:18" x14ac:dyDescent="0.25">
      <c r="A1711" t="s">
        <v>3870</v>
      </c>
      <c r="B1711" t="s">
        <v>3746</v>
      </c>
      <c r="C1711" t="s">
        <v>3753</v>
      </c>
      <c r="D1711" s="3">
        <f t="shared" si="135"/>
        <v>9</v>
      </c>
      <c r="E1711" t="s">
        <v>12</v>
      </c>
      <c r="F1711" t="s">
        <v>13</v>
      </c>
      <c r="G1711">
        <f t="shared" si="136"/>
        <v>2175000</v>
      </c>
      <c r="H1711" t="s">
        <v>1386</v>
      </c>
      <c r="I1711" t="s">
        <v>3871</v>
      </c>
      <c r="J1711" s="2">
        <f t="shared" si="137"/>
        <v>2067500</v>
      </c>
      <c r="K1711" t="s">
        <v>3872</v>
      </c>
      <c r="L1711">
        <f t="shared" si="138"/>
        <v>0.17083333333333331</v>
      </c>
      <c r="M1711" s="5">
        <v>0.17083333333333331</v>
      </c>
      <c r="N1711" t="s">
        <v>43</v>
      </c>
      <c r="P1711" t="s">
        <v>2143</v>
      </c>
      <c r="R1711" s="3">
        <f t="shared" si="134"/>
        <v>4.0999999999999996</v>
      </c>
    </row>
    <row r="1712" spans="1:18" hidden="1" x14ac:dyDescent="0.25">
      <c r="A1712" t="s">
        <v>1811</v>
      </c>
      <c r="B1712" t="s">
        <v>1303</v>
      </c>
      <c r="C1712" t="s">
        <v>1322</v>
      </c>
      <c r="D1712" s="3">
        <f t="shared" si="135"/>
        <v>9</v>
      </c>
      <c r="E1712" t="s">
        <v>12</v>
      </c>
      <c r="F1712" t="s">
        <v>13</v>
      </c>
      <c r="G1712" t="str">
        <f t="shared" si="136"/>
        <v/>
      </c>
      <c r="H1712" t="s">
        <v>14</v>
      </c>
      <c r="I1712" t="s">
        <v>1812</v>
      </c>
      <c r="J1712" s="2">
        <f t="shared" si="137"/>
        <v>1875000</v>
      </c>
      <c r="K1712" t="s">
        <v>884</v>
      </c>
      <c r="L1712">
        <f t="shared" si="138"/>
        <v>0.17291666666666669</v>
      </c>
      <c r="M1712" s="5">
        <v>0.17291666666666669</v>
      </c>
      <c r="N1712" t="s">
        <v>43</v>
      </c>
      <c r="P1712" t="s">
        <v>1455</v>
      </c>
      <c r="R1712" s="3">
        <f t="shared" si="134"/>
        <v>4.1500000000000004</v>
      </c>
    </row>
    <row r="1713" spans="1:18" x14ac:dyDescent="0.25">
      <c r="A1713" t="s">
        <v>818</v>
      </c>
      <c r="B1713" t="s">
        <v>640</v>
      </c>
      <c r="C1713" t="s">
        <v>749</v>
      </c>
      <c r="D1713" s="3">
        <f t="shared" si="135"/>
        <v>5</v>
      </c>
      <c r="E1713" t="s">
        <v>819</v>
      </c>
      <c r="F1713" t="s">
        <v>13</v>
      </c>
      <c r="G1713">
        <f t="shared" si="136"/>
        <v>2300000</v>
      </c>
      <c r="H1713" t="s">
        <v>820</v>
      </c>
      <c r="I1713" t="s">
        <v>821</v>
      </c>
      <c r="J1713" s="2">
        <f t="shared" si="137"/>
        <v>2070000</v>
      </c>
      <c r="K1713" t="s">
        <v>822</v>
      </c>
      <c r="L1713">
        <f t="shared" si="138"/>
        <v>0.17291666666666669</v>
      </c>
      <c r="M1713" s="5">
        <v>0.17291666666666669</v>
      </c>
      <c r="N1713" t="s">
        <v>43</v>
      </c>
      <c r="P1713" t="s">
        <v>823</v>
      </c>
      <c r="R1713" s="3">
        <f t="shared" si="134"/>
        <v>4.1500000000000004</v>
      </c>
    </row>
    <row r="1714" spans="1:18" hidden="1" x14ac:dyDescent="0.25">
      <c r="A1714" t="s">
        <v>3175</v>
      </c>
      <c r="B1714" t="s">
        <v>3206</v>
      </c>
      <c r="C1714" t="s">
        <v>2611</v>
      </c>
      <c r="D1714" s="3" t="e">
        <f t="shared" si="135"/>
        <v>#VALUE!</v>
      </c>
      <c r="E1714" t="s">
        <v>14</v>
      </c>
      <c r="F1714" t="s">
        <v>14</v>
      </c>
      <c r="G1714">
        <f t="shared" si="136"/>
        <v>2525000</v>
      </c>
      <c r="H1714" t="s">
        <v>131</v>
      </c>
      <c r="I1714" t="s">
        <v>110</v>
      </c>
      <c r="J1714" s="2">
        <f t="shared" si="137"/>
        <v>2400000</v>
      </c>
      <c r="K1714" t="s">
        <v>133</v>
      </c>
      <c r="L1714">
        <f t="shared" si="138"/>
        <v>0.17291666666666669</v>
      </c>
      <c r="M1714" s="5">
        <v>0.17291666666666669</v>
      </c>
      <c r="N1714" t="s">
        <v>18</v>
      </c>
      <c r="P1714" t="s">
        <v>134</v>
      </c>
      <c r="R1714" s="3">
        <f t="shared" si="134"/>
        <v>4.1500000000000004</v>
      </c>
    </row>
    <row r="1715" spans="1:18" hidden="1" x14ac:dyDescent="0.25">
      <c r="A1715" t="s">
        <v>3175</v>
      </c>
      <c r="B1715" t="s">
        <v>3206</v>
      </c>
      <c r="C1715" t="s">
        <v>2611</v>
      </c>
      <c r="D1715" s="3">
        <f t="shared" si="135"/>
        <v>12.25</v>
      </c>
      <c r="E1715" t="s">
        <v>187</v>
      </c>
      <c r="F1715" t="s">
        <v>13</v>
      </c>
      <c r="G1715">
        <f t="shared" si="136"/>
        <v>2525000</v>
      </c>
      <c r="H1715" t="s">
        <v>131</v>
      </c>
      <c r="I1715" t="s">
        <v>3205</v>
      </c>
      <c r="J1715" s="2">
        <f t="shared" si="137"/>
        <v>2400000</v>
      </c>
      <c r="K1715" t="s">
        <v>133</v>
      </c>
      <c r="L1715">
        <f t="shared" si="138"/>
        <v>0.17291666666666669</v>
      </c>
      <c r="M1715" s="5">
        <v>0.17291666666666669</v>
      </c>
      <c r="N1715" t="s">
        <v>18</v>
      </c>
      <c r="P1715" t="s">
        <v>134</v>
      </c>
      <c r="R1715" s="3">
        <f t="shared" si="134"/>
        <v>4.1500000000000004</v>
      </c>
    </row>
    <row r="1716" spans="1:18" hidden="1" x14ac:dyDescent="0.25">
      <c r="A1716" t="s">
        <v>2803</v>
      </c>
      <c r="B1716" t="s">
        <v>3206</v>
      </c>
      <c r="C1716" t="s">
        <v>2779</v>
      </c>
      <c r="D1716" s="3">
        <f t="shared" si="135"/>
        <v>8.1000000000000014</v>
      </c>
      <c r="E1716" t="s">
        <v>1168</v>
      </c>
      <c r="F1716" t="s">
        <v>13</v>
      </c>
      <c r="G1716">
        <f t="shared" si="136"/>
        <v>2975000</v>
      </c>
      <c r="H1716" t="s">
        <v>2804</v>
      </c>
      <c r="I1716" t="s">
        <v>2805</v>
      </c>
      <c r="J1716" s="2">
        <f t="shared" si="137"/>
        <v>2827500</v>
      </c>
      <c r="K1716" t="s">
        <v>2806</v>
      </c>
      <c r="L1716">
        <f t="shared" si="138"/>
        <v>0.17222222222222225</v>
      </c>
      <c r="M1716" s="5">
        <v>0.17222222222222225</v>
      </c>
      <c r="N1716" t="s">
        <v>43</v>
      </c>
      <c r="P1716" t="s">
        <v>1643</v>
      </c>
      <c r="R1716" s="3">
        <f t="shared" si="134"/>
        <v>4.1333333333333337</v>
      </c>
    </row>
    <row r="1717" spans="1:18" hidden="1" x14ac:dyDescent="0.25">
      <c r="A1717" t="s">
        <v>3176</v>
      </c>
      <c r="B1717" t="s">
        <v>3206</v>
      </c>
      <c r="C1717" t="s">
        <v>2779</v>
      </c>
      <c r="D1717" s="3">
        <f t="shared" si="135"/>
        <v>18</v>
      </c>
      <c r="E1717" t="s">
        <v>3054</v>
      </c>
      <c r="F1717" t="s">
        <v>34</v>
      </c>
      <c r="G1717">
        <f t="shared" si="136"/>
        <v>3525000</v>
      </c>
      <c r="H1717" t="s">
        <v>2719</v>
      </c>
      <c r="I1717" t="s">
        <v>3177</v>
      </c>
      <c r="J1717" s="2">
        <f t="shared" si="137"/>
        <v>3350000</v>
      </c>
      <c r="K1717" t="s">
        <v>2906</v>
      </c>
      <c r="L1717">
        <f t="shared" si="138"/>
        <v>0.17083333333333331</v>
      </c>
      <c r="M1717" s="5">
        <v>0.17083333333333331</v>
      </c>
      <c r="N1717" t="s">
        <v>43</v>
      </c>
      <c r="P1717" t="s">
        <v>1057</v>
      </c>
      <c r="R1717" s="3">
        <f t="shared" si="134"/>
        <v>4.0999999999999996</v>
      </c>
    </row>
    <row r="1718" spans="1:18" hidden="1" x14ac:dyDescent="0.25">
      <c r="A1718" t="s">
        <v>4504</v>
      </c>
      <c r="B1718" t="s">
        <v>4272</v>
      </c>
      <c r="C1718" t="s">
        <v>4354</v>
      </c>
      <c r="D1718" s="3">
        <f t="shared" si="135"/>
        <v>10.240000000000002</v>
      </c>
      <c r="E1718" t="s">
        <v>941</v>
      </c>
      <c r="F1718" t="s">
        <v>13</v>
      </c>
      <c r="G1718">
        <f t="shared" si="136"/>
        <v>1625000</v>
      </c>
      <c r="H1718" t="s">
        <v>702</v>
      </c>
      <c r="I1718" t="s">
        <v>4505</v>
      </c>
      <c r="J1718" s="2">
        <f t="shared" si="137"/>
        <v>1545000</v>
      </c>
      <c r="K1718" t="s">
        <v>1503</v>
      </c>
      <c r="L1718">
        <f t="shared" si="138"/>
        <v>0.17222222222222225</v>
      </c>
      <c r="M1718" s="5">
        <v>0.17222222222222225</v>
      </c>
      <c r="N1718" t="s">
        <v>43</v>
      </c>
      <c r="P1718" t="s">
        <v>719</v>
      </c>
      <c r="R1718" s="3">
        <f t="shared" si="134"/>
        <v>4.1333333333333337</v>
      </c>
    </row>
    <row r="1719" spans="1:18" hidden="1" x14ac:dyDescent="0.25">
      <c r="A1719" t="s">
        <v>3073</v>
      </c>
      <c r="B1719" t="s">
        <v>3206</v>
      </c>
      <c r="C1719" t="s">
        <v>2769</v>
      </c>
      <c r="D1719" s="3">
        <f t="shared" si="135"/>
        <v>10.639999999999999</v>
      </c>
      <c r="E1719" t="s">
        <v>3074</v>
      </c>
      <c r="F1719" t="s">
        <v>13</v>
      </c>
      <c r="G1719" t="str">
        <f t="shared" si="136"/>
        <v/>
      </c>
      <c r="H1719" t="s">
        <v>14</v>
      </c>
      <c r="I1719" t="s">
        <v>3075</v>
      </c>
      <c r="J1719" s="2">
        <f t="shared" si="137"/>
        <v>1855000</v>
      </c>
      <c r="K1719" t="s">
        <v>2997</v>
      </c>
      <c r="L1719">
        <f t="shared" si="138"/>
        <v>0.17222222222222225</v>
      </c>
      <c r="M1719" s="5">
        <v>0.17222222222222225</v>
      </c>
      <c r="N1719" t="s">
        <v>37</v>
      </c>
      <c r="R1719" s="3">
        <f t="shared" si="134"/>
        <v>4.1333333333333337</v>
      </c>
    </row>
    <row r="1720" spans="1:18" hidden="1" x14ac:dyDescent="0.25">
      <c r="A1720" t="s">
        <v>2749</v>
      </c>
      <c r="B1720" t="s">
        <v>3206</v>
      </c>
      <c r="C1720" t="s">
        <v>2734</v>
      </c>
      <c r="D1720" s="3">
        <f t="shared" si="135"/>
        <v>10.5</v>
      </c>
      <c r="E1720" t="s">
        <v>1051</v>
      </c>
      <c r="F1720" t="s">
        <v>13</v>
      </c>
      <c r="G1720" t="str">
        <f t="shared" si="136"/>
        <v/>
      </c>
      <c r="H1720" t="s">
        <v>14</v>
      </c>
      <c r="I1720" t="s">
        <v>2750</v>
      </c>
      <c r="J1720" s="2">
        <f t="shared" si="137"/>
        <v>3425000</v>
      </c>
      <c r="K1720" t="s">
        <v>2634</v>
      </c>
      <c r="L1720">
        <f t="shared" si="138"/>
        <v>0.17083333333333331</v>
      </c>
      <c r="M1720" s="5">
        <v>0.17083333333333331</v>
      </c>
      <c r="N1720" t="s">
        <v>43</v>
      </c>
      <c r="P1720" t="s">
        <v>1622</v>
      </c>
      <c r="R1720" s="3">
        <f t="shared" si="134"/>
        <v>4.0999999999999996</v>
      </c>
    </row>
    <row r="1721" spans="1:18" hidden="1" x14ac:dyDescent="0.25">
      <c r="A1721" t="s">
        <v>2757</v>
      </c>
      <c r="B1721" t="s">
        <v>3206</v>
      </c>
      <c r="C1721" t="s">
        <v>2734</v>
      </c>
      <c r="D1721" s="3">
        <f t="shared" si="135"/>
        <v>19.25</v>
      </c>
      <c r="E1721" t="s">
        <v>2353</v>
      </c>
      <c r="F1721" t="s">
        <v>13</v>
      </c>
      <c r="G1721" t="str">
        <f t="shared" si="136"/>
        <v/>
      </c>
      <c r="H1721" t="s">
        <v>14</v>
      </c>
      <c r="I1721" t="s">
        <v>2758</v>
      </c>
      <c r="J1721" s="2">
        <f t="shared" si="137"/>
        <v>3625000</v>
      </c>
      <c r="K1721" t="s">
        <v>2759</v>
      </c>
      <c r="L1721">
        <f t="shared" si="138"/>
        <v>0.17083333333333331</v>
      </c>
      <c r="M1721" s="5">
        <v>0.17083333333333331</v>
      </c>
      <c r="N1721" t="s">
        <v>43</v>
      </c>
      <c r="R1721" s="3">
        <f t="shared" si="134"/>
        <v>4.0999999999999996</v>
      </c>
    </row>
    <row r="1722" spans="1:18" hidden="1" x14ac:dyDescent="0.25">
      <c r="A1722" t="s">
        <v>1576</v>
      </c>
      <c r="B1722" t="s">
        <v>1303</v>
      </c>
      <c r="C1722" t="s">
        <v>1342</v>
      </c>
      <c r="D1722" s="3">
        <f t="shared" si="135"/>
        <v>40</v>
      </c>
      <c r="E1722" t="s">
        <v>1577</v>
      </c>
      <c r="F1722" t="s">
        <v>13</v>
      </c>
      <c r="G1722" t="str">
        <f t="shared" si="136"/>
        <v/>
      </c>
      <c r="H1722" t="s">
        <v>14</v>
      </c>
      <c r="I1722" t="s">
        <v>1578</v>
      </c>
      <c r="J1722" s="2">
        <f t="shared" si="137"/>
        <v>2175000</v>
      </c>
      <c r="K1722" t="s">
        <v>1386</v>
      </c>
      <c r="L1722">
        <f t="shared" si="138"/>
        <v>0.17222222222222225</v>
      </c>
      <c r="M1722" s="5">
        <v>0.17222222222222225</v>
      </c>
      <c r="N1722" t="s">
        <v>18</v>
      </c>
      <c r="P1722" t="s">
        <v>669</v>
      </c>
      <c r="R1722" s="3">
        <f t="shared" si="134"/>
        <v>4.1333333333333337</v>
      </c>
    </row>
    <row r="1723" spans="1:18" hidden="1" x14ac:dyDescent="0.25">
      <c r="A1723" t="s">
        <v>1716</v>
      </c>
      <c r="B1723" t="s">
        <v>1303</v>
      </c>
      <c r="C1723" t="s">
        <v>1342</v>
      </c>
      <c r="D1723" s="3">
        <f t="shared" si="135"/>
        <v>36</v>
      </c>
      <c r="E1723" t="s">
        <v>1717</v>
      </c>
      <c r="F1723" t="s">
        <v>13</v>
      </c>
      <c r="G1723" t="str">
        <f t="shared" si="136"/>
        <v/>
      </c>
      <c r="H1723" t="s">
        <v>14</v>
      </c>
      <c r="I1723" t="s">
        <v>1718</v>
      </c>
      <c r="J1723" s="2">
        <f t="shared" si="137"/>
        <v>2075000</v>
      </c>
      <c r="K1723" t="s">
        <v>1567</v>
      </c>
      <c r="L1723">
        <f t="shared" si="138"/>
        <v>0.17083333333333331</v>
      </c>
      <c r="M1723" s="5">
        <v>0.17083333333333331</v>
      </c>
      <c r="N1723" t="s">
        <v>18</v>
      </c>
      <c r="P1723" t="s">
        <v>669</v>
      </c>
      <c r="R1723" s="3">
        <f t="shared" si="134"/>
        <v>4.0999999999999996</v>
      </c>
    </row>
    <row r="1724" spans="1:18" hidden="1" x14ac:dyDescent="0.25">
      <c r="A1724" t="s">
        <v>2980</v>
      </c>
      <c r="B1724" t="s">
        <v>3206</v>
      </c>
      <c r="C1724" t="s">
        <v>2671</v>
      </c>
      <c r="D1724" s="3">
        <f t="shared" si="135"/>
        <v>10.240000000000002</v>
      </c>
      <c r="E1724" t="s">
        <v>941</v>
      </c>
      <c r="F1724" t="s">
        <v>13</v>
      </c>
      <c r="G1724">
        <f t="shared" si="136"/>
        <v>1300000</v>
      </c>
      <c r="H1724" t="s">
        <v>17</v>
      </c>
      <c r="I1724" t="s">
        <v>2981</v>
      </c>
      <c r="J1724" s="2">
        <f t="shared" si="137"/>
        <v>1235000</v>
      </c>
      <c r="K1724" t="s">
        <v>2542</v>
      </c>
      <c r="L1724">
        <f t="shared" si="138"/>
        <v>0.16944444444444443</v>
      </c>
      <c r="M1724" s="5">
        <v>0.16944444444444443</v>
      </c>
      <c r="N1724" t="s">
        <v>43</v>
      </c>
      <c r="P1724" t="s">
        <v>2166</v>
      </c>
      <c r="R1724" s="3">
        <f t="shared" si="134"/>
        <v>4.0666666666666664</v>
      </c>
    </row>
    <row r="1725" spans="1:18" hidden="1" x14ac:dyDescent="0.25">
      <c r="A1725" t="s">
        <v>5343</v>
      </c>
      <c r="B1725" t="s">
        <v>5848</v>
      </c>
      <c r="C1725" t="s">
        <v>5339</v>
      </c>
      <c r="D1725" s="3">
        <f t="shared" si="135"/>
        <v>12</v>
      </c>
      <c r="E1725" t="s">
        <v>33</v>
      </c>
      <c r="F1725" t="s">
        <v>13</v>
      </c>
      <c r="G1725">
        <f t="shared" si="136"/>
        <v>2225000</v>
      </c>
      <c r="H1725" t="s">
        <v>1339</v>
      </c>
      <c r="I1725" t="s">
        <v>5344</v>
      </c>
      <c r="J1725" s="2">
        <f t="shared" si="137"/>
        <v>2115000</v>
      </c>
      <c r="K1725" t="s">
        <v>1341</v>
      </c>
      <c r="L1725">
        <f t="shared" si="138"/>
        <v>0.17083333333333331</v>
      </c>
      <c r="M1725" s="5">
        <v>0.17083333333333331</v>
      </c>
      <c r="N1725" t="s">
        <v>18</v>
      </c>
      <c r="P1725" t="s">
        <v>727</v>
      </c>
      <c r="R1725" s="3">
        <f t="shared" si="134"/>
        <v>4.0999999999999996</v>
      </c>
    </row>
    <row r="1726" spans="1:18" hidden="1" x14ac:dyDescent="0.25">
      <c r="A1726" t="s">
        <v>5517</v>
      </c>
      <c r="B1726" t="s">
        <v>5848</v>
      </c>
      <c r="C1726" t="s">
        <v>5339</v>
      </c>
      <c r="D1726" s="3">
        <f t="shared" si="135"/>
        <v>9</v>
      </c>
      <c r="E1726" t="s">
        <v>12</v>
      </c>
      <c r="F1726" t="s">
        <v>13</v>
      </c>
      <c r="G1726">
        <f t="shared" si="136"/>
        <v>1665000</v>
      </c>
      <c r="H1726" t="s">
        <v>2237</v>
      </c>
      <c r="I1726" t="s">
        <v>5518</v>
      </c>
      <c r="J1726" s="2">
        <f t="shared" si="137"/>
        <v>1583000</v>
      </c>
      <c r="K1726" t="s">
        <v>2239</v>
      </c>
      <c r="L1726">
        <f t="shared" si="138"/>
        <v>0.17083333333333331</v>
      </c>
      <c r="M1726" s="5">
        <v>0.17083333333333331</v>
      </c>
      <c r="N1726" t="s">
        <v>18</v>
      </c>
      <c r="P1726" t="s">
        <v>2240</v>
      </c>
      <c r="R1726" s="3">
        <f t="shared" si="134"/>
        <v>4.0999999999999996</v>
      </c>
    </row>
    <row r="1727" spans="1:18" hidden="1" x14ac:dyDescent="0.25">
      <c r="A1727" t="s">
        <v>5592</v>
      </c>
      <c r="B1727" t="s">
        <v>5848</v>
      </c>
      <c r="C1727" t="s">
        <v>5339</v>
      </c>
      <c r="D1727" s="3">
        <f t="shared" si="135"/>
        <v>12</v>
      </c>
      <c r="E1727" t="s">
        <v>347</v>
      </c>
      <c r="F1727" t="s">
        <v>13</v>
      </c>
      <c r="G1727">
        <f t="shared" si="136"/>
        <v>1765000</v>
      </c>
      <c r="H1727" t="s">
        <v>5593</v>
      </c>
      <c r="I1727" t="s">
        <v>5594</v>
      </c>
      <c r="J1727" s="2">
        <f t="shared" si="137"/>
        <v>1678000</v>
      </c>
      <c r="K1727" t="s">
        <v>5595</v>
      </c>
      <c r="L1727">
        <f t="shared" si="138"/>
        <v>0.17083333333333331</v>
      </c>
      <c r="M1727" s="5">
        <v>0.17083333333333331</v>
      </c>
      <c r="N1727" t="s">
        <v>18</v>
      </c>
      <c r="P1727" t="s">
        <v>691</v>
      </c>
      <c r="R1727" s="3">
        <f t="shared" si="134"/>
        <v>4.0999999999999996</v>
      </c>
    </row>
    <row r="1728" spans="1:18" hidden="1" x14ac:dyDescent="0.25">
      <c r="A1728" t="s">
        <v>904</v>
      </c>
      <c r="B1728" t="s">
        <v>640</v>
      </c>
      <c r="C1728" t="s">
        <v>643</v>
      </c>
      <c r="D1728" s="3">
        <f t="shared" si="135"/>
        <v>9</v>
      </c>
      <c r="E1728" t="s">
        <v>12</v>
      </c>
      <c r="F1728" t="s">
        <v>13</v>
      </c>
      <c r="G1728">
        <f t="shared" si="136"/>
        <v>1175000</v>
      </c>
      <c r="H1728" t="s">
        <v>779</v>
      </c>
      <c r="I1728" t="s">
        <v>740</v>
      </c>
      <c r="J1728" s="2">
        <f t="shared" si="137"/>
        <v>1060000</v>
      </c>
      <c r="K1728" t="s">
        <v>781</v>
      </c>
      <c r="L1728">
        <f t="shared" si="138"/>
        <v>0.17291666666666669</v>
      </c>
      <c r="M1728" s="5">
        <v>0.17291666666666669</v>
      </c>
      <c r="N1728" t="s">
        <v>18</v>
      </c>
      <c r="P1728" t="s">
        <v>752</v>
      </c>
      <c r="R1728" s="3">
        <f t="shared" si="134"/>
        <v>4.1500000000000004</v>
      </c>
    </row>
    <row r="1729" spans="1:18" hidden="1" x14ac:dyDescent="0.25">
      <c r="A1729" t="s">
        <v>739</v>
      </c>
      <c r="B1729" t="s">
        <v>640</v>
      </c>
      <c r="C1729" t="s">
        <v>643</v>
      </c>
      <c r="D1729" s="3">
        <f t="shared" si="135"/>
        <v>9</v>
      </c>
      <c r="E1729" t="s">
        <v>12</v>
      </c>
      <c r="F1729" t="s">
        <v>13</v>
      </c>
      <c r="G1729">
        <f t="shared" si="136"/>
        <v>1275000</v>
      </c>
      <c r="H1729" t="s">
        <v>698</v>
      </c>
      <c r="I1729" t="s">
        <v>740</v>
      </c>
      <c r="J1729" s="2">
        <f t="shared" si="137"/>
        <v>1150000</v>
      </c>
      <c r="K1729" t="s">
        <v>700</v>
      </c>
      <c r="L1729">
        <f t="shared" si="138"/>
        <v>0.17291666666666669</v>
      </c>
      <c r="M1729" s="5">
        <v>0.17291666666666669</v>
      </c>
      <c r="N1729" t="s">
        <v>18</v>
      </c>
      <c r="P1729" t="s">
        <v>134</v>
      </c>
      <c r="R1729" s="3">
        <f t="shared" si="134"/>
        <v>4.1500000000000004</v>
      </c>
    </row>
    <row r="1730" spans="1:18" x14ac:dyDescent="0.25">
      <c r="A1730" t="s">
        <v>2476</v>
      </c>
      <c r="B1730" t="s">
        <v>2596</v>
      </c>
      <c r="C1730" t="s">
        <v>2053</v>
      </c>
      <c r="D1730" s="3">
        <f t="shared" si="135"/>
        <v>7.2900000000000009</v>
      </c>
      <c r="E1730" t="s">
        <v>1002</v>
      </c>
      <c r="F1730" t="s">
        <v>13</v>
      </c>
      <c r="G1730">
        <f t="shared" si="136"/>
        <v>2300000</v>
      </c>
      <c r="H1730" t="s">
        <v>820</v>
      </c>
      <c r="I1730" t="s">
        <v>2477</v>
      </c>
      <c r="J1730" s="2">
        <f t="shared" si="137"/>
        <v>2070000</v>
      </c>
      <c r="K1730" t="s">
        <v>822</v>
      </c>
      <c r="L1730">
        <f t="shared" si="138"/>
        <v>0.17222222222222225</v>
      </c>
      <c r="M1730" s="5">
        <v>0.17222222222222225</v>
      </c>
      <c r="N1730" t="s">
        <v>43</v>
      </c>
      <c r="P1730" t="s">
        <v>823</v>
      </c>
      <c r="R1730" s="3">
        <f t="shared" ref="R1730:R1793" si="139">24*L1730</f>
        <v>4.1333333333333337</v>
      </c>
    </row>
    <row r="1731" spans="1:18" hidden="1" x14ac:dyDescent="0.25">
      <c r="A1731" t="s">
        <v>907</v>
      </c>
      <c r="B1731" t="s">
        <v>640</v>
      </c>
      <c r="C1731" t="s">
        <v>643</v>
      </c>
      <c r="D1731" s="3">
        <f t="shared" si="135"/>
        <v>20</v>
      </c>
      <c r="E1731" t="s">
        <v>159</v>
      </c>
      <c r="F1731" t="s">
        <v>13</v>
      </c>
      <c r="G1731" t="str">
        <f t="shared" si="136"/>
        <v/>
      </c>
      <c r="H1731" t="s">
        <v>14</v>
      </c>
      <c r="I1731" t="s">
        <v>908</v>
      </c>
      <c r="J1731" s="2">
        <f t="shared" si="137"/>
        <v>1425000</v>
      </c>
      <c r="K1731" t="s">
        <v>909</v>
      </c>
      <c r="L1731">
        <f t="shared" si="138"/>
        <v>0.17291666666666669</v>
      </c>
      <c r="M1731" s="5">
        <v>0.17291666666666669</v>
      </c>
      <c r="N1731" t="s">
        <v>18</v>
      </c>
      <c r="P1731" t="s">
        <v>752</v>
      </c>
      <c r="R1731" s="3">
        <f t="shared" si="139"/>
        <v>4.1500000000000004</v>
      </c>
    </row>
    <row r="1732" spans="1:18" hidden="1" x14ac:dyDescent="0.25">
      <c r="A1732" t="s">
        <v>750</v>
      </c>
      <c r="B1732" t="s">
        <v>640</v>
      </c>
      <c r="C1732" t="s">
        <v>643</v>
      </c>
      <c r="D1732" s="3">
        <f t="shared" ref="D1732:D1795" si="140">VALUE(LEFT(E1732,SEARCH(" x ",E1732)-1))*VALUE(MID(E1732,SEARCH(" x ",E1732)+3,SEARCH(" meter",E1732)-SEARCH(" x ",E1732)-3))</f>
        <v>25</v>
      </c>
      <c r="E1732" t="s">
        <v>481</v>
      </c>
      <c r="F1732" t="s">
        <v>13</v>
      </c>
      <c r="G1732" t="str">
        <f t="shared" ref="G1732:G1795" si="141">IF(H1732="N/A","",VALUE(SUBSTITUTE(SUBSTITUTE(H1732,"Rp",""),".","")))</f>
        <v/>
      </c>
      <c r="H1732" t="s">
        <v>14</v>
      </c>
      <c r="I1732" t="s">
        <v>751</v>
      </c>
      <c r="J1732" s="2">
        <f t="shared" ref="J1732:J1795" si="142">VALUE(SUBSTITUTE(SUBSTITUTE(K1732,"Rp",""),".",""))</f>
        <v>1525000</v>
      </c>
      <c r="K1732" t="s">
        <v>27</v>
      </c>
      <c r="L1732">
        <f t="shared" ref="L1732:L1795" si="143">M1732:M4072</f>
        <v>0.17083333333333331</v>
      </c>
      <c r="M1732" s="5">
        <v>0.17083333333333331</v>
      </c>
      <c r="N1732" t="s">
        <v>18</v>
      </c>
      <c r="P1732" t="s">
        <v>752</v>
      </c>
      <c r="R1732" s="3">
        <f t="shared" si="139"/>
        <v>4.0999999999999996</v>
      </c>
    </row>
    <row r="1733" spans="1:18" hidden="1" x14ac:dyDescent="0.25">
      <c r="A1733" t="s">
        <v>4497</v>
      </c>
      <c r="B1733" t="s">
        <v>4272</v>
      </c>
      <c r="C1733" t="s">
        <v>4285</v>
      </c>
      <c r="D1733" s="3">
        <f t="shared" si="140"/>
        <v>12.600000000000001</v>
      </c>
      <c r="E1733" t="s">
        <v>2173</v>
      </c>
      <c r="F1733" t="s">
        <v>34</v>
      </c>
      <c r="G1733" t="str">
        <f t="shared" si="141"/>
        <v/>
      </c>
      <c r="H1733" t="s">
        <v>14</v>
      </c>
      <c r="I1733" t="s">
        <v>4498</v>
      </c>
      <c r="J1733" s="2">
        <f t="shared" si="142"/>
        <v>2125000</v>
      </c>
      <c r="K1733" t="s">
        <v>936</v>
      </c>
      <c r="L1733">
        <f t="shared" si="143"/>
        <v>0.17013888888888887</v>
      </c>
      <c r="M1733" s="5">
        <v>0.17013888888888887</v>
      </c>
      <c r="N1733" t="s">
        <v>43</v>
      </c>
      <c r="R1733" s="3">
        <f t="shared" si="139"/>
        <v>4.083333333333333</v>
      </c>
    </row>
    <row r="1734" spans="1:18" hidden="1" x14ac:dyDescent="0.25">
      <c r="A1734" t="s">
        <v>4574</v>
      </c>
      <c r="B1734" t="s">
        <v>4272</v>
      </c>
      <c r="C1734" t="s">
        <v>4285</v>
      </c>
      <c r="D1734" s="3">
        <f t="shared" si="140"/>
        <v>10.56</v>
      </c>
      <c r="E1734" t="s">
        <v>1422</v>
      </c>
      <c r="F1734" t="s">
        <v>34</v>
      </c>
      <c r="G1734" t="str">
        <f t="shared" si="141"/>
        <v/>
      </c>
      <c r="H1734" t="s">
        <v>14</v>
      </c>
      <c r="I1734" t="s">
        <v>4575</v>
      </c>
      <c r="J1734" s="2">
        <f t="shared" si="142"/>
        <v>1825000</v>
      </c>
      <c r="K1734" t="s">
        <v>196</v>
      </c>
      <c r="L1734">
        <f t="shared" si="143"/>
        <v>0.16666666666666666</v>
      </c>
      <c r="M1734" s="5">
        <v>0.16666666666666666</v>
      </c>
      <c r="N1734" t="s">
        <v>43</v>
      </c>
      <c r="P1734" t="s">
        <v>199</v>
      </c>
      <c r="R1734" s="3">
        <f t="shared" si="139"/>
        <v>4</v>
      </c>
    </row>
    <row r="1735" spans="1:18" hidden="1" x14ac:dyDescent="0.25">
      <c r="A1735" t="s">
        <v>4468</v>
      </c>
      <c r="B1735" t="s">
        <v>4272</v>
      </c>
      <c r="C1735" t="s">
        <v>4285</v>
      </c>
      <c r="D1735" s="3">
        <f t="shared" si="140"/>
        <v>10.56</v>
      </c>
      <c r="E1735" t="s">
        <v>1422</v>
      </c>
      <c r="F1735" t="s">
        <v>34</v>
      </c>
      <c r="G1735" t="str">
        <f t="shared" si="141"/>
        <v/>
      </c>
      <c r="H1735" t="s">
        <v>14</v>
      </c>
      <c r="I1735" t="s">
        <v>4469</v>
      </c>
      <c r="J1735" s="2">
        <f t="shared" si="142"/>
        <v>1725000</v>
      </c>
      <c r="K1735" t="s">
        <v>897</v>
      </c>
      <c r="L1735">
        <f t="shared" si="143"/>
        <v>0.20833333333333334</v>
      </c>
      <c r="M1735" s="5">
        <v>0.20833333333333334</v>
      </c>
      <c r="N1735" t="s">
        <v>43</v>
      </c>
      <c r="P1735" t="s">
        <v>199</v>
      </c>
      <c r="R1735" s="3">
        <f t="shared" si="139"/>
        <v>5</v>
      </c>
    </row>
    <row r="1736" spans="1:18" hidden="1" x14ac:dyDescent="0.25">
      <c r="A1736" t="s">
        <v>4361</v>
      </c>
      <c r="B1736" t="s">
        <v>4272</v>
      </c>
      <c r="C1736" t="s">
        <v>4285</v>
      </c>
      <c r="D1736" s="3">
        <f t="shared" si="140"/>
        <v>10.56</v>
      </c>
      <c r="E1736" t="s">
        <v>1422</v>
      </c>
      <c r="F1736" t="s">
        <v>34</v>
      </c>
      <c r="G1736" t="str">
        <f t="shared" si="141"/>
        <v/>
      </c>
      <c r="H1736" t="s">
        <v>14</v>
      </c>
      <c r="I1736" t="s">
        <v>4362</v>
      </c>
      <c r="J1736" s="2">
        <f t="shared" si="142"/>
        <v>1625000</v>
      </c>
      <c r="K1736" t="s">
        <v>702</v>
      </c>
      <c r="L1736">
        <f t="shared" si="143"/>
        <v>0.16874999999999998</v>
      </c>
      <c r="M1736" s="5">
        <v>0.16874999999999998</v>
      </c>
      <c r="N1736" t="s">
        <v>43</v>
      </c>
      <c r="R1736" s="3">
        <f t="shared" si="139"/>
        <v>4.05</v>
      </c>
    </row>
    <row r="1737" spans="1:18" hidden="1" x14ac:dyDescent="0.25">
      <c r="A1737" t="s">
        <v>1501</v>
      </c>
      <c r="B1737" t="s">
        <v>1303</v>
      </c>
      <c r="C1737" t="s">
        <v>1362</v>
      </c>
      <c r="D1737" s="3">
        <f t="shared" si="140"/>
        <v>6</v>
      </c>
      <c r="E1737" t="s">
        <v>285</v>
      </c>
      <c r="F1737" t="s">
        <v>13</v>
      </c>
      <c r="G1737">
        <f t="shared" si="141"/>
        <v>1625000</v>
      </c>
      <c r="H1737" t="s">
        <v>702</v>
      </c>
      <c r="I1737" t="s">
        <v>1502</v>
      </c>
      <c r="J1737" s="2">
        <f t="shared" si="142"/>
        <v>1545000</v>
      </c>
      <c r="K1737" t="s">
        <v>1503</v>
      </c>
      <c r="L1737">
        <f t="shared" si="143"/>
        <v>0.16874999999999998</v>
      </c>
      <c r="M1737" s="5">
        <v>0.16874999999999998</v>
      </c>
      <c r="N1737" t="s">
        <v>43</v>
      </c>
      <c r="P1737" t="s">
        <v>719</v>
      </c>
      <c r="R1737" s="3">
        <f t="shared" si="139"/>
        <v>4.05</v>
      </c>
    </row>
    <row r="1738" spans="1:18" hidden="1" x14ac:dyDescent="0.25">
      <c r="A1738" t="s">
        <v>1720</v>
      </c>
      <c r="B1738" t="s">
        <v>1303</v>
      </c>
      <c r="C1738" t="s">
        <v>1362</v>
      </c>
      <c r="D1738" s="3">
        <f t="shared" si="140"/>
        <v>6</v>
      </c>
      <c r="E1738" t="s">
        <v>285</v>
      </c>
      <c r="F1738" t="s">
        <v>13</v>
      </c>
      <c r="G1738" t="str">
        <f t="shared" si="141"/>
        <v/>
      </c>
      <c r="H1738" t="s">
        <v>14</v>
      </c>
      <c r="I1738" t="s">
        <v>1721</v>
      </c>
      <c r="J1738" s="2">
        <f t="shared" si="142"/>
        <v>1375000</v>
      </c>
      <c r="K1738" t="s">
        <v>812</v>
      </c>
      <c r="L1738">
        <f t="shared" si="143"/>
        <v>0.17013888888888887</v>
      </c>
      <c r="M1738" s="5">
        <v>0.17013888888888887</v>
      </c>
      <c r="N1738" t="s">
        <v>43</v>
      </c>
      <c r="P1738" t="s">
        <v>719</v>
      </c>
      <c r="R1738" s="3">
        <f t="shared" si="139"/>
        <v>4.083333333333333</v>
      </c>
    </row>
    <row r="1739" spans="1:18" hidden="1" x14ac:dyDescent="0.25">
      <c r="A1739" t="s">
        <v>1807</v>
      </c>
      <c r="B1739" t="s">
        <v>1303</v>
      </c>
      <c r="C1739" t="s">
        <v>1396</v>
      </c>
      <c r="D1739" s="3">
        <f t="shared" si="140"/>
        <v>12</v>
      </c>
      <c r="E1739" t="s">
        <v>33</v>
      </c>
      <c r="F1739" t="s">
        <v>13</v>
      </c>
      <c r="G1739">
        <f t="shared" si="141"/>
        <v>1575000</v>
      </c>
      <c r="H1739" t="s">
        <v>1021</v>
      </c>
      <c r="I1739" t="s">
        <v>1808</v>
      </c>
      <c r="J1739" s="2">
        <f t="shared" si="142"/>
        <v>1451000</v>
      </c>
      <c r="K1739" t="s">
        <v>1809</v>
      </c>
      <c r="L1739">
        <f t="shared" si="143"/>
        <v>0.17083333333333331</v>
      </c>
      <c r="M1739" s="5">
        <v>0.17083333333333331</v>
      </c>
      <c r="N1739" t="s">
        <v>43</v>
      </c>
      <c r="P1739" t="s">
        <v>1810</v>
      </c>
      <c r="R1739" s="3">
        <f t="shared" si="139"/>
        <v>4.0999999999999996</v>
      </c>
    </row>
    <row r="1740" spans="1:18" hidden="1" x14ac:dyDescent="0.25">
      <c r="A1740" t="s">
        <v>1611</v>
      </c>
      <c r="B1740" t="s">
        <v>1303</v>
      </c>
      <c r="C1740" t="s">
        <v>1396</v>
      </c>
      <c r="D1740" s="3">
        <f t="shared" si="140"/>
        <v>8.75</v>
      </c>
      <c r="E1740" t="s">
        <v>775</v>
      </c>
      <c r="F1740" t="s">
        <v>13</v>
      </c>
      <c r="G1740">
        <f t="shared" si="141"/>
        <v>1285000</v>
      </c>
      <c r="H1740" t="s">
        <v>1612</v>
      </c>
      <c r="I1740" t="s">
        <v>1613</v>
      </c>
      <c r="J1740" s="2">
        <f t="shared" si="142"/>
        <v>1184200</v>
      </c>
      <c r="K1740" t="s">
        <v>1614</v>
      </c>
      <c r="L1740">
        <f t="shared" si="143"/>
        <v>0.17222222222222225</v>
      </c>
      <c r="M1740" s="5">
        <v>0.17222222222222225</v>
      </c>
      <c r="N1740" t="s">
        <v>43</v>
      </c>
      <c r="P1740" t="s">
        <v>1615</v>
      </c>
      <c r="R1740" s="3">
        <f t="shared" si="139"/>
        <v>4.1333333333333337</v>
      </c>
    </row>
    <row r="1741" spans="1:18" hidden="1" x14ac:dyDescent="0.25">
      <c r="A1741" t="s">
        <v>2348</v>
      </c>
      <c r="B1741" t="s">
        <v>2596</v>
      </c>
      <c r="C1741" t="s">
        <v>1977</v>
      </c>
      <c r="D1741" s="3">
        <f t="shared" si="140"/>
        <v>9</v>
      </c>
      <c r="E1741" t="s">
        <v>12</v>
      </c>
      <c r="F1741" t="s">
        <v>13</v>
      </c>
      <c r="G1741" t="str">
        <f t="shared" si="141"/>
        <v/>
      </c>
      <c r="H1741" t="s">
        <v>14</v>
      </c>
      <c r="I1741" t="s">
        <v>2349</v>
      </c>
      <c r="J1741" s="2">
        <f t="shared" si="142"/>
        <v>2025000</v>
      </c>
      <c r="K1741" t="s">
        <v>1065</v>
      </c>
      <c r="L1741">
        <f t="shared" si="143"/>
        <v>0.17291666666666669</v>
      </c>
      <c r="M1741" s="5">
        <v>0.17291666666666669</v>
      </c>
      <c r="N1741" t="s">
        <v>18</v>
      </c>
      <c r="P1741" t="s">
        <v>1461</v>
      </c>
      <c r="R1741" s="3">
        <f t="shared" si="139"/>
        <v>4.1500000000000004</v>
      </c>
    </row>
    <row r="1742" spans="1:18" hidden="1" x14ac:dyDescent="0.25">
      <c r="A1742" t="s">
        <v>829</v>
      </c>
      <c r="B1742" t="s">
        <v>640</v>
      </c>
      <c r="C1742" t="s">
        <v>657</v>
      </c>
      <c r="D1742" s="3">
        <f t="shared" si="140"/>
        <v>9</v>
      </c>
      <c r="E1742" t="s">
        <v>12</v>
      </c>
      <c r="F1742" t="s">
        <v>13</v>
      </c>
      <c r="G1742">
        <f t="shared" si="141"/>
        <v>1350000</v>
      </c>
      <c r="H1742" t="s">
        <v>257</v>
      </c>
      <c r="I1742" t="s">
        <v>830</v>
      </c>
      <c r="J1742" s="2">
        <f t="shared" si="142"/>
        <v>1215000</v>
      </c>
      <c r="K1742" t="s">
        <v>831</v>
      </c>
      <c r="L1742">
        <f t="shared" si="143"/>
        <v>0.17291666666666669</v>
      </c>
      <c r="M1742" s="5">
        <v>0.17291666666666669</v>
      </c>
      <c r="N1742" t="s">
        <v>18</v>
      </c>
      <c r="P1742" t="s">
        <v>815</v>
      </c>
      <c r="R1742" s="3">
        <f t="shared" si="139"/>
        <v>4.1500000000000004</v>
      </c>
    </row>
    <row r="1743" spans="1:18" hidden="1" x14ac:dyDescent="0.25">
      <c r="A1743" t="s">
        <v>824</v>
      </c>
      <c r="B1743" t="s">
        <v>640</v>
      </c>
      <c r="C1743" t="s">
        <v>657</v>
      </c>
      <c r="D1743" s="3">
        <f t="shared" si="140"/>
        <v>9</v>
      </c>
      <c r="E1743" t="s">
        <v>12</v>
      </c>
      <c r="F1743" t="s">
        <v>13</v>
      </c>
      <c r="G1743">
        <f t="shared" si="141"/>
        <v>1150000</v>
      </c>
      <c r="H1743" t="s">
        <v>700</v>
      </c>
      <c r="I1743" t="s">
        <v>825</v>
      </c>
      <c r="J1743" s="2">
        <f t="shared" si="142"/>
        <v>1035000</v>
      </c>
      <c r="K1743" t="s">
        <v>826</v>
      </c>
      <c r="L1743">
        <f t="shared" si="143"/>
        <v>0.17291666666666669</v>
      </c>
      <c r="M1743" s="5">
        <v>0.17291666666666669</v>
      </c>
      <c r="N1743" t="s">
        <v>18</v>
      </c>
      <c r="P1743" t="s">
        <v>752</v>
      </c>
      <c r="R1743" s="3">
        <f t="shared" si="139"/>
        <v>4.1500000000000004</v>
      </c>
    </row>
    <row r="1744" spans="1:18" hidden="1" x14ac:dyDescent="0.25">
      <c r="A1744" t="s">
        <v>731</v>
      </c>
      <c r="B1744" t="s">
        <v>640</v>
      </c>
      <c r="C1744" t="s">
        <v>657</v>
      </c>
      <c r="D1744" s="3">
        <f t="shared" si="140"/>
        <v>6</v>
      </c>
      <c r="E1744" t="s">
        <v>285</v>
      </c>
      <c r="F1744" t="s">
        <v>13</v>
      </c>
      <c r="G1744">
        <f t="shared" si="141"/>
        <v>1200000</v>
      </c>
      <c r="H1744" t="s">
        <v>36</v>
      </c>
      <c r="I1744" t="s">
        <v>732</v>
      </c>
      <c r="J1744" s="2">
        <f t="shared" si="142"/>
        <v>1080000</v>
      </c>
      <c r="K1744" t="s">
        <v>733</v>
      </c>
      <c r="L1744">
        <f t="shared" si="143"/>
        <v>0.20833333333333334</v>
      </c>
      <c r="M1744" s="5">
        <v>0.20833333333333334</v>
      </c>
      <c r="N1744" t="s">
        <v>18</v>
      </c>
      <c r="P1744" t="s">
        <v>665</v>
      </c>
      <c r="R1744" s="3">
        <f t="shared" si="139"/>
        <v>5</v>
      </c>
    </row>
    <row r="1745" spans="1:18" x14ac:dyDescent="0.25">
      <c r="A1745" t="s">
        <v>2172</v>
      </c>
      <c r="B1745" t="s">
        <v>2596</v>
      </c>
      <c r="C1745" t="s">
        <v>2013</v>
      </c>
      <c r="D1745" s="3">
        <f t="shared" si="140"/>
        <v>12.600000000000001</v>
      </c>
      <c r="E1745" t="s">
        <v>2173</v>
      </c>
      <c r="F1745" t="s">
        <v>13</v>
      </c>
      <c r="G1745" t="str">
        <f t="shared" si="141"/>
        <v/>
      </c>
      <c r="H1745" t="s">
        <v>14</v>
      </c>
      <c r="I1745" t="s">
        <v>2174</v>
      </c>
      <c r="J1745" s="2">
        <f t="shared" si="142"/>
        <v>2075000</v>
      </c>
      <c r="K1745" t="s">
        <v>1567</v>
      </c>
      <c r="L1745">
        <f t="shared" si="143"/>
        <v>0.17083333333333331</v>
      </c>
      <c r="M1745" s="5">
        <v>0.17083333333333331</v>
      </c>
      <c r="N1745" t="s">
        <v>43</v>
      </c>
      <c r="P1745" t="s">
        <v>727</v>
      </c>
      <c r="R1745" s="3">
        <f t="shared" si="139"/>
        <v>4.0999999999999996</v>
      </c>
    </row>
    <row r="1746" spans="1:18" hidden="1" x14ac:dyDescent="0.25">
      <c r="A1746" t="s">
        <v>4014</v>
      </c>
      <c r="B1746" t="s">
        <v>3746</v>
      </c>
      <c r="C1746" t="s">
        <v>3759</v>
      </c>
      <c r="D1746" s="3">
        <f t="shared" si="140"/>
        <v>9.990000000000002</v>
      </c>
      <c r="E1746" t="s">
        <v>1012</v>
      </c>
      <c r="F1746" t="s">
        <v>13</v>
      </c>
      <c r="G1746">
        <f t="shared" si="141"/>
        <v>2050000</v>
      </c>
      <c r="H1746" t="s">
        <v>240</v>
      </c>
      <c r="I1746" t="s">
        <v>4015</v>
      </c>
      <c r="J1746" s="2">
        <f t="shared" si="142"/>
        <v>1948750</v>
      </c>
      <c r="K1746" t="s">
        <v>3752</v>
      </c>
      <c r="L1746">
        <f t="shared" si="143"/>
        <v>0.16944444444444443</v>
      </c>
      <c r="M1746" s="5">
        <v>0.16944444444444443</v>
      </c>
      <c r="N1746" t="s">
        <v>43</v>
      </c>
      <c r="P1746" t="s">
        <v>1615</v>
      </c>
      <c r="R1746" s="3">
        <f t="shared" si="139"/>
        <v>4.0666666666666664</v>
      </c>
    </row>
    <row r="1747" spans="1:18" x14ac:dyDescent="0.25">
      <c r="A1747" t="s">
        <v>3458</v>
      </c>
      <c r="B1747" t="s">
        <v>3233</v>
      </c>
      <c r="C1747" t="s">
        <v>3241</v>
      </c>
      <c r="D1747" s="3">
        <f t="shared" si="140"/>
        <v>9</v>
      </c>
      <c r="E1747" t="s">
        <v>12</v>
      </c>
      <c r="F1747" t="s">
        <v>34</v>
      </c>
      <c r="G1747">
        <f t="shared" si="141"/>
        <v>2200000</v>
      </c>
      <c r="H1747" t="s">
        <v>849</v>
      </c>
      <c r="I1747" t="s">
        <v>3341</v>
      </c>
      <c r="J1747" s="2">
        <f t="shared" si="142"/>
        <v>2090000</v>
      </c>
      <c r="K1747" t="s">
        <v>3459</v>
      </c>
      <c r="L1747">
        <f t="shared" si="143"/>
        <v>0.1673611111111111</v>
      </c>
      <c r="M1747" s="5">
        <v>0.1673611111111111</v>
      </c>
      <c r="N1747" t="s">
        <v>43</v>
      </c>
      <c r="P1747" t="s">
        <v>727</v>
      </c>
      <c r="R1747" s="3">
        <f t="shared" si="139"/>
        <v>4.0166666666666666</v>
      </c>
    </row>
    <row r="1748" spans="1:18" hidden="1" x14ac:dyDescent="0.25">
      <c r="A1748" t="s">
        <v>3169</v>
      </c>
      <c r="B1748" t="s">
        <v>3206</v>
      </c>
      <c r="C1748" t="s">
        <v>2604</v>
      </c>
      <c r="D1748" s="3">
        <f t="shared" si="140"/>
        <v>12</v>
      </c>
      <c r="E1748" t="s">
        <v>347</v>
      </c>
      <c r="F1748" t="s">
        <v>34</v>
      </c>
      <c r="G1748" t="str">
        <f t="shared" si="141"/>
        <v/>
      </c>
      <c r="H1748" t="s">
        <v>14</v>
      </c>
      <c r="I1748" t="s">
        <v>3170</v>
      </c>
      <c r="J1748" s="2">
        <f t="shared" si="142"/>
        <v>3775000</v>
      </c>
      <c r="K1748" t="s">
        <v>3030</v>
      </c>
      <c r="L1748">
        <f t="shared" si="143"/>
        <v>0.17222222222222225</v>
      </c>
      <c r="M1748" s="5">
        <v>0.17222222222222225</v>
      </c>
      <c r="N1748" t="s">
        <v>43</v>
      </c>
      <c r="P1748" t="s">
        <v>2605</v>
      </c>
      <c r="R1748" s="3">
        <f t="shared" si="139"/>
        <v>4.1333333333333337</v>
      </c>
    </row>
    <row r="1749" spans="1:18" hidden="1" x14ac:dyDescent="0.25">
      <c r="A1749" t="s">
        <v>2286</v>
      </c>
      <c r="B1749" t="s">
        <v>2596</v>
      </c>
      <c r="C1749" t="s">
        <v>2036</v>
      </c>
      <c r="D1749" s="3">
        <f t="shared" si="140"/>
        <v>8</v>
      </c>
      <c r="E1749" t="s">
        <v>1708</v>
      </c>
      <c r="F1749" t="s">
        <v>13</v>
      </c>
      <c r="G1749">
        <f t="shared" si="141"/>
        <v>2325000</v>
      </c>
      <c r="H1749" t="s">
        <v>1352</v>
      </c>
      <c r="I1749" t="s">
        <v>2287</v>
      </c>
      <c r="J1749" s="2">
        <f t="shared" si="142"/>
        <v>2210000</v>
      </c>
      <c r="K1749" t="s">
        <v>1354</v>
      </c>
      <c r="L1749">
        <f t="shared" si="143"/>
        <v>0.17222222222222225</v>
      </c>
      <c r="M1749" s="5">
        <v>0.17222222222222225</v>
      </c>
      <c r="N1749" t="s">
        <v>43</v>
      </c>
      <c r="P1749" t="s">
        <v>752</v>
      </c>
      <c r="R1749" s="3">
        <f t="shared" si="139"/>
        <v>4.1333333333333337</v>
      </c>
    </row>
    <row r="1750" spans="1:18" hidden="1" x14ac:dyDescent="0.25">
      <c r="A1750" t="s">
        <v>1471</v>
      </c>
      <c r="B1750" t="s">
        <v>1303</v>
      </c>
      <c r="C1750" t="s">
        <v>1342</v>
      </c>
      <c r="D1750" s="3">
        <f t="shared" si="140"/>
        <v>8.4600000000000009</v>
      </c>
      <c r="E1750" t="s">
        <v>1472</v>
      </c>
      <c r="F1750" t="s">
        <v>13</v>
      </c>
      <c r="G1750">
        <f t="shared" si="141"/>
        <v>1555000</v>
      </c>
      <c r="H1750" t="s">
        <v>789</v>
      </c>
      <c r="I1750" t="s">
        <v>1473</v>
      </c>
      <c r="J1750" s="2">
        <f t="shared" si="142"/>
        <v>1432600</v>
      </c>
      <c r="K1750" t="s">
        <v>1474</v>
      </c>
      <c r="L1750">
        <f t="shared" si="143"/>
        <v>0.20833333333333334</v>
      </c>
      <c r="M1750" s="5">
        <v>0.20833333333333334</v>
      </c>
      <c r="N1750" t="s">
        <v>43</v>
      </c>
      <c r="P1750" t="s">
        <v>1475</v>
      </c>
      <c r="R1750" s="3">
        <f t="shared" si="139"/>
        <v>5</v>
      </c>
    </row>
    <row r="1751" spans="1:18" x14ac:dyDescent="0.25">
      <c r="A1751" t="s">
        <v>4761</v>
      </c>
      <c r="B1751" t="s">
        <v>4272</v>
      </c>
      <c r="C1751" t="s">
        <v>4285</v>
      </c>
      <c r="D1751" s="3">
        <f t="shared" si="140"/>
        <v>12</v>
      </c>
      <c r="E1751" t="s">
        <v>33</v>
      </c>
      <c r="F1751" t="s">
        <v>13</v>
      </c>
      <c r="G1751" t="str">
        <f t="shared" si="141"/>
        <v/>
      </c>
      <c r="H1751" t="s">
        <v>14</v>
      </c>
      <c r="I1751" t="s">
        <v>4762</v>
      </c>
      <c r="J1751" s="2">
        <f t="shared" si="142"/>
        <v>2100000</v>
      </c>
      <c r="K1751" t="s">
        <v>451</v>
      </c>
      <c r="L1751">
        <f t="shared" si="143"/>
        <v>0.17083333333333331</v>
      </c>
      <c r="M1751" s="5">
        <v>0.17083333333333331</v>
      </c>
      <c r="N1751" t="s">
        <v>43</v>
      </c>
      <c r="P1751" t="s">
        <v>1615</v>
      </c>
      <c r="R1751" s="3">
        <f t="shared" si="139"/>
        <v>4.0999999999999996</v>
      </c>
    </row>
    <row r="1752" spans="1:18" hidden="1" x14ac:dyDescent="0.25">
      <c r="A1752" t="s">
        <v>795</v>
      </c>
      <c r="B1752" t="s">
        <v>640</v>
      </c>
      <c r="C1752" t="s">
        <v>643</v>
      </c>
      <c r="D1752" s="3">
        <f t="shared" si="140"/>
        <v>24.8</v>
      </c>
      <c r="E1752" t="s">
        <v>796</v>
      </c>
      <c r="F1752" t="s">
        <v>13</v>
      </c>
      <c r="G1752">
        <f t="shared" si="141"/>
        <v>3075000</v>
      </c>
      <c r="H1752" t="s">
        <v>797</v>
      </c>
      <c r="I1752" t="s">
        <v>798</v>
      </c>
      <c r="J1752" s="2">
        <f t="shared" si="142"/>
        <v>2770000</v>
      </c>
      <c r="K1752" t="s">
        <v>799</v>
      </c>
      <c r="L1752">
        <f t="shared" si="143"/>
        <v>0.17083333333333331</v>
      </c>
      <c r="M1752" s="5">
        <v>0.17083333333333331</v>
      </c>
      <c r="N1752" t="s">
        <v>18</v>
      </c>
      <c r="P1752" t="s">
        <v>800</v>
      </c>
      <c r="R1752" s="3">
        <f t="shared" si="139"/>
        <v>4.0999999999999996</v>
      </c>
    </row>
    <row r="1753" spans="1:18" hidden="1" x14ac:dyDescent="0.25">
      <c r="A1753" t="s">
        <v>3014</v>
      </c>
      <c r="B1753" t="s">
        <v>3206</v>
      </c>
      <c r="C1753" t="s">
        <v>2628</v>
      </c>
      <c r="D1753" s="3">
        <f t="shared" si="140"/>
        <v>9</v>
      </c>
      <c r="E1753" t="s">
        <v>12</v>
      </c>
      <c r="F1753" t="s">
        <v>13</v>
      </c>
      <c r="G1753">
        <f t="shared" si="141"/>
        <v>925000</v>
      </c>
      <c r="H1753" t="s">
        <v>649</v>
      </c>
      <c r="I1753" t="s">
        <v>3015</v>
      </c>
      <c r="J1753" s="2">
        <f t="shared" si="142"/>
        <v>880000</v>
      </c>
      <c r="K1753" t="s">
        <v>1170</v>
      </c>
      <c r="L1753">
        <f t="shared" si="143"/>
        <v>0.17222222222222225</v>
      </c>
      <c r="M1753" s="5">
        <v>0.17222222222222225</v>
      </c>
      <c r="N1753" t="s">
        <v>43</v>
      </c>
      <c r="P1753" t="s">
        <v>1397</v>
      </c>
      <c r="R1753" s="3">
        <f t="shared" si="139"/>
        <v>4.1333333333333337</v>
      </c>
    </row>
    <row r="1754" spans="1:18" hidden="1" x14ac:dyDescent="0.25">
      <c r="A1754" t="s">
        <v>3842</v>
      </c>
      <c r="B1754" t="s">
        <v>3746</v>
      </c>
      <c r="C1754" t="s">
        <v>3753</v>
      </c>
      <c r="D1754" s="3">
        <f t="shared" si="140"/>
        <v>7.25</v>
      </c>
      <c r="E1754" t="s">
        <v>3843</v>
      </c>
      <c r="F1754" t="s">
        <v>13</v>
      </c>
      <c r="G1754">
        <f t="shared" si="141"/>
        <v>1250000</v>
      </c>
      <c r="H1754" t="s">
        <v>202</v>
      </c>
      <c r="I1754" t="s">
        <v>3844</v>
      </c>
      <c r="J1754" s="2">
        <f t="shared" si="142"/>
        <v>1125000</v>
      </c>
      <c r="K1754" t="s">
        <v>724</v>
      </c>
      <c r="L1754">
        <f t="shared" si="143"/>
        <v>0.20833333333333334</v>
      </c>
      <c r="M1754" s="5">
        <v>0.20833333333333334</v>
      </c>
      <c r="N1754" t="s">
        <v>18</v>
      </c>
      <c r="P1754" t="s">
        <v>134</v>
      </c>
      <c r="R1754" s="3">
        <f t="shared" si="139"/>
        <v>5</v>
      </c>
    </row>
    <row r="1755" spans="1:18" hidden="1" x14ac:dyDescent="0.25">
      <c r="A1755" t="s">
        <v>3276</v>
      </c>
      <c r="B1755" t="s">
        <v>3233</v>
      </c>
      <c r="C1755" t="s">
        <v>3248</v>
      </c>
      <c r="D1755" s="3">
        <f t="shared" si="140"/>
        <v>10.5</v>
      </c>
      <c r="E1755" t="s">
        <v>653</v>
      </c>
      <c r="F1755" t="s">
        <v>13</v>
      </c>
      <c r="G1755" t="str">
        <f t="shared" si="141"/>
        <v/>
      </c>
      <c r="H1755" t="s">
        <v>14</v>
      </c>
      <c r="I1755" t="s">
        <v>3277</v>
      </c>
      <c r="J1755" s="2">
        <f t="shared" si="142"/>
        <v>1775000</v>
      </c>
      <c r="K1755" t="s">
        <v>1055</v>
      </c>
      <c r="L1755">
        <f t="shared" si="143"/>
        <v>0.17083333333333331</v>
      </c>
      <c r="M1755" s="5">
        <v>0.17083333333333331</v>
      </c>
      <c r="N1755" t="s">
        <v>18</v>
      </c>
      <c r="P1755" t="s">
        <v>1643</v>
      </c>
      <c r="R1755" s="3">
        <f t="shared" si="139"/>
        <v>4.0999999999999996</v>
      </c>
    </row>
    <row r="1756" spans="1:18" hidden="1" x14ac:dyDescent="0.25">
      <c r="A1756" t="s">
        <v>3284</v>
      </c>
      <c r="B1756" t="s">
        <v>3233</v>
      </c>
      <c r="C1756" t="s">
        <v>3248</v>
      </c>
      <c r="D1756" s="3">
        <f t="shared" si="140"/>
        <v>8.75</v>
      </c>
      <c r="E1756" t="s">
        <v>775</v>
      </c>
      <c r="F1756" t="s">
        <v>13</v>
      </c>
      <c r="G1756" t="str">
        <f t="shared" si="141"/>
        <v/>
      </c>
      <c r="H1756" t="s">
        <v>14</v>
      </c>
      <c r="I1756" t="s">
        <v>3285</v>
      </c>
      <c r="J1756" s="2">
        <f t="shared" si="142"/>
        <v>1675000</v>
      </c>
      <c r="K1756" t="s">
        <v>1119</v>
      </c>
      <c r="L1756">
        <f t="shared" si="143"/>
        <v>0.20833333333333334</v>
      </c>
      <c r="M1756" s="5">
        <v>0.20833333333333334</v>
      </c>
      <c r="N1756" t="s">
        <v>18</v>
      </c>
      <c r="P1756" t="s">
        <v>2619</v>
      </c>
      <c r="R1756" s="3">
        <f t="shared" si="139"/>
        <v>5</v>
      </c>
    </row>
    <row r="1757" spans="1:18" hidden="1" x14ac:dyDescent="0.25">
      <c r="A1757" t="s">
        <v>3496</v>
      </c>
      <c r="B1757" t="s">
        <v>3233</v>
      </c>
      <c r="C1757" t="s">
        <v>3248</v>
      </c>
      <c r="D1757" s="3">
        <f t="shared" si="140"/>
        <v>7.5</v>
      </c>
      <c r="E1757" t="s">
        <v>614</v>
      </c>
      <c r="F1757" t="s">
        <v>13</v>
      </c>
      <c r="G1757" t="str">
        <f t="shared" si="141"/>
        <v/>
      </c>
      <c r="H1757" t="s">
        <v>14</v>
      </c>
      <c r="I1757" t="s">
        <v>3497</v>
      </c>
      <c r="J1757" s="2">
        <f t="shared" si="142"/>
        <v>1675000</v>
      </c>
      <c r="K1757" t="s">
        <v>1119</v>
      </c>
      <c r="L1757">
        <f t="shared" si="143"/>
        <v>0.20833333333333334</v>
      </c>
      <c r="M1757" s="5">
        <v>0.20833333333333334</v>
      </c>
      <c r="N1757" t="s">
        <v>18</v>
      </c>
      <c r="P1757" t="s">
        <v>2619</v>
      </c>
      <c r="R1757" s="3">
        <f t="shared" si="139"/>
        <v>5</v>
      </c>
    </row>
    <row r="1758" spans="1:18" hidden="1" x14ac:dyDescent="0.25">
      <c r="A1758" t="s">
        <v>3554</v>
      </c>
      <c r="B1758" t="s">
        <v>3233</v>
      </c>
      <c r="C1758" t="s">
        <v>3248</v>
      </c>
      <c r="D1758" s="3">
        <f t="shared" si="140"/>
        <v>6.25</v>
      </c>
      <c r="E1758" t="s">
        <v>74</v>
      </c>
      <c r="F1758" t="s">
        <v>13</v>
      </c>
      <c r="G1758" t="str">
        <f t="shared" si="141"/>
        <v/>
      </c>
      <c r="H1758" t="s">
        <v>14</v>
      </c>
      <c r="I1758" t="s">
        <v>3555</v>
      </c>
      <c r="J1758" s="2">
        <f t="shared" si="142"/>
        <v>1525000</v>
      </c>
      <c r="K1758" t="s">
        <v>27</v>
      </c>
      <c r="L1758">
        <f t="shared" si="143"/>
        <v>0.17291666666666669</v>
      </c>
      <c r="M1758" s="5">
        <v>0.17291666666666669</v>
      </c>
      <c r="N1758" t="s">
        <v>18</v>
      </c>
      <c r="P1758" t="s">
        <v>2619</v>
      </c>
      <c r="R1758" s="3">
        <f t="shared" si="139"/>
        <v>4.1500000000000004</v>
      </c>
    </row>
    <row r="1759" spans="1:18" hidden="1" x14ac:dyDescent="0.25">
      <c r="A1759" t="s">
        <v>4001</v>
      </c>
      <c r="B1759" t="s">
        <v>3746</v>
      </c>
      <c r="C1759" t="s">
        <v>3775</v>
      </c>
      <c r="D1759" s="3">
        <f t="shared" si="140"/>
        <v>8.9599999999999991</v>
      </c>
      <c r="E1759" t="s">
        <v>785</v>
      </c>
      <c r="F1759" t="s">
        <v>13</v>
      </c>
      <c r="G1759">
        <f t="shared" si="141"/>
        <v>1825000</v>
      </c>
      <c r="H1759" t="s">
        <v>196</v>
      </c>
      <c r="I1759" t="s">
        <v>4002</v>
      </c>
      <c r="J1759" s="2">
        <f t="shared" si="142"/>
        <v>1645000</v>
      </c>
      <c r="K1759" t="s">
        <v>1124</v>
      </c>
      <c r="L1759">
        <f t="shared" si="143"/>
        <v>0.17083333333333331</v>
      </c>
      <c r="M1759" s="5">
        <v>0.17083333333333331</v>
      </c>
      <c r="N1759" t="s">
        <v>43</v>
      </c>
      <c r="P1759" t="s">
        <v>1125</v>
      </c>
      <c r="R1759" s="3">
        <f t="shared" si="139"/>
        <v>4.0999999999999996</v>
      </c>
    </row>
    <row r="1760" spans="1:18" hidden="1" x14ac:dyDescent="0.25">
      <c r="A1760" t="s">
        <v>3940</v>
      </c>
      <c r="B1760" t="s">
        <v>3746</v>
      </c>
      <c r="C1760" t="s">
        <v>3775</v>
      </c>
      <c r="D1760" s="3">
        <f t="shared" si="140"/>
        <v>7.4</v>
      </c>
      <c r="E1760" t="s">
        <v>3941</v>
      </c>
      <c r="F1760" t="s">
        <v>13</v>
      </c>
      <c r="G1760">
        <f t="shared" si="141"/>
        <v>1625000</v>
      </c>
      <c r="H1760" t="s">
        <v>702</v>
      </c>
      <c r="I1760" t="s">
        <v>3942</v>
      </c>
      <c r="J1760" s="2">
        <f t="shared" si="142"/>
        <v>1465000</v>
      </c>
      <c r="K1760" t="s">
        <v>704</v>
      </c>
      <c r="L1760">
        <f t="shared" si="143"/>
        <v>0.17083333333333331</v>
      </c>
      <c r="M1760" s="5">
        <v>0.17083333333333331</v>
      </c>
      <c r="N1760" t="s">
        <v>43</v>
      </c>
      <c r="P1760" t="s">
        <v>673</v>
      </c>
      <c r="R1760" s="3">
        <f t="shared" si="139"/>
        <v>4.0999999999999996</v>
      </c>
    </row>
    <row r="1761" spans="1:18" hidden="1" x14ac:dyDescent="0.25">
      <c r="A1761" t="s">
        <v>3958</v>
      </c>
      <c r="B1761" t="s">
        <v>3746</v>
      </c>
      <c r="C1761" t="s">
        <v>3775</v>
      </c>
      <c r="D1761" s="3">
        <f t="shared" si="140"/>
        <v>4.5</v>
      </c>
      <c r="E1761" t="s">
        <v>3959</v>
      </c>
      <c r="F1761" t="s">
        <v>13</v>
      </c>
      <c r="G1761">
        <f t="shared" si="141"/>
        <v>1375000</v>
      </c>
      <c r="H1761" t="s">
        <v>812</v>
      </c>
      <c r="I1761" t="s">
        <v>3960</v>
      </c>
      <c r="J1761" s="2">
        <f t="shared" si="142"/>
        <v>1240000</v>
      </c>
      <c r="K1761" t="s">
        <v>814</v>
      </c>
      <c r="L1761">
        <f t="shared" si="143"/>
        <v>0.17083333333333331</v>
      </c>
      <c r="M1761" s="5">
        <v>0.17083333333333331</v>
      </c>
      <c r="N1761" t="s">
        <v>43</v>
      </c>
      <c r="P1761" t="s">
        <v>815</v>
      </c>
      <c r="R1761" s="3">
        <f t="shared" si="139"/>
        <v>4.0999999999999996</v>
      </c>
    </row>
    <row r="1762" spans="1:18" hidden="1" x14ac:dyDescent="0.25">
      <c r="A1762" t="s">
        <v>2976</v>
      </c>
      <c r="B1762" t="s">
        <v>3206</v>
      </c>
      <c r="C1762" t="s">
        <v>2640</v>
      </c>
      <c r="D1762" s="3">
        <f t="shared" si="140"/>
        <v>14</v>
      </c>
      <c r="E1762" t="s">
        <v>238</v>
      </c>
      <c r="F1762" t="s">
        <v>13</v>
      </c>
      <c r="G1762" t="str">
        <f t="shared" si="141"/>
        <v/>
      </c>
      <c r="H1762" t="s">
        <v>14</v>
      </c>
      <c r="I1762" t="s">
        <v>2977</v>
      </c>
      <c r="J1762" s="2">
        <f t="shared" si="142"/>
        <v>1975000</v>
      </c>
      <c r="K1762" t="s">
        <v>956</v>
      </c>
      <c r="L1762">
        <f t="shared" si="143"/>
        <v>0.17222222222222225</v>
      </c>
      <c r="M1762" s="5">
        <v>0.17222222222222225</v>
      </c>
      <c r="N1762" t="s">
        <v>18</v>
      </c>
      <c r="P1762" t="s">
        <v>939</v>
      </c>
      <c r="R1762" s="3">
        <f t="shared" si="139"/>
        <v>4.1333333333333337</v>
      </c>
    </row>
    <row r="1763" spans="1:18" hidden="1" x14ac:dyDescent="0.25">
      <c r="A1763" t="s">
        <v>3865</v>
      </c>
      <c r="B1763" t="s">
        <v>3746</v>
      </c>
      <c r="C1763" t="s">
        <v>3746</v>
      </c>
      <c r="D1763" s="3">
        <f t="shared" si="140"/>
        <v>12</v>
      </c>
      <c r="E1763" t="s">
        <v>3866</v>
      </c>
      <c r="F1763" t="s">
        <v>13</v>
      </c>
      <c r="G1763" t="str">
        <f t="shared" si="141"/>
        <v/>
      </c>
      <c r="H1763" t="s">
        <v>14</v>
      </c>
      <c r="I1763" t="s">
        <v>3867</v>
      </c>
      <c r="J1763" s="2">
        <f t="shared" si="142"/>
        <v>2225000</v>
      </c>
      <c r="K1763" t="s">
        <v>1339</v>
      </c>
      <c r="L1763">
        <f t="shared" si="143"/>
        <v>0.16944444444444443</v>
      </c>
      <c r="M1763" s="5">
        <v>0.16944444444444443</v>
      </c>
      <c r="N1763" t="s">
        <v>43</v>
      </c>
      <c r="P1763" t="s">
        <v>840</v>
      </c>
      <c r="R1763" s="3">
        <f t="shared" si="139"/>
        <v>4.0666666666666664</v>
      </c>
    </row>
    <row r="1764" spans="1:18" hidden="1" x14ac:dyDescent="0.25">
      <c r="A1764" t="s">
        <v>3754</v>
      </c>
      <c r="B1764" t="s">
        <v>3746</v>
      </c>
      <c r="C1764" t="s">
        <v>3746</v>
      </c>
      <c r="D1764" s="3">
        <f t="shared" si="140"/>
        <v>10.4</v>
      </c>
      <c r="E1764" t="s">
        <v>3755</v>
      </c>
      <c r="F1764" t="s">
        <v>13</v>
      </c>
      <c r="G1764" t="str">
        <f t="shared" si="141"/>
        <v/>
      </c>
      <c r="H1764" t="s">
        <v>14</v>
      </c>
      <c r="I1764" t="s">
        <v>3756</v>
      </c>
      <c r="J1764" s="2">
        <f t="shared" si="142"/>
        <v>2125000</v>
      </c>
      <c r="K1764" t="s">
        <v>936</v>
      </c>
      <c r="L1764">
        <f t="shared" si="143"/>
        <v>0.17083333333333331</v>
      </c>
      <c r="M1764" s="5">
        <v>0.17083333333333331</v>
      </c>
      <c r="N1764" t="s">
        <v>43</v>
      </c>
      <c r="P1764" t="s">
        <v>840</v>
      </c>
      <c r="R1764" s="3">
        <f t="shared" si="139"/>
        <v>4.0999999999999996</v>
      </c>
    </row>
    <row r="1765" spans="1:18" hidden="1" x14ac:dyDescent="0.25">
      <c r="A1765" t="s">
        <v>3857</v>
      </c>
      <c r="B1765" t="s">
        <v>3746</v>
      </c>
      <c r="C1765" t="s">
        <v>3746</v>
      </c>
      <c r="D1765" s="3">
        <f t="shared" si="140"/>
        <v>6</v>
      </c>
      <c r="E1765" t="s">
        <v>285</v>
      </c>
      <c r="F1765" t="s">
        <v>13</v>
      </c>
      <c r="G1765" t="str">
        <f t="shared" si="141"/>
        <v/>
      </c>
      <c r="H1765" t="s">
        <v>14</v>
      </c>
      <c r="I1765" t="s">
        <v>3858</v>
      </c>
      <c r="J1765" s="2">
        <f t="shared" si="142"/>
        <v>1925000</v>
      </c>
      <c r="K1765" t="s">
        <v>552</v>
      </c>
      <c r="L1765">
        <f t="shared" si="143"/>
        <v>0.16874999999999998</v>
      </c>
      <c r="M1765" s="5">
        <v>0.16874999999999998</v>
      </c>
      <c r="N1765" t="s">
        <v>43</v>
      </c>
      <c r="P1765" t="s">
        <v>199</v>
      </c>
      <c r="R1765" s="3">
        <f t="shared" si="139"/>
        <v>4.05</v>
      </c>
    </row>
    <row r="1766" spans="1:18" hidden="1" x14ac:dyDescent="0.25">
      <c r="A1766" t="s">
        <v>2903</v>
      </c>
      <c r="B1766" t="s">
        <v>3206</v>
      </c>
      <c r="C1766" t="s">
        <v>2720</v>
      </c>
      <c r="D1766" s="3">
        <f t="shared" si="140"/>
        <v>12</v>
      </c>
      <c r="E1766" t="s">
        <v>33</v>
      </c>
      <c r="F1766" t="s">
        <v>13</v>
      </c>
      <c r="G1766" t="str">
        <f t="shared" si="141"/>
        <v/>
      </c>
      <c r="H1766" t="s">
        <v>14</v>
      </c>
      <c r="I1766" t="s">
        <v>2904</v>
      </c>
      <c r="J1766" s="2">
        <f t="shared" si="142"/>
        <v>2325000</v>
      </c>
      <c r="K1766" t="s">
        <v>1352</v>
      </c>
      <c r="L1766">
        <f t="shared" si="143"/>
        <v>0.17083333333333331</v>
      </c>
      <c r="M1766" s="5">
        <v>0.17083333333333331</v>
      </c>
      <c r="N1766" t="s">
        <v>18</v>
      </c>
      <c r="P1766" t="s">
        <v>134</v>
      </c>
      <c r="R1766" s="3">
        <f t="shared" si="139"/>
        <v>4.0999999999999996</v>
      </c>
    </row>
    <row r="1767" spans="1:18" hidden="1" x14ac:dyDescent="0.25">
      <c r="A1767" t="s">
        <v>2929</v>
      </c>
      <c r="B1767" t="s">
        <v>3206</v>
      </c>
      <c r="C1767" t="s">
        <v>2618</v>
      </c>
      <c r="D1767" s="3">
        <f t="shared" si="140"/>
        <v>9.6000000000000014</v>
      </c>
      <c r="E1767" t="s">
        <v>2398</v>
      </c>
      <c r="F1767" t="s">
        <v>13</v>
      </c>
      <c r="G1767">
        <f t="shared" si="141"/>
        <v>2525000</v>
      </c>
      <c r="H1767" t="s">
        <v>131</v>
      </c>
      <c r="I1767" t="s">
        <v>2930</v>
      </c>
      <c r="J1767" s="2">
        <f t="shared" si="142"/>
        <v>2400000</v>
      </c>
      <c r="K1767" t="s">
        <v>133</v>
      </c>
      <c r="L1767">
        <f t="shared" si="143"/>
        <v>0.17083333333333331</v>
      </c>
      <c r="M1767" s="5">
        <v>0.17083333333333331</v>
      </c>
      <c r="N1767" t="s">
        <v>18</v>
      </c>
      <c r="P1767" t="s">
        <v>134</v>
      </c>
      <c r="R1767" s="3">
        <f t="shared" si="139"/>
        <v>4.0999999999999996</v>
      </c>
    </row>
    <row r="1768" spans="1:18" hidden="1" x14ac:dyDescent="0.25">
      <c r="A1768" t="s">
        <v>5645</v>
      </c>
      <c r="B1768" t="s">
        <v>5848</v>
      </c>
      <c r="C1768" t="s">
        <v>5339</v>
      </c>
      <c r="D1768" s="3">
        <f t="shared" si="140"/>
        <v>9</v>
      </c>
      <c r="E1768" t="s">
        <v>12</v>
      </c>
      <c r="F1768" t="s">
        <v>13</v>
      </c>
      <c r="G1768">
        <f t="shared" si="141"/>
        <v>2225000</v>
      </c>
      <c r="H1768" t="s">
        <v>1339</v>
      </c>
      <c r="I1768" t="s">
        <v>5646</v>
      </c>
      <c r="J1768" s="2">
        <f t="shared" si="142"/>
        <v>2115000</v>
      </c>
      <c r="K1768" t="s">
        <v>1341</v>
      </c>
      <c r="L1768">
        <f t="shared" si="143"/>
        <v>0.17222222222222225</v>
      </c>
      <c r="M1768" s="5">
        <v>0.17222222222222225</v>
      </c>
      <c r="N1768" t="s">
        <v>43</v>
      </c>
      <c r="P1768" t="s">
        <v>727</v>
      </c>
      <c r="R1768" s="3">
        <f t="shared" si="139"/>
        <v>4.1333333333333337</v>
      </c>
    </row>
    <row r="1769" spans="1:18" x14ac:dyDescent="0.25">
      <c r="A1769" t="s">
        <v>3518</v>
      </c>
      <c r="B1769" t="s">
        <v>3233</v>
      </c>
      <c r="C1769" t="s">
        <v>3248</v>
      </c>
      <c r="D1769" s="3">
        <f t="shared" si="140"/>
        <v>10.240000000000002</v>
      </c>
      <c r="E1769" t="s">
        <v>941</v>
      </c>
      <c r="F1769" t="s">
        <v>13</v>
      </c>
      <c r="G1769">
        <f t="shared" si="141"/>
        <v>2300000</v>
      </c>
      <c r="H1769" t="s">
        <v>820</v>
      </c>
      <c r="I1769" t="s">
        <v>3511</v>
      </c>
      <c r="J1769" s="2">
        <f t="shared" si="142"/>
        <v>2116000</v>
      </c>
      <c r="K1769" t="s">
        <v>3519</v>
      </c>
      <c r="L1769">
        <f t="shared" si="143"/>
        <v>0</v>
      </c>
      <c r="N1769" t="s">
        <v>18</v>
      </c>
      <c r="P1769" t="s">
        <v>1328</v>
      </c>
      <c r="R1769" s="3">
        <f t="shared" si="139"/>
        <v>0</v>
      </c>
    </row>
    <row r="1770" spans="1:18" hidden="1" x14ac:dyDescent="0.25">
      <c r="A1770" t="s">
        <v>3873</v>
      </c>
      <c r="B1770" t="s">
        <v>3746</v>
      </c>
      <c r="C1770" t="s">
        <v>3876</v>
      </c>
      <c r="D1770" s="3">
        <f t="shared" si="140"/>
        <v>8.6999999999999993</v>
      </c>
      <c r="E1770" t="s">
        <v>3874</v>
      </c>
      <c r="F1770" t="s">
        <v>13</v>
      </c>
      <c r="G1770">
        <f t="shared" si="141"/>
        <v>1325000</v>
      </c>
      <c r="H1770" t="s">
        <v>683</v>
      </c>
      <c r="I1770" t="s">
        <v>3875</v>
      </c>
      <c r="J1770" s="2">
        <f t="shared" si="142"/>
        <v>1221000</v>
      </c>
      <c r="K1770" t="s">
        <v>3236</v>
      </c>
      <c r="L1770">
        <f t="shared" si="143"/>
        <v>0.20833333333333334</v>
      </c>
      <c r="M1770" s="5">
        <v>0.20833333333333334</v>
      </c>
      <c r="N1770" t="s">
        <v>37</v>
      </c>
      <c r="P1770" t="s">
        <v>2095</v>
      </c>
      <c r="R1770" s="3">
        <f t="shared" si="139"/>
        <v>5</v>
      </c>
    </row>
    <row r="1771" spans="1:18" hidden="1" x14ac:dyDescent="0.25">
      <c r="A1771" t="s">
        <v>3961</v>
      </c>
      <c r="B1771" t="s">
        <v>3746</v>
      </c>
      <c r="C1771" t="s">
        <v>3876</v>
      </c>
      <c r="D1771" s="3">
        <f t="shared" si="140"/>
        <v>12</v>
      </c>
      <c r="E1771" t="s">
        <v>33</v>
      </c>
      <c r="F1771" t="s">
        <v>13</v>
      </c>
      <c r="G1771">
        <f t="shared" si="141"/>
        <v>1525000</v>
      </c>
      <c r="H1771" t="s">
        <v>27</v>
      </c>
      <c r="I1771" t="s">
        <v>3962</v>
      </c>
      <c r="J1771" s="2">
        <f t="shared" si="142"/>
        <v>1405000</v>
      </c>
      <c r="K1771" t="s">
        <v>2039</v>
      </c>
      <c r="L1771">
        <f t="shared" si="143"/>
        <v>0.17083333333333331</v>
      </c>
      <c r="M1771" s="5">
        <v>0.17083333333333331</v>
      </c>
      <c r="N1771" t="s">
        <v>37</v>
      </c>
      <c r="P1771" t="s">
        <v>665</v>
      </c>
      <c r="R1771" s="3">
        <f t="shared" si="139"/>
        <v>4.0999999999999996</v>
      </c>
    </row>
    <row r="1772" spans="1:18" hidden="1" x14ac:dyDescent="0.25">
      <c r="A1772" t="s">
        <v>4340</v>
      </c>
      <c r="B1772" t="s">
        <v>4272</v>
      </c>
      <c r="C1772" t="s">
        <v>4311</v>
      </c>
      <c r="D1772" s="3">
        <f t="shared" si="140"/>
        <v>17.5</v>
      </c>
      <c r="E1772" t="s">
        <v>1839</v>
      </c>
      <c r="F1772" t="s">
        <v>13</v>
      </c>
      <c r="G1772" t="str">
        <f t="shared" si="141"/>
        <v/>
      </c>
      <c r="H1772" t="s">
        <v>14</v>
      </c>
      <c r="I1772" t="s">
        <v>4341</v>
      </c>
      <c r="J1772" s="2">
        <f t="shared" si="142"/>
        <v>2275000</v>
      </c>
      <c r="K1772" t="s">
        <v>1027</v>
      </c>
      <c r="L1772">
        <f t="shared" si="143"/>
        <v>0.17222222222222225</v>
      </c>
      <c r="M1772" s="5">
        <v>0.17222222222222225</v>
      </c>
      <c r="N1772" t="s">
        <v>43</v>
      </c>
      <c r="R1772" s="3">
        <f t="shared" si="139"/>
        <v>4.1333333333333337</v>
      </c>
    </row>
    <row r="1773" spans="1:18" hidden="1" x14ac:dyDescent="0.25">
      <c r="A1773" t="s">
        <v>4320</v>
      </c>
      <c r="B1773" t="s">
        <v>4272</v>
      </c>
      <c r="C1773" t="s">
        <v>4311</v>
      </c>
      <c r="D1773" s="3">
        <f t="shared" si="140"/>
        <v>12.879999999999999</v>
      </c>
      <c r="E1773" t="s">
        <v>4321</v>
      </c>
      <c r="F1773" t="s">
        <v>13</v>
      </c>
      <c r="G1773" t="str">
        <f t="shared" si="141"/>
        <v/>
      </c>
      <c r="H1773" t="s">
        <v>14</v>
      </c>
      <c r="I1773" t="s">
        <v>4322</v>
      </c>
      <c r="J1773" s="2">
        <f t="shared" si="142"/>
        <v>2135000</v>
      </c>
      <c r="K1773" t="s">
        <v>4323</v>
      </c>
      <c r="L1773">
        <f t="shared" si="143"/>
        <v>0.17291666666666669</v>
      </c>
      <c r="M1773" s="5">
        <v>0.17291666666666669</v>
      </c>
      <c r="N1773" t="s">
        <v>43</v>
      </c>
      <c r="R1773" s="3">
        <f t="shared" si="139"/>
        <v>4.1500000000000004</v>
      </c>
    </row>
    <row r="1774" spans="1:18" hidden="1" x14ac:dyDescent="0.25">
      <c r="A1774" t="s">
        <v>4464</v>
      </c>
      <c r="B1774" t="s">
        <v>4272</v>
      </c>
      <c r="C1774" t="s">
        <v>4311</v>
      </c>
      <c r="D1774" s="3">
        <f t="shared" si="140"/>
        <v>22.5</v>
      </c>
      <c r="E1774" t="s">
        <v>4465</v>
      </c>
      <c r="F1774" t="s">
        <v>13</v>
      </c>
      <c r="G1774" t="str">
        <f t="shared" si="141"/>
        <v/>
      </c>
      <c r="H1774" t="s">
        <v>14</v>
      </c>
      <c r="I1774" t="s">
        <v>4466</v>
      </c>
      <c r="J1774" s="2">
        <f t="shared" si="142"/>
        <v>2325000</v>
      </c>
      <c r="K1774" t="s">
        <v>1352</v>
      </c>
      <c r="L1774">
        <f t="shared" si="143"/>
        <v>0.16944444444444443</v>
      </c>
      <c r="M1774" s="5">
        <v>0.16944444444444443</v>
      </c>
      <c r="N1774" t="s">
        <v>43</v>
      </c>
      <c r="P1774" t="s">
        <v>823</v>
      </c>
      <c r="R1774" s="3">
        <f t="shared" si="139"/>
        <v>4.0666666666666664</v>
      </c>
    </row>
    <row r="1775" spans="1:18" hidden="1" x14ac:dyDescent="0.25">
      <c r="A1775" t="s">
        <v>1565</v>
      </c>
      <c r="B1775" t="s">
        <v>1303</v>
      </c>
      <c r="C1775" t="s">
        <v>1312</v>
      </c>
      <c r="D1775" s="3">
        <f t="shared" si="140"/>
        <v>13.44</v>
      </c>
      <c r="E1775" t="s">
        <v>1566</v>
      </c>
      <c r="F1775" t="s">
        <v>13</v>
      </c>
      <c r="G1775">
        <f t="shared" si="141"/>
        <v>2075000</v>
      </c>
      <c r="H1775" t="s">
        <v>1567</v>
      </c>
      <c r="I1775" t="s">
        <v>1568</v>
      </c>
      <c r="J1775" s="2">
        <f t="shared" si="142"/>
        <v>1972500</v>
      </c>
      <c r="K1775" t="s">
        <v>1569</v>
      </c>
      <c r="L1775">
        <f t="shared" si="143"/>
        <v>0.17083333333333331</v>
      </c>
      <c r="M1775" s="5">
        <v>0.17083333333333331</v>
      </c>
      <c r="N1775" t="s">
        <v>43</v>
      </c>
      <c r="P1775" t="s">
        <v>678</v>
      </c>
      <c r="R1775" s="3">
        <f t="shared" si="139"/>
        <v>4.0999999999999996</v>
      </c>
    </row>
    <row r="1776" spans="1:18" hidden="1" x14ac:dyDescent="0.25">
      <c r="A1776" t="s">
        <v>2891</v>
      </c>
      <c r="B1776" t="s">
        <v>3206</v>
      </c>
      <c r="C1776" t="s">
        <v>2644</v>
      </c>
      <c r="D1776" s="3">
        <f t="shared" si="140"/>
        <v>17.5</v>
      </c>
      <c r="E1776" t="s">
        <v>2568</v>
      </c>
      <c r="F1776" t="s">
        <v>13</v>
      </c>
      <c r="G1776" t="str">
        <f t="shared" si="141"/>
        <v/>
      </c>
      <c r="H1776" t="s">
        <v>14</v>
      </c>
      <c r="I1776" t="s">
        <v>2892</v>
      </c>
      <c r="J1776" s="2">
        <f t="shared" si="142"/>
        <v>2800000</v>
      </c>
      <c r="K1776" t="s">
        <v>1166</v>
      </c>
      <c r="L1776">
        <f t="shared" si="143"/>
        <v>0.17222222222222225</v>
      </c>
      <c r="M1776" s="5">
        <v>0.17222222222222225</v>
      </c>
      <c r="N1776" t="s">
        <v>43</v>
      </c>
      <c r="P1776" t="s">
        <v>1970</v>
      </c>
      <c r="R1776" s="3">
        <f t="shared" si="139"/>
        <v>4.1333333333333337</v>
      </c>
    </row>
    <row r="1777" spans="1:18" hidden="1" x14ac:dyDescent="0.25">
      <c r="A1777" t="s">
        <v>3000</v>
      </c>
      <c r="B1777" t="s">
        <v>3206</v>
      </c>
      <c r="C1777" t="s">
        <v>2644</v>
      </c>
      <c r="D1777" s="3">
        <f t="shared" si="140"/>
        <v>22.5</v>
      </c>
      <c r="E1777" t="s">
        <v>507</v>
      </c>
      <c r="F1777" t="s">
        <v>13</v>
      </c>
      <c r="G1777" t="str">
        <f t="shared" si="141"/>
        <v/>
      </c>
      <c r="H1777" t="s">
        <v>14</v>
      </c>
      <c r="I1777" t="s">
        <v>3001</v>
      </c>
      <c r="J1777" s="2">
        <f t="shared" si="142"/>
        <v>3065000</v>
      </c>
      <c r="K1777" t="s">
        <v>3002</v>
      </c>
      <c r="L1777">
        <f t="shared" si="143"/>
        <v>0.17222222222222225</v>
      </c>
      <c r="M1777" s="5">
        <v>0.17222222222222225</v>
      </c>
      <c r="N1777" t="s">
        <v>43</v>
      </c>
      <c r="P1777" t="s">
        <v>1970</v>
      </c>
      <c r="R1777" s="3">
        <f t="shared" si="139"/>
        <v>4.1333333333333337</v>
      </c>
    </row>
    <row r="1778" spans="1:18" hidden="1" x14ac:dyDescent="0.25">
      <c r="A1778" t="s">
        <v>2427</v>
      </c>
      <c r="B1778" t="s">
        <v>2596</v>
      </c>
      <c r="C1778" t="s">
        <v>1999</v>
      </c>
      <c r="D1778" s="3">
        <f t="shared" si="140"/>
        <v>13.5</v>
      </c>
      <c r="E1778" t="s">
        <v>667</v>
      </c>
      <c r="F1778" t="s">
        <v>13</v>
      </c>
      <c r="G1778" t="str">
        <f t="shared" si="141"/>
        <v/>
      </c>
      <c r="H1778" t="s">
        <v>14</v>
      </c>
      <c r="I1778" t="s">
        <v>2428</v>
      </c>
      <c r="J1778" s="2">
        <f t="shared" si="142"/>
        <v>2025000</v>
      </c>
      <c r="K1778" t="s">
        <v>1065</v>
      </c>
      <c r="L1778">
        <f t="shared" si="143"/>
        <v>0.17222222222222225</v>
      </c>
      <c r="M1778" s="5">
        <v>0.17222222222222225</v>
      </c>
      <c r="N1778" t="s">
        <v>18</v>
      </c>
      <c r="R1778" s="3">
        <f t="shared" si="139"/>
        <v>4.1333333333333337</v>
      </c>
    </row>
    <row r="1779" spans="1:18" hidden="1" x14ac:dyDescent="0.25">
      <c r="A1779" t="s">
        <v>2380</v>
      </c>
      <c r="B1779" t="s">
        <v>2596</v>
      </c>
      <c r="C1779" t="s">
        <v>2049</v>
      </c>
      <c r="D1779" s="3">
        <f t="shared" si="140"/>
        <v>8.75</v>
      </c>
      <c r="E1779" t="s">
        <v>1404</v>
      </c>
      <c r="F1779" t="s">
        <v>13</v>
      </c>
      <c r="G1779" t="str">
        <f t="shared" si="141"/>
        <v/>
      </c>
      <c r="H1779" t="s">
        <v>14</v>
      </c>
      <c r="I1779" t="s">
        <v>2381</v>
      </c>
      <c r="J1779" s="2">
        <f t="shared" si="142"/>
        <v>1875000</v>
      </c>
      <c r="K1779" t="s">
        <v>884</v>
      </c>
      <c r="L1779">
        <f t="shared" si="143"/>
        <v>0.17083333333333331</v>
      </c>
      <c r="M1779" s="5">
        <v>0.17083333333333331</v>
      </c>
      <c r="N1779" t="s">
        <v>43</v>
      </c>
      <c r="R1779" s="3">
        <f t="shared" si="139"/>
        <v>4.0999999999999996</v>
      </c>
    </row>
    <row r="1780" spans="1:18" hidden="1" x14ac:dyDescent="0.25">
      <c r="A1780" t="s">
        <v>2587</v>
      </c>
      <c r="B1780" t="s">
        <v>2596</v>
      </c>
      <c r="C1780" t="s">
        <v>2049</v>
      </c>
      <c r="D1780" s="3">
        <f t="shared" si="140"/>
        <v>8.75</v>
      </c>
      <c r="E1780" t="s">
        <v>775</v>
      </c>
      <c r="F1780" t="s">
        <v>13</v>
      </c>
      <c r="G1780">
        <f t="shared" si="141"/>
        <v>1825000</v>
      </c>
      <c r="H1780" t="s">
        <v>196</v>
      </c>
      <c r="I1780" t="s">
        <v>2588</v>
      </c>
      <c r="J1780" s="2">
        <f t="shared" si="142"/>
        <v>1735000</v>
      </c>
      <c r="K1780" t="s">
        <v>198</v>
      </c>
      <c r="L1780">
        <f t="shared" si="143"/>
        <v>0.17083333333333331</v>
      </c>
      <c r="M1780" s="5">
        <v>0.17083333333333331</v>
      </c>
      <c r="N1780" t="s">
        <v>43</v>
      </c>
      <c r="P1780" t="s">
        <v>199</v>
      </c>
      <c r="R1780" s="3">
        <f t="shared" si="139"/>
        <v>4.0999999999999996</v>
      </c>
    </row>
    <row r="1781" spans="1:18" x14ac:dyDescent="0.25">
      <c r="A1781" t="s">
        <v>3364</v>
      </c>
      <c r="B1781" t="s">
        <v>3233</v>
      </c>
      <c r="C1781" t="s">
        <v>3248</v>
      </c>
      <c r="D1781" s="3">
        <f t="shared" si="140"/>
        <v>9</v>
      </c>
      <c r="E1781" t="s">
        <v>3322</v>
      </c>
      <c r="F1781" t="s">
        <v>34</v>
      </c>
      <c r="G1781">
        <f t="shared" si="141"/>
        <v>2325000</v>
      </c>
      <c r="H1781" t="s">
        <v>1352</v>
      </c>
      <c r="I1781" t="s">
        <v>3365</v>
      </c>
      <c r="J1781" s="2">
        <f t="shared" si="142"/>
        <v>2125000</v>
      </c>
      <c r="K1781" t="s">
        <v>936</v>
      </c>
      <c r="L1781">
        <f t="shared" si="143"/>
        <v>0.17291666666666669</v>
      </c>
      <c r="M1781" s="5">
        <v>0.17291666666666669</v>
      </c>
      <c r="N1781" t="s">
        <v>43</v>
      </c>
      <c r="P1781" t="s">
        <v>1053</v>
      </c>
      <c r="R1781" s="3">
        <f t="shared" si="139"/>
        <v>4.1500000000000004</v>
      </c>
    </row>
    <row r="1782" spans="1:18" hidden="1" x14ac:dyDescent="0.25">
      <c r="A1782" t="s">
        <v>1754</v>
      </c>
      <c r="B1782" t="s">
        <v>1303</v>
      </c>
      <c r="C1782" t="s">
        <v>1319</v>
      </c>
      <c r="D1782" s="3">
        <f t="shared" si="140"/>
        <v>12.16</v>
      </c>
      <c r="E1782" t="s">
        <v>1755</v>
      </c>
      <c r="F1782" t="s">
        <v>13</v>
      </c>
      <c r="G1782">
        <f t="shared" si="141"/>
        <v>2325000</v>
      </c>
      <c r="H1782" t="s">
        <v>1352</v>
      </c>
      <c r="I1782" t="s">
        <v>1756</v>
      </c>
      <c r="J1782" s="2">
        <f t="shared" si="142"/>
        <v>2141000</v>
      </c>
      <c r="K1782" t="s">
        <v>1757</v>
      </c>
      <c r="L1782">
        <f t="shared" si="143"/>
        <v>0.20833333333333334</v>
      </c>
      <c r="M1782" s="5">
        <v>0.20833333333333334</v>
      </c>
      <c r="N1782" t="s">
        <v>43</v>
      </c>
      <c r="P1782" t="s">
        <v>1328</v>
      </c>
      <c r="R1782" s="3">
        <f t="shared" si="139"/>
        <v>5</v>
      </c>
    </row>
    <row r="1783" spans="1:18" hidden="1" x14ac:dyDescent="0.25">
      <c r="A1783" t="s">
        <v>1498</v>
      </c>
      <c r="B1783" t="s">
        <v>1303</v>
      </c>
      <c r="C1783" t="s">
        <v>1319</v>
      </c>
      <c r="D1783" s="3">
        <f t="shared" si="140"/>
        <v>7.839999999999999</v>
      </c>
      <c r="E1783" t="s">
        <v>1499</v>
      </c>
      <c r="F1783" t="s">
        <v>13</v>
      </c>
      <c r="G1783">
        <f t="shared" si="141"/>
        <v>2025000</v>
      </c>
      <c r="H1783" t="s">
        <v>1065</v>
      </c>
      <c r="I1783" t="s">
        <v>1500</v>
      </c>
      <c r="J1783" s="2">
        <f t="shared" si="142"/>
        <v>1865000</v>
      </c>
      <c r="K1783" t="s">
        <v>1349</v>
      </c>
      <c r="L1783">
        <f t="shared" si="143"/>
        <v>0.17291666666666669</v>
      </c>
      <c r="M1783" s="5">
        <v>0.17291666666666669</v>
      </c>
      <c r="N1783" t="s">
        <v>43</v>
      </c>
      <c r="P1783" t="s">
        <v>673</v>
      </c>
      <c r="R1783" s="3">
        <f t="shared" si="139"/>
        <v>4.1500000000000004</v>
      </c>
    </row>
    <row r="1784" spans="1:18" hidden="1" x14ac:dyDescent="0.25">
      <c r="A1784" t="s">
        <v>2791</v>
      </c>
      <c r="B1784" t="s">
        <v>3206</v>
      </c>
      <c r="C1784" t="s">
        <v>2604</v>
      </c>
      <c r="D1784" s="3">
        <f t="shared" si="140"/>
        <v>17.34</v>
      </c>
      <c r="E1784" t="s">
        <v>2792</v>
      </c>
      <c r="F1784" t="s">
        <v>13</v>
      </c>
      <c r="G1784" t="str">
        <f t="shared" si="141"/>
        <v/>
      </c>
      <c r="H1784" t="s">
        <v>14</v>
      </c>
      <c r="I1784" t="s">
        <v>2793</v>
      </c>
      <c r="J1784" s="2">
        <f t="shared" si="142"/>
        <v>2325000</v>
      </c>
      <c r="K1784" t="s">
        <v>1352</v>
      </c>
      <c r="L1784">
        <f t="shared" si="143"/>
        <v>0.17083333333333331</v>
      </c>
      <c r="M1784" s="5">
        <v>0.17083333333333331</v>
      </c>
      <c r="N1784" t="s">
        <v>37</v>
      </c>
      <c r="R1784" s="3">
        <f t="shared" si="139"/>
        <v>4.0999999999999996</v>
      </c>
    </row>
    <row r="1785" spans="1:18" hidden="1" x14ac:dyDescent="0.25">
      <c r="A1785" t="s">
        <v>3178</v>
      </c>
      <c r="B1785" t="s">
        <v>3206</v>
      </c>
      <c r="C1785" t="s">
        <v>2769</v>
      </c>
      <c r="D1785" s="3">
        <f t="shared" si="140"/>
        <v>12.25</v>
      </c>
      <c r="E1785" t="s">
        <v>187</v>
      </c>
      <c r="F1785" t="s">
        <v>13</v>
      </c>
      <c r="G1785">
        <f t="shared" si="141"/>
        <v>2275000</v>
      </c>
      <c r="H1785" t="s">
        <v>1027</v>
      </c>
      <c r="I1785" t="s">
        <v>3179</v>
      </c>
      <c r="J1785" s="2">
        <f t="shared" si="142"/>
        <v>2095000</v>
      </c>
      <c r="K1785" t="s">
        <v>2968</v>
      </c>
      <c r="L1785">
        <f t="shared" si="143"/>
        <v>0.20833333333333334</v>
      </c>
      <c r="M1785" s="5">
        <v>0.20833333333333334</v>
      </c>
      <c r="N1785" t="s">
        <v>37</v>
      </c>
      <c r="P1785" t="s">
        <v>1125</v>
      </c>
      <c r="R1785" s="3">
        <f t="shared" si="139"/>
        <v>5</v>
      </c>
    </row>
    <row r="1786" spans="1:18" hidden="1" x14ac:dyDescent="0.25">
      <c r="A1786" t="s">
        <v>2000</v>
      </c>
      <c r="B1786" t="s">
        <v>2596</v>
      </c>
      <c r="C1786" t="s">
        <v>1981</v>
      </c>
      <c r="D1786" s="3">
        <f t="shared" si="140"/>
        <v>11.840000000000002</v>
      </c>
      <c r="E1786" t="s">
        <v>1979</v>
      </c>
      <c r="F1786" t="s">
        <v>13</v>
      </c>
      <c r="G1786">
        <f t="shared" si="141"/>
        <v>3125000</v>
      </c>
      <c r="H1786" t="s">
        <v>2001</v>
      </c>
      <c r="I1786" t="s">
        <v>2002</v>
      </c>
      <c r="J1786" s="2">
        <f t="shared" si="142"/>
        <v>2877000</v>
      </c>
      <c r="K1786" t="s">
        <v>2003</v>
      </c>
      <c r="L1786">
        <f t="shared" si="143"/>
        <v>0.17083333333333331</v>
      </c>
      <c r="M1786" s="5">
        <v>0.17083333333333331</v>
      </c>
      <c r="N1786" t="s">
        <v>43</v>
      </c>
      <c r="P1786" t="s">
        <v>2004</v>
      </c>
      <c r="R1786" s="3">
        <f t="shared" si="139"/>
        <v>4.0999999999999996</v>
      </c>
    </row>
    <row r="1787" spans="1:18" hidden="1" x14ac:dyDescent="0.25">
      <c r="A1787" t="s">
        <v>2478</v>
      </c>
      <c r="B1787" t="s">
        <v>2596</v>
      </c>
      <c r="C1787" t="s">
        <v>1981</v>
      </c>
      <c r="D1787" s="3">
        <f t="shared" si="140"/>
        <v>16</v>
      </c>
      <c r="E1787" t="s">
        <v>79</v>
      </c>
      <c r="F1787" t="s">
        <v>13</v>
      </c>
      <c r="G1787">
        <f t="shared" si="141"/>
        <v>2875000</v>
      </c>
      <c r="H1787" t="s">
        <v>1414</v>
      </c>
      <c r="I1787" t="s">
        <v>2479</v>
      </c>
      <c r="J1787" s="2">
        <f t="shared" si="142"/>
        <v>2732500</v>
      </c>
      <c r="K1787" t="s">
        <v>2480</v>
      </c>
      <c r="L1787">
        <f t="shared" si="143"/>
        <v>0.17291666666666669</v>
      </c>
      <c r="M1787" s="5">
        <v>0.17291666666666669</v>
      </c>
      <c r="N1787" t="s">
        <v>43</v>
      </c>
      <c r="P1787" t="s">
        <v>2481</v>
      </c>
      <c r="R1787" s="3">
        <f t="shared" si="139"/>
        <v>4.1500000000000004</v>
      </c>
    </row>
    <row r="1788" spans="1:18" hidden="1" x14ac:dyDescent="0.25">
      <c r="A1788" t="s">
        <v>2256</v>
      </c>
      <c r="B1788" t="s">
        <v>2596</v>
      </c>
      <c r="C1788" t="s">
        <v>1981</v>
      </c>
      <c r="D1788" s="3">
        <f t="shared" si="140"/>
        <v>10.36</v>
      </c>
      <c r="E1788" t="s">
        <v>896</v>
      </c>
      <c r="F1788" t="s">
        <v>13</v>
      </c>
      <c r="G1788">
        <f t="shared" si="141"/>
        <v>2625000</v>
      </c>
      <c r="H1788" t="s">
        <v>2257</v>
      </c>
      <c r="I1788" t="s">
        <v>2258</v>
      </c>
      <c r="J1788" s="2">
        <f t="shared" si="142"/>
        <v>2495000</v>
      </c>
      <c r="K1788" t="s">
        <v>2259</v>
      </c>
      <c r="L1788">
        <f t="shared" si="143"/>
        <v>0.17083333333333331</v>
      </c>
      <c r="M1788" s="5">
        <v>0.17083333333333331</v>
      </c>
      <c r="N1788" t="s">
        <v>43</v>
      </c>
      <c r="P1788" t="s">
        <v>686</v>
      </c>
      <c r="R1788" s="3">
        <f t="shared" si="139"/>
        <v>4.0999999999999996</v>
      </c>
    </row>
    <row r="1789" spans="1:18" hidden="1" x14ac:dyDescent="0.25">
      <c r="A1789" t="s">
        <v>5391</v>
      </c>
      <c r="B1789" t="s">
        <v>5848</v>
      </c>
      <c r="C1789" t="s">
        <v>5335</v>
      </c>
      <c r="D1789" s="3">
        <f t="shared" si="140"/>
        <v>13.5</v>
      </c>
      <c r="E1789" t="s">
        <v>667</v>
      </c>
      <c r="F1789" t="s">
        <v>13</v>
      </c>
      <c r="G1789">
        <f t="shared" si="141"/>
        <v>1875000</v>
      </c>
      <c r="H1789" t="s">
        <v>884</v>
      </c>
      <c r="I1789" t="s">
        <v>5392</v>
      </c>
      <c r="J1789" s="2">
        <f t="shared" si="142"/>
        <v>1782500</v>
      </c>
      <c r="K1789" t="s">
        <v>2151</v>
      </c>
      <c r="L1789">
        <f t="shared" si="143"/>
        <v>0.20833333333333334</v>
      </c>
      <c r="M1789" s="5">
        <v>0.20833333333333334</v>
      </c>
      <c r="N1789" t="s">
        <v>37</v>
      </c>
      <c r="P1789" t="s">
        <v>1461</v>
      </c>
      <c r="R1789" s="3">
        <f t="shared" si="139"/>
        <v>5</v>
      </c>
    </row>
    <row r="1790" spans="1:18" hidden="1" x14ac:dyDescent="0.25">
      <c r="A1790" t="s">
        <v>5484</v>
      </c>
      <c r="B1790" t="s">
        <v>5848</v>
      </c>
      <c r="C1790" t="s">
        <v>5335</v>
      </c>
      <c r="D1790" s="3">
        <f t="shared" si="140"/>
        <v>7.5</v>
      </c>
      <c r="E1790" t="s">
        <v>614</v>
      </c>
      <c r="F1790" t="s">
        <v>13</v>
      </c>
      <c r="G1790" t="str">
        <f t="shared" si="141"/>
        <v/>
      </c>
      <c r="H1790" t="s">
        <v>14</v>
      </c>
      <c r="I1790" t="s">
        <v>5485</v>
      </c>
      <c r="J1790" s="2">
        <f t="shared" si="142"/>
        <v>525000</v>
      </c>
      <c r="K1790" t="s">
        <v>315</v>
      </c>
      <c r="L1790">
        <f t="shared" si="143"/>
        <v>0.20833333333333334</v>
      </c>
      <c r="M1790" s="5">
        <v>0.20833333333333334</v>
      </c>
      <c r="N1790" t="s">
        <v>37</v>
      </c>
      <c r="P1790" t="s">
        <v>1461</v>
      </c>
      <c r="R1790" s="3">
        <f t="shared" si="139"/>
        <v>5</v>
      </c>
    </row>
    <row r="1791" spans="1:18" x14ac:dyDescent="0.25">
      <c r="A1791" t="s">
        <v>1072</v>
      </c>
      <c r="B1791" t="s">
        <v>640</v>
      </c>
      <c r="C1791" t="s">
        <v>918</v>
      </c>
      <c r="D1791" s="3">
        <f t="shared" si="140"/>
        <v>16</v>
      </c>
      <c r="E1791" t="s">
        <v>79</v>
      </c>
      <c r="F1791" t="s">
        <v>13</v>
      </c>
      <c r="G1791" t="str">
        <f t="shared" si="141"/>
        <v/>
      </c>
      <c r="H1791" t="s">
        <v>14</v>
      </c>
      <c r="I1791" t="s">
        <v>1073</v>
      </c>
      <c r="J1791" s="2">
        <f t="shared" si="142"/>
        <v>2150000</v>
      </c>
      <c r="K1791" t="s">
        <v>53</v>
      </c>
      <c r="L1791">
        <f t="shared" si="143"/>
        <v>0.16874999999999998</v>
      </c>
      <c r="M1791" s="5">
        <v>0.16874999999999998</v>
      </c>
      <c r="N1791" t="s">
        <v>43</v>
      </c>
      <c r="R1791" s="3">
        <f t="shared" si="139"/>
        <v>4.05</v>
      </c>
    </row>
    <row r="1792" spans="1:18" hidden="1" x14ac:dyDescent="0.25">
      <c r="A1792" t="s">
        <v>1560</v>
      </c>
      <c r="B1792" t="s">
        <v>1303</v>
      </c>
      <c r="C1792" t="s">
        <v>1350</v>
      </c>
      <c r="D1792" s="3">
        <f t="shared" si="140"/>
        <v>6.72</v>
      </c>
      <c r="E1792" t="s">
        <v>1561</v>
      </c>
      <c r="F1792" t="s">
        <v>13</v>
      </c>
      <c r="G1792">
        <f t="shared" si="141"/>
        <v>1925000</v>
      </c>
      <c r="H1792" t="s">
        <v>552</v>
      </c>
      <c r="I1792" t="s">
        <v>1562</v>
      </c>
      <c r="J1792" s="2">
        <f t="shared" si="142"/>
        <v>1773000</v>
      </c>
      <c r="K1792" t="s">
        <v>1563</v>
      </c>
      <c r="L1792">
        <f t="shared" si="143"/>
        <v>0.17222222222222225</v>
      </c>
      <c r="M1792" s="5">
        <v>0.17222222222222225</v>
      </c>
      <c r="N1792" t="s">
        <v>43</v>
      </c>
      <c r="P1792" t="s">
        <v>1564</v>
      </c>
      <c r="R1792" s="3">
        <f t="shared" si="139"/>
        <v>4.1333333333333337</v>
      </c>
    </row>
    <row r="1793" spans="1:18" hidden="1" x14ac:dyDescent="0.25">
      <c r="A1793" t="s">
        <v>1646</v>
      </c>
      <c r="B1793" t="s">
        <v>1303</v>
      </c>
      <c r="C1793" t="s">
        <v>1350</v>
      </c>
      <c r="D1793" s="3" t="e">
        <f t="shared" si="140"/>
        <v>#VALUE!</v>
      </c>
      <c r="E1793" t="s">
        <v>14</v>
      </c>
      <c r="F1793" t="s">
        <v>14</v>
      </c>
      <c r="G1793">
        <f t="shared" si="141"/>
        <v>1475000</v>
      </c>
      <c r="H1793" t="s">
        <v>182</v>
      </c>
      <c r="I1793" t="s">
        <v>110</v>
      </c>
      <c r="J1793" s="2">
        <f t="shared" si="142"/>
        <v>1359000</v>
      </c>
      <c r="K1793" t="s">
        <v>1647</v>
      </c>
      <c r="L1793">
        <f t="shared" si="143"/>
        <v>0.17222222222222225</v>
      </c>
      <c r="M1793" s="5">
        <v>0.17222222222222225</v>
      </c>
      <c r="N1793" t="s">
        <v>43</v>
      </c>
      <c r="P1793" t="s">
        <v>1648</v>
      </c>
      <c r="R1793" s="3">
        <f t="shared" si="139"/>
        <v>4.1333333333333337</v>
      </c>
    </row>
    <row r="1794" spans="1:18" hidden="1" x14ac:dyDescent="0.25">
      <c r="A1794" t="s">
        <v>3180</v>
      </c>
      <c r="B1794" t="s">
        <v>3206</v>
      </c>
      <c r="C1794" t="s">
        <v>2640</v>
      </c>
      <c r="D1794" s="3">
        <f t="shared" si="140"/>
        <v>12</v>
      </c>
      <c r="E1794" t="s">
        <v>33</v>
      </c>
      <c r="F1794" t="s">
        <v>13</v>
      </c>
      <c r="G1794" t="str">
        <f t="shared" si="141"/>
        <v/>
      </c>
      <c r="H1794" t="s">
        <v>14</v>
      </c>
      <c r="I1794" t="s">
        <v>3181</v>
      </c>
      <c r="J1794" s="2">
        <f t="shared" si="142"/>
        <v>2075000</v>
      </c>
      <c r="K1794" t="s">
        <v>1567</v>
      </c>
      <c r="L1794">
        <f t="shared" si="143"/>
        <v>0.17222222222222225</v>
      </c>
      <c r="M1794" s="5">
        <v>0.17222222222222225</v>
      </c>
      <c r="N1794" t="s">
        <v>18</v>
      </c>
      <c r="P1794" t="s">
        <v>939</v>
      </c>
      <c r="R1794" s="3">
        <f t="shared" ref="R1794:R1857" si="144">24*L1794</f>
        <v>4.1333333333333337</v>
      </c>
    </row>
    <row r="1795" spans="1:18" hidden="1" x14ac:dyDescent="0.25">
      <c r="A1795" t="s">
        <v>1933</v>
      </c>
      <c r="B1795" t="s">
        <v>1303</v>
      </c>
      <c r="C1795" t="s">
        <v>1342</v>
      </c>
      <c r="D1795" s="3">
        <f t="shared" si="140"/>
        <v>6</v>
      </c>
      <c r="E1795" t="s">
        <v>64</v>
      </c>
      <c r="F1795" t="s">
        <v>13</v>
      </c>
      <c r="G1795">
        <f t="shared" si="141"/>
        <v>1275000</v>
      </c>
      <c r="H1795" t="s">
        <v>698</v>
      </c>
      <c r="I1795" t="s">
        <v>1934</v>
      </c>
      <c r="J1795" s="2">
        <f t="shared" si="142"/>
        <v>1212500</v>
      </c>
      <c r="K1795" t="s">
        <v>1935</v>
      </c>
      <c r="L1795">
        <f t="shared" si="143"/>
        <v>0.17083333333333331</v>
      </c>
      <c r="M1795" s="5">
        <v>0.17083333333333331</v>
      </c>
      <c r="N1795" t="s">
        <v>43</v>
      </c>
      <c r="P1795" t="s">
        <v>1774</v>
      </c>
      <c r="R1795" s="3">
        <f t="shared" si="144"/>
        <v>4.0999999999999996</v>
      </c>
    </row>
    <row r="1796" spans="1:18" hidden="1" x14ac:dyDescent="0.25">
      <c r="A1796" t="s">
        <v>3145</v>
      </c>
      <c r="B1796" t="s">
        <v>3206</v>
      </c>
      <c r="C1796" t="s">
        <v>2682</v>
      </c>
      <c r="D1796" s="3">
        <f t="shared" ref="D1796:D1859" si="145">VALUE(LEFT(E1796,SEARCH(" x ",E1796)-1))*VALUE(MID(E1796,SEARCH(" x ",E1796)+3,SEARCH(" meter",E1796)-SEARCH(" x ",E1796)-3))</f>
        <v>7.5600000000000005</v>
      </c>
      <c r="E1796" t="s">
        <v>3146</v>
      </c>
      <c r="F1796" t="s">
        <v>13</v>
      </c>
      <c r="G1796">
        <f t="shared" ref="G1796:G1859" si="146">IF(H1796="N/A","",VALUE(SUBSTITUTE(SUBSTITUTE(H1796,"Rp",""),".","")))</f>
        <v>2125000</v>
      </c>
      <c r="H1796" t="s">
        <v>936</v>
      </c>
      <c r="I1796" t="s">
        <v>3147</v>
      </c>
      <c r="J1796" s="2">
        <f t="shared" ref="J1796:J1859" si="147">VALUE(SUBSTITUTE(SUBSTITUTE(K1796,"Rp",""),".",""))</f>
        <v>2020000</v>
      </c>
      <c r="K1796" t="s">
        <v>1378</v>
      </c>
      <c r="L1796">
        <f t="shared" ref="L1796:L1859" si="148">M1796:M4136</f>
        <v>0.17222222222222225</v>
      </c>
      <c r="M1796" s="5">
        <v>0.17222222222222225</v>
      </c>
      <c r="N1796" t="s">
        <v>43</v>
      </c>
      <c r="P1796" t="s">
        <v>840</v>
      </c>
      <c r="R1796" s="3">
        <f t="shared" si="144"/>
        <v>4.1333333333333337</v>
      </c>
    </row>
    <row r="1797" spans="1:18" hidden="1" x14ac:dyDescent="0.25">
      <c r="A1797" t="s">
        <v>3272</v>
      </c>
      <c r="B1797" t="s">
        <v>3233</v>
      </c>
      <c r="C1797" t="s">
        <v>3248</v>
      </c>
      <c r="D1797" s="3">
        <f t="shared" si="145"/>
        <v>9</v>
      </c>
      <c r="E1797" t="s">
        <v>3273</v>
      </c>
      <c r="F1797" t="s">
        <v>13</v>
      </c>
      <c r="G1797">
        <f t="shared" si="146"/>
        <v>1750000</v>
      </c>
      <c r="H1797" t="s">
        <v>306</v>
      </c>
      <c r="I1797" t="s">
        <v>3274</v>
      </c>
      <c r="J1797" s="2">
        <f t="shared" si="147"/>
        <v>1610000</v>
      </c>
      <c r="K1797" t="s">
        <v>3275</v>
      </c>
      <c r="L1797">
        <f t="shared" si="148"/>
        <v>0.16874999999999998</v>
      </c>
      <c r="M1797" s="5">
        <v>0.16874999999999998</v>
      </c>
      <c r="N1797" t="s">
        <v>43</v>
      </c>
      <c r="P1797" t="s">
        <v>1607</v>
      </c>
      <c r="R1797" s="3">
        <f t="shared" si="144"/>
        <v>4.05</v>
      </c>
    </row>
    <row r="1798" spans="1:18" hidden="1" x14ac:dyDescent="0.25">
      <c r="A1798" t="s">
        <v>3383</v>
      </c>
      <c r="B1798" t="s">
        <v>3233</v>
      </c>
      <c r="C1798" t="s">
        <v>3248</v>
      </c>
      <c r="D1798" s="3">
        <f t="shared" si="145"/>
        <v>7.5</v>
      </c>
      <c r="E1798" t="s">
        <v>614</v>
      </c>
      <c r="F1798" t="s">
        <v>13</v>
      </c>
      <c r="G1798">
        <f t="shared" si="146"/>
        <v>1550000</v>
      </c>
      <c r="H1798" t="s">
        <v>137</v>
      </c>
      <c r="I1798" t="s">
        <v>3384</v>
      </c>
      <c r="J1798" s="2">
        <f t="shared" si="147"/>
        <v>1426000</v>
      </c>
      <c r="K1798" t="s">
        <v>3385</v>
      </c>
      <c r="L1798">
        <f t="shared" si="148"/>
        <v>0.17083333333333331</v>
      </c>
      <c r="M1798" s="5">
        <v>0.17083333333333331</v>
      </c>
      <c r="N1798" t="s">
        <v>43</v>
      </c>
      <c r="P1798" t="s">
        <v>1810</v>
      </c>
      <c r="R1798" s="3">
        <f t="shared" si="144"/>
        <v>4.0999999999999996</v>
      </c>
    </row>
    <row r="1799" spans="1:18" x14ac:dyDescent="0.25">
      <c r="A1799" t="s">
        <v>3619</v>
      </c>
      <c r="B1799" t="s">
        <v>3233</v>
      </c>
      <c r="C1799" t="s">
        <v>3248</v>
      </c>
      <c r="D1799" s="3">
        <f t="shared" si="145"/>
        <v>12</v>
      </c>
      <c r="E1799" t="s">
        <v>33</v>
      </c>
      <c r="F1799" t="s">
        <v>34</v>
      </c>
      <c r="G1799" t="str">
        <f t="shared" si="146"/>
        <v/>
      </c>
      <c r="H1799" t="s">
        <v>14</v>
      </c>
      <c r="I1799" t="s">
        <v>3620</v>
      </c>
      <c r="J1799" s="2">
        <f t="shared" si="147"/>
        <v>2150000</v>
      </c>
      <c r="K1799" t="s">
        <v>53</v>
      </c>
      <c r="L1799">
        <f t="shared" si="148"/>
        <v>0</v>
      </c>
      <c r="N1799" t="s">
        <v>18</v>
      </c>
      <c r="P1799" t="s">
        <v>1328</v>
      </c>
      <c r="R1799" s="3">
        <f t="shared" si="144"/>
        <v>0</v>
      </c>
    </row>
    <row r="1800" spans="1:18" hidden="1" x14ac:dyDescent="0.25">
      <c r="A1800" t="s">
        <v>3306</v>
      </c>
      <c r="B1800" t="s">
        <v>3233</v>
      </c>
      <c r="C1800" t="s">
        <v>3248</v>
      </c>
      <c r="D1800" s="3">
        <f t="shared" si="145"/>
        <v>5</v>
      </c>
      <c r="E1800" t="s">
        <v>60</v>
      </c>
      <c r="F1800" t="s">
        <v>13</v>
      </c>
      <c r="G1800">
        <f t="shared" si="146"/>
        <v>1050000</v>
      </c>
      <c r="H1800" t="s">
        <v>477</v>
      </c>
      <c r="I1800" t="s">
        <v>3307</v>
      </c>
      <c r="J1800" s="2">
        <f t="shared" si="147"/>
        <v>966000</v>
      </c>
      <c r="K1800" t="s">
        <v>1062</v>
      </c>
      <c r="L1800">
        <f t="shared" si="148"/>
        <v>0.17083333333333331</v>
      </c>
      <c r="M1800" s="5">
        <v>0.17083333333333331</v>
      </c>
      <c r="N1800" t="s">
        <v>43</v>
      </c>
      <c r="P1800" t="s">
        <v>1063</v>
      </c>
      <c r="R1800" s="3">
        <f t="shared" si="144"/>
        <v>4.0999999999999996</v>
      </c>
    </row>
    <row r="1801" spans="1:18" hidden="1" x14ac:dyDescent="0.25">
      <c r="A1801" t="s">
        <v>3029</v>
      </c>
      <c r="B1801" t="s">
        <v>3206</v>
      </c>
      <c r="C1801" t="s">
        <v>2682</v>
      </c>
      <c r="D1801" s="3">
        <f t="shared" si="145"/>
        <v>9.6000000000000014</v>
      </c>
      <c r="E1801" t="s">
        <v>2398</v>
      </c>
      <c r="F1801" t="s">
        <v>13</v>
      </c>
      <c r="G1801">
        <f t="shared" si="146"/>
        <v>3775000</v>
      </c>
      <c r="H1801" t="s">
        <v>3030</v>
      </c>
      <c r="I1801" t="s">
        <v>3031</v>
      </c>
      <c r="J1801" s="2">
        <f t="shared" si="147"/>
        <v>3587500</v>
      </c>
      <c r="K1801" t="s">
        <v>3032</v>
      </c>
      <c r="L1801">
        <f t="shared" si="148"/>
        <v>0.16944444444444443</v>
      </c>
      <c r="M1801" s="5">
        <v>0.16944444444444443</v>
      </c>
      <c r="N1801" t="s">
        <v>43</v>
      </c>
      <c r="P1801" t="s">
        <v>2910</v>
      </c>
      <c r="R1801" s="3">
        <f t="shared" si="144"/>
        <v>4.0666666666666664</v>
      </c>
    </row>
    <row r="1802" spans="1:18" hidden="1" x14ac:dyDescent="0.25">
      <c r="A1802" t="s">
        <v>3016</v>
      </c>
      <c r="B1802" t="s">
        <v>3206</v>
      </c>
      <c r="C1802" t="s">
        <v>2644</v>
      </c>
      <c r="D1802" s="3">
        <f t="shared" si="145"/>
        <v>12</v>
      </c>
      <c r="E1802" t="s">
        <v>33</v>
      </c>
      <c r="F1802" t="s">
        <v>13</v>
      </c>
      <c r="G1802">
        <f t="shared" si="146"/>
        <v>2925000</v>
      </c>
      <c r="H1802" t="s">
        <v>1968</v>
      </c>
      <c r="I1802" t="s">
        <v>3017</v>
      </c>
      <c r="J1802" s="2">
        <f t="shared" si="147"/>
        <v>2780000</v>
      </c>
      <c r="K1802" t="s">
        <v>1969</v>
      </c>
      <c r="L1802">
        <f t="shared" si="148"/>
        <v>0.17013888888888887</v>
      </c>
      <c r="M1802" s="5">
        <v>0.17013888888888887</v>
      </c>
      <c r="N1802" t="s">
        <v>43</v>
      </c>
      <c r="P1802" t="s">
        <v>1970</v>
      </c>
      <c r="R1802" s="3">
        <f t="shared" si="144"/>
        <v>4.083333333333333</v>
      </c>
    </row>
    <row r="1803" spans="1:18" hidden="1" x14ac:dyDescent="0.25">
      <c r="A1803" t="s">
        <v>3018</v>
      </c>
      <c r="B1803" t="s">
        <v>3206</v>
      </c>
      <c r="C1803" t="s">
        <v>3020</v>
      </c>
      <c r="D1803" s="3">
        <f t="shared" si="145"/>
        <v>14</v>
      </c>
      <c r="E1803" t="s">
        <v>238</v>
      </c>
      <c r="F1803" t="s">
        <v>13</v>
      </c>
      <c r="G1803">
        <f t="shared" si="146"/>
        <v>2325000</v>
      </c>
      <c r="H1803" t="s">
        <v>1352</v>
      </c>
      <c r="I1803" t="s">
        <v>3019</v>
      </c>
      <c r="J1803" s="2">
        <f t="shared" si="147"/>
        <v>2210000</v>
      </c>
      <c r="K1803" t="s">
        <v>1354</v>
      </c>
      <c r="L1803">
        <f t="shared" si="148"/>
        <v>0.17013888888888887</v>
      </c>
      <c r="M1803" s="5">
        <v>0.17013888888888887</v>
      </c>
      <c r="N1803" t="s">
        <v>43</v>
      </c>
      <c r="P1803" t="s">
        <v>752</v>
      </c>
      <c r="R1803" s="3">
        <f t="shared" si="144"/>
        <v>4.083333333333333</v>
      </c>
    </row>
    <row r="1804" spans="1:18" hidden="1" x14ac:dyDescent="0.25">
      <c r="A1804" t="s">
        <v>2829</v>
      </c>
      <c r="B1804" t="s">
        <v>3206</v>
      </c>
      <c r="C1804" t="s">
        <v>2644</v>
      </c>
      <c r="D1804" s="3">
        <f t="shared" si="145"/>
        <v>12</v>
      </c>
      <c r="E1804" t="s">
        <v>33</v>
      </c>
      <c r="F1804" t="s">
        <v>13</v>
      </c>
      <c r="G1804">
        <f t="shared" si="146"/>
        <v>1925000</v>
      </c>
      <c r="H1804" t="s">
        <v>552</v>
      </c>
      <c r="I1804" t="s">
        <v>2830</v>
      </c>
      <c r="J1804" s="2">
        <f t="shared" si="147"/>
        <v>1830000</v>
      </c>
      <c r="K1804" t="s">
        <v>1828</v>
      </c>
      <c r="L1804">
        <f t="shared" si="148"/>
        <v>0.17083333333333331</v>
      </c>
      <c r="M1804" s="5">
        <v>0.17083333333333331</v>
      </c>
      <c r="N1804" t="s">
        <v>43</v>
      </c>
      <c r="P1804" t="s">
        <v>1171</v>
      </c>
      <c r="R1804" s="3">
        <f t="shared" si="144"/>
        <v>4.0999999999999996</v>
      </c>
    </row>
    <row r="1805" spans="1:18" hidden="1" x14ac:dyDescent="0.25">
      <c r="A1805" t="s">
        <v>1658</v>
      </c>
      <c r="B1805" t="s">
        <v>1303</v>
      </c>
      <c r="C1805" t="s">
        <v>1392</v>
      </c>
      <c r="D1805" s="3">
        <f t="shared" si="145"/>
        <v>32.64</v>
      </c>
      <c r="E1805" t="s">
        <v>1659</v>
      </c>
      <c r="F1805" t="s">
        <v>13</v>
      </c>
      <c r="G1805" t="str">
        <f t="shared" si="146"/>
        <v/>
      </c>
      <c r="H1805" t="s">
        <v>14</v>
      </c>
      <c r="I1805" t="s">
        <v>1660</v>
      </c>
      <c r="J1805" s="2">
        <f t="shared" si="147"/>
        <v>3875000</v>
      </c>
      <c r="K1805" t="s">
        <v>1661</v>
      </c>
      <c r="L1805">
        <f t="shared" si="148"/>
        <v>0.17013888888888887</v>
      </c>
      <c r="M1805" s="5">
        <v>0.17013888888888887</v>
      </c>
      <c r="N1805" t="s">
        <v>43</v>
      </c>
      <c r="P1805" t="s">
        <v>1633</v>
      </c>
      <c r="R1805" s="3">
        <f t="shared" si="144"/>
        <v>4.083333333333333</v>
      </c>
    </row>
    <row r="1806" spans="1:18" hidden="1" x14ac:dyDescent="0.25">
      <c r="A1806" t="s">
        <v>1630</v>
      </c>
      <c r="B1806" t="s">
        <v>1303</v>
      </c>
      <c r="C1806" t="s">
        <v>1392</v>
      </c>
      <c r="D1806" s="3">
        <f t="shared" si="145"/>
        <v>21</v>
      </c>
      <c r="E1806" t="s">
        <v>121</v>
      </c>
      <c r="F1806" t="s">
        <v>13</v>
      </c>
      <c r="G1806" t="str">
        <f t="shared" si="146"/>
        <v/>
      </c>
      <c r="H1806" t="s">
        <v>14</v>
      </c>
      <c r="I1806" t="s">
        <v>1631</v>
      </c>
      <c r="J1806" s="2">
        <f t="shared" si="147"/>
        <v>3675000</v>
      </c>
      <c r="K1806" t="s">
        <v>1632</v>
      </c>
      <c r="L1806">
        <f t="shared" si="148"/>
        <v>0.17291666666666669</v>
      </c>
      <c r="M1806" s="5">
        <v>0.17291666666666669</v>
      </c>
      <c r="N1806" t="s">
        <v>43</v>
      </c>
      <c r="P1806" t="s">
        <v>1633</v>
      </c>
      <c r="R1806" s="3">
        <f t="shared" si="144"/>
        <v>4.1500000000000004</v>
      </c>
    </row>
    <row r="1807" spans="1:18" x14ac:dyDescent="0.25">
      <c r="A1807" t="s">
        <v>3862</v>
      </c>
      <c r="B1807" t="s">
        <v>3746</v>
      </c>
      <c r="C1807" t="s">
        <v>3759</v>
      </c>
      <c r="D1807" s="3">
        <f t="shared" si="145"/>
        <v>12.15</v>
      </c>
      <c r="E1807" t="s">
        <v>3863</v>
      </c>
      <c r="F1807" t="s">
        <v>13</v>
      </c>
      <c r="G1807">
        <f t="shared" si="146"/>
        <v>2275000</v>
      </c>
      <c r="H1807" t="s">
        <v>1027</v>
      </c>
      <c r="I1807" t="s">
        <v>3864</v>
      </c>
      <c r="J1807" s="2">
        <f t="shared" si="147"/>
        <v>2162500</v>
      </c>
      <c r="K1807" t="s">
        <v>1029</v>
      </c>
      <c r="L1807">
        <f t="shared" si="148"/>
        <v>0.17013888888888887</v>
      </c>
      <c r="M1807" s="5">
        <v>0.17013888888888887</v>
      </c>
      <c r="N1807" t="s">
        <v>43</v>
      </c>
      <c r="P1807" t="s">
        <v>1030</v>
      </c>
      <c r="R1807" s="3">
        <f t="shared" si="144"/>
        <v>4.083333333333333</v>
      </c>
    </row>
    <row r="1808" spans="1:18" hidden="1" x14ac:dyDescent="0.25">
      <c r="A1808" t="s">
        <v>2625</v>
      </c>
      <c r="B1808" t="s">
        <v>3206</v>
      </c>
      <c r="C1808" t="s">
        <v>2628</v>
      </c>
      <c r="D1808" s="3">
        <f t="shared" si="145"/>
        <v>30</v>
      </c>
      <c r="E1808" t="s">
        <v>2626</v>
      </c>
      <c r="F1808" t="s">
        <v>13</v>
      </c>
      <c r="G1808" t="str">
        <f t="shared" si="146"/>
        <v/>
      </c>
      <c r="H1808" t="s">
        <v>14</v>
      </c>
      <c r="I1808" t="s">
        <v>2627</v>
      </c>
      <c r="J1808" s="2">
        <f t="shared" si="147"/>
        <v>2775000</v>
      </c>
      <c r="K1808" t="s">
        <v>2338</v>
      </c>
      <c r="L1808">
        <f t="shared" si="148"/>
        <v>0.17013888888888887</v>
      </c>
      <c r="M1808" s="5">
        <v>0.17013888888888887</v>
      </c>
      <c r="N1808" t="s">
        <v>43</v>
      </c>
      <c r="R1808" s="3">
        <f t="shared" si="144"/>
        <v>4.083333333333333</v>
      </c>
    </row>
    <row r="1809" spans="1:18" hidden="1" x14ac:dyDescent="0.25">
      <c r="A1809" t="s">
        <v>2664</v>
      </c>
      <c r="B1809" t="s">
        <v>3206</v>
      </c>
      <c r="C1809" t="s">
        <v>2628</v>
      </c>
      <c r="D1809" s="3">
        <f t="shared" si="145"/>
        <v>9.6000000000000014</v>
      </c>
      <c r="E1809" t="s">
        <v>26</v>
      </c>
      <c r="F1809" t="s">
        <v>13</v>
      </c>
      <c r="G1809" t="str">
        <f t="shared" si="146"/>
        <v/>
      </c>
      <c r="H1809" t="s">
        <v>14</v>
      </c>
      <c r="I1809" t="s">
        <v>2665</v>
      </c>
      <c r="J1809" s="2">
        <f t="shared" si="147"/>
        <v>2075000</v>
      </c>
      <c r="K1809" t="s">
        <v>1567</v>
      </c>
      <c r="L1809">
        <f t="shared" si="148"/>
        <v>0.17222222222222225</v>
      </c>
      <c r="M1809" s="5">
        <v>0.17222222222222225</v>
      </c>
      <c r="N1809" t="s">
        <v>43</v>
      </c>
      <c r="R1809" s="3">
        <f t="shared" si="144"/>
        <v>4.1333333333333337</v>
      </c>
    </row>
    <row r="1810" spans="1:18" hidden="1" x14ac:dyDescent="0.25">
      <c r="A1810" t="s">
        <v>2518</v>
      </c>
      <c r="B1810" t="s">
        <v>2596</v>
      </c>
      <c r="C1810" t="s">
        <v>2071</v>
      </c>
      <c r="D1810" s="3">
        <f t="shared" si="145"/>
        <v>9.25</v>
      </c>
      <c r="E1810" t="s">
        <v>1776</v>
      </c>
      <c r="F1810" t="s">
        <v>13</v>
      </c>
      <c r="G1810">
        <f t="shared" si="146"/>
        <v>1825000</v>
      </c>
      <c r="H1810" t="s">
        <v>196</v>
      </c>
      <c r="I1810" t="s">
        <v>2519</v>
      </c>
      <c r="J1810" s="2">
        <f t="shared" si="147"/>
        <v>1735000</v>
      </c>
      <c r="K1810" t="s">
        <v>198</v>
      </c>
      <c r="L1810">
        <f t="shared" si="148"/>
        <v>0.17291666666666669</v>
      </c>
      <c r="M1810" s="5">
        <v>0.17291666666666669</v>
      </c>
      <c r="N1810" t="s">
        <v>18</v>
      </c>
      <c r="P1810" t="s">
        <v>199</v>
      </c>
      <c r="R1810" s="3">
        <f t="shared" si="144"/>
        <v>4.1500000000000004</v>
      </c>
    </row>
    <row r="1811" spans="1:18" hidden="1" x14ac:dyDescent="0.25">
      <c r="A1811" t="s">
        <v>2160</v>
      </c>
      <c r="B1811" t="s">
        <v>2596</v>
      </c>
      <c r="C1811" t="s">
        <v>2071</v>
      </c>
      <c r="D1811" s="3">
        <f t="shared" si="145"/>
        <v>6.75</v>
      </c>
      <c r="E1811" t="s">
        <v>2161</v>
      </c>
      <c r="F1811" t="s">
        <v>34</v>
      </c>
      <c r="G1811">
        <f t="shared" si="146"/>
        <v>1675000</v>
      </c>
      <c r="H1811" t="s">
        <v>1119</v>
      </c>
      <c r="I1811" t="s">
        <v>2162</v>
      </c>
      <c r="J1811" s="2">
        <f t="shared" si="147"/>
        <v>1592500</v>
      </c>
      <c r="K1811" t="s">
        <v>1448</v>
      </c>
      <c r="L1811">
        <f t="shared" si="148"/>
        <v>0.20833333333333334</v>
      </c>
      <c r="M1811" s="5">
        <v>0.20833333333333334</v>
      </c>
      <c r="N1811" t="s">
        <v>18</v>
      </c>
      <c r="P1811" t="s">
        <v>1449</v>
      </c>
      <c r="R1811" s="3">
        <f t="shared" si="144"/>
        <v>5</v>
      </c>
    </row>
    <row r="1812" spans="1:18" hidden="1" x14ac:dyDescent="0.25">
      <c r="A1812" t="s">
        <v>2585</v>
      </c>
      <c r="B1812" t="s">
        <v>2596</v>
      </c>
      <c r="C1812" t="s">
        <v>2071</v>
      </c>
      <c r="D1812" s="3">
        <f t="shared" si="145"/>
        <v>9.25</v>
      </c>
      <c r="E1812" t="s">
        <v>1776</v>
      </c>
      <c r="F1812" t="s">
        <v>13</v>
      </c>
      <c r="G1812">
        <f t="shared" si="146"/>
        <v>1625000</v>
      </c>
      <c r="H1812" t="s">
        <v>702</v>
      </c>
      <c r="I1812" t="s">
        <v>2586</v>
      </c>
      <c r="J1812" s="2">
        <f t="shared" si="147"/>
        <v>1545000</v>
      </c>
      <c r="K1812" t="s">
        <v>1503</v>
      </c>
      <c r="L1812">
        <f t="shared" si="148"/>
        <v>0.17222222222222225</v>
      </c>
      <c r="M1812" s="5">
        <v>0.17222222222222225</v>
      </c>
      <c r="N1812" t="s">
        <v>18</v>
      </c>
      <c r="P1812" t="s">
        <v>719</v>
      </c>
      <c r="R1812" s="3">
        <f t="shared" si="144"/>
        <v>4.1333333333333337</v>
      </c>
    </row>
    <row r="1813" spans="1:18" hidden="1" x14ac:dyDescent="0.25">
      <c r="A1813" t="s">
        <v>2163</v>
      </c>
      <c r="B1813" t="s">
        <v>2596</v>
      </c>
      <c r="C1813" t="s">
        <v>2071</v>
      </c>
      <c r="D1813" s="3">
        <f t="shared" si="145"/>
        <v>7.5</v>
      </c>
      <c r="E1813" t="s">
        <v>614</v>
      </c>
      <c r="F1813" t="s">
        <v>13</v>
      </c>
      <c r="G1813">
        <f t="shared" si="146"/>
        <v>1325000</v>
      </c>
      <c r="H1813" t="s">
        <v>683</v>
      </c>
      <c r="I1813" t="s">
        <v>2164</v>
      </c>
      <c r="J1813" s="2">
        <f t="shared" si="147"/>
        <v>1260000</v>
      </c>
      <c r="K1813" t="s">
        <v>2165</v>
      </c>
      <c r="L1813">
        <f t="shared" si="148"/>
        <v>0.17291666666666669</v>
      </c>
      <c r="M1813" s="5">
        <v>0.17291666666666669</v>
      </c>
      <c r="N1813" t="s">
        <v>18</v>
      </c>
      <c r="P1813" t="s">
        <v>2166</v>
      </c>
      <c r="R1813" s="3">
        <f t="shared" si="144"/>
        <v>4.1500000000000004</v>
      </c>
    </row>
    <row r="1814" spans="1:18" hidden="1" x14ac:dyDescent="0.25">
      <c r="A1814" t="s">
        <v>2632</v>
      </c>
      <c r="B1814" t="s">
        <v>3206</v>
      </c>
      <c r="C1814" t="s">
        <v>2600</v>
      </c>
      <c r="D1814" s="3">
        <f t="shared" si="145"/>
        <v>16.559999999999999</v>
      </c>
      <c r="E1814" t="s">
        <v>2633</v>
      </c>
      <c r="F1814" t="s">
        <v>34</v>
      </c>
      <c r="G1814">
        <f t="shared" si="146"/>
        <v>3425000</v>
      </c>
      <c r="H1814" t="s">
        <v>2634</v>
      </c>
      <c r="I1814" t="s">
        <v>2635</v>
      </c>
      <c r="J1814" s="2">
        <f t="shared" si="147"/>
        <v>3255000</v>
      </c>
      <c r="K1814" t="s">
        <v>2636</v>
      </c>
      <c r="L1814">
        <f t="shared" si="148"/>
        <v>0.17291666666666669</v>
      </c>
      <c r="M1814" s="5">
        <v>0.17291666666666669</v>
      </c>
      <c r="N1814" t="s">
        <v>18</v>
      </c>
      <c r="P1814" t="s">
        <v>899</v>
      </c>
      <c r="R1814" s="3">
        <f t="shared" si="144"/>
        <v>4.1500000000000004</v>
      </c>
    </row>
    <row r="1815" spans="1:18" hidden="1" x14ac:dyDescent="0.25">
      <c r="A1815" t="s">
        <v>2657</v>
      </c>
      <c r="B1815" t="s">
        <v>3206</v>
      </c>
      <c r="C1815" t="s">
        <v>2600</v>
      </c>
      <c r="D1815" s="3">
        <f t="shared" si="145"/>
        <v>14.100000000000001</v>
      </c>
      <c r="E1815" t="s">
        <v>2658</v>
      </c>
      <c r="F1815" t="s">
        <v>34</v>
      </c>
      <c r="G1815">
        <f t="shared" si="146"/>
        <v>2875000</v>
      </c>
      <c r="H1815" t="s">
        <v>1414</v>
      </c>
      <c r="I1815" t="s">
        <v>2659</v>
      </c>
      <c r="J1815" s="2">
        <f t="shared" si="147"/>
        <v>2732500</v>
      </c>
      <c r="K1815" t="s">
        <v>2480</v>
      </c>
      <c r="L1815">
        <f t="shared" si="148"/>
        <v>0.17222222222222225</v>
      </c>
      <c r="M1815" s="5">
        <v>0.17222222222222225</v>
      </c>
      <c r="N1815" t="s">
        <v>18</v>
      </c>
      <c r="P1815" t="s">
        <v>2481</v>
      </c>
      <c r="R1815" s="3">
        <f t="shared" si="144"/>
        <v>4.1333333333333337</v>
      </c>
    </row>
    <row r="1816" spans="1:18" hidden="1" x14ac:dyDescent="0.25">
      <c r="A1816" t="s">
        <v>2648</v>
      </c>
      <c r="B1816" t="s">
        <v>3206</v>
      </c>
      <c r="C1816" t="s">
        <v>2600</v>
      </c>
      <c r="D1816" s="3">
        <f t="shared" si="145"/>
        <v>13.5</v>
      </c>
      <c r="E1816" t="s">
        <v>446</v>
      </c>
      <c r="F1816" t="s">
        <v>34</v>
      </c>
      <c r="G1816">
        <f t="shared" si="146"/>
        <v>2625000</v>
      </c>
      <c r="H1816" t="s">
        <v>2257</v>
      </c>
      <c r="I1816" t="s">
        <v>2649</v>
      </c>
      <c r="J1816" s="2">
        <f t="shared" si="147"/>
        <v>2417000</v>
      </c>
      <c r="K1816" t="s">
        <v>2650</v>
      </c>
      <c r="L1816">
        <f t="shared" si="148"/>
        <v>0.17083333333333331</v>
      </c>
      <c r="M1816" s="5">
        <v>0.17083333333333331</v>
      </c>
      <c r="N1816" t="s">
        <v>18</v>
      </c>
      <c r="P1816" t="s">
        <v>2651</v>
      </c>
      <c r="R1816" s="3">
        <f t="shared" si="144"/>
        <v>4.0999999999999996</v>
      </c>
    </row>
    <row r="1817" spans="1:18" hidden="1" x14ac:dyDescent="0.25">
      <c r="A1817" t="s">
        <v>2672</v>
      </c>
      <c r="B1817" t="s">
        <v>3206</v>
      </c>
      <c r="C1817" t="s">
        <v>2600</v>
      </c>
      <c r="D1817" s="3" t="e">
        <f t="shared" si="145"/>
        <v>#VALUE!</v>
      </c>
      <c r="E1817" t="s">
        <v>14</v>
      </c>
      <c r="F1817" t="s">
        <v>34</v>
      </c>
      <c r="G1817">
        <f t="shared" si="146"/>
        <v>1925000</v>
      </c>
      <c r="H1817" t="s">
        <v>552</v>
      </c>
      <c r="I1817" t="s">
        <v>2673</v>
      </c>
      <c r="J1817" s="2">
        <f t="shared" si="147"/>
        <v>1830000</v>
      </c>
      <c r="K1817" t="s">
        <v>1828</v>
      </c>
      <c r="L1817">
        <f t="shared" si="148"/>
        <v>0.17083333333333331</v>
      </c>
      <c r="M1817" s="5">
        <v>0.17083333333333331</v>
      </c>
      <c r="N1817" t="s">
        <v>18</v>
      </c>
      <c r="P1817" t="s">
        <v>1171</v>
      </c>
      <c r="R1817" s="3">
        <f t="shared" si="144"/>
        <v>4.0999999999999996</v>
      </c>
    </row>
    <row r="1818" spans="1:18" hidden="1" x14ac:dyDescent="0.25">
      <c r="A1818" t="s">
        <v>2683</v>
      </c>
      <c r="B1818" t="s">
        <v>3206</v>
      </c>
      <c r="C1818" t="s">
        <v>2618</v>
      </c>
      <c r="D1818" s="3">
        <f t="shared" si="145"/>
        <v>7.5</v>
      </c>
      <c r="E1818" t="s">
        <v>614</v>
      </c>
      <c r="F1818" t="s">
        <v>13</v>
      </c>
      <c r="G1818" t="str">
        <f t="shared" si="146"/>
        <v/>
      </c>
      <c r="H1818" t="s">
        <v>14</v>
      </c>
      <c r="I1818" t="s">
        <v>2684</v>
      </c>
      <c r="J1818" s="2">
        <f t="shared" si="147"/>
        <v>2025000</v>
      </c>
      <c r="K1818" t="s">
        <v>1065</v>
      </c>
      <c r="L1818">
        <f t="shared" si="148"/>
        <v>0.17083333333333331</v>
      </c>
      <c r="M1818" s="5">
        <v>0.17083333333333331</v>
      </c>
      <c r="N1818" t="s">
        <v>18</v>
      </c>
      <c r="P1818" t="s">
        <v>1171</v>
      </c>
      <c r="R1818" s="3">
        <f t="shared" si="144"/>
        <v>4.0999999999999996</v>
      </c>
    </row>
    <row r="1819" spans="1:18" hidden="1" x14ac:dyDescent="0.25">
      <c r="A1819" t="s">
        <v>5588</v>
      </c>
      <c r="B1819" t="s">
        <v>5848</v>
      </c>
      <c r="C1819" t="s">
        <v>5369</v>
      </c>
      <c r="D1819" s="3">
        <f t="shared" si="145"/>
        <v>9</v>
      </c>
      <c r="E1819" t="s">
        <v>12</v>
      </c>
      <c r="F1819" t="s">
        <v>34</v>
      </c>
      <c r="G1819">
        <f t="shared" si="146"/>
        <v>1325000</v>
      </c>
      <c r="H1819" t="s">
        <v>683</v>
      </c>
      <c r="I1819" t="s">
        <v>5589</v>
      </c>
      <c r="J1819" s="2">
        <f t="shared" si="147"/>
        <v>1260000</v>
      </c>
      <c r="K1819" t="s">
        <v>2165</v>
      </c>
      <c r="L1819">
        <f t="shared" si="148"/>
        <v>0.17083333333333331</v>
      </c>
      <c r="M1819" s="5">
        <v>0.17083333333333331</v>
      </c>
      <c r="N1819" t="s">
        <v>18</v>
      </c>
      <c r="P1819" t="s">
        <v>2166</v>
      </c>
      <c r="R1819" s="3">
        <f t="shared" si="144"/>
        <v>4.0999999999999996</v>
      </c>
    </row>
    <row r="1820" spans="1:18" hidden="1" x14ac:dyDescent="0.25">
      <c r="A1820" t="s">
        <v>5653</v>
      </c>
      <c r="B1820" t="s">
        <v>5848</v>
      </c>
      <c r="C1820" t="s">
        <v>5350</v>
      </c>
      <c r="D1820" s="3">
        <f t="shared" si="145"/>
        <v>13.5</v>
      </c>
      <c r="E1820" t="s">
        <v>667</v>
      </c>
      <c r="F1820" t="s">
        <v>13</v>
      </c>
      <c r="G1820">
        <f t="shared" si="146"/>
        <v>2425000</v>
      </c>
      <c r="H1820" t="s">
        <v>1544</v>
      </c>
      <c r="I1820" t="s">
        <v>5654</v>
      </c>
      <c r="J1820" s="2">
        <f t="shared" si="147"/>
        <v>2305000</v>
      </c>
      <c r="K1820" t="s">
        <v>1841</v>
      </c>
      <c r="L1820">
        <f t="shared" si="148"/>
        <v>0.20833333333333334</v>
      </c>
      <c r="M1820" s="5">
        <v>0.20833333333333334</v>
      </c>
      <c r="N1820" t="s">
        <v>43</v>
      </c>
      <c r="P1820" t="s">
        <v>665</v>
      </c>
      <c r="R1820" s="3">
        <f t="shared" si="144"/>
        <v>5</v>
      </c>
    </row>
    <row r="1821" spans="1:18" hidden="1" x14ac:dyDescent="0.25">
      <c r="A1821" t="s">
        <v>5547</v>
      </c>
      <c r="B1821" t="s">
        <v>5848</v>
      </c>
      <c r="C1821" t="s">
        <v>5350</v>
      </c>
      <c r="D1821" s="3">
        <f t="shared" si="145"/>
        <v>9</v>
      </c>
      <c r="E1821" t="s">
        <v>12</v>
      </c>
      <c r="F1821" t="s">
        <v>13</v>
      </c>
      <c r="G1821" t="str">
        <f t="shared" si="146"/>
        <v/>
      </c>
      <c r="H1821" t="s">
        <v>14</v>
      </c>
      <c r="I1821" t="s">
        <v>5548</v>
      </c>
      <c r="J1821" s="2">
        <f t="shared" si="147"/>
        <v>2125000</v>
      </c>
      <c r="K1821" t="s">
        <v>936</v>
      </c>
      <c r="L1821">
        <f t="shared" si="148"/>
        <v>0.17291666666666669</v>
      </c>
      <c r="M1821" s="5">
        <v>0.17291666666666669</v>
      </c>
      <c r="N1821" t="s">
        <v>43</v>
      </c>
      <c r="P1821" t="s">
        <v>752</v>
      </c>
      <c r="R1821" s="3">
        <f t="shared" si="144"/>
        <v>4.1500000000000004</v>
      </c>
    </row>
    <row r="1822" spans="1:18" hidden="1" x14ac:dyDescent="0.25">
      <c r="A1822" t="s">
        <v>5525</v>
      </c>
      <c r="B1822" t="s">
        <v>5848</v>
      </c>
      <c r="C1822" t="s">
        <v>5350</v>
      </c>
      <c r="D1822" s="3">
        <f t="shared" si="145"/>
        <v>13.020000000000001</v>
      </c>
      <c r="E1822" t="s">
        <v>5526</v>
      </c>
      <c r="F1822" t="s">
        <v>13</v>
      </c>
      <c r="G1822">
        <f t="shared" si="146"/>
        <v>2750000</v>
      </c>
      <c r="H1822" t="s">
        <v>1464</v>
      </c>
      <c r="I1822" t="s">
        <v>5527</v>
      </c>
      <c r="J1822" s="2">
        <f t="shared" si="147"/>
        <v>2613750</v>
      </c>
      <c r="K1822" t="s">
        <v>5528</v>
      </c>
      <c r="L1822">
        <f t="shared" si="148"/>
        <v>0.17291666666666669</v>
      </c>
      <c r="M1822" s="5">
        <v>0.17291666666666669</v>
      </c>
      <c r="N1822" t="s">
        <v>43</v>
      </c>
      <c r="P1822" t="s">
        <v>1657</v>
      </c>
      <c r="R1822" s="3">
        <f t="shared" si="144"/>
        <v>4.1500000000000004</v>
      </c>
    </row>
    <row r="1823" spans="1:18" hidden="1" x14ac:dyDescent="0.25">
      <c r="A1823" t="s">
        <v>3159</v>
      </c>
      <c r="B1823" t="s">
        <v>3206</v>
      </c>
      <c r="C1823" t="s">
        <v>2618</v>
      </c>
      <c r="D1823" s="3">
        <f t="shared" si="145"/>
        <v>10.5</v>
      </c>
      <c r="E1823" t="s">
        <v>653</v>
      </c>
      <c r="F1823" t="s">
        <v>13</v>
      </c>
      <c r="G1823" t="str">
        <f t="shared" si="146"/>
        <v/>
      </c>
      <c r="H1823" t="s">
        <v>14</v>
      </c>
      <c r="I1823" t="s">
        <v>3160</v>
      </c>
      <c r="J1823" s="2">
        <f t="shared" si="147"/>
        <v>2325000</v>
      </c>
      <c r="K1823" t="s">
        <v>1352</v>
      </c>
      <c r="L1823">
        <f t="shared" si="148"/>
        <v>0.17083333333333331</v>
      </c>
      <c r="M1823" s="5">
        <v>0.17083333333333331</v>
      </c>
      <c r="N1823" t="s">
        <v>37</v>
      </c>
      <c r="R1823" s="3">
        <f t="shared" si="144"/>
        <v>4.0999999999999996</v>
      </c>
    </row>
    <row r="1824" spans="1:18" hidden="1" x14ac:dyDescent="0.25">
      <c r="A1824" t="s">
        <v>3298</v>
      </c>
      <c r="B1824" t="s">
        <v>3233</v>
      </c>
      <c r="C1824" t="s">
        <v>3261</v>
      </c>
      <c r="D1824" s="3">
        <f t="shared" si="145"/>
        <v>12.6</v>
      </c>
      <c r="E1824" t="s">
        <v>3299</v>
      </c>
      <c r="F1824" t="s">
        <v>13</v>
      </c>
      <c r="G1824">
        <f t="shared" si="146"/>
        <v>1675000</v>
      </c>
      <c r="H1824" t="s">
        <v>1119</v>
      </c>
      <c r="I1824" t="s">
        <v>3300</v>
      </c>
      <c r="J1824" s="2">
        <f t="shared" si="147"/>
        <v>1592500</v>
      </c>
      <c r="K1824" t="s">
        <v>1448</v>
      </c>
      <c r="L1824">
        <f t="shared" si="148"/>
        <v>0.17222222222222225</v>
      </c>
      <c r="M1824" s="5">
        <v>0.17222222222222225</v>
      </c>
      <c r="N1824" t="s">
        <v>43</v>
      </c>
      <c r="P1824" t="s">
        <v>1449</v>
      </c>
      <c r="R1824" s="3">
        <f t="shared" si="144"/>
        <v>4.1333333333333337</v>
      </c>
    </row>
    <row r="1825" spans="1:18" x14ac:dyDescent="0.25">
      <c r="A1825" t="s">
        <v>3005</v>
      </c>
      <c r="B1825" t="s">
        <v>3206</v>
      </c>
      <c r="C1825" t="s">
        <v>2611</v>
      </c>
      <c r="D1825" s="3" t="e">
        <f t="shared" si="145"/>
        <v>#VALUE!</v>
      </c>
      <c r="E1825" t="s">
        <v>14</v>
      </c>
      <c r="F1825" t="s">
        <v>14</v>
      </c>
      <c r="G1825">
        <f t="shared" si="146"/>
        <v>2275000</v>
      </c>
      <c r="H1825" t="s">
        <v>1027</v>
      </c>
      <c r="I1825" t="s">
        <v>110</v>
      </c>
      <c r="J1825" s="2">
        <f t="shared" si="147"/>
        <v>2162500</v>
      </c>
      <c r="K1825" t="s">
        <v>1029</v>
      </c>
      <c r="L1825">
        <f t="shared" si="148"/>
        <v>0.17222222222222225</v>
      </c>
      <c r="M1825" s="5">
        <v>0.17222222222222225</v>
      </c>
      <c r="N1825" t="s">
        <v>18</v>
      </c>
      <c r="P1825" t="s">
        <v>1030</v>
      </c>
      <c r="R1825" s="3">
        <f t="shared" si="144"/>
        <v>4.1333333333333337</v>
      </c>
    </row>
    <row r="1826" spans="1:18" hidden="1" x14ac:dyDescent="0.25">
      <c r="A1826" t="s">
        <v>3491</v>
      </c>
      <c r="B1826" t="s">
        <v>3233</v>
      </c>
      <c r="C1826" t="s">
        <v>3261</v>
      </c>
      <c r="D1826" s="3">
        <f t="shared" si="145"/>
        <v>12.24</v>
      </c>
      <c r="E1826" t="s">
        <v>3492</v>
      </c>
      <c r="F1826" t="s">
        <v>13</v>
      </c>
      <c r="G1826">
        <f t="shared" si="146"/>
        <v>1175000</v>
      </c>
      <c r="H1826" t="s">
        <v>779</v>
      </c>
      <c r="I1826" t="s">
        <v>3493</v>
      </c>
      <c r="J1826" s="2">
        <f t="shared" si="147"/>
        <v>1117500</v>
      </c>
      <c r="K1826" t="s">
        <v>3494</v>
      </c>
      <c r="L1826">
        <f t="shared" si="148"/>
        <v>0.17291666666666669</v>
      </c>
      <c r="M1826" s="5">
        <v>0.17291666666666669</v>
      </c>
      <c r="N1826" t="s">
        <v>43</v>
      </c>
      <c r="P1826" t="s">
        <v>3495</v>
      </c>
      <c r="R1826" s="3">
        <f t="shared" si="144"/>
        <v>4.1500000000000004</v>
      </c>
    </row>
    <row r="1827" spans="1:18" hidden="1" x14ac:dyDescent="0.25">
      <c r="A1827" t="s">
        <v>3289</v>
      </c>
      <c r="B1827" t="s">
        <v>3233</v>
      </c>
      <c r="C1827" t="s">
        <v>3261</v>
      </c>
      <c r="D1827" s="3">
        <f t="shared" si="145"/>
        <v>8.64</v>
      </c>
      <c r="E1827" t="s">
        <v>1344</v>
      </c>
      <c r="F1827" t="s">
        <v>13</v>
      </c>
      <c r="G1827">
        <f t="shared" si="146"/>
        <v>1075000</v>
      </c>
      <c r="H1827" t="s">
        <v>838</v>
      </c>
      <c r="I1827" t="s">
        <v>3290</v>
      </c>
      <c r="J1827" s="2">
        <f t="shared" si="147"/>
        <v>1022500</v>
      </c>
      <c r="K1827" t="s">
        <v>2705</v>
      </c>
      <c r="L1827">
        <f t="shared" si="148"/>
        <v>0.17222222222222225</v>
      </c>
      <c r="M1827" s="5">
        <v>0.17222222222222225</v>
      </c>
      <c r="N1827" t="s">
        <v>43</v>
      </c>
      <c r="P1827" t="s">
        <v>2706</v>
      </c>
      <c r="R1827" s="3">
        <f t="shared" si="144"/>
        <v>4.1333333333333337</v>
      </c>
    </row>
    <row r="1828" spans="1:18" hidden="1" x14ac:dyDescent="0.25">
      <c r="A1828" t="s">
        <v>2266</v>
      </c>
      <c r="B1828" t="s">
        <v>2596</v>
      </c>
      <c r="C1828" t="s">
        <v>1999</v>
      </c>
      <c r="D1828" s="3">
        <f t="shared" si="145"/>
        <v>11.61</v>
      </c>
      <c r="E1828" t="s">
        <v>2267</v>
      </c>
      <c r="F1828" t="s">
        <v>34</v>
      </c>
      <c r="G1828" t="str">
        <f t="shared" si="146"/>
        <v/>
      </c>
      <c r="H1828" t="s">
        <v>14</v>
      </c>
      <c r="I1828" t="s">
        <v>2268</v>
      </c>
      <c r="J1828" s="2">
        <f t="shared" si="147"/>
        <v>1805000</v>
      </c>
      <c r="K1828" t="s">
        <v>2269</v>
      </c>
      <c r="L1828">
        <f t="shared" si="148"/>
        <v>0.17013888888888887</v>
      </c>
      <c r="M1828" s="5">
        <v>0.17013888888888887</v>
      </c>
      <c r="N1828" t="s">
        <v>37</v>
      </c>
      <c r="R1828" s="3">
        <f t="shared" si="144"/>
        <v>4.083333333333333</v>
      </c>
    </row>
    <row r="1829" spans="1:18" hidden="1" x14ac:dyDescent="0.25">
      <c r="A1829" t="s">
        <v>2199</v>
      </c>
      <c r="B1829" t="s">
        <v>2596</v>
      </c>
      <c r="C1829" t="s">
        <v>1999</v>
      </c>
      <c r="D1829" s="3">
        <f t="shared" si="145"/>
        <v>4.620000000000001</v>
      </c>
      <c r="E1829" t="s">
        <v>2200</v>
      </c>
      <c r="F1829" t="s">
        <v>34</v>
      </c>
      <c r="G1829" t="str">
        <f t="shared" si="146"/>
        <v/>
      </c>
      <c r="H1829" t="s">
        <v>14</v>
      </c>
      <c r="I1829" t="s">
        <v>2201</v>
      </c>
      <c r="J1829" s="2">
        <f t="shared" si="147"/>
        <v>1495000</v>
      </c>
      <c r="K1829" t="s">
        <v>2202</v>
      </c>
      <c r="L1829">
        <f t="shared" si="148"/>
        <v>0.17222222222222225</v>
      </c>
      <c r="M1829" s="5">
        <v>0.17222222222222225</v>
      </c>
      <c r="N1829" t="s">
        <v>37</v>
      </c>
      <c r="P1829" t="s">
        <v>2065</v>
      </c>
      <c r="R1829" s="3">
        <f t="shared" si="144"/>
        <v>4.1333333333333337</v>
      </c>
    </row>
    <row r="1830" spans="1:18" hidden="1" x14ac:dyDescent="0.25">
      <c r="A1830" t="s">
        <v>5651</v>
      </c>
      <c r="B1830" t="s">
        <v>5848</v>
      </c>
      <c r="C1830" t="s">
        <v>1163</v>
      </c>
      <c r="D1830" s="3">
        <f t="shared" si="145"/>
        <v>13.5</v>
      </c>
      <c r="E1830" t="s">
        <v>667</v>
      </c>
      <c r="F1830" t="s">
        <v>13</v>
      </c>
      <c r="G1830">
        <f t="shared" si="146"/>
        <v>1600000</v>
      </c>
      <c r="H1830" t="s">
        <v>95</v>
      </c>
      <c r="I1830" t="s">
        <v>5652</v>
      </c>
      <c r="J1830" s="2">
        <f t="shared" si="147"/>
        <v>1440000</v>
      </c>
      <c r="K1830" t="s">
        <v>672</v>
      </c>
      <c r="L1830">
        <f t="shared" si="148"/>
        <v>0.17222222222222225</v>
      </c>
      <c r="M1830" s="5">
        <v>0.17222222222222225</v>
      </c>
      <c r="N1830" t="s">
        <v>18</v>
      </c>
      <c r="P1830" t="s">
        <v>673</v>
      </c>
      <c r="R1830" s="3">
        <f t="shared" si="144"/>
        <v>4.1333333333333337</v>
      </c>
    </row>
    <row r="1831" spans="1:18" x14ac:dyDescent="0.25">
      <c r="A1831" t="s">
        <v>1343</v>
      </c>
      <c r="B1831" t="s">
        <v>1303</v>
      </c>
      <c r="C1831" t="s">
        <v>1312</v>
      </c>
      <c r="D1831" s="3">
        <f t="shared" si="145"/>
        <v>8.64</v>
      </c>
      <c r="E1831" t="s">
        <v>1344</v>
      </c>
      <c r="F1831" t="s">
        <v>13</v>
      </c>
      <c r="G1831">
        <f t="shared" si="146"/>
        <v>2275000</v>
      </c>
      <c r="H1831" t="s">
        <v>1027</v>
      </c>
      <c r="I1831" t="s">
        <v>1345</v>
      </c>
      <c r="J1831" s="2">
        <f t="shared" si="147"/>
        <v>2162500</v>
      </c>
      <c r="K1831" t="s">
        <v>1029</v>
      </c>
      <c r="L1831">
        <f t="shared" si="148"/>
        <v>0.17222222222222225</v>
      </c>
      <c r="M1831" s="5">
        <v>0.17222222222222225</v>
      </c>
      <c r="N1831" t="s">
        <v>43</v>
      </c>
      <c r="P1831" t="s">
        <v>1030</v>
      </c>
      <c r="R1831" s="3">
        <f t="shared" si="144"/>
        <v>4.1333333333333337</v>
      </c>
    </row>
    <row r="1832" spans="1:18" hidden="1" x14ac:dyDescent="0.25">
      <c r="A1832" t="s">
        <v>5793</v>
      </c>
      <c r="B1832" t="s">
        <v>5848</v>
      </c>
      <c r="C1832" t="s">
        <v>5409</v>
      </c>
      <c r="D1832" s="3">
        <f t="shared" si="145"/>
        <v>10.5</v>
      </c>
      <c r="E1832" t="s">
        <v>653</v>
      </c>
      <c r="F1832" t="s">
        <v>34</v>
      </c>
      <c r="G1832">
        <f t="shared" si="146"/>
        <v>1875000</v>
      </c>
      <c r="H1832" t="s">
        <v>884</v>
      </c>
      <c r="I1832" t="s">
        <v>5794</v>
      </c>
      <c r="J1832" s="2">
        <f t="shared" si="147"/>
        <v>1727000</v>
      </c>
      <c r="K1832" t="s">
        <v>1642</v>
      </c>
      <c r="L1832">
        <f t="shared" si="148"/>
        <v>0.17291666666666669</v>
      </c>
      <c r="M1832" s="5">
        <v>0.17291666666666669</v>
      </c>
      <c r="N1832" t="s">
        <v>18</v>
      </c>
      <c r="P1832" t="s">
        <v>1643</v>
      </c>
      <c r="R1832" s="3">
        <f t="shared" si="144"/>
        <v>4.1500000000000004</v>
      </c>
    </row>
    <row r="1833" spans="1:18" hidden="1" x14ac:dyDescent="0.25">
      <c r="A1833" t="s">
        <v>2373</v>
      </c>
      <c r="B1833" t="s">
        <v>2596</v>
      </c>
      <c r="C1833" t="s">
        <v>2071</v>
      </c>
      <c r="D1833" s="3">
        <f t="shared" si="145"/>
        <v>6.25</v>
      </c>
      <c r="E1833" t="s">
        <v>74</v>
      </c>
      <c r="F1833" t="s">
        <v>13</v>
      </c>
      <c r="G1833">
        <f t="shared" si="146"/>
        <v>1625000</v>
      </c>
      <c r="H1833" t="s">
        <v>702</v>
      </c>
      <c r="I1833" t="s">
        <v>2374</v>
      </c>
      <c r="J1833" s="2">
        <f t="shared" si="147"/>
        <v>1545000</v>
      </c>
      <c r="K1833" t="s">
        <v>1503</v>
      </c>
      <c r="L1833">
        <f t="shared" si="148"/>
        <v>0.20833333333333334</v>
      </c>
      <c r="M1833" s="5">
        <v>0.20833333333333334</v>
      </c>
      <c r="N1833" t="s">
        <v>18</v>
      </c>
      <c r="P1833" t="s">
        <v>719</v>
      </c>
      <c r="R1833" s="3">
        <f t="shared" si="144"/>
        <v>5</v>
      </c>
    </row>
    <row r="1834" spans="1:18" hidden="1" x14ac:dyDescent="0.25">
      <c r="A1834" t="s">
        <v>2158</v>
      </c>
      <c r="B1834" t="s">
        <v>2596</v>
      </c>
      <c r="C1834" t="s">
        <v>2071</v>
      </c>
      <c r="D1834" s="3">
        <f t="shared" si="145"/>
        <v>6.25</v>
      </c>
      <c r="E1834" t="s">
        <v>74</v>
      </c>
      <c r="F1834" t="s">
        <v>13</v>
      </c>
      <c r="G1834">
        <f t="shared" si="146"/>
        <v>1375000</v>
      </c>
      <c r="H1834" t="s">
        <v>812</v>
      </c>
      <c r="I1834" t="s">
        <v>2159</v>
      </c>
      <c r="J1834" s="2">
        <f t="shared" si="147"/>
        <v>1307500</v>
      </c>
      <c r="K1834" t="s">
        <v>1817</v>
      </c>
      <c r="L1834">
        <f t="shared" si="148"/>
        <v>0.17083333333333331</v>
      </c>
      <c r="M1834" s="5">
        <v>0.17083333333333331</v>
      </c>
      <c r="N1834" t="s">
        <v>18</v>
      </c>
      <c r="P1834" t="s">
        <v>745</v>
      </c>
      <c r="R1834" s="3">
        <f t="shared" si="144"/>
        <v>4.0999999999999996</v>
      </c>
    </row>
    <row r="1835" spans="1:18" hidden="1" x14ac:dyDescent="0.25">
      <c r="A1835" t="s">
        <v>2496</v>
      </c>
      <c r="B1835" t="s">
        <v>2596</v>
      </c>
      <c r="C1835" t="s">
        <v>2071</v>
      </c>
      <c r="D1835" s="3">
        <f t="shared" si="145"/>
        <v>6</v>
      </c>
      <c r="E1835" t="s">
        <v>285</v>
      </c>
      <c r="F1835" t="s">
        <v>13</v>
      </c>
      <c r="G1835" t="str">
        <f t="shared" si="146"/>
        <v/>
      </c>
      <c r="H1835" t="s">
        <v>14</v>
      </c>
      <c r="I1835" t="s">
        <v>2497</v>
      </c>
      <c r="J1835" s="2">
        <f t="shared" si="147"/>
        <v>1225000</v>
      </c>
      <c r="K1835" t="s">
        <v>661</v>
      </c>
      <c r="L1835">
        <f t="shared" si="148"/>
        <v>0.20833333333333334</v>
      </c>
      <c r="M1835" s="5">
        <v>0.20833333333333334</v>
      </c>
      <c r="N1835" t="s">
        <v>18</v>
      </c>
      <c r="P1835" t="s">
        <v>745</v>
      </c>
      <c r="R1835" s="3">
        <f t="shared" si="144"/>
        <v>5</v>
      </c>
    </row>
    <row r="1836" spans="1:18" hidden="1" x14ac:dyDescent="0.25">
      <c r="A1836" t="s">
        <v>2723</v>
      </c>
      <c r="B1836" t="s">
        <v>3206</v>
      </c>
      <c r="C1836" t="s">
        <v>2613</v>
      </c>
      <c r="D1836" s="3">
        <f t="shared" si="145"/>
        <v>14.639999999999999</v>
      </c>
      <c r="E1836" t="s">
        <v>2724</v>
      </c>
      <c r="F1836" t="s">
        <v>34</v>
      </c>
      <c r="G1836">
        <f t="shared" si="146"/>
        <v>3025000</v>
      </c>
      <c r="H1836" t="s">
        <v>1793</v>
      </c>
      <c r="I1836" t="s">
        <v>2725</v>
      </c>
      <c r="J1836" s="2">
        <f t="shared" si="147"/>
        <v>2785000</v>
      </c>
      <c r="K1836" t="s">
        <v>2726</v>
      </c>
      <c r="L1836">
        <f t="shared" si="148"/>
        <v>0.17222222222222225</v>
      </c>
      <c r="M1836" s="5">
        <v>0.17222222222222225</v>
      </c>
      <c r="N1836" t="s">
        <v>43</v>
      </c>
      <c r="P1836" t="s">
        <v>1592</v>
      </c>
      <c r="R1836" s="3">
        <f t="shared" si="144"/>
        <v>4.1333333333333337</v>
      </c>
    </row>
    <row r="1837" spans="1:18" hidden="1" x14ac:dyDescent="0.25">
      <c r="A1837" t="s">
        <v>2645</v>
      </c>
      <c r="B1837" t="s">
        <v>3206</v>
      </c>
      <c r="C1837" t="s">
        <v>2600</v>
      </c>
      <c r="D1837" s="3">
        <f t="shared" si="145"/>
        <v>11.9</v>
      </c>
      <c r="E1837" t="s">
        <v>2646</v>
      </c>
      <c r="F1837" t="s">
        <v>34</v>
      </c>
      <c r="G1837">
        <f t="shared" si="146"/>
        <v>2825000</v>
      </c>
      <c r="H1837" t="s">
        <v>1604</v>
      </c>
      <c r="I1837" t="s">
        <v>2647</v>
      </c>
      <c r="J1837" s="2">
        <f t="shared" si="147"/>
        <v>2685000</v>
      </c>
      <c r="K1837" t="s">
        <v>1606</v>
      </c>
      <c r="L1837">
        <f t="shared" si="148"/>
        <v>0.17222222222222225</v>
      </c>
      <c r="M1837" s="5">
        <v>0.17222222222222225</v>
      </c>
      <c r="N1837" t="s">
        <v>43</v>
      </c>
      <c r="P1837" t="s">
        <v>1607</v>
      </c>
      <c r="R1837" s="3">
        <f t="shared" si="144"/>
        <v>4.1333333333333337</v>
      </c>
    </row>
    <row r="1838" spans="1:18" hidden="1" x14ac:dyDescent="0.25">
      <c r="A1838" t="s">
        <v>2851</v>
      </c>
      <c r="B1838" t="s">
        <v>3206</v>
      </c>
      <c r="C1838" t="s">
        <v>2604</v>
      </c>
      <c r="D1838" s="3">
        <f t="shared" si="145"/>
        <v>15.959999999999999</v>
      </c>
      <c r="E1838" t="s">
        <v>2852</v>
      </c>
      <c r="F1838" t="s">
        <v>13</v>
      </c>
      <c r="G1838" t="str">
        <f t="shared" si="146"/>
        <v/>
      </c>
      <c r="H1838" t="s">
        <v>14</v>
      </c>
      <c r="I1838" t="s">
        <v>2853</v>
      </c>
      <c r="J1838" s="2">
        <f t="shared" si="147"/>
        <v>2725000</v>
      </c>
      <c r="K1838" t="s">
        <v>2295</v>
      </c>
      <c r="L1838">
        <f t="shared" si="148"/>
        <v>0.17083333333333331</v>
      </c>
      <c r="M1838" s="5">
        <v>0.17083333333333331</v>
      </c>
      <c r="N1838" t="s">
        <v>43</v>
      </c>
      <c r="P1838" t="s">
        <v>1618</v>
      </c>
      <c r="R1838" s="3">
        <f t="shared" si="144"/>
        <v>4.0999999999999996</v>
      </c>
    </row>
    <row r="1839" spans="1:18" x14ac:dyDescent="0.25">
      <c r="A1839" t="s">
        <v>2907</v>
      </c>
      <c r="B1839" t="s">
        <v>3206</v>
      </c>
      <c r="C1839" t="s">
        <v>2720</v>
      </c>
      <c r="D1839" s="3">
        <f t="shared" si="145"/>
        <v>9</v>
      </c>
      <c r="E1839" t="s">
        <v>12</v>
      </c>
      <c r="F1839" t="s">
        <v>34</v>
      </c>
      <c r="G1839">
        <f t="shared" si="146"/>
        <v>2375000</v>
      </c>
      <c r="H1839" t="s">
        <v>1388</v>
      </c>
      <c r="I1839" t="s">
        <v>2908</v>
      </c>
      <c r="J1839" s="2">
        <f t="shared" si="147"/>
        <v>2187000</v>
      </c>
      <c r="K1839" t="s">
        <v>2909</v>
      </c>
      <c r="L1839">
        <f t="shared" si="148"/>
        <v>0.20833333333333334</v>
      </c>
      <c r="M1839" s="5">
        <v>0.20833333333333334</v>
      </c>
      <c r="N1839" t="s">
        <v>43</v>
      </c>
      <c r="P1839" t="s">
        <v>2910</v>
      </c>
      <c r="R1839" s="3">
        <f t="shared" si="144"/>
        <v>5</v>
      </c>
    </row>
    <row r="1840" spans="1:18" hidden="1" x14ac:dyDescent="0.25">
      <c r="A1840" t="s">
        <v>2668</v>
      </c>
      <c r="B1840" t="s">
        <v>3206</v>
      </c>
      <c r="C1840" t="s">
        <v>2671</v>
      </c>
      <c r="D1840" s="3">
        <f t="shared" si="145"/>
        <v>11.2</v>
      </c>
      <c r="E1840" t="s">
        <v>2669</v>
      </c>
      <c r="F1840" t="s">
        <v>13</v>
      </c>
      <c r="G1840" t="str">
        <f t="shared" si="146"/>
        <v/>
      </c>
      <c r="H1840" t="s">
        <v>14</v>
      </c>
      <c r="I1840" t="s">
        <v>2670</v>
      </c>
      <c r="J1840" s="2">
        <f t="shared" si="147"/>
        <v>1525000</v>
      </c>
      <c r="K1840" t="s">
        <v>27</v>
      </c>
      <c r="L1840">
        <f t="shared" si="148"/>
        <v>0.17291666666666669</v>
      </c>
      <c r="M1840" s="5">
        <v>0.17291666666666669</v>
      </c>
      <c r="N1840" t="s">
        <v>18</v>
      </c>
      <c r="P1840" t="s">
        <v>665</v>
      </c>
      <c r="R1840" s="3">
        <f t="shared" si="144"/>
        <v>4.1500000000000004</v>
      </c>
    </row>
    <row r="1841" spans="1:18" hidden="1" x14ac:dyDescent="0.25">
      <c r="A1841" t="s">
        <v>2433</v>
      </c>
      <c r="B1841" t="s">
        <v>2596</v>
      </c>
      <c r="C1841" t="s">
        <v>2064</v>
      </c>
      <c r="D1841" s="3">
        <f t="shared" si="145"/>
        <v>7.4399999999999995</v>
      </c>
      <c r="E1841" t="s">
        <v>2434</v>
      </c>
      <c r="F1841" t="s">
        <v>13</v>
      </c>
      <c r="G1841" t="str">
        <f t="shared" si="146"/>
        <v/>
      </c>
      <c r="H1841" t="s">
        <v>14</v>
      </c>
      <c r="I1841" t="s">
        <v>2435</v>
      </c>
      <c r="J1841" s="2">
        <f t="shared" si="147"/>
        <v>2125000</v>
      </c>
      <c r="K1841" t="s">
        <v>936</v>
      </c>
      <c r="L1841">
        <f t="shared" si="148"/>
        <v>0.17222222222222225</v>
      </c>
      <c r="M1841" s="5">
        <v>0.17222222222222225</v>
      </c>
      <c r="N1841" t="s">
        <v>18</v>
      </c>
      <c r="P1841" t="s">
        <v>673</v>
      </c>
      <c r="R1841" s="3">
        <f t="shared" si="144"/>
        <v>4.1333333333333337</v>
      </c>
    </row>
    <row r="1842" spans="1:18" hidden="1" x14ac:dyDescent="0.25">
      <c r="A1842" t="s">
        <v>5636</v>
      </c>
      <c r="B1842" t="s">
        <v>5848</v>
      </c>
      <c r="C1842" t="s">
        <v>5369</v>
      </c>
      <c r="D1842" s="3">
        <f t="shared" si="145"/>
        <v>9.4500000000000011</v>
      </c>
      <c r="E1842" t="s">
        <v>2034</v>
      </c>
      <c r="F1842" t="s">
        <v>13</v>
      </c>
      <c r="G1842" t="str">
        <f t="shared" si="146"/>
        <v/>
      </c>
      <c r="H1842" t="s">
        <v>14</v>
      </c>
      <c r="I1842" t="s">
        <v>5637</v>
      </c>
      <c r="J1842" s="2">
        <f t="shared" si="147"/>
        <v>2425000</v>
      </c>
      <c r="K1842" t="s">
        <v>1544</v>
      </c>
      <c r="L1842">
        <f t="shared" si="148"/>
        <v>0.17083333333333331</v>
      </c>
      <c r="M1842" s="5">
        <v>0.17083333333333331</v>
      </c>
      <c r="N1842" t="s">
        <v>43</v>
      </c>
      <c r="R1842" s="3">
        <f t="shared" si="144"/>
        <v>4.0999999999999996</v>
      </c>
    </row>
    <row r="1843" spans="1:18" hidden="1" x14ac:dyDescent="0.25">
      <c r="A1843" t="s">
        <v>4381</v>
      </c>
      <c r="B1843" t="s">
        <v>4272</v>
      </c>
      <c r="C1843" t="s">
        <v>4285</v>
      </c>
      <c r="D1843" s="3">
        <f t="shared" si="145"/>
        <v>12</v>
      </c>
      <c r="E1843" t="s">
        <v>33</v>
      </c>
      <c r="F1843" t="s">
        <v>13</v>
      </c>
      <c r="G1843" t="str">
        <f t="shared" si="146"/>
        <v/>
      </c>
      <c r="H1843" t="s">
        <v>14</v>
      </c>
      <c r="I1843" t="s">
        <v>4382</v>
      </c>
      <c r="J1843" s="2">
        <f t="shared" si="147"/>
        <v>1775000</v>
      </c>
      <c r="K1843" t="s">
        <v>1055</v>
      </c>
      <c r="L1843">
        <f t="shared" si="148"/>
        <v>0.20833333333333334</v>
      </c>
      <c r="M1843" s="5">
        <v>0.20833333333333334</v>
      </c>
      <c r="N1843" t="s">
        <v>18</v>
      </c>
      <c r="R1843" s="3">
        <f t="shared" si="144"/>
        <v>5</v>
      </c>
    </row>
    <row r="1844" spans="1:18" hidden="1" x14ac:dyDescent="0.25">
      <c r="A1844" t="s">
        <v>4495</v>
      </c>
      <c r="B1844" t="s">
        <v>4272</v>
      </c>
      <c r="C1844" t="s">
        <v>4285</v>
      </c>
      <c r="D1844" s="3">
        <f t="shared" si="145"/>
        <v>9</v>
      </c>
      <c r="E1844" t="s">
        <v>12</v>
      </c>
      <c r="F1844" t="s">
        <v>13</v>
      </c>
      <c r="G1844" t="str">
        <f t="shared" si="146"/>
        <v/>
      </c>
      <c r="H1844" t="s">
        <v>14</v>
      </c>
      <c r="I1844" t="s">
        <v>4496</v>
      </c>
      <c r="J1844" s="2">
        <f t="shared" si="147"/>
        <v>1475000</v>
      </c>
      <c r="K1844" t="s">
        <v>182</v>
      </c>
      <c r="L1844">
        <f t="shared" si="148"/>
        <v>0.17291666666666669</v>
      </c>
      <c r="M1844" s="5">
        <v>0.17291666666666669</v>
      </c>
      <c r="N1844" t="s">
        <v>18</v>
      </c>
      <c r="R1844" s="3">
        <f t="shared" si="144"/>
        <v>4.1500000000000004</v>
      </c>
    </row>
    <row r="1845" spans="1:18" hidden="1" x14ac:dyDescent="0.25">
      <c r="A1845" t="s">
        <v>4008</v>
      </c>
      <c r="B1845" t="s">
        <v>3746</v>
      </c>
      <c r="C1845" t="s">
        <v>3746</v>
      </c>
      <c r="D1845" s="3">
        <f t="shared" si="145"/>
        <v>25</v>
      </c>
      <c r="E1845" t="s">
        <v>481</v>
      </c>
      <c r="F1845" t="s">
        <v>13</v>
      </c>
      <c r="G1845">
        <f t="shared" si="146"/>
        <v>2425000</v>
      </c>
      <c r="H1845" t="s">
        <v>1544</v>
      </c>
      <c r="I1845" t="s">
        <v>4009</v>
      </c>
      <c r="J1845" s="2">
        <f t="shared" si="147"/>
        <v>2233000</v>
      </c>
      <c r="K1845" t="s">
        <v>1546</v>
      </c>
      <c r="L1845">
        <f t="shared" si="148"/>
        <v>0.17083333333333331</v>
      </c>
      <c r="M1845" s="5">
        <v>0.17083333333333331</v>
      </c>
      <c r="N1845" t="s">
        <v>18</v>
      </c>
      <c r="P1845" t="s">
        <v>1547</v>
      </c>
      <c r="R1845" s="3">
        <f t="shared" si="144"/>
        <v>4.0999999999999996</v>
      </c>
    </row>
    <row r="1846" spans="1:18" hidden="1" x14ac:dyDescent="0.25">
      <c r="A1846" t="s">
        <v>3922</v>
      </c>
      <c r="B1846" t="s">
        <v>3746</v>
      </c>
      <c r="C1846" t="s">
        <v>3746</v>
      </c>
      <c r="D1846" s="3">
        <f t="shared" si="145"/>
        <v>13.440000000000001</v>
      </c>
      <c r="E1846" t="s">
        <v>3923</v>
      </c>
      <c r="F1846" t="s">
        <v>13</v>
      </c>
      <c r="G1846" t="str">
        <f t="shared" si="146"/>
        <v/>
      </c>
      <c r="H1846" t="s">
        <v>14</v>
      </c>
      <c r="I1846" t="s">
        <v>3924</v>
      </c>
      <c r="J1846" s="2">
        <f t="shared" si="147"/>
        <v>2225000</v>
      </c>
      <c r="K1846" t="s">
        <v>1339</v>
      </c>
      <c r="L1846">
        <f t="shared" si="148"/>
        <v>0.16666666666666666</v>
      </c>
      <c r="M1846" s="5">
        <v>0.16666666666666666</v>
      </c>
      <c r="N1846" t="s">
        <v>18</v>
      </c>
      <c r="P1846" t="s">
        <v>1547</v>
      </c>
      <c r="R1846" s="3">
        <f t="shared" si="144"/>
        <v>4</v>
      </c>
    </row>
    <row r="1847" spans="1:18" hidden="1" x14ac:dyDescent="0.25">
      <c r="A1847" t="s">
        <v>3906</v>
      </c>
      <c r="B1847" t="s">
        <v>3746</v>
      </c>
      <c r="C1847" t="s">
        <v>3746</v>
      </c>
      <c r="D1847" s="3">
        <f t="shared" si="145"/>
        <v>9</v>
      </c>
      <c r="E1847" t="s">
        <v>12</v>
      </c>
      <c r="F1847" t="s">
        <v>13</v>
      </c>
      <c r="G1847" t="str">
        <f t="shared" si="146"/>
        <v/>
      </c>
      <c r="H1847" t="s">
        <v>14</v>
      </c>
      <c r="I1847" t="s">
        <v>3907</v>
      </c>
      <c r="J1847" s="2">
        <f t="shared" si="147"/>
        <v>1925000</v>
      </c>
      <c r="K1847" t="s">
        <v>552</v>
      </c>
      <c r="L1847">
        <f t="shared" si="148"/>
        <v>0</v>
      </c>
      <c r="N1847" t="s">
        <v>18</v>
      </c>
      <c r="P1847" t="s">
        <v>1547</v>
      </c>
      <c r="R1847" s="3">
        <f t="shared" si="144"/>
        <v>0</v>
      </c>
    </row>
    <row r="1848" spans="1:18" x14ac:dyDescent="0.25">
      <c r="A1848" t="s">
        <v>3477</v>
      </c>
      <c r="B1848" t="s">
        <v>3233</v>
      </c>
      <c r="C1848" t="s">
        <v>3261</v>
      </c>
      <c r="D1848" s="3">
        <f t="shared" si="145"/>
        <v>16</v>
      </c>
      <c r="E1848" t="s">
        <v>79</v>
      </c>
      <c r="F1848" t="s">
        <v>13</v>
      </c>
      <c r="G1848" t="str">
        <f t="shared" si="146"/>
        <v/>
      </c>
      <c r="H1848" t="s">
        <v>14</v>
      </c>
      <c r="I1848" t="s">
        <v>3478</v>
      </c>
      <c r="J1848" s="2">
        <f t="shared" si="147"/>
        <v>2200000</v>
      </c>
      <c r="K1848" t="s">
        <v>849</v>
      </c>
      <c r="L1848">
        <f t="shared" si="148"/>
        <v>0.17291666666666669</v>
      </c>
      <c r="M1848" s="5">
        <v>0.17291666666666669</v>
      </c>
      <c r="N1848" t="s">
        <v>43</v>
      </c>
      <c r="R1848" s="3">
        <f t="shared" si="144"/>
        <v>4.1500000000000004</v>
      </c>
    </row>
    <row r="1849" spans="1:18" hidden="1" x14ac:dyDescent="0.25">
      <c r="A1849" t="s">
        <v>5364</v>
      </c>
      <c r="B1849" t="s">
        <v>5848</v>
      </c>
      <c r="C1849" t="s">
        <v>5363</v>
      </c>
      <c r="D1849" s="3">
        <f t="shared" si="145"/>
        <v>10.5</v>
      </c>
      <c r="E1849" t="s">
        <v>653</v>
      </c>
      <c r="F1849" t="s">
        <v>13</v>
      </c>
      <c r="G1849">
        <f t="shared" si="146"/>
        <v>1855000</v>
      </c>
      <c r="H1849" t="s">
        <v>2997</v>
      </c>
      <c r="I1849" t="s">
        <v>5365</v>
      </c>
      <c r="J1849" s="2">
        <f t="shared" si="147"/>
        <v>1763500</v>
      </c>
      <c r="K1849" t="s">
        <v>5366</v>
      </c>
      <c r="L1849">
        <f t="shared" si="148"/>
        <v>0.17222222222222225</v>
      </c>
      <c r="M1849" s="5">
        <v>0.17222222222222225</v>
      </c>
      <c r="N1849" t="s">
        <v>43</v>
      </c>
      <c r="P1849" t="s">
        <v>2370</v>
      </c>
      <c r="R1849" s="3">
        <f t="shared" si="144"/>
        <v>4.1333333333333337</v>
      </c>
    </row>
    <row r="1850" spans="1:18" hidden="1" x14ac:dyDescent="0.25">
      <c r="A1850" t="s">
        <v>5361</v>
      </c>
      <c r="B1850" t="s">
        <v>5848</v>
      </c>
      <c r="C1850" t="s">
        <v>5363</v>
      </c>
      <c r="D1850" s="3">
        <f t="shared" si="145"/>
        <v>10.5</v>
      </c>
      <c r="E1850" t="s">
        <v>653</v>
      </c>
      <c r="F1850" t="s">
        <v>13</v>
      </c>
      <c r="G1850">
        <f t="shared" si="146"/>
        <v>1575000</v>
      </c>
      <c r="H1850" t="s">
        <v>1021</v>
      </c>
      <c r="I1850" t="s">
        <v>5362</v>
      </c>
      <c r="J1850" s="2">
        <f t="shared" si="147"/>
        <v>1497500</v>
      </c>
      <c r="K1850" t="s">
        <v>3351</v>
      </c>
      <c r="L1850">
        <f t="shared" si="148"/>
        <v>0.17222222222222225</v>
      </c>
      <c r="M1850" s="5">
        <v>0.17222222222222225</v>
      </c>
      <c r="N1850" t="s">
        <v>43</v>
      </c>
      <c r="P1850" t="s">
        <v>3352</v>
      </c>
      <c r="R1850" s="3">
        <f t="shared" si="144"/>
        <v>4.1333333333333337</v>
      </c>
    </row>
    <row r="1851" spans="1:18" x14ac:dyDescent="0.25">
      <c r="A1851" t="s">
        <v>3316</v>
      </c>
      <c r="B1851" t="s">
        <v>3233</v>
      </c>
      <c r="C1851" t="s">
        <v>3232</v>
      </c>
      <c r="D1851" s="3">
        <f t="shared" si="145"/>
        <v>9</v>
      </c>
      <c r="E1851" t="s">
        <v>12</v>
      </c>
      <c r="F1851" t="s">
        <v>13</v>
      </c>
      <c r="G1851" t="str">
        <f t="shared" si="146"/>
        <v/>
      </c>
      <c r="H1851" t="s">
        <v>14</v>
      </c>
      <c r="I1851" t="s">
        <v>3317</v>
      </c>
      <c r="J1851" s="2">
        <f t="shared" si="147"/>
        <v>2200000</v>
      </c>
      <c r="K1851" t="s">
        <v>849</v>
      </c>
      <c r="L1851">
        <f t="shared" si="148"/>
        <v>0.17291666666666669</v>
      </c>
      <c r="M1851" s="5">
        <v>0.17291666666666669</v>
      </c>
      <c r="N1851" t="s">
        <v>43</v>
      </c>
      <c r="R1851" s="3">
        <f t="shared" si="144"/>
        <v>4.1500000000000004</v>
      </c>
    </row>
    <row r="1852" spans="1:18" hidden="1" x14ac:dyDescent="0.25">
      <c r="A1852" t="s">
        <v>2857</v>
      </c>
      <c r="B1852" t="s">
        <v>3206</v>
      </c>
      <c r="C1852" t="s">
        <v>2772</v>
      </c>
      <c r="D1852" s="3">
        <f t="shared" si="145"/>
        <v>8.1000000000000014</v>
      </c>
      <c r="E1852" t="s">
        <v>1168</v>
      </c>
      <c r="F1852" t="s">
        <v>13</v>
      </c>
      <c r="G1852" t="str">
        <f t="shared" si="146"/>
        <v/>
      </c>
      <c r="H1852" t="s">
        <v>14</v>
      </c>
      <c r="I1852" t="s">
        <v>2858</v>
      </c>
      <c r="J1852" s="2">
        <f t="shared" si="147"/>
        <v>2225000</v>
      </c>
      <c r="K1852" t="s">
        <v>1339</v>
      </c>
      <c r="L1852">
        <f t="shared" si="148"/>
        <v>0.17222222222222225</v>
      </c>
      <c r="M1852" s="5">
        <v>0.17222222222222225</v>
      </c>
      <c r="N1852" t="s">
        <v>43</v>
      </c>
      <c r="R1852" s="3">
        <f t="shared" si="144"/>
        <v>4.1333333333333337</v>
      </c>
    </row>
    <row r="1853" spans="1:18" hidden="1" x14ac:dyDescent="0.25">
      <c r="A1853" t="s">
        <v>4347</v>
      </c>
      <c r="B1853" t="s">
        <v>4272</v>
      </c>
      <c r="C1853" t="s">
        <v>4281</v>
      </c>
      <c r="D1853" s="3">
        <f t="shared" si="145"/>
        <v>9</v>
      </c>
      <c r="E1853" t="s">
        <v>12</v>
      </c>
      <c r="F1853" t="s">
        <v>13</v>
      </c>
      <c r="G1853" t="str">
        <f t="shared" si="146"/>
        <v/>
      </c>
      <c r="H1853" t="s">
        <v>14</v>
      </c>
      <c r="I1853" t="s">
        <v>4348</v>
      </c>
      <c r="J1853" s="2">
        <f t="shared" si="147"/>
        <v>2025000</v>
      </c>
      <c r="K1853" t="s">
        <v>1065</v>
      </c>
      <c r="L1853">
        <f t="shared" si="148"/>
        <v>0.17222222222222225</v>
      </c>
      <c r="M1853" s="5">
        <v>0.17222222222222225</v>
      </c>
      <c r="N1853" t="s">
        <v>18</v>
      </c>
      <c r="R1853" s="3">
        <f t="shared" si="144"/>
        <v>4.1333333333333337</v>
      </c>
    </row>
    <row r="1854" spans="1:18" hidden="1" x14ac:dyDescent="0.25">
      <c r="A1854" t="s">
        <v>1761</v>
      </c>
      <c r="B1854" t="s">
        <v>1303</v>
      </c>
      <c r="C1854" t="s">
        <v>1362</v>
      </c>
      <c r="D1854" s="3">
        <f t="shared" si="145"/>
        <v>7.839999999999999</v>
      </c>
      <c r="E1854" t="s">
        <v>1499</v>
      </c>
      <c r="F1854" t="s">
        <v>13</v>
      </c>
      <c r="G1854">
        <f t="shared" si="146"/>
        <v>1965000</v>
      </c>
      <c r="H1854" t="s">
        <v>870</v>
      </c>
      <c r="I1854" t="s">
        <v>1762</v>
      </c>
      <c r="J1854" s="2">
        <f t="shared" si="147"/>
        <v>1809800</v>
      </c>
      <c r="K1854" t="s">
        <v>1763</v>
      </c>
      <c r="L1854">
        <f t="shared" si="148"/>
        <v>0.17291666666666669</v>
      </c>
      <c r="M1854" s="5">
        <v>0.17291666666666669</v>
      </c>
      <c r="N1854" t="s">
        <v>18</v>
      </c>
      <c r="P1854" t="s">
        <v>1024</v>
      </c>
      <c r="R1854" s="3">
        <f t="shared" si="144"/>
        <v>4.1500000000000004</v>
      </c>
    </row>
    <row r="1855" spans="1:18" hidden="1" x14ac:dyDescent="0.25">
      <c r="A1855" t="s">
        <v>1670</v>
      </c>
      <c r="B1855" t="s">
        <v>1303</v>
      </c>
      <c r="C1855" t="s">
        <v>1322</v>
      </c>
      <c r="D1855" s="3">
        <f t="shared" si="145"/>
        <v>7.5</v>
      </c>
      <c r="E1855" t="s">
        <v>614</v>
      </c>
      <c r="F1855" t="s">
        <v>13</v>
      </c>
      <c r="G1855">
        <f t="shared" si="146"/>
        <v>2005000</v>
      </c>
      <c r="H1855" t="s">
        <v>1671</v>
      </c>
      <c r="I1855" t="s">
        <v>1672</v>
      </c>
      <c r="J1855" s="2">
        <f t="shared" si="147"/>
        <v>1906000</v>
      </c>
      <c r="K1855" t="s">
        <v>1673</v>
      </c>
      <c r="L1855">
        <f t="shared" si="148"/>
        <v>0.17222222222222225</v>
      </c>
      <c r="M1855" s="5">
        <v>0.17222222222222225</v>
      </c>
      <c r="N1855" t="s">
        <v>18</v>
      </c>
      <c r="P1855" t="s">
        <v>1084</v>
      </c>
      <c r="R1855" s="3">
        <f t="shared" si="144"/>
        <v>4.1333333333333337</v>
      </c>
    </row>
    <row r="1856" spans="1:18" hidden="1" x14ac:dyDescent="0.25">
      <c r="A1856" t="s">
        <v>1479</v>
      </c>
      <c r="B1856" t="s">
        <v>1303</v>
      </c>
      <c r="C1856" t="s">
        <v>1322</v>
      </c>
      <c r="D1856" s="3">
        <f t="shared" si="145"/>
        <v>6</v>
      </c>
      <c r="E1856" t="s">
        <v>285</v>
      </c>
      <c r="F1856" t="s">
        <v>13</v>
      </c>
      <c r="G1856">
        <f t="shared" si="146"/>
        <v>1885000</v>
      </c>
      <c r="H1856" t="s">
        <v>1480</v>
      </c>
      <c r="I1856" t="s">
        <v>1481</v>
      </c>
      <c r="J1856" s="2">
        <f t="shared" si="147"/>
        <v>1792000</v>
      </c>
      <c r="K1856" t="s">
        <v>1482</v>
      </c>
      <c r="L1856">
        <f t="shared" si="148"/>
        <v>0.17291666666666669</v>
      </c>
      <c r="M1856" s="5">
        <v>0.17291666666666669</v>
      </c>
      <c r="N1856" t="s">
        <v>18</v>
      </c>
      <c r="P1856" t="s">
        <v>1461</v>
      </c>
      <c r="R1856" s="3">
        <f t="shared" si="144"/>
        <v>4.1500000000000004</v>
      </c>
    </row>
    <row r="1857" spans="1:18" hidden="1" x14ac:dyDescent="0.25">
      <c r="A1857" t="s">
        <v>3238</v>
      </c>
      <c r="B1857" t="s">
        <v>3233</v>
      </c>
      <c r="C1857" t="s">
        <v>3241</v>
      </c>
      <c r="D1857" s="3">
        <f t="shared" si="145"/>
        <v>5.28</v>
      </c>
      <c r="E1857" t="s">
        <v>3239</v>
      </c>
      <c r="F1857" t="s">
        <v>13</v>
      </c>
      <c r="G1857">
        <f t="shared" si="146"/>
        <v>2175000</v>
      </c>
      <c r="H1857" t="s">
        <v>1386</v>
      </c>
      <c r="I1857" t="s">
        <v>3240</v>
      </c>
      <c r="J1857" s="2">
        <f t="shared" si="147"/>
        <v>2070000</v>
      </c>
      <c r="K1857" t="s">
        <v>822</v>
      </c>
      <c r="L1857">
        <f t="shared" si="148"/>
        <v>0.17083333333333331</v>
      </c>
      <c r="M1857" s="5">
        <v>0.17083333333333331</v>
      </c>
      <c r="N1857" t="s">
        <v>43</v>
      </c>
      <c r="P1857" t="s">
        <v>840</v>
      </c>
      <c r="R1857" s="3">
        <f t="shared" si="144"/>
        <v>4.0999999999999996</v>
      </c>
    </row>
    <row r="1858" spans="1:18" hidden="1" x14ac:dyDescent="0.25">
      <c r="A1858" t="s">
        <v>763</v>
      </c>
      <c r="B1858" t="s">
        <v>640</v>
      </c>
      <c r="C1858" t="s">
        <v>657</v>
      </c>
      <c r="D1858" s="3">
        <f t="shared" si="145"/>
        <v>8.5</v>
      </c>
      <c r="E1858" t="s">
        <v>764</v>
      </c>
      <c r="F1858" t="s">
        <v>34</v>
      </c>
      <c r="G1858">
        <f t="shared" si="146"/>
        <v>1615000</v>
      </c>
      <c r="H1858" t="s">
        <v>765</v>
      </c>
      <c r="I1858" t="s">
        <v>766</v>
      </c>
      <c r="J1858" s="2">
        <f t="shared" si="147"/>
        <v>1456000</v>
      </c>
      <c r="K1858" t="s">
        <v>767</v>
      </c>
      <c r="L1858">
        <f t="shared" si="148"/>
        <v>0.17291666666666669</v>
      </c>
      <c r="M1858" s="5">
        <v>0.17291666666666669</v>
      </c>
      <c r="N1858" t="s">
        <v>43</v>
      </c>
      <c r="P1858" t="s">
        <v>768</v>
      </c>
      <c r="R1858" s="3">
        <f t="shared" ref="R1858:R1921" si="149">24*L1858</f>
        <v>4.1500000000000004</v>
      </c>
    </row>
    <row r="1859" spans="1:18" hidden="1" x14ac:dyDescent="0.25">
      <c r="A1859" t="s">
        <v>927</v>
      </c>
      <c r="B1859" t="s">
        <v>640</v>
      </c>
      <c r="C1859" t="s">
        <v>657</v>
      </c>
      <c r="D1859" s="3">
        <f t="shared" si="145"/>
        <v>8.5</v>
      </c>
      <c r="E1859" t="s">
        <v>764</v>
      </c>
      <c r="F1859" t="s">
        <v>34</v>
      </c>
      <c r="G1859">
        <f t="shared" si="146"/>
        <v>1530000</v>
      </c>
      <c r="H1859" t="s">
        <v>928</v>
      </c>
      <c r="I1859" t="s">
        <v>929</v>
      </c>
      <c r="J1859" s="2">
        <f t="shared" si="147"/>
        <v>1379500</v>
      </c>
      <c r="K1859" t="s">
        <v>930</v>
      </c>
      <c r="L1859">
        <f t="shared" si="148"/>
        <v>0.17291666666666669</v>
      </c>
      <c r="M1859" s="5">
        <v>0.17291666666666669</v>
      </c>
      <c r="N1859" t="s">
        <v>43</v>
      </c>
      <c r="P1859" t="s">
        <v>757</v>
      </c>
      <c r="R1859" s="3">
        <f t="shared" si="149"/>
        <v>4.1500000000000004</v>
      </c>
    </row>
    <row r="1860" spans="1:18" hidden="1" x14ac:dyDescent="0.25">
      <c r="A1860" t="s">
        <v>1726</v>
      </c>
      <c r="B1860" t="s">
        <v>1303</v>
      </c>
      <c r="C1860" t="s">
        <v>1350</v>
      </c>
      <c r="D1860" s="3">
        <f t="shared" ref="D1860:D1923" si="150">VALUE(LEFT(E1860,SEARCH(" x ",E1860)-1))*VALUE(MID(E1860,SEARCH(" x ",E1860)+3,SEARCH(" meter",E1860)-SEARCH(" x ",E1860)-3))</f>
        <v>8</v>
      </c>
      <c r="E1860" t="s">
        <v>1708</v>
      </c>
      <c r="F1860" t="s">
        <v>13</v>
      </c>
      <c r="G1860">
        <f t="shared" ref="G1860:G1923" si="151">IF(H1860="N/A","",VALUE(SUBSTITUTE(SUBSTITUTE(H1860,"Rp",""),".","")))</f>
        <v>2025000</v>
      </c>
      <c r="H1860" t="s">
        <v>1065</v>
      </c>
      <c r="I1860" t="s">
        <v>1727</v>
      </c>
      <c r="J1860" s="2">
        <f t="shared" ref="J1860:J1923" si="152">VALUE(SUBSTITUTE(SUBSTITUTE(K1860,"Rp",""),".",""))</f>
        <v>1925000</v>
      </c>
      <c r="K1860" t="s">
        <v>552</v>
      </c>
      <c r="L1860">
        <f t="shared" ref="L1860:L1923" si="153">M1860:M4200</f>
        <v>0.17222222222222225</v>
      </c>
      <c r="M1860" s="5">
        <v>0.17222222222222225</v>
      </c>
      <c r="N1860" t="s">
        <v>43</v>
      </c>
      <c r="P1860" t="s">
        <v>669</v>
      </c>
      <c r="R1860" s="3">
        <f t="shared" si="149"/>
        <v>4.1333333333333337</v>
      </c>
    </row>
    <row r="1861" spans="1:18" hidden="1" x14ac:dyDescent="0.25">
      <c r="A1861" t="s">
        <v>1476</v>
      </c>
      <c r="B1861" t="s">
        <v>1303</v>
      </c>
      <c r="C1861" t="s">
        <v>1350</v>
      </c>
      <c r="D1861" s="3" t="e">
        <f t="shared" si="150"/>
        <v>#VALUE!</v>
      </c>
      <c r="E1861" t="s">
        <v>14</v>
      </c>
      <c r="F1861" t="s">
        <v>14</v>
      </c>
      <c r="G1861" t="str">
        <f t="shared" si="151"/>
        <v/>
      </c>
      <c r="H1861" t="s">
        <v>14</v>
      </c>
      <c r="I1861" t="s">
        <v>110</v>
      </c>
      <c r="J1861" s="2">
        <f t="shared" si="152"/>
        <v>1625000</v>
      </c>
      <c r="K1861" t="s">
        <v>702</v>
      </c>
      <c r="L1861">
        <f t="shared" si="153"/>
        <v>0.17083333333333331</v>
      </c>
      <c r="M1861" s="5">
        <v>0.17083333333333331</v>
      </c>
      <c r="N1861" t="s">
        <v>43</v>
      </c>
      <c r="R1861" s="3">
        <f t="shared" si="149"/>
        <v>4.0999999999999996</v>
      </c>
    </row>
    <row r="1862" spans="1:18" hidden="1" x14ac:dyDescent="0.25">
      <c r="A1862" t="s">
        <v>1895</v>
      </c>
      <c r="B1862" t="s">
        <v>1303</v>
      </c>
      <c r="C1862" t="s">
        <v>1350</v>
      </c>
      <c r="D1862" s="3">
        <f t="shared" si="150"/>
        <v>9.6000000000000014</v>
      </c>
      <c r="E1862" t="s">
        <v>1896</v>
      </c>
      <c r="F1862" t="s">
        <v>13</v>
      </c>
      <c r="G1862">
        <f t="shared" si="151"/>
        <v>1425000</v>
      </c>
      <c r="H1862" t="s">
        <v>909</v>
      </c>
      <c r="I1862" t="s">
        <v>1897</v>
      </c>
      <c r="J1862" s="2">
        <f t="shared" si="152"/>
        <v>1313000</v>
      </c>
      <c r="K1862" t="s">
        <v>1898</v>
      </c>
      <c r="L1862">
        <f t="shared" si="153"/>
        <v>0.16944444444444443</v>
      </c>
      <c r="M1862" s="5">
        <v>0.16944444444444443</v>
      </c>
      <c r="N1862" t="s">
        <v>43</v>
      </c>
      <c r="P1862" t="s">
        <v>979</v>
      </c>
      <c r="R1862" s="3">
        <f t="shared" si="149"/>
        <v>4.0666666666666664</v>
      </c>
    </row>
    <row r="1863" spans="1:18" hidden="1" x14ac:dyDescent="0.25">
      <c r="A1863" t="s">
        <v>1710</v>
      </c>
      <c r="B1863" t="s">
        <v>1303</v>
      </c>
      <c r="C1863" t="s">
        <v>1319</v>
      </c>
      <c r="D1863" s="3">
        <f t="shared" si="150"/>
        <v>11.309999999999999</v>
      </c>
      <c r="E1863" t="s">
        <v>1711</v>
      </c>
      <c r="F1863" t="s">
        <v>13</v>
      </c>
      <c r="G1863">
        <f t="shared" si="151"/>
        <v>1475000</v>
      </c>
      <c r="H1863" t="s">
        <v>182</v>
      </c>
      <c r="I1863" t="s">
        <v>1712</v>
      </c>
      <c r="J1863" s="2">
        <f t="shared" si="152"/>
        <v>1402500</v>
      </c>
      <c r="K1863" t="s">
        <v>1713</v>
      </c>
      <c r="L1863">
        <f t="shared" si="153"/>
        <v>0.17083333333333331</v>
      </c>
      <c r="M1863" s="5">
        <v>0.17083333333333331</v>
      </c>
      <c r="N1863" t="s">
        <v>43</v>
      </c>
      <c r="P1863" t="s">
        <v>1714</v>
      </c>
      <c r="R1863" s="3">
        <f t="shared" si="149"/>
        <v>4.0999999999999996</v>
      </c>
    </row>
    <row r="1864" spans="1:18" x14ac:dyDescent="0.25">
      <c r="A1864" t="s">
        <v>4602</v>
      </c>
      <c r="B1864" t="s">
        <v>4272</v>
      </c>
      <c r="C1864" t="s">
        <v>4337</v>
      </c>
      <c r="D1864" s="3">
        <f t="shared" si="150"/>
        <v>18</v>
      </c>
      <c r="E1864" t="s">
        <v>126</v>
      </c>
      <c r="F1864" t="s">
        <v>13</v>
      </c>
      <c r="G1864" t="str">
        <f t="shared" si="151"/>
        <v/>
      </c>
      <c r="H1864" t="s">
        <v>14</v>
      </c>
      <c r="I1864" t="s">
        <v>4603</v>
      </c>
      <c r="J1864" s="2">
        <f t="shared" si="152"/>
        <v>2200000</v>
      </c>
      <c r="K1864" t="s">
        <v>849</v>
      </c>
      <c r="L1864">
        <f t="shared" si="153"/>
        <v>0.17222222222222225</v>
      </c>
      <c r="M1864" s="5">
        <v>0.17222222222222225</v>
      </c>
      <c r="N1864" t="s">
        <v>43</v>
      </c>
      <c r="R1864" s="3">
        <f t="shared" si="149"/>
        <v>4.1333333333333337</v>
      </c>
    </row>
    <row r="1865" spans="1:18" hidden="1" x14ac:dyDescent="0.25">
      <c r="A1865" t="s">
        <v>1794</v>
      </c>
      <c r="B1865" t="s">
        <v>1303</v>
      </c>
      <c r="C1865" t="s">
        <v>1342</v>
      </c>
      <c r="D1865" s="3">
        <f t="shared" si="150"/>
        <v>12.899999999999999</v>
      </c>
      <c r="E1865" t="s">
        <v>1795</v>
      </c>
      <c r="F1865" t="s">
        <v>13</v>
      </c>
      <c r="G1865">
        <f t="shared" si="151"/>
        <v>2225000</v>
      </c>
      <c r="H1865" t="s">
        <v>1339</v>
      </c>
      <c r="I1865" t="s">
        <v>1796</v>
      </c>
      <c r="J1865" s="2">
        <f t="shared" si="152"/>
        <v>2049000</v>
      </c>
      <c r="K1865" t="s">
        <v>1797</v>
      </c>
      <c r="L1865">
        <f t="shared" si="153"/>
        <v>0.17013888888888887</v>
      </c>
      <c r="M1865" s="5">
        <v>0.17013888888888887</v>
      </c>
      <c r="N1865" t="s">
        <v>43</v>
      </c>
      <c r="P1865" t="s">
        <v>1427</v>
      </c>
      <c r="R1865" s="3">
        <f t="shared" si="149"/>
        <v>4.083333333333333</v>
      </c>
    </row>
    <row r="1866" spans="1:18" hidden="1" x14ac:dyDescent="0.25">
      <c r="A1866" t="s">
        <v>1636</v>
      </c>
      <c r="B1866" t="s">
        <v>1303</v>
      </c>
      <c r="C1866" t="s">
        <v>1342</v>
      </c>
      <c r="D1866" s="3">
        <f t="shared" si="150"/>
        <v>12</v>
      </c>
      <c r="E1866" t="s">
        <v>347</v>
      </c>
      <c r="F1866" t="s">
        <v>13</v>
      </c>
      <c r="G1866" t="str">
        <f t="shared" si="151"/>
        <v/>
      </c>
      <c r="H1866" t="s">
        <v>14</v>
      </c>
      <c r="I1866" t="s">
        <v>1637</v>
      </c>
      <c r="J1866" s="2">
        <f t="shared" si="152"/>
        <v>2475000</v>
      </c>
      <c r="K1866" t="s">
        <v>1638</v>
      </c>
      <c r="L1866">
        <f t="shared" si="153"/>
        <v>0.17222222222222225</v>
      </c>
      <c r="M1866" s="5">
        <v>0.17222222222222225</v>
      </c>
      <c r="N1866" t="s">
        <v>43</v>
      </c>
      <c r="R1866" s="3">
        <f t="shared" si="149"/>
        <v>4.1333333333333337</v>
      </c>
    </row>
    <row r="1867" spans="1:18" hidden="1" x14ac:dyDescent="0.25">
      <c r="A1867" t="s">
        <v>1877</v>
      </c>
      <c r="B1867" t="s">
        <v>1303</v>
      </c>
      <c r="C1867" t="s">
        <v>1342</v>
      </c>
      <c r="D1867" s="3">
        <f t="shared" si="150"/>
        <v>12</v>
      </c>
      <c r="E1867" t="s">
        <v>347</v>
      </c>
      <c r="F1867" t="s">
        <v>13</v>
      </c>
      <c r="G1867" t="str">
        <f t="shared" si="151"/>
        <v/>
      </c>
      <c r="H1867" t="s">
        <v>14</v>
      </c>
      <c r="I1867" t="s">
        <v>1637</v>
      </c>
      <c r="J1867" s="2">
        <f t="shared" si="152"/>
        <v>2525000</v>
      </c>
      <c r="K1867" t="s">
        <v>131</v>
      </c>
      <c r="L1867">
        <f t="shared" si="153"/>
        <v>0.17083333333333331</v>
      </c>
      <c r="M1867" s="5">
        <v>0.17083333333333331</v>
      </c>
      <c r="N1867" t="s">
        <v>43</v>
      </c>
      <c r="R1867" s="3">
        <f t="shared" si="149"/>
        <v>4.0999999999999996</v>
      </c>
    </row>
    <row r="1868" spans="1:18" hidden="1" x14ac:dyDescent="0.25">
      <c r="A1868" t="s">
        <v>1597</v>
      </c>
      <c r="B1868" t="s">
        <v>1303</v>
      </c>
      <c r="C1868" t="s">
        <v>1342</v>
      </c>
      <c r="D1868" s="3">
        <f t="shared" si="150"/>
        <v>20</v>
      </c>
      <c r="E1868" t="s">
        <v>565</v>
      </c>
      <c r="F1868" t="s">
        <v>13</v>
      </c>
      <c r="G1868" t="str">
        <f t="shared" si="151"/>
        <v/>
      </c>
      <c r="H1868" t="s">
        <v>14</v>
      </c>
      <c r="I1868" t="s">
        <v>1598</v>
      </c>
      <c r="J1868" s="2">
        <f t="shared" si="152"/>
        <v>3085000</v>
      </c>
      <c r="K1868" t="s">
        <v>1599</v>
      </c>
      <c r="L1868">
        <f t="shared" si="153"/>
        <v>0.17291666666666669</v>
      </c>
      <c r="M1868" s="5">
        <v>0.17291666666666669</v>
      </c>
      <c r="N1868" t="s">
        <v>43</v>
      </c>
      <c r="R1868" s="3">
        <f t="shared" si="149"/>
        <v>4.1500000000000004</v>
      </c>
    </row>
    <row r="1869" spans="1:18" hidden="1" x14ac:dyDescent="0.25">
      <c r="A1869" t="s">
        <v>3166</v>
      </c>
      <c r="B1869" t="s">
        <v>3206</v>
      </c>
      <c r="C1869" t="s">
        <v>2618</v>
      </c>
      <c r="D1869" s="3">
        <f t="shared" si="150"/>
        <v>15</v>
      </c>
      <c r="E1869" t="s">
        <v>504</v>
      </c>
      <c r="F1869" t="s">
        <v>13</v>
      </c>
      <c r="G1869">
        <f t="shared" si="151"/>
        <v>2300000</v>
      </c>
      <c r="H1869" t="s">
        <v>820</v>
      </c>
      <c r="I1869" t="s">
        <v>3167</v>
      </c>
      <c r="J1869" s="2">
        <f t="shared" si="152"/>
        <v>2185000</v>
      </c>
      <c r="K1869" t="s">
        <v>3168</v>
      </c>
      <c r="L1869">
        <f t="shared" si="153"/>
        <v>0.20833333333333334</v>
      </c>
      <c r="M1869" s="5">
        <v>0.20833333333333334</v>
      </c>
      <c r="N1869" t="s">
        <v>18</v>
      </c>
      <c r="P1869" t="s">
        <v>752</v>
      </c>
      <c r="R1869" s="3">
        <f t="shared" si="149"/>
        <v>5</v>
      </c>
    </row>
    <row r="1870" spans="1:18" hidden="1" x14ac:dyDescent="0.25">
      <c r="A1870" t="s">
        <v>5438</v>
      </c>
      <c r="B1870" t="s">
        <v>5848</v>
      </c>
      <c r="C1870" t="s">
        <v>5342</v>
      </c>
      <c r="D1870" s="3">
        <f t="shared" si="150"/>
        <v>8.32</v>
      </c>
      <c r="E1870" t="s">
        <v>3045</v>
      </c>
      <c r="F1870" t="s">
        <v>13</v>
      </c>
      <c r="G1870">
        <f t="shared" si="151"/>
        <v>1475000</v>
      </c>
      <c r="H1870" t="s">
        <v>182</v>
      </c>
      <c r="I1870" t="s">
        <v>5439</v>
      </c>
      <c r="J1870" s="2">
        <f t="shared" si="152"/>
        <v>1402500</v>
      </c>
      <c r="K1870" t="s">
        <v>1713</v>
      </c>
      <c r="L1870">
        <f t="shared" si="153"/>
        <v>0.17222222222222225</v>
      </c>
      <c r="M1870" s="5">
        <v>0.17222222222222225</v>
      </c>
      <c r="N1870" t="s">
        <v>43</v>
      </c>
      <c r="P1870" t="s">
        <v>1714</v>
      </c>
      <c r="R1870" s="3">
        <f t="shared" si="149"/>
        <v>4.1333333333333337</v>
      </c>
    </row>
    <row r="1871" spans="1:18" hidden="1" x14ac:dyDescent="0.25">
      <c r="A1871" t="s">
        <v>5507</v>
      </c>
      <c r="B1871" t="s">
        <v>5848</v>
      </c>
      <c r="C1871" t="s">
        <v>5342</v>
      </c>
      <c r="D1871" s="3">
        <f t="shared" si="150"/>
        <v>7.5</v>
      </c>
      <c r="E1871" t="s">
        <v>178</v>
      </c>
      <c r="F1871" t="s">
        <v>13</v>
      </c>
      <c r="G1871">
        <f t="shared" si="151"/>
        <v>1425000</v>
      </c>
      <c r="H1871" t="s">
        <v>909</v>
      </c>
      <c r="I1871" t="s">
        <v>5508</v>
      </c>
      <c r="J1871" s="2">
        <f t="shared" si="152"/>
        <v>1355000</v>
      </c>
      <c r="K1871" t="s">
        <v>2063</v>
      </c>
      <c r="L1871">
        <f t="shared" si="153"/>
        <v>0.17291666666666669</v>
      </c>
      <c r="M1871" s="5">
        <v>0.17291666666666669</v>
      </c>
      <c r="N1871" t="s">
        <v>43</v>
      </c>
      <c r="P1871" t="s">
        <v>2065</v>
      </c>
      <c r="R1871" s="3">
        <f t="shared" si="149"/>
        <v>4.1500000000000004</v>
      </c>
    </row>
    <row r="1872" spans="1:18" hidden="1" x14ac:dyDescent="0.25">
      <c r="A1872" t="s">
        <v>3353</v>
      </c>
      <c r="B1872" t="s">
        <v>3233</v>
      </c>
      <c r="C1872" t="s">
        <v>3232</v>
      </c>
      <c r="D1872" s="3">
        <f t="shared" si="150"/>
        <v>10.5</v>
      </c>
      <c r="E1872" t="s">
        <v>653</v>
      </c>
      <c r="F1872" t="s">
        <v>34</v>
      </c>
      <c r="G1872" t="str">
        <f t="shared" si="151"/>
        <v/>
      </c>
      <c r="H1872" t="s">
        <v>14</v>
      </c>
      <c r="I1872" t="s">
        <v>3354</v>
      </c>
      <c r="J1872" s="2">
        <f t="shared" si="152"/>
        <v>1575000</v>
      </c>
      <c r="K1872" t="s">
        <v>1021</v>
      </c>
      <c r="L1872">
        <f t="shared" si="153"/>
        <v>0.17291666666666669</v>
      </c>
      <c r="M1872" s="5">
        <v>0.17291666666666669</v>
      </c>
      <c r="N1872" t="s">
        <v>18</v>
      </c>
      <c r="P1872" t="s">
        <v>669</v>
      </c>
      <c r="R1872" s="3">
        <f t="shared" si="149"/>
        <v>4.1500000000000004</v>
      </c>
    </row>
    <row r="1873" spans="1:18" hidden="1" x14ac:dyDescent="0.25">
      <c r="A1873" t="s">
        <v>3345</v>
      </c>
      <c r="B1873" t="s">
        <v>3233</v>
      </c>
      <c r="C1873" t="s">
        <v>3232</v>
      </c>
      <c r="D1873" s="3">
        <f t="shared" si="150"/>
        <v>16.5</v>
      </c>
      <c r="E1873" t="s">
        <v>2965</v>
      </c>
      <c r="F1873" t="s">
        <v>34</v>
      </c>
      <c r="G1873" t="str">
        <f t="shared" si="151"/>
        <v/>
      </c>
      <c r="H1873" t="s">
        <v>14</v>
      </c>
      <c r="I1873" t="s">
        <v>3346</v>
      </c>
      <c r="J1873" s="2">
        <f t="shared" si="152"/>
        <v>1775000</v>
      </c>
      <c r="K1873" t="s">
        <v>1055</v>
      </c>
      <c r="L1873">
        <f t="shared" si="153"/>
        <v>0.17291666666666669</v>
      </c>
      <c r="M1873" s="5">
        <v>0.17291666666666669</v>
      </c>
      <c r="N1873" t="s">
        <v>18</v>
      </c>
      <c r="P1873" t="s">
        <v>669</v>
      </c>
      <c r="R1873" s="3">
        <f t="shared" si="149"/>
        <v>4.1500000000000004</v>
      </c>
    </row>
    <row r="1874" spans="1:18" hidden="1" x14ac:dyDescent="0.25">
      <c r="A1874" t="s">
        <v>3442</v>
      </c>
      <c r="B1874" t="s">
        <v>3233</v>
      </c>
      <c r="C1874" t="s">
        <v>3232</v>
      </c>
      <c r="D1874" s="3">
        <f t="shared" si="150"/>
        <v>20</v>
      </c>
      <c r="E1874" t="s">
        <v>159</v>
      </c>
      <c r="F1874" t="s">
        <v>34</v>
      </c>
      <c r="G1874">
        <f t="shared" si="151"/>
        <v>2025000</v>
      </c>
      <c r="H1874" t="s">
        <v>1065</v>
      </c>
      <c r="I1874" t="s">
        <v>3443</v>
      </c>
      <c r="J1874" s="2">
        <f t="shared" si="152"/>
        <v>1925000</v>
      </c>
      <c r="K1874" t="s">
        <v>552</v>
      </c>
      <c r="L1874">
        <f t="shared" si="153"/>
        <v>0.17291666666666669</v>
      </c>
      <c r="M1874" s="5">
        <v>0.17291666666666669</v>
      </c>
      <c r="N1874" t="s">
        <v>18</v>
      </c>
      <c r="P1874" t="s">
        <v>669</v>
      </c>
      <c r="R1874" s="3">
        <f t="shared" si="149"/>
        <v>4.1500000000000004</v>
      </c>
    </row>
    <row r="1875" spans="1:18" x14ac:dyDescent="0.25">
      <c r="A1875" t="s">
        <v>2807</v>
      </c>
      <c r="B1875" t="s">
        <v>3206</v>
      </c>
      <c r="C1875" t="s">
        <v>2618</v>
      </c>
      <c r="D1875" s="3">
        <f t="shared" si="150"/>
        <v>9</v>
      </c>
      <c r="E1875" t="s">
        <v>12</v>
      </c>
      <c r="F1875" t="s">
        <v>13</v>
      </c>
      <c r="G1875" t="str">
        <f t="shared" si="151"/>
        <v/>
      </c>
      <c r="H1875" t="s">
        <v>14</v>
      </c>
      <c r="I1875" t="s">
        <v>2808</v>
      </c>
      <c r="J1875" s="2">
        <f t="shared" si="152"/>
        <v>2200000</v>
      </c>
      <c r="K1875" t="s">
        <v>849</v>
      </c>
      <c r="L1875">
        <f t="shared" si="153"/>
        <v>0.17083333333333331</v>
      </c>
      <c r="M1875" s="5">
        <v>0.17083333333333331</v>
      </c>
      <c r="N1875" t="s">
        <v>43</v>
      </c>
      <c r="R1875" s="3">
        <f t="shared" si="149"/>
        <v>4.0999999999999996</v>
      </c>
    </row>
    <row r="1876" spans="1:18" hidden="1" x14ac:dyDescent="0.25">
      <c r="A1876" t="s">
        <v>850</v>
      </c>
      <c r="B1876" t="s">
        <v>640</v>
      </c>
      <c r="C1876" t="s">
        <v>643</v>
      </c>
      <c r="D1876" s="3">
        <f t="shared" si="150"/>
        <v>8.75</v>
      </c>
      <c r="E1876" t="s">
        <v>775</v>
      </c>
      <c r="F1876" t="s">
        <v>13</v>
      </c>
      <c r="G1876">
        <f t="shared" si="151"/>
        <v>1325000</v>
      </c>
      <c r="H1876" t="s">
        <v>683</v>
      </c>
      <c r="I1876" t="s">
        <v>851</v>
      </c>
      <c r="J1876" s="2">
        <f t="shared" si="152"/>
        <v>1195000</v>
      </c>
      <c r="K1876" t="s">
        <v>685</v>
      </c>
      <c r="L1876">
        <f t="shared" si="153"/>
        <v>0.17291666666666669</v>
      </c>
      <c r="M1876" s="5">
        <v>0.17291666666666669</v>
      </c>
      <c r="N1876" t="s">
        <v>18</v>
      </c>
      <c r="P1876" t="s">
        <v>686</v>
      </c>
      <c r="R1876" s="3">
        <f t="shared" si="149"/>
        <v>4.1500000000000004</v>
      </c>
    </row>
    <row r="1877" spans="1:18" hidden="1" x14ac:dyDescent="0.25">
      <c r="A1877" t="s">
        <v>3340</v>
      </c>
      <c r="B1877" t="s">
        <v>3233</v>
      </c>
      <c r="C1877" t="s">
        <v>3241</v>
      </c>
      <c r="D1877" s="3">
        <f t="shared" si="150"/>
        <v>9</v>
      </c>
      <c r="E1877" t="s">
        <v>12</v>
      </c>
      <c r="F1877" t="s">
        <v>34</v>
      </c>
      <c r="G1877">
        <f t="shared" si="151"/>
        <v>2350000</v>
      </c>
      <c r="H1877" t="s">
        <v>647</v>
      </c>
      <c r="I1877" t="s">
        <v>3341</v>
      </c>
      <c r="J1877" s="2">
        <f t="shared" si="152"/>
        <v>2232500</v>
      </c>
      <c r="K1877" t="s">
        <v>3342</v>
      </c>
      <c r="L1877">
        <f t="shared" si="153"/>
        <v>0.17291666666666669</v>
      </c>
      <c r="M1877" s="5">
        <v>0.17291666666666669</v>
      </c>
      <c r="N1877" t="s">
        <v>43</v>
      </c>
      <c r="P1877" t="s">
        <v>1309</v>
      </c>
      <c r="R1877" s="3">
        <f t="shared" si="149"/>
        <v>4.1500000000000004</v>
      </c>
    </row>
    <row r="1878" spans="1:18" x14ac:dyDescent="0.25">
      <c r="A1878" t="s">
        <v>1901</v>
      </c>
      <c r="B1878" t="s">
        <v>1303</v>
      </c>
      <c r="C1878" t="s">
        <v>1350</v>
      </c>
      <c r="D1878" s="3">
        <f t="shared" si="150"/>
        <v>9</v>
      </c>
      <c r="E1878" t="s">
        <v>12</v>
      </c>
      <c r="F1878" t="s">
        <v>13</v>
      </c>
      <c r="G1878">
        <f t="shared" si="151"/>
        <v>2325000</v>
      </c>
      <c r="H1878" t="s">
        <v>1352</v>
      </c>
      <c r="I1878" t="s">
        <v>1902</v>
      </c>
      <c r="J1878" s="2">
        <f t="shared" si="152"/>
        <v>2210000</v>
      </c>
      <c r="K1878" t="s">
        <v>1354</v>
      </c>
      <c r="L1878">
        <f t="shared" si="153"/>
        <v>0.17222222222222225</v>
      </c>
      <c r="M1878" s="5">
        <v>0.17222222222222225</v>
      </c>
      <c r="N1878" t="s">
        <v>18</v>
      </c>
      <c r="P1878" t="s">
        <v>752</v>
      </c>
      <c r="R1878" s="3">
        <f t="shared" si="149"/>
        <v>4.1333333333333337</v>
      </c>
    </row>
    <row r="1879" spans="1:18" hidden="1" x14ac:dyDescent="0.25">
      <c r="A1879" t="s">
        <v>1379</v>
      </c>
      <c r="B1879" t="s">
        <v>1303</v>
      </c>
      <c r="C1879" t="s">
        <v>1332</v>
      </c>
      <c r="D1879" s="3">
        <f t="shared" si="150"/>
        <v>7.9200000000000008</v>
      </c>
      <c r="E1879" t="s">
        <v>1374</v>
      </c>
      <c r="F1879" t="s">
        <v>34</v>
      </c>
      <c r="G1879" t="str">
        <f t="shared" si="151"/>
        <v/>
      </c>
      <c r="H1879" t="s">
        <v>14</v>
      </c>
      <c r="I1879" t="s">
        <v>1380</v>
      </c>
      <c r="J1879" s="2">
        <f t="shared" si="152"/>
        <v>1425000</v>
      </c>
      <c r="K1879" t="s">
        <v>909</v>
      </c>
      <c r="L1879">
        <f t="shared" si="153"/>
        <v>0.17291666666666669</v>
      </c>
      <c r="M1879" s="5">
        <v>0.17291666666666669</v>
      </c>
      <c r="N1879" t="s">
        <v>18</v>
      </c>
      <c r="P1879" t="s">
        <v>134</v>
      </c>
      <c r="R1879" s="3">
        <f t="shared" si="149"/>
        <v>4.1500000000000004</v>
      </c>
    </row>
    <row r="1880" spans="1:18" hidden="1" x14ac:dyDescent="0.25">
      <c r="A1880" t="s">
        <v>1367</v>
      </c>
      <c r="B1880" t="s">
        <v>1303</v>
      </c>
      <c r="C1880" t="s">
        <v>1332</v>
      </c>
      <c r="D1880" s="3">
        <f t="shared" si="150"/>
        <v>20.8</v>
      </c>
      <c r="E1880" t="s">
        <v>1368</v>
      </c>
      <c r="F1880" t="s">
        <v>13</v>
      </c>
      <c r="G1880" t="str">
        <f t="shared" si="151"/>
        <v/>
      </c>
      <c r="H1880" t="s">
        <v>14</v>
      </c>
      <c r="I1880" t="s">
        <v>1369</v>
      </c>
      <c r="J1880" s="2">
        <f t="shared" si="152"/>
        <v>1525000</v>
      </c>
      <c r="K1880" t="s">
        <v>27</v>
      </c>
      <c r="L1880">
        <f t="shared" si="153"/>
        <v>0.17083333333333331</v>
      </c>
      <c r="M1880" s="5">
        <v>0.17083333333333331</v>
      </c>
      <c r="N1880" t="s">
        <v>18</v>
      </c>
      <c r="R1880" s="3">
        <f t="shared" si="149"/>
        <v>4.0999999999999996</v>
      </c>
    </row>
    <row r="1881" spans="1:18" hidden="1" x14ac:dyDescent="0.25">
      <c r="A1881" t="s">
        <v>1373</v>
      </c>
      <c r="B1881" t="s">
        <v>1303</v>
      </c>
      <c r="C1881" t="s">
        <v>1332</v>
      </c>
      <c r="D1881" s="3">
        <f t="shared" si="150"/>
        <v>7.9200000000000008</v>
      </c>
      <c r="E1881" t="s">
        <v>1374</v>
      </c>
      <c r="F1881" t="s">
        <v>34</v>
      </c>
      <c r="G1881" t="str">
        <f t="shared" si="151"/>
        <v/>
      </c>
      <c r="H1881" t="s">
        <v>14</v>
      </c>
      <c r="I1881" t="s">
        <v>1375</v>
      </c>
      <c r="J1881" s="2">
        <f t="shared" si="152"/>
        <v>1325000</v>
      </c>
      <c r="K1881" t="s">
        <v>683</v>
      </c>
      <c r="L1881">
        <f t="shared" si="153"/>
        <v>0.17222222222222225</v>
      </c>
      <c r="M1881" s="5">
        <v>0.17222222222222225</v>
      </c>
      <c r="N1881" t="s">
        <v>18</v>
      </c>
      <c r="R1881" s="3">
        <f t="shared" si="149"/>
        <v>4.1333333333333337</v>
      </c>
    </row>
    <row r="1882" spans="1:18" hidden="1" x14ac:dyDescent="0.25">
      <c r="A1882" t="s">
        <v>3764</v>
      </c>
      <c r="B1882" t="s">
        <v>3746</v>
      </c>
      <c r="C1882" t="s">
        <v>3746</v>
      </c>
      <c r="D1882" s="3">
        <f t="shared" si="150"/>
        <v>24</v>
      </c>
      <c r="E1882" t="s">
        <v>584</v>
      </c>
      <c r="F1882" t="s">
        <v>13</v>
      </c>
      <c r="G1882">
        <f t="shared" si="151"/>
        <v>2125000</v>
      </c>
      <c r="H1882" t="s">
        <v>936</v>
      </c>
      <c r="I1882" t="s">
        <v>3765</v>
      </c>
      <c r="J1882" s="2">
        <f t="shared" si="152"/>
        <v>2020000</v>
      </c>
      <c r="K1882" t="s">
        <v>1378</v>
      </c>
      <c r="L1882">
        <f t="shared" si="153"/>
        <v>0.16874999999999998</v>
      </c>
      <c r="M1882" s="5">
        <v>0.16874999999999998</v>
      </c>
      <c r="N1882" t="s">
        <v>43</v>
      </c>
      <c r="P1882" t="s">
        <v>840</v>
      </c>
      <c r="R1882" s="3">
        <f t="shared" si="149"/>
        <v>4.05</v>
      </c>
    </row>
    <row r="1883" spans="1:18" hidden="1" x14ac:dyDescent="0.25">
      <c r="A1883" t="s">
        <v>3799</v>
      </c>
      <c r="B1883" t="s">
        <v>3746</v>
      </c>
      <c r="C1883" t="s">
        <v>3746</v>
      </c>
      <c r="D1883" s="3">
        <f t="shared" si="150"/>
        <v>24</v>
      </c>
      <c r="E1883" t="s">
        <v>584</v>
      </c>
      <c r="F1883" t="s">
        <v>13</v>
      </c>
      <c r="G1883">
        <f t="shared" si="151"/>
        <v>1825000</v>
      </c>
      <c r="H1883" t="s">
        <v>196</v>
      </c>
      <c r="I1883" t="s">
        <v>3800</v>
      </c>
      <c r="J1883" s="2">
        <f t="shared" si="152"/>
        <v>1735000</v>
      </c>
      <c r="K1883" t="s">
        <v>198</v>
      </c>
      <c r="L1883">
        <f t="shared" si="153"/>
        <v>0.16944444444444443</v>
      </c>
      <c r="M1883" s="5">
        <v>0.16944444444444443</v>
      </c>
      <c r="N1883" t="s">
        <v>43</v>
      </c>
      <c r="P1883" t="s">
        <v>199</v>
      </c>
      <c r="R1883" s="3">
        <f t="shared" si="149"/>
        <v>4.0666666666666664</v>
      </c>
    </row>
    <row r="1884" spans="1:18" hidden="1" x14ac:dyDescent="0.25">
      <c r="A1884" t="s">
        <v>5387</v>
      </c>
      <c r="B1884" t="s">
        <v>5848</v>
      </c>
      <c r="C1884" t="s">
        <v>5342</v>
      </c>
      <c r="D1884" s="3">
        <f t="shared" si="150"/>
        <v>12</v>
      </c>
      <c r="E1884" t="s">
        <v>347</v>
      </c>
      <c r="F1884" t="s">
        <v>13</v>
      </c>
      <c r="G1884">
        <f t="shared" si="151"/>
        <v>2300000</v>
      </c>
      <c r="H1884" t="s">
        <v>820</v>
      </c>
      <c r="I1884" t="s">
        <v>5388</v>
      </c>
      <c r="J1884" s="2">
        <f t="shared" si="152"/>
        <v>2185000</v>
      </c>
      <c r="K1884" t="s">
        <v>3168</v>
      </c>
      <c r="L1884">
        <f t="shared" si="153"/>
        <v>0.16874999999999998</v>
      </c>
      <c r="M1884" s="5">
        <v>0.16874999999999998</v>
      </c>
      <c r="N1884" t="s">
        <v>43</v>
      </c>
      <c r="P1884" t="s">
        <v>752</v>
      </c>
      <c r="R1884" s="3">
        <f t="shared" si="149"/>
        <v>4.05</v>
      </c>
    </row>
    <row r="1885" spans="1:18" hidden="1" x14ac:dyDescent="0.25">
      <c r="A1885" t="s">
        <v>2080</v>
      </c>
      <c r="B1885" t="s">
        <v>2596</v>
      </c>
      <c r="C1885" t="s">
        <v>2036</v>
      </c>
      <c r="D1885" s="3">
        <f t="shared" si="150"/>
        <v>6</v>
      </c>
      <c r="E1885" t="s">
        <v>285</v>
      </c>
      <c r="F1885" t="s">
        <v>13</v>
      </c>
      <c r="G1885">
        <f t="shared" si="151"/>
        <v>1725000</v>
      </c>
      <c r="H1885" t="s">
        <v>897</v>
      </c>
      <c r="I1885" t="s">
        <v>2081</v>
      </c>
      <c r="J1885" s="2">
        <f t="shared" si="152"/>
        <v>1640000</v>
      </c>
      <c r="K1885" t="s">
        <v>1735</v>
      </c>
      <c r="L1885">
        <f t="shared" si="153"/>
        <v>0.17222222222222225</v>
      </c>
      <c r="M1885" s="5">
        <v>0.17222222222222225</v>
      </c>
      <c r="N1885" t="s">
        <v>18</v>
      </c>
      <c r="P1885" t="s">
        <v>713</v>
      </c>
      <c r="R1885" s="3">
        <f t="shared" si="149"/>
        <v>4.1333333333333337</v>
      </c>
    </row>
    <row r="1886" spans="1:18" hidden="1" x14ac:dyDescent="0.25">
      <c r="A1886" t="s">
        <v>2119</v>
      </c>
      <c r="B1886" t="s">
        <v>2596</v>
      </c>
      <c r="C1886" t="s">
        <v>2036</v>
      </c>
      <c r="D1886" s="3">
        <f t="shared" si="150"/>
        <v>6</v>
      </c>
      <c r="E1886" t="s">
        <v>285</v>
      </c>
      <c r="F1886" t="s">
        <v>13</v>
      </c>
      <c r="G1886">
        <f t="shared" si="151"/>
        <v>1825000</v>
      </c>
      <c r="H1886" t="s">
        <v>196</v>
      </c>
      <c r="I1886" t="s">
        <v>2081</v>
      </c>
      <c r="J1886" s="2">
        <f t="shared" si="152"/>
        <v>1735000</v>
      </c>
      <c r="K1886" t="s">
        <v>198</v>
      </c>
      <c r="L1886">
        <f t="shared" si="153"/>
        <v>0.17083333333333331</v>
      </c>
      <c r="M1886" s="5">
        <v>0.17083333333333331</v>
      </c>
      <c r="N1886" t="s">
        <v>18</v>
      </c>
      <c r="P1886" t="s">
        <v>199</v>
      </c>
      <c r="R1886" s="3">
        <f t="shared" si="149"/>
        <v>4.0999999999999996</v>
      </c>
    </row>
    <row r="1887" spans="1:18" hidden="1" x14ac:dyDescent="0.25">
      <c r="A1887" t="s">
        <v>2343</v>
      </c>
      <c r="B1887" t="s">
        <v>2596</v>
      </c>
      <c r="C1887" t="s">
        <v>2036</v>
      </c>
      <c r="D1887" s="3">
        <f t="shared" si="150"/>
        <v>12</v>
      </c>
      <c r="E1887" t="s">
        <v>347</v>
      </c>
      <c r="F1887" t="s">
        <v>13</v>
      </c>
      <c r="G1887">
        <f t="shared" si="151"/>
        <v>1875000</v>
      </c>
      <c r="H1887" t="s">
        <v>884</v>
      </c>
      <c r="I1887" t="s">
        <v>2344</v>
      </c>
      <c r="J1887" s="2">
        <f t="shared" si="152"/>
        <v>1782500</v>
      </c>
      <c r="K1887" t="s">
        <v>2151</v>
      </c>
      <c r="L1887">
        <f t="shared" si="153"/>
        <v>0.17291666666666669</v>
      </c>
      <c r="M1887" s="5">
        <v>0.17291666666666669</v>
      </c>
      <c r="N1887" t="s">
        <v>18</v>
      </c>
      <c r="P1887" t="s">
        <v>1461</v>
      </c>
      <c r="R1887" s="3">
        <f t="shared" si="149"/>
        <v>4.1500000000000004</v>
      </c>
    </row>
    <row r="1888" spans="1:18" hidden="1" x14ac:dyDescent="0.25">
      <c r="A1888" t="s">
        <v>5383</v>
      </c>
      <c r="B1888" t="s">
        <v>5848</v>
      </c>
      <c r="C1888" t="s">
        <v>5369</v>
      </c>
      <c r="D1888" s="3">
        <f t="shared" si="150"/>
        <v>8.75</v>
      </c>
      <c r="E1888" t="s">
        <v>775</v>
      </c>
      <c r="F1888" t="s">
        <v>13</v>
      </c>
      <c r="G1888">
        <f t="shared" si="151"/>
        <v>1675000</v>
      </c>
      <c r="H1888" t="s">
        <v>1119</v>
      </c>
      <c r="I1888" t="s">
        <v>5384</v>
      </c>
      <c r="J1888" s="2">
        <f t="shared" si="152"/>
        <v>1543000</v>
      </c>
      <c r="K1888" t="s">
        <v>5385</v>
      </c>
      <c r="L1888">
        <f t="shared" si="153"/>
        <v>0.17222222222222225</v>
      </c>
      <c r="M1888" s="5">
        <v>0.17222222222222225</v>
      </c>
      <c r="N1888" t="s">
        <v>18</v>
      </c>
      <c r="P1888" t="s">
        <v>5386</v>
      </c>
      <c r="R1888" s="3">
        <f t="shared" si="149"/>
        <v>4.1333333333333337</v>
      </c>
    </row>
    <row r="1889" spans="1:18" hidden="1" x14ac:dyDescent="0.25">
      <c r="A1889" t="s">
        <v>5586</v>
      </c>
      <c r="B1889" t="s">
        <v>5848</v>
      </c>
      <c r="C1889" t="s">
        <v>5369</v>
      </c>
      <c r="D1889" s="3">
        <f t="shared" si="150"/>
        <v>6</v>
      </c>
      <c r="E1889" t="s">
        <v>285</v>
      </c>
      <c r="F1889" t="s">
        <v>13</v>
      </c>
      <c r="G1889" t="str">
        <f t="shared" si="151"/>
        <v/>
      </c>
      <c r="H1889" t="s">
        <v>14</v>
      </c>
      <c r="I1889" t="s">
        <v>5587</v>
      </c>
      <c r="J1889" s="2">
        <f t="shared" si="152"/>
        <v>1225000</v>
      </c>
      <c r="K1889" t="s">
        <v>661</v>
      </c>
      <c r="L1889">
        <f t="shared" si="153"/>
        <v>0.17013888888888887</v>
      </c>
      <c r="M1889" s="5">
        <v>0.17013888888888887</v>
      </c>
      <c r="N1889" t="s">
        <v>18</v>
      </c>
      <c r="P1889" t="s">
        <v>5386</v>
      </c>
      <c r="R1889" s="3">
        <f t="shared" si="149"/>
        <v>4.083333333333333</v>
      </c>
    </row>
    <row r="1890" spans="1:18" hidden="1" x14ac:dyDescent="0.25">
      <c r="A1890" t="s">
        <v>3152</v>
      </c>
      <c r="B1890" t="s">
        <v>3206</v>
      </c>
      <c r="C1890" t="s">
        <v>2779</v>
      </c>
      <c r="D1890" s="3">
        <f t="shared" si="150"/>
        <v>7</v>
      </c>
      <c r="E1890" t="s">
        <v>2061</v>
      </c>
      <c r="F1890" t="s">
        <v>13</v>
      </c>
      <c r="G1890" t="str">
        <f t="shared" si="151"/>
        <v/>
      </c>
      <c r="H1890" t="s">
        <v>14</v>
      </c>
      <c r="I1890" t="s">
        <v>3153</v>
      </c>
      <c r="J1890" s="2">
        <f t="shared" si="152"/>
        <v>2285000</v>
      </c>
      <c r="K1890" t="s">
        <v>3154</v>
      </c>
      <c r="L1890">
        <f t="shared" si="153"/>
        <v>0.17083333333333331</v>
      </c>
      <c r="M1890" s="5">
        <v>0.17083333333333331</v>
      </c>
      <c r="N1890" t="s">
        <v>18</v>
      </c>
      <c r="P1890" t="s">
        <v>665</v>
      </c>
      <c r="R1890" s="3">
        <f t="shared" si="149"/>
        <v>4.0999999999999996</v>
      </c>
    </row>
    <row r="1891" spans="1:18" x14ac:dyDescent="0.25">
      <c r="A1891" t="s">
        <v>1542</v>
      </c>
      <c r="B1891" t="s">
        <v>1303</v>
      </c>
      <c r="C1891" t="s">
        <v>1392</v>
      </c>
      <c r="D1891" s="3">
        <f t="shared" si="150"/>
        <v>11.2</v>
      </c>
      <c r="E1891" t="s">
        <v>1543</v>
      </c>
      <c r="F1891" t="s">
        <v>13</v>
      </c>
      <c r="G1891">
        <f t="shared" si="151"/>
        <v>2425000</v>
      </c>
      <c r="H1891" t="s">
        <v>1544</v>
      </c>
      <c r="I1891" t="s">
        <v>1545</v>
      </c>
      <c r="J1891" s="2">
        <f t="shared" si="152"/>
        <v>2233000</v>
      </c>
      <c r="K1891" t="s">
        <v>1546</v>
      </c>
      <c r="L1891">
        <f t="shared" si="153"/>
        <v>0.16874999999999998</v>
      </c>
      <c r="M1891" s="5">
        <v>0.16874999999999998</v>
      </c>
      <c r="N1891" t="s">
        <v>43</v>
      </c>
      <c r="P1891" t="s">
        <v>1547</v>
      </c>
      <c r="R1891" s="3">
        <f t="shared" si="149"/>
        <v>4.05</v>
      </c>
    </row>
    <row r="1892" spans="1:18" x14ac:dyDescent="0.25">
      <c r="A1892" t="s">
        <v>5817</v>
      </c>
      <c r="B1892" t="s">
        <v>5848</v>
      </c>
      <c r="C1892" t="s">
        <v>5339</v>
      </c>
      <c r="D1892" s="3">
        <f t="shared" si="150"/>
        <v>12</v>
      </c>
      <c r="E1892" t="s">
        <v>33</v>
      </c>
      <c r="F1892" t="s">
        <v>13</v>
      </c>
      <c r="G1892" t="str">
        <f t="shared" si="151"/>
        <v/>
      </c>
      <c r="H1892" t="s">
        <v>14</v>
      </c>
      <c r="I1892" t="s">
        <v>5818</v>
      </c>
      <c r="J1892" s="2">
        <f t="shared" si="152"/>
        <v>2250000</v>
      </c>
      <c r="K1892" t="s">
        <v>448</v>
      </c>
      <c r="L1892">
        <f t="shared" si="153"/>
        <v>0.17083333333333331</v>
      </c>
      <c r="M1892" s="5">
        <v>0.17083333333333331</v>
      </c>
      <c r="N1892" t="s">
        <v>18</v>
      </c>
      <c r="P1892" t="s">
        <v>727</v>
      </c>
      <c r="R1892" s="3">
        <f t="shared" si="149"/>
        <v>4.0999999999999996</v>
      </c>
    </row>
    <row r="1893" spans="1:18" hidden="1" x14ac:dyDescent="0.25">
      <c r="A1893" t="s">
        <v>4681</v>
      </c>
      <c r="B1893" t="s">
        <v>4272</v>
      </c>
      <c r="C1893" t="s">
        <v>4281</v>
      </c>
      <c r="D1893" s="3">
        <f t="shared" si="150"/>
        <v>5.75</v>
      </c>
      <c r="E1893" t="s">
        <v>2653</v>
      </c>
      <c r="F1893" t="s">
        <v>13</v>
      </c>
      <c r="G1893">
        <f t="shared" si="151"/>
        <v>925000</v>
      </c>
      <c r="H1893" t="s">
        <v>649</v>
      </c>
      <c r="I1893" t="s">
        <v>4682</v>
      </c>
      <c r="J1893" s="2">
        <f t="shared" si="152"/>
        <v>853000</v>
      </c>
      <c r="K1893" t="s">
        <v>4664</v>
      </c>
      <c r="L1893">
        <f t="shared" si="153"/>
        <v>0.17083333333333331</v>
      </c>
      <c r="M1893" s="5">
        <v>0.17083333333333331</v>
      </c>
      <c r="N1893" t="s">
        <v>43</v>
      </c>
      <c r="P1893" t="s">
        <v>2126</v>
      </c>
      <c r="R1893" s="3">
        <f t="shared" si="149"/>
        <v>4.0999999999999996</v>
      </c>
    </row>
    <row r="1894" spans="1:18" hidden="1" x14ac:dyDescent="0.25">
      <c r="A1894" t="s">
        <v>2862</v>
      </c>
      <c r="B1894" t="s">
        <v>3206</v>
      </c>
      <c r="C1894" t="s">
        <v>2734</v>
      </c>
      <c r="D1894" s="3" t="e">
        <f t="shared" si="150"/>
        <v>#VALUE!</v>
      </c>
      <c r="E1894" t="s">
        <v>14</v>
      </c>
      <c r="F1894" t="s">
        <v>14</v>
      </c>
      <c r="G1894">
        <f t="shared" si="151"/>
        <v>2625000</v>
      </c>
      <c r="H1894" t="s">
        <v>2257</v>
      </c>
      <c r="I1894" t="s">
        <v>110</v>
      </c>
      <c r="J1894" s="2">
        <f t="shared" si="152"/>
        <v>2365000</v>
      </c>
      <c r="K1894" t="s">
        <v>2697</v>
      </c>
      <c r="L1894">
        <f t="shared" si="153"/>
        <v>0.17013888888888887</v>
      </c>
      <c r="M1894" s="5">
        <v>0.17013888888888887</v>
      </c>
      <c r="N1894" t="s">
        <v>43</v>
      </c>
      <c r="P1894" t="s">
        <v>2817</v>
      </c>
      <c r="R1894" s="3">
        <f t="shared" si="149"/>
        <v>4.083333333333333</v>
      </c>
    </row>
    <row r="1895" spans="1:18" hidden="1" x14ac:dyDescent="0.25">
      <c r="A1895" t="s">
        <v>3076</v>
      </c>
      <c r="B1895" t="s">
        <v>3206</v>
      </c>
      <c r="C1895" t="s">
        <v>2604</v>
      </c>
      <c r="D1895" s="3">
        <f t="shared" si="150"/>
        <v>24</v>
      </c>
      <c r="E1895" t="s">
        <v>601</v>
      </c>
      <c r="F1895" t="s">
        <v>13</v>
      </c>
      <c r="G1895">
        <f t="shared" si="151"/>
        <v>3225000</v>
      </c>
      <c r="H1895" t="s">
        <v>2507</v>
      </c>
      <c r="I1895" t="s">
        <v>3077</v>
      </c>
      <c r="J1895" s="2">
        <f t="shared" si="152"/>
        <v>2905000</v>
      </c>
      <c r="K1895" t="s">
        <v>3078</v>
      </c>
      <c r="L1895">
        <f t="shared" si="153"/>
        <v>0.17291666666666669</v>
      </c>
      <c r="M1895" s="5">
        <v>0.17291666666666669</v>
      </c>
      <c r="N1895" t="s">
        <v>43</v>
      </c>
      <c r="P1895" t="s">
        <v>3079</v>
      </c>
      <c r="R1895" s="3">
        <f t="shared" si="149"/>
        <v>4.1500000000000004</v>
      </c>
    </row>
    <row r="1896" spans="1:18" hidden="1" x14ac:dyDescent="0.25">
      <c r="A1896" t="s">
        <v>1337</v>
      </c>
      <c r="B1896" t="s">
        <v>1303</v>
      </c>
      <c r="C1896" t="s">
        <v>1342</v>
      </c>
      <c r="D1896" s="3">
        <f t="shared" si="150"/>
        <v>18</v>
      </c>
      <c r="E1896" t="s">
        <v>1338</v>
      </c>
      <c r="F1896" t="s">
        <v>13</v>
      </c>
      <c r="G1896">
        <f t="shared" si="151"/>
        <v>2225000</v>
      </c>
      <c r="H1896" t="s">
        <v>1339</v>
      </c>
      <c r="I1896" t="s">
        <v>1340</v>
      </c>
      <c r="J1896" s="2">
        <f t="shared" si="152"/>
        <v>2115000</v>
      </c>
      <c r="K1896" t="s">
        <v>1341</v>
      </c>
      <c r="L1896">
        <f t="shared" si="153"/>
        <v>0.17083333333333331</v>
      </c>
      <c r="M1896" s="5">
        <v>0.17083333333333331</v>
      </c>
      <c r="N1896" t="s">
        <v>18</v>
      </c>
      <c r="P1896" t="s">
        <v>727</v>
      </c>
      <c r="R1896" s="3">
        <f t="shared" si="149"/>
        <v>4.0999999999999996</v>
      </c>
    </row>
    <row r="1897" spans="1:18" hidden="1" x14ac:dyDescent="0.25">
      <c r="A1897" t="s">
        <v>1376</v>
      </c>
      <c r="B1897" t="s">
        <v>1303</v>
      </c>
      <c r="C1897" t="s">
        <v>1342</v>
      </c>
      <c r="D1897" s="3">
        <f t="shared" si="150"/>
        <v>14</v>
      </c>
      <c r="E1897" t="s">
        <v>238</v>
      </c>
      <c r="F1897" t="s">
        <v>13</v>
      </c>
      <c r="G1897">
        <f t="shared" si="151"/>
        <v>2125000</v>
      </c>
      <c r="H1897" t="s">
        <v>936</v>
      </c>
      <c r="I1897" t="s">
        <v>1377</v>
      </c>
      <c r="J1897" s="2">
        <f t="shared" si="152"/>
        <v>2020000</v>
      </c>
      <c r="K1897" t="s">
        <v>1378</v>
      </c>
      <c r="L1897">
        <f t="shared" si="153"/>
        <v>0.17083333333333331</v>
      </c>
      <c r="M1897" s="5">
        <v>0.17083333333333331</v>
      </c>
      <c r="N1897" t="s">
        <v>18</v>
      </c>
      <c r="P1897" t="s">
        <v>840</v>
      </c>
      <c r="R1897" s="3">
        <f t="shared" si="149"/>
        <v>4.0999999999999996</v>
      </c>
    </row>
    <row r="1898" spans="1:18" hidden="1" x14ac:dyDescent="0.25">
      <c r="A1898" t="s">
        <v>1885</v>
      </c>
      <c r="B1898" t="s">
        <v>1303</v>
      </c>
      <c r="C1898" t="s">
        <v>1342</v>
      </c>
      <c r="D1898" s="3">
        <f t="shared" si="150"/>
        <v>12</v>
      </c>
      <c r="E1898" t="s">
        <v>347</v>
      </c>
      <c r="F1898" t="s">
        <v>34</v>
      </c>
      <c r="G1898">
        <f t="shared" si="151"/>
        <v>2125000</v>
      </c>
      <c r="H1898" t="s">
        <v>936</v>
      </c>
      <c r="I1898" t="s">
        <v>1886</v>
      </c>
      <c r="J1898" s="2">
        <f t="shared" si="152"/>
        <v>2020000</v>
      </c>
      <c r="K1898" t="s">
        <v>1378</v>
      </c>
      <c r="L1898">
        <f t="shared" si="153"/>
        <v>0.17291666666666669</v>
      </c>
      <c r="M1898" s="5">
        <v>0.17291666666666669</v>
      </c>
      <c r="N1898" t="s">
        <v>18</v>
      </c>
      <c r="P1898" t="s">
        <v>840</v>
      </c>
      <c r="R1898" s="3">
        <f t="shared" si="149"/>
        <v>4.1500000000000004</v>
      </c>
    </row>
    <row r="1899" spans="1:18" hidden="1" x14ac:dyDescent="0.25">
      <c r="A1899" t="s">
        <v>1674</v>
      </c>
      <c r="B1899" t="s">
        <v>1303</v>
      </c>
      <c r="C1899" t="s">
        <v>1342</v>
      </c>
      <c r="D1899" s="3">
        <f t="shared" si="150"/>
        <v>8.75</v>
      </c>
      <c r="E1899" t="s">
        <v>775</v>
      </c>
      <c r="F1899" t="s">
        <v>13</v>
      </c>
      <c r="G1899">
        <f t="shared" si="151"/>
        <v>2025000</v>
      </c>
      <c r="H1899" t="s">
        <v>1065</v>
      </c>
      <c r="I1899" t="s">
        <v>1675</v>
      </c>
      <c r="J1899" s="2">
        <f t="shared" si="152"/>
        <v>1925000</v>
      </c>
      <c r="K1899" t="s">
        <v>552</v>
      </c>
      <c r="L1899">
        <f t="shared" si="153"/>
        <v>0.17222222222222225</v>
      </c>
      <c r="M1899" s="5">
        <v>0.17222222222222225</v>
      </c>
      <c r="N1899" t="s">
        <v>18</v>
      </c>
      <c r="P1899" t="s">
        <v>669</v>
      </c>
      <c r="R1899" s="3">
        <f t="shared" si="149"/>
        <v>4.1333333333333337</v>
      </c>
    </row>
    <row r="1900" spans="1:18" x14ac:dyDescent="0.25">
      <c r="A1900" t="s">
        <v>1853</v>
      </c>
      <c r="B1900" t="s">
        <v>1303</v>
      </c>
      <c r="C1900" t="s">
        <v>1332</v>
      </c>
      <c r="D1900" s="3">
        <f t="shared" si="150"/>
        <v>14</v>
      </c>
      <c r="E1900" t="s">
        <v>238</v>
      </c>
      <c r="F1900" t="s">
        <v>13</v>
      </c>
      <c r="G1900" t="str">
        <f t="shared" si="151"/>
        <v/>
      </c>
      <c r="H1900" t="s">
        <v>14</v>
      </c>
      <c r="I1900" t="s">
        <v>1854</v>
      </c>
      <c r="J1900" s="2">
        <f t="shared" si="152"/>
        <v>2250000</v>
      </c>
      <c r="K1900" t="s">
        <v>448</v>
      </c>
      <c r="L1900">
        <f t="shared" si="153"/>
        <v>0.1673611111111111</v>
      </c>
      <c r="M1900" s="5">
        <v>0.1673611111111111</v>
      </c>
      <c r="N1900" t="s">
        <v>43</v>
      </c>
      <c r="R1900" s="3">
        <f t="shared" si="149"/>
        <v>4.0166666666666666</v>
      </c>
    </row>
    <row r="1901" spans="1:18" hidden="1" x14ac:dyDescent="0.25">
      <c r="A1901" t="s">
        <v>2186</v>
      </c>
      <c r="B1901" t="s">
        <v>2596</v>
      </c>
      <c r="C1901" t="s">
        <v>2016</v>
      </c>
      <c r="D1901" s="3">
        <f t="shared" si="150"/>
        <v>5</v>
      </c>
      <c r="E1901" t="s">
        <v>2187</v>
      </c>
      <c r="F1901" t="s">
        <v>13</v>
      </c>
      <c r="G1901" t="str">
        <f t="shared" si="151"/>
        <v/>
      </c>
      <c r="H1901" t="s">
        <v>14</v>
      </c>
      <c r="I1901" t="s">
        <v>2188</v>
      </c>
      <c r="J1901" s="2">
        <f t="shared" si="152"/>
        <v>1125000</v>
      </c>
      <c r="K1901" t="s">
        <v>724</v>
      </c>
      <c r="L1901">
        <f t="shared" si="153"/>
        <v>0.17291666666666669</v>
      </c>
      <c r="M1901" s="5">
        <v>0.17291666666666669</v>
      </c>
      <c r="N1901" t="s">
        <v>43</v>
      </c>
      <c r="P1901" t="s">
        <v>1581</v>
      </c>
      <c r="R1901" s="3">
        <f t="shared" si="149"/>
        <v>4.1500000000000004</v>
      </c>
    </row>
    <row r="1902" spans="1:18" hidden="1" x14ac:dyDescent="0.25">
      <c r="A1902" t="s">
        <v>2827</v>
      </c>
      <c r="B1902" t="s">
        <v>3206</v>
      </c>
      <c r="C1902" t="s">
        <v>2816</v>
      </c>
      <c r="D1902" s="3">
        <f t="shared" si="150"/>
        <v>12</v>
      </c>
      <c r="E1902" t="s">
        <v>347</v>
      </c>
      <c r="F1902" t="s">
        <v>13</v>
      </c>
      <c r="G1902">
        <f t="shared" si="151"/>
        <v>2525000</v>
      </c>
      <c r="H1902" t="s">
        <v>131</v>
      </c>
      <c r="I1902" t="s">
        <v>2828</v>
      </c>
      <c r="J1902" s="2">
        <f t="shared" si="152"/>
        <v>2400000</v>
      </c>
      <c r="K1902" t="s">
        <v>133</v>
      </c>
      <c r="L1902">
        <f t="shared" si="153"/>
        <v>0.17013888888888887</v>
      </c>
      <c r="M1902" s="5">
        <v>0.17013888888888887</v>
      </c>
      <c r="N1902" t="s">
        <v>43</v>
      </c>
      <c r="P1902" t="s">
        <v>134</v>
      </c>
      <c r="R1902" s="3">
        <f t="shared" si="149"/>
        <v>4.083333333333333</v>
      </c>
    </row>
    <row r="1903" spans="1:18" hidden="1" x14ac:dyDescent="0.25">
      <c r="A1903" t="s">
        <v>3216</v>
      </c>
      <c r="B1903" t="s">
        <v>3206</v>
      </c>
      <c r="C1903" t="s">
        <v>2816</v>
      </c>
      <c r="D1903" s="3">
        <f t="shared" si="150"/>
        <v>10.799999999999999</v>
      </c>
      <c r="E1903" t="s">
        <v>1220</v>
      </c>
      <c r="F1903" t="s">
        <v>13</v>
      </c>
      <c r="G1903" t="str">
        <f t="shared" si="151"/>
        <v/>
      </c>
      <c r="H1903" t="s">
        <v>14</v>
      </c>
      <c r="I1903" t="s">
        <v>3217</v>
      </c>
      <c r="J1903" s="2">
        <f t="shared" si="152"/>
        <v>2825000</v>
      </c>
      <c r="K1903" t="s">
        <v>1604</v>
      </c>
      <c r="L1903">
        <f t="shared" si="153"/>
        <v>0.17013888888888887</v>
      </c>
      <c r="M1903" s="5">
        <v>0.17013888888888887</v>
      </c>
      <c r="N1903" t="s">
        <v>43</v>
      </c>
      <c r="P1903" t="s">
        <v>134</v>
      </c>
      <c r="R1903" s="3">
        <f t="shared" si="149"/>
        <v>4.083333333333333</v>
      </c>
    </row>
    <row r="1904" spans="1:18" hidden="1" x14ac:dyDescent="0.25">
      <c r="A1904" t="s">
        <v>1653</v>
      </c>
      <c r="B1904" t="s">
        <v>1303</v>
      </c>
      <c r="C1904" t="s">
        <v>1366</v>
      </c>
      <c r="D1904" s="3">
        <f t="shared" si="150"/>
        <v>9.8899999999999988</v>
      </c>
      <c r="E1904" t="s">
        <v>1654</v>
      </c>
      <c r="F1904" t="s">
        <v>13</v>
      </c>
      <c r="G1904">
        <f t="shared" si="151"/>
        <v>1725000</v>
      </c>
      <c r="H1904" t="s">
        <v>897</v>
      </c>
      <c r="I1904" t="s">
        <v>1655</v>
      </c>
      <c r="J1904" s="2">
        <f t="shared" si="152"/>
        <v>1589000</v>
      </c>
      <c r="K1904" t="s">
        <v>1656</v>
      </c>
      <c r="L1904">
        <f t="shared" si="153"/>
        <v>0.16874999999999998</v>
      </c>
      <c r="M1904" s="5">
        <v>0.16874999999999998</v>
      </c>
      <c r="N1904" t="s">
        <v>43</v>
      </c>
      <c r="P1904" t="s">
        <v>1657</v>
      </c>
      <c r="R1904" s="3">
        <f t="shared" si="149"/>
        <v>4.05</v>
      </c>
    </row>
    <row r="1905" spans="1:18" hidden="1" x14ac:dyDescent="0.25">
      <c r="A1905" t="s">
        <v>3068</v>
      </c>
      <c r="B1905" t="s">
        <v>3206</v>
      </c>
      <c r="C1905" t="s">
        <v>2772</v>
      </c>
      <c r="D1905" s="3">
        <f t="shared" si="150"/>
        <v>10.8</v>
      </c>
      <c r="E1905" t="s">
        <v>2499</v>
      </c>
      <c r="F1905" t="s">
        <v>13</v>
      </c>
      <c r="G1905">
        <f t="shared" si="151"/>
        <v>2925000</v>
      </c>
      <c r="H1905" t="s">
        <v>1968</v>
      </c>
      <c r="I1905" t="s">
        <v>3069</v>
      </c>
      <c r="J1905" s="2">
        <f t="shared" si="152"/>
        <v>2780000</v>
      </c>
      <c r="K1905" t="s">
        <v>1969</v>
      </c>
      <c r="L1905">
        <f t="shared" si="153"/>
        <v>0.17013888888888887</v>
      </c>
      <c r="M1905" s="5">
        <v>0.17013888888888887</v>
      </c>
      <c r="N1905" t="s">
        <v>43</v>
      </c>
      <c r="P1905" t="s">
        <v>1970</v>
      </c>
      <c r="R1905" s="3">
        <f t="shared" si="149"/>
        <v>4.083333333333333</v>
      </c>
    </row>
    <row r="1906" spans="1:18" hidden="1" x14ac:dyDescent="0.25">
      <c r="A1906" t="s">
        <v>3058</v>
      </c>
      <c r="B1906" t="s">
        <v>3206</v>
      </c>
      <c r="C1906" t="s">
        <v>2640</v>
      </c>
      <c r="D1906" s="3">
        <f t="shared" si="150"/>
        <v>10.5</v>
      </c>
      <c r="E1906" t="s">
        <v>1051</v>
      </c>
      <c r="F1906" t="s">
        <v>13</v>
      </c>
      <c r="G1906">
        <f t="shared" si="151"/>
        <v>2775000</v>
      </c>
      <c r="H1906" t="s">
        <v>2338</v>
      </c>
      <c r="I1906" t="s">
        <v>3059</v>
      </c>
      <c r="J1906" s="2">
        <f t="shared" si="152"/>
        <v>2637500</v>
      </c>
      <c r="K1906" t="s">
        <v>2340</v>
      </c>
      <c r="L1906">
        <f t="shared" si="153"/>
        <v>0.17222222222222225</v>
      </c>
      <c r="M1906" s="5">
        <v>0.17222222222222225</v>
      </c>
      <c r="N1906" t="s">
        <v>18</v>
      </c>
      <c r="P1906" t="s">
        <v>1627</v>
      </c>
      <c r="R1906" s="3">
        <f t="shared" si="149"/>
        <v>4.1333333333333337</v>
      </c>
    </row>
    <row r="1907" spans="1:18" hidden="1" x14ac:dyDescent="0.25">
      <c r="A1907" t="s">
        <v>3214</v>
      </c>
      <c r="B1907" t="s">
        <v>3206</v>
      </c>
      <c r="C1907" t="s">
        <v>2640</v>
      </c>
      <c r="D1907" s="3">
        <f t="shared" si="150"/>
        <v>8.75</v>
      </c>
      <c r="E1907" t="s">
        <v>775</v>
      </c>
      <c r="F1907" t="s">
        <v>13</v>
      </c>
      <c r="G1907">
        <f t="shared" si="151"/>
        <v>2525000</v>
      </c>
      <c r="H1907" t="s">
        <v>131</v>
      </c>
      <c r="I1907" t="s">
        <v>3215</v>
      </c>
      <c r="J1907" s="2">
        <f t="shared" si="152"/>
        <v>2400000</v>
      </c>
      <c r="K1907" t="s">
        <v>133</v>
      </c>
      <c r="L1907">
        <f t="shared" si="153"/>
        <v>0.17222222222222225</v>
      </c>
      <c r="M1907" s="5">
        <v>0.17222222222222225</v>
      </c>
      <c r="N1907" t="s">
        <v>18</v>
      </c>
      <c r="P1907" t="s">
        <v>134</v>
      </c>
      <c r="R1907" s="3">
        <f t="shared" si="149"/>
        <v>4.1333333333333337</v>
      </c>
    </row>
    <row r="1908" spans="1:18" hidden="1" x14ac:dyDescent="0.25">
      <c r="A1908" t="s">
        <v>2521</v>
      </c>
      <c r="B1908" t="s">
        <v>2596</v>
      </c>
      <c r="C1908" t="s">
        <v>2053</v>
      </c>
      <c r="D1908" s="3">
        <f t="shared" si="150"/>
        <v>8.64</v>
      </c>
      <c r="E1908" t="s">
        <v>983</v>
      </c>
      <c r="F1908" t="s">
        <v>13</v>
      </c>
      <c r="G1908">
        <f t="shared" si="151"/>
        <v>2525000</v>
      </c>
      <c r="H1908" t="s">
        <v>131</v>
      </c>
      <c r="I1908" t="s">
        <v>2522</v>
      </c>
      <c r="J1908" s="2">
        <f t="shared" si="152"/>
        <v>2275000</v>
      </c>
      <c r="K1908" t="s">
        <v>1027</v>
      </c>
      <c r="L1908">
        <f t="shared" si="153"/>
        <v>0.12847222222222224</v>
      </c>
      <c r="M1908" s="5">
        <v>0.12847222222222224</v>
      </c>
      <c r="N1908" t="s">
        <v>43</v>
      </c>
      <c r="P1908" t="s">
        <v>973</v>
      </c>
      <c r="R1908" s="3">
        <f t="shared" si="149"/>
        <v>3.0833333333333339</v>
      </c>
    </row>
    <row r="1909" spans="1:18" hidden="1" x14ac:dyDescent="0.25">
      <c r="A1909" t="s">
        <v>2317</v>
      </c>
      <c r="B1909" t="s">
        <v>2596</v>
      </c>
      <c r="C1909" t="s">
        <v>2053</v>
      </c>
      <c r="D1909" s="3">
        <f t="shared" si="150"/>
        <v>7.5</v>
      </c>
      <c r="E1909" t="s">
        <v>614</v>
      </c>
      <c r="F1909" t="s">
        <v>13</v>
      </c>
      <c r="G1909">
        <f t="shared" si="151"/>
        <v>2025000</v>
      </c>
      <c r="H1909" t="s">
        <v>1065</v>
      </c>
      <c r="I1909" t="s">
        <v>2318</v>
      </c>
      <c r="J1909" s="2">
        <f t="shared" si="152"/>
        <v>1825000</v>
      </c>
      <c r="K1909" t="s">
        <v>196</v>
      </c>
      <c r="L1909">
        <f t="shared" si="153"/>
        <v>0.17291666666666669</v>
      </c>
      <c r="M1909" s="5">
        <v>0.17291666666666669</v>
      </c>
      <c r="N1909" t="s">
        <v>43</v>
      </c>
      <c r="P1909" t="s">
        <v>1053</v>
      </c>
      <c r="R1909" s="3">
        <f t="shared" si="149"/>
        <v>4.1500000000000004</v>
      </c>
    </row>
    <row r="1910" spans="1:18" hidden="1" x14ac:dyDescent="0.25">
      <c r="A1910" t="s">
        <v>3033</v>
      </c>
      <c r="B1910" t="s">
        <v>3206</v>
      </c>
      <c r="C1910" t="s">
        <v>2640</v>
      </c>
      <c r="D1910" s="3">
        <f t="shared" si="150"/>
        <v>6.3000000000000007</v>
      </c>
      <c r="E1910" t="s">
        <v>304</v>
      </c>
      <c r="F1910" t="s">
        <v>34</v>
      </c>
      <c r="G1910" t="str">
        <f t="shared" si="151"/>
        <v/>
      </c>
      <c r="H1910" t="s">
        <v>14</v>
      </c>
      <c r="I1910" t="s">
        <v>3034</v>
      </c>
      <c r="J1910" s="2">
        <f t="shared" si="152"/>
        <v>1125000</v>
      </c>
      <c r="K1910" t="s">
        <v>724</v>
      </c>
      <c r="L1910">
        <f t="shared" si="153"/>
        <v>0.17013888888888887</v>
      </c>
      <c r="M1910" s="5">
        <v>0.17013888888888887</v>
      </c>
      <c r="N1910" t="s">
        <v>37</v>
      </c>
      <c r="P1910" t="s">
        <v>2379</v>
      </c>
      <c r="R1910" s="3">
        <f t="shared" si="149"/>
        <v>4.083333333333333</v>
      </c>
    </row>
    <row r="1911" spans="1:18" x14ac:dyDescent="0.25">
      <c r="A1911" t="s">
        <v>2436</v>
      </c>
      <c r="B1911" t="s">
        <v>2596</v>
      </c>
      <c r="C1911" t="s">
        <v>2053</v>
      </c>
      <c r="D1911" s="3">
        <f t="shared" si="150"/>
        <v>10.5</v>
      </c>
      <c r="E1911" t="s">
        <v>1051</v>
      </c>
      <c r="F1911" t="s">
        <v>13</v>
      </c>
      <c r="G1911">
        <f t="shared" si="151"/>
        <v>2545000</v>
      </c>
      <c r="H1911" t="s">
        <v>2306</v>
      </c>
      <c r="I1911" t="s">
        <v>2437</v>
      </c>
      <c r="J1911" s="2">
        <f t="shared" si="152"/>
        <v>2293000</v>
      </c>
      <c r="K1911" t="s">
        <v>2438</v>
      </c>
      <c r="L1911">
        <f t="shared" si="153"/>
        <v>0.17083333333333331</v>
      </c>
      <c r="M1911" s="5">
        <v>0.17083333333333331</v>
      </c>
      <c r="N1911" t="s">
        <v>43</v>
      </c>
      <c r="P1911" t="s">
        <v>2439</v>
      </c>
      <c r="R1911" s="3">
        <f t="shared" si="149"/>
        <v>4.0999999999999996</v>
      </c>
    </row>
    <row r="1912" spans="1:18" hidden="1" x14ac:dyDescent="0.25">
      <c r="A1912" t="s">
        <v>2834</v>
      </c>
      <c r="B1912" t="s">
        <v>3206</v>
      </c>
      <c r="C1912" t="s">
        <v>2604</v>
      </c>
      <c r="D1912" s="3">
        <f t="shared" si="150"/>
        <v>9.6000000000000014</v>
      </c>
      <c r="E1912" t="s">
        <v>26</v>
      </c>
      <c r="F1912" t="s">
        <v>13</v>
      </c>
      <c r="G1912" t="str">
        <f t="shared" si="151"/>
        <v/>
      </c>
      <c r="H1912" t="s">
        <v>14</v>
      </c>
      <c r="I1912" t="s">
        <v>2835</v>
      </c>
      <c r="J1912" s="2">
        <f t="shared" si="152"/>
        <v>1875000</v>
      </c>
      <c r="K1912" t="s">
        <v>884</v>
      </c>
      <c r="L1912">
        <f t="shared" si="153"/>
        <v>0.17291666666666669</v>
      </c>
      <c r="M1912" s="5">
        <v>0.17291666666666669</v>
      </c>
      <c r="N1912" t="s">
        <v>18</v>
      </c>
      <c r="R1912" s="3">
        <f t="shared" si="149"/>
        <v>4.1500000000000004</v>
      </c>
    </row>
    <row r="1913" spans="1:18" hidden="1" x14ac:dyDescent="0.25">
      <c r="A1913" t="s">
        <v>3096</v>
      </c>
      <c r="B1913" t="s">
        <v>3206</v>
      </c>
      <c r="C1913" t="s">
        <v>2604</v>
      </c>
      <c r="D1913" s="3">
        <f t="shared" si="150"/>
        <v>7</v>
      </c>
      <c r="E1913" t="s">
        <v>2752</v>
      </c>
      <c r="F1913" t="s">
        <v>13</v>
      </c>
      <c r="G1913" t="str">
        <f t="shared" si="151"/>
        <v/>
      </c>
      <c r="H1913" t="s">
        <v>14</v>
      </c>
      <c r="I1913" t="s">
        <v>3097</v>
      </c>
      <c r="J1913" s="2">
        <f t="shared" si="152"/>
        <v>1775000</v>
      </c>
      <c r="K1913" t="s">
        <v>1055</v>
      </c>
      <c r="L1913">
        <f t="shared" si="153"/>
        <v>0.17291666666666669</v>
      </c>
      <c r="M1913" s="5">
        <v>0.17291666666666669</v>
      </c>
      <c r="N1913" t="s">
        <v>18</v>
      </c>
      <c r="R1913" s="3">
        <f t="shared" si="149"/>
        <v>4.1500000000000004</v>
      </c>
    </row>
    <row r="1914" spans="1:18" hidden="1" x14ac:dyDescent="0.25">
      <c r="A1914" t="s">
        <v>3404</v>
      </c>
      <c r="B1914" t="s">
        <v>3233</v>
      </c>
      <c r="C1914" t="s">
        <v>3261</v>
      </c>
      <c r="D1914" s="3">
        <f t="shared" si="150"/>
        <v>12</v>
      </c>
      <c r="E1914" t="s">
        <v>347</v>
      </c>
      <c r="F1914" t="s">
        <v>13</v>
      </c>
      <c r="G1914">
        <f t="shared" si="151"/>
        <v>1625000</v>
      </c>
      <c r="H1914" t="s">
        <v>702</v>
      </c>
      <c r="I1914" t="s">
        <v>3405</v>
      </c>
      <c r="J1914" s="2">
        <f t="shared" si="152"/>
        <v>1465000</v>
      </c>
      <c r="K1914" t="s">
        <v>704</v>
      </c>
      <c r="L1914">
        <f t="shared" si="153"/>
        <v>0.12847222222222224</v>
      </c>
      <c r="M1914" s="5">
        <v>0.12847222222222224</v>
      </c>
      <c r="N1914" t="s">
        <v>18</v>
      </c>
      <c r="P1914" t="s">
        <v>673</v>
      </c>
      <c r="R1914" s="3">
        <f t="shared" si="149"/>
        <v>3.0833333333333339</v>
      </c>
    </row>
    <row r="1915" spans="1:18" hidden="1" x14ac:dyDescent="0.25">
      <c r="A1915" t="s">
        <v>3347</v>
      </c>
      <c r="B1915" t="s">
        <v>3233</v>
      </c>
      <c r="C1915" t="s">
        <v>3261</v>
      </c>
      <c r="D1915" s="3">
        <f t="shared" si="150"/>
        <v>9</v>
      </c>
      <c r="E1915" t="s">
        <v>12</v>
      </c>
      <c r="F1915" t="s">
        <v>13</v>
      </c>
      <c r="G1915">
        <f t="shared" si="151"/>
        <v>1575000</v>
      </c>
      <c r="H1915" t="s">
        <v>1021</v>
      </c>
      <c r="I1915" t="s">
        <v>3348</v>
      </c>
      <c r="J1915" s="2">
        <f t="shared" si="152"/>
        <v>1420000</v>
      </c>
      <c r="K1915" t="s">
        <v>1023</v>
      </c>
      <c r="L1915">
        <f t="shared" si="153"/>
        <v>0.20833333333333334</v>
      </c>
      <c r="M1915" s="5">
        <v>0.20833333333333334</v>
      </c>
      <c r="N1915" t="s">
        <v>18</v>
      </c>
      <c r="P1915" t="s">
        <v>1024</v>
      </c>
      <c r="R1915" s="3">
        <f t="shared" si="149"/>
        <v>5</v>
      </c>
    </row>
    <row r="1916" spans="1:18" hidden="1" x14ac:dyDescent="0.25">
      <c r="A1916" t="s">
        <v>1946</v>
      </c>
      <c r="B1916" t="s">
        <v>1303</v>
      </c>
      <c r="C1916" t="s">
        <v>1392</v>
      </c>
      <c r="D1916" s="3">
        <f t="shared" si="150"/>
        <v>12</v>
      </c>
      <c r="E1916" t="s">
        <v>347</v>
      </c>
      <c r="F1916" t="s">
        <v>13</v>
      </c>
      <c r="G1916">
        <f t="shared" si="151"/>
        <v>3025000</v>
      </c>
      <c r="H1916" t="s">
        <v>1793</v>
      </c>
      <c r="I1916" t="s">
        <v>1947</v>
      </c>
      <c r="J1916" s="2">
        <f t="shared" si="152"/>
        <v>2875000</v>
      </c>
      <c r="K1916" t="s">
        <v>1414</v>
      </c>
      <c r="L1916">
        <f t="shared" si="153"/>
        <v>0.17083333333333331</v>
      </c>
      <c r="M1916" s="5">
        <v>0.17083333333333331</v>
      </c>
      <c r="N1916" t="s">
        <v>18</v>
      </c>
      <c r="P1916" t="s">
        <v>681</v>
      </c>
      <c r="R1916" s="3">
        <f t="shared" si="149"/>
        <v>4.0999999999999996</v>
      </c>
    </row>
    <row r="1917" spans="1:18" hidden="1" x14ac:dyDescent="0.25">
      <c r="A1917" t="s">
        <v>1668</v>
      </c>
      <c r="B1917" t="s">
        <v>1303</v>
      </c>
      <c r="C1917" t="s">
        <v>1342</v>
      </c>
      <c r="D1917" s="3">
        <f t="shared" si="150"/>
        <v>9</v>
      </c>
      <c r="E1917" t="s">
        <v>12</v>
      </c>
      <c r="F1917" t="s">
        <v>13</v>
      </c>
      <c r="G1917" t="str">
        <f t="shared" si="151"/>
        <v/>
      </c>
      <c r="H1917" t="s">
        <v>14</v>
      </c>
      <c r="I1917" t="s">
        <v>1669</v>
      </c>
      <c r="J1917" s="2">
        <f t="shared" si="152"/>
        <v>1625000</v>
      </c>
      <c r="K1917" t="s">
        <v>702</v>
      </c>
      <c r="L1917">
        <f t="shared" si="153"/>
        <v>0.17083333333333331</v>
      </c>
      <c r="M1917" s="5">
        <v>0.17083333333333331</v>
      </c>
      <c r="N1917" t="s">
        <v>43</v>
      </c>
      <c r="P1917" t="s">
        <v>1449</v>
      </c>
      <c r="R1917" s="3">
        <f t="shared" si="149"/>
        <v>4.0999999999999996</v>
      </c>
    </row>
    <row r="1918" spans="1:18" hidden="1" x14ac:dyDescent="0.25">
      <c r="A1918" t="s">
        <v>1893</v>
      </c>
      <c r="B1918" t="s">
        <v>1303</v>
      </c>
      <c r="C1918" t="s">
        <v>1342</v>
      </c>
      <c r="D1918" s="3">
        <f t="shared" si="150"/>
        <v>9</v>
      </c>
      <c r="E1918" t="s">
        <v>12</v>
      </c>
      <c r="F1918" t="s">
        <v>13</v>
      </c>
      <c r="G1918" t="str">
        <f t="shared" si="151"/>
        <v/>
      </c>
      <c r="H1918" t="s">
        <v>14</v>
      </c>
      <c r="I1918" t="s">
        <v>1894</v>
      </c>
      <c r="J1918" s="2">
        <f t="shared" si="152"/>
        <v>1325000</v>
      </c>
      <c r="K1918" t="s">
        <v>683</v>
      </c>
      <c r="L1918">
        <f t="shared" si="153"/>
        <v>0.16944444444444443</v>
      </c>
      <c r="M1918" s="5">
        <v>0.16944444444444443</v>
      </c>
      <c r="N1918" t="s">
        <v>43</v>
      </c>
      <c r="R1918" s="3">
        <f t="shared" si="149"/>
        <v>4.0666666666666664</v>
      </c>
    </row>
    <row r="1919" spans="1:18" x14ac:dyDescent="0.25">
      <c r="A1919" t="s">
        <v>890</v>
      </c>
      <c r="B1919" t="s">
        <v>640</v>
      </c>
      <c r="C1919" t="s">
        <v>643</v>
      </c>
      <c r="D1919" s="3">
        <f t="shared" si="150"/>
        <v>12</v>
      </c>
      <c r="E1919" t="s">
        <v>33</v>
      </c>
      <c r="F1919" t="s">
        <v>13</v>
      </c>
      <c r="G1919" t="str">
        <f t="shared" si="151"/>
        <v/>
      </c>
      <c r="H1919" t="s">
        <v>14</v>
      </c>
      <c r="I1919" t="s">
        <v>891</v>
      </c>
      <c r="J1919" s="2">
        <f t="shared" si="152"/>
        <v>2300000</v>
      </c>
      <c r="K1919" t="s">
        <v>820</v>
      </c>
      <c r="L1919">
        <f t="shared" si="153"/>
        <v>0.20833333333333334</v>
      </c>
      <c r="M1919" s="5">
        <v>0.20833333333333334</v>
      </c>
      <c r="N1919" t="s">
        <v>18</v>
      </c>
      <c r="P1919" t="s">
        <v>892</v>
      </c>
      <c r="R1919" s="3">
        <f t="shared" si="149"/>
        <v>5</v>
      </c>
    </row>
    <row r="1920" spans="1:18" hidden="1" x14ac:dyDescent="0.25">
      <c r="A1920" t="s">
        <v>2800</v>
      </c>
      <c r="B1920" t="s">
        <v>3206</v>
      </c>
      <c r="C1920" t="s">
        <v>2604</v>
      </c>
      <c r="D1920" s="3">
        <f t="shared" si="150"/>
        <v>20.669999999999998</v>
      </c>
      <c r="E1920" t="s">
        <v>2801</v>
      </c>
      <c r="F1920" t="s">
        <v>13</v>
      </c>
      <c r="G1920">
        <f t="shared" si="151"/>
        <v>2275000</v>
      </c>
      <c r="H1920" t="s">
        <v>1027</v>
      </c>
      <c r="I1920" t="s">
        <v>2802</v>
      </c>
      <c r="J1920" s="2">
        <f t="shared" si="152"/>
        <v>2162500</v>
      </c>
      <c r="K1920" t="s">
        <v>1029</v>
      </c>
      <c r="L1920">
        <f t="shared" si="153"/>
        <v>0.17083333333333331</v>
      </c>
      <c r="M1920" s="5">
        <v>0.17083333333333331</v>
      </c>
      <c r="N1920" t="s">
        <v>43</v>
      </c>
      <c r="P1920" t="s">
        <v>1030</v>
      </c>
      <c r="R1920" s="3">
        <f t="shared" si="149"/>
        <v>4.0999999999999996</v>
      </c>
    </row>
    <row r="1921" spans="1:18" hidden="1" x14ac:dyDescent="0.25">
      <c r="A1921" t="s">
        <v>1076</v>
      </c>
      <c r="B1921" t="s">
        <v>640</v>
      </c>
      <c r="C1921" t="s">
        <v>643</v>
      </c>
      <c r="D1921" s="3">
        <f t="shared" si="150"/>
        <v>10.36</v>
      </c>
      <c r="E1921" t="s">
        <v>896</v>
      </c>
      <c r="F1921" t="s">
        <v>13</v>
      </c>
      <c r="G1921">
        <f t="shared" si="151"/>
        <v>1925000</v>
      </c>
      <c r="H1921" t="s">
        <v>552</v>
      </c>
      <c r="I1921" t="s">
        <v>1077</v>
      </c>
      <c r="J1921" s="2">
        <f t="shared" si="152"/>
        <v>1735000</v>
      </c>
      <c r="K1921" t="s">
        <v>198</v>
      </c>
      <c r="L1921">
        <f t="shared" si="153"/>
        <v>0.17013888888888887</v>
      </c>
      <c r="M1921" s="5">
        <v>0.17013888888888887</v>
      </c>
      <c r="N1921" t="s">
        <v>18</v>
      </c>
      <c r="P1921" t="s">
        <v>1078</v>
      </c>
      <c r="R1921" s="3">
        <f t="shared" si="149"/>
        <v>4.083333333333333</v>
      </c>
    </row>
    <row r="1922" spans="1:18" hidden="1" x14ac:dyDescent="0.25">
      <c r="A1922" t="s">
        <v>895</v>
      </c>
      <c r="B1922" t="s">
        <v>640</v>
      </c>
      <c r="C1922" t="s">
        <v>643</v>
      </c>
      <c r="D1922" s="3">
        <f t="shared" si="150"/>
        <v>10.36</v>
      </c>
      <c r="E1922" t="s">
        <v>896</v>
      </c>
      <c r="F1922" t="s">
        <v>13</v>
      </c>
      <c r="G1922">
        <f t="shared" si="151"/>
        <v>1725000</v>
      </c>
      <c r="H1922" t="s">
        <v>897</v>
      </c>
      <c r="I1922" t="s">
        <v>898</v>
      </c>
      <c r="J1922" s="2">
        <f t="shared" si="152"/>
        <v>1555000</v>
      </c>
      <c r="K1922" t="s">
        <v>789</v>
      </c>
      <c r="L1922">
        <f t="shared" si="153"/>
        <v>0.16666666666666666</v>
      </c>
      <c r="M1922" s="5">
        <v>0.16666666666666666</v>
      </c>
      <c r="N1922" t="s">
        <v>18</v>
      </c>
      <c r="P1922" t="s">
        <v>899</v>
      </c>
      <c r="R1922" s="3">
        <f t="shared" ref="R1922:R1985" si="154">24*L1922</f>
        <v>4</v>
      </c>
    </row>
    <row r="1923" spans="1:18" hidden="1" x14ac:dyDescent="0.25">
      <c r="A1923" t="s">
        <v>2935</v>
      </c>
      <c r="B1923" t="s">
        <v>3206</v>
      </c>
      <c r="C1923" t="s">
        <v>2682</v>
      </c>
      <c r="D1923" s="3">
        <f t="shared" si="150"/>
        <v>11.78</v>
      </c>
      <c r="E1923" t="s">
        <v>2936</v>
      </c>
      <c r="F1923" t="s">
        <v>34</v>
      </c>
      <c r="G1923">
        <f t="shared" si="151"/>
        <v>3635000</v>
      </c>
      <c r="H1923" t="s">
        <v>2937</v>
      </c>
      <c r="I1923" t="s">
        <v>2938</v>
      </c>
      <c r="J1923" s="2">
        <f t="shared" si="152"/>
        <v>3274000</v>
      </c>
      <c r="K1923" t="s">
        <v>2939</v>
      </c>
      <c r="L1923">
        <f t="shared" si="153"/>
        <v>0.17083333333333331</v>
      </c>
      <c r="M1923" s="5">
        <v>0.17083333333333331</v>
      </c>
      <c r="N1923" t="s">
        <v>18</v>
      </c>
      <c r="P1923" t="s">
        <v>2940</v>
      </c>
      <c r="R1923" s="3">
        <f t="shared" si="154"/>
        <v>4.0999999999999996</v>
      </c>
    </row>
    <row r="1924" spans="1:18" x14ac:dyDescent="0.25">
      <c r="A1924" t="s">
        <v>2498</v>
      </c>
      <c r="B1924" t="s">
        <v>2596</v>
      </c>
      <c r="C1924" t="s">
        <v>2071</v>
      </c>
      <c r="D1924" s="3">
        <f t="shared" ref="D1924:D1987" si="155">VALUE(LEFT(E1924,SEARCH(" x ",E1924)-1))*VALUE(MID(E1924,SEARCH(" x ",E1924)+3,SEARCH(" meter",E1924)-SEARCH(" x ",E1924)-3))</f>
        <v>10.8</v>
      </c>
      <c r="E1924" t="s">
        <v>2499</v>
      </c>
      <c r="F1924" t="s">
        <v>13</v>
      </c>
      <c r="G1924">
        <f t="shared" ref="G1924:G1987" si="156">IF(H1924="N/A","",VALUE(SUBSTITUTE(SUBSTITUTE(H1924,"Rp",""),".","")))</f>
        <v>2525000</v>
      </c>
      <c r="H1924" t="s">
        <v>131</v>
      </c>
      <c r="I1924" t="s">
        <v>2500</v>
      </c>
      <c r="J1924" s="2">
        <f t="shared" ref="J1924:J1987" si="157">VALUE(SUBSTITUTE(SUBSTITUTE(K1924,"Rp",""),".",""))</f>
        <v>2325000</v>
      </c>
      <c r="K1924" t="s">
        <v>1352</v>
      </c>
      <c r="L1924">
        <f t="shared" ref="L1924:L1987" si="158">M1924:M4264</f>
        <v>0.20833333333333334</v>
      </c>
      <c r="M1924" s="5">
        <v>0.20833333333333334</v>
      </c>
      <c r="N1924" t="s">
        <v>43</v>
      </c>
      <c r="P1924" t="s">
        <v>1053</v>
      </c>
      <c r="R1924" s="3">
        <f t="shared" si="154"/>
        <v>5</v>
      </c>
    </row>
    <row r="1925" spans="1:18" hidden="1" x14ac:dyDescent="0.25">
      <c r="A1925" t="s">
        <v>2224</v>
      </c>
      <c r="B1925" t="s">
        <v>2596</v>
      </c>
      <c r="C1925" t="s">
        <v>1981</v>
      </c>
      <c r="D1925" s="3">
        <f t="shared" si="155"/>
        <v>10.08</v>
      </c>
      <c r="E1925" t="s">
        <v>2149</v>
      </c>
      <c r="F1925" t="s">
        <v>13</v>
      </c>
      <c r="G1925" t="str">
        <f t="shared" si="156"/>
        <v/>
      </c>
      <c r="H1925" t="s">
        <v>14</v>
      </c>
      <c r="I1925" t="s">
        <v>2225</v>
      </c>
      <c r="J1925" s="2">
        <f t="shared" si="157"/>
        <v>1225000</v>
      </c>
      <c r="K1925" t="s">
        <v>661</v>
      </c>
      <c r="L1925">
        <f t="shared" si="158"/>
        <v>0.17013888888888887</v>
      </c>
      <c r="M1925" s="5">
        <v>0.17013888888888887</v>
      </c>
      <c r="N1925" t="s">
        <v>43</v>
      </c>
      <c r="P1925" t="s">
        <v>1774</v>
      </c>
      <c r="R1925" s="3">
        <f t="shared" si="154"/>
        <v>4.083333333333333</v>
      </c>
    </row>
    <row r="1926" spans="1:18" hidden="1" x14ac:dyDescent="0.25">
      <c r="A1926" t="s">
        <v>2527</v>
      </c>
      <c r="B1926" t="s">
        <v>2596</v>
      </c>
      <c r="C1926" t="s">
        <v>1981</v>
      </c>
      <c r="D1926" s="3">
        <f t="shared" si="155"/>
        <v>7.839999999999999</v>
      </c>
      <c r="E1926" t="s">
        <v>1499</v>
      </c>
      <c r="F1926" t="s">
        <v>13</v>
      </c>
      <c r="G1926" t="str">
        <f t="shared" si="156"/>
        <v/>
      </c>
      <c r="H1926" t="s">
        <v>14</v>
      </c>
      <c r="I1926" t="s">
        <v>2528</v>
      </c>
      <c r="J1926" s="2">
        <f t="shared" si="157"/>
        <v>1175000</v>
      </c>
      <c r="K1926" t="s">
        <v>779</v>
      </c>
      <c r="L1926">
        <f t="shared" si="158"/>
        <v>0.16944444444444443</v>
      </c>
      <c r="M1926" s="5">
        <v>0.16944444444444443</v>
      </c>
      <c r="N1926" t="s">
        <v>43</v>
      </c>
      <c r="P1926" t="s">
        <v>1774</v>
      </c>
      <c r="R1926" s="3">
        <f t="shared" si="154"/>
        <v>4.0666666666666664</v>
      </c>
    </row>
    <row r="1927" spans="1:18" hidden="1" x14ac:dyDescent="0.25">
      <c r="A1927" t="s">
        <v>2026</v>
      </c>
      <c r="B1927" t="s">
        <v>2596</v>
      </c>
      <c r="C1927" t="s">
        <v>1981</v>
      </c>
      <c r="D1927" s="3">
        <f t="shared" si="155"/>
        <v>9.3600000000000012</v>
      </c>
      <c r="E1927" t="s">
        <v>2027</v>
      </c>
      <c r="F1927" t="s">
        <v>13</v>
      </c>
      <c r="G1927" t="str">
        <f t="shared" si="156"/>
        <v/>
      </c>
      <c r="H1927" t="s">
        <v>14</v>
      </c>
      <c r="I1927" t="s">
        <v>2028</v>
      </c>
      <c r="J1927" s="2">
        <f t="shared" si="157"/>
        <v>875000</v>
      </c>
      <c r="K1927" t="s">
        <v>710</v>
      </c>
      <c r="L1927">
        <f t="shared" si="158"/>
        <v>0.17013888888888887</v>
      </c>
      <c r="M1927" s="5">
        <v>0.17013888888888887</v>
      </c>
      <c r="N1927" t="s">
        <v>43</v>
      </c>
      <c r="R1927" s="3">
        <f t="shared" si="154"/>
        <v>4.083333333333333</v>
      </c>
    </row>
    <row r="1928" spans="1:18" hidden="1" x14ac:dyDescent="0.25">
      <c r="A1928" t="s">
        <v>2484</v>
      </c>
      <c r="B1928" t="s">
        <v>2596</v>
      </c>
      <c r="C1928" t="s">
        <v>1981</v>
      </c>
      <c r="D1928" s="3">
        <f t="shared" si="155"/>
        <v>11.76</v>
      </c>
      <c r="E1928" t="s">
        <v>2485</v>
      </c>
      <c r="F1928" t="s">
        <v>13</v>
      </c>
      <c r="G1928" t="str">
        <f t="shared" si="156"/>
        <v/>
      </c>
      <c r="H1928" t="s">
        <v>14</v>
      </c>
      <c r="I1928" t="s">
        <v>2486</v>
      </c>
      <c r="J1928" s="2">
        <f t="shared" si="157"/>
        <v>1375000</v>
      </c>
      <c r="K1928" t="s">
        <v>812</v>
      </c>
      <c r="L1928">
        <f t="shared" si="158"/>
        <v>0.17083333333333331</v>
      </c>
      <c r="M1928" s="5">
        <v>0.17083333333333331</v>
      </c>
      <c r="N1928" t="s">
        <v>43</v>
      </c>
      <c r="P1928" t="s">
        <v>1774</v>
      </c>
      <c r="R1928" s="3">
        <f t="shared" si="154"/>
        <v>4.0999999999999996</v>
      </c>
    </row>
    <row r="1929" spans="1:18" hidden="1" x14ac:dyDescent="0.25">
      <c r="A1929" t="s">
        <v>2088</v>
      </c>
      <c r="B1929" t="s">
        <v>2596</v>
      </c>
      <c r="C1929" t="s">
        <v>2049</v>
      </c>
      <c r="D1929" s="3">
        <f t="shared" si="155"/>
        <v>19.840000000000003</v>
      </c>
      <c r="E1929" t="s">
        <v>2089</v>
      </c>
      <c r="F1929" t="s">
        <v>13</v>
      </c>
      <c r="G1929">
        <f t="shared" si="156"/>
        <v>2825000</v>
      </c>
      <c r="H1929" t="s">
        <v>1604</v>
      </c>
      <c r="I1929" t="s">
        <v>2090</v>
      </c>
      <c r="J1929" s="2">
        <f t="shared" si="157"/>
        <v>2685000</v>
      </c>
      <c r="K1929" t="s">
        <v>1606</v>
      </c>
      <c r="L1929">
        <f t="shared" si="158"/>
        <v>0.17291666666666669</v>
      </c>
      <c r="M1929" s="5">
        <v>0.17291666666666669</v>
      </c>
      <c r="N1929" t="s">
        <v>43</v>
      </c>
      <c r="P1929" t="s">
        <v>1607</v>
      </c>
      <c r="R1929" s="3">
        <f t="shared" si="154"/>
        <v>4.1500000000000004</v>
      </c>
    </row>
    <row r="1930" spans="1:18" hidden="1" x14ac:dyDescent="0.25">
      <c r="A1930" t="s">
        <v>2207</v>
      </c>
      <c r="B1930" t="s">
        <v>2596</v>
      </c>
      <c r="C1930" t="s">
        <v>2049</v>
      </c>
      <c r="D1930" s="3">
        <f t="shared" si="155"/>
        <v>15</v>
      </c>
      <c r="E1930" t="s">
        <v>71</v>
      </c>
      <c r="F1930" t="s">
        <v>13</v>
      </c>
      <c r="G1930" t="str">
        <f t="shared" si="156"/>
        <v/>
      </c>
      <c r="H1930" t="s">
        <v>14</v>
      </c>
      <c r="I1930" t="s">
        <v>2208</v>
      </c>
      <c r="J1930" s="2">
        <f t="shared" si="157"/>
        <v>2225000</v>
      </c>
      <c r="K1930" t="s">
        <v>1339</v>
      </c>
      <c r="L1930">
        <f t="shared" si="158"/>
        <v>0.17083333333333331</v>
      </c>
      <c r="M1930" s="5">
        <v>0.17083333333333331</v>
      </c>
      <c r="N1930" t="s">
        <v>43</v>
      </c>
      <c r="P1930" t="s">
        <v>1607</v>
      </c>
      <c r="R1930" s="3">
        <f t="shared" si="154"/>
        <v>4.0999999999999996</v>
      </c>
    </row>
    <row r="1931" spans="1:18" hidden="1" x14ac:dyDescent="0.25">
      <c r="A1931" t="s">
        <v>3107</v>
      </c>
      <c r="B1931" t="s">
        <v>3206</v>
      </c>
      <c r="C1931" t="s">
        <v>2769</v>
      </c>
      <c r="D1931" s="3">
        <f t="shared" si="155"/>
        <v>8.32</v>
      </c>
      <c r="E1931" t="s">
        <v>3108</v>
      </c>
      <c r="F1931" t="s">
        <v>13</v>
      </c>
      <c r="G1931">
        <f t="shared" si="156"/>
        <v>1825000</v>
      </c>
      <c r="H1931" t="s">
        <v>196</v>
      </c>
      <c r="I1931" t="s">
        <v>3109</v>
      </c>
      <c r="J1931" s="2">
        <f t="shared" si="157"/>
        <v>1735000</v>
      </c>
      <c r="K1931" t="s">
        <v>198</v>
      </c>
      <c r="L1931">
        <f t="shared" si="158"/>
        <v>0.17083333333333331</v>
      </c>
      <c r="M1931" s="5">
        <v>0.17083333333333331</v>
      </c>
      <c r="N1931" t="s">
        <v>43</v>
      </c>
      <c r="P1931" t="s">
        <v>199</v>
      </c>
      <c r="R1931" s="3">
        <f t="shared" si="154"/>
        <v>4.0999999999999996</v>
      </c>
    </row>
    <row r="1932" spans="1:18" hidden="1" x14ac:dyDescent="0.25">
      <c r="A1932" t="s">
        <v>5762</v>
      </c>
      <c r="B1932" t="s">
        <v>5848</v>
      </c>
      <c r="C1932" t="s">
        <v>5339</v>
      </c>
      <c r="D1932" s="3">
        <f t="shared" si="155"/>
        <v>6.24</v>
      </c>
      <c r="E1932" t="s">
        <v>5763</v>
      </c>
      <c r="F1932" t="s">
        <v>34</v>
      </c>
      <c r="G1932" t="str">
        <f t="shared" si="156"/>
        <v/>
      </c>
      <c r="H1932" t="s">
        <v>14</v>
      </c>
      <c r="I1932" t="s">
        <v>5764</v>
      </c>
      <c r="J1932" s="2">
        <f t="shared" si="157"/>
        <v>1800000</v>
      </c>
      <c r="K1932" t="s">
        <v>228</v>
      </c>
      <c r="L1932">
        <f t="shared" si="158"/>
        <v>0.17083333333333331</v>
      </c>
      <c r="M1932" s="5">
        <v>0.17083333333333331</v>
      </c>
      <c r="N1932" t="s">
        <v>18</v>
      </c>
      <c r="P1932" t="s">
        <v>691</v>
      </c>
      <c r="R1932" s="3">
        <f t="shared" si="154"/>
        <v>4.0999999999999996</v>
      </c>
    </row>
    <row r="1933" spans="1:18" hidden="1" x14ac:dyDescent="0.25">
      <c r="A1933" t="s">
        <v>793</v>
      </c>
      <c r="B1933" t="s">
        <v>640</v>
      </c>
      <c r="C1933" t="s">
        <v>643</v>
      </c>
      <c r="D1933" s="3">
        <f t="shared" si="155"/>
        <v>12</v>
      </c>
      <c r="E1933" t="s">
        <v>33</v>
      </c>
      <c r="F1933" t="s">
        <v>34</v>
      </c>
      <c r="G1933">
        <f t="shared" si="156"/>
        <v>1625000</v>
      </c>
      <c r="H1933" t="s">
        <v>702</v>
      </c>
      <c r="I1933" t="s">
        <v>794</v>
      </c>
      <c r="J1933" s="2">
        <f t="shared" si="157"/>
        <v>1465000</v>
      </c>
      <c r="K1933" t="s">
        <v>704</v>
      </c>
      <c r="L1933">
        <f t="shared" si="158"/>
        <v>0.17291666666666669</v>
      </c>
      <c r="M1933" s="5">
        <v>0.17291666666666669</v>
      </c>
      <c r="N1933" t="s">
        <v>18</v>
      </c>
      <c r="P1933" t="s">
        <v>673</v>
      </c>
      <c r="R1933" s="3">
        <f t="shared" si="154"/>
        <v>4.1500000000000004</v>
      </c>
    </row>
    <row r="1934" spans="1:18" x14ac:dyDescent="0.25">
      <c r="A1934" t="s">
        <v>2180</v>
      </c>
      <c r="B1934" t="s">
        <v>2596</v>
      </c>
      <c r="C1934" t="s">
        <v>2049</v>
      </c>
      <c r="D1934" s="3">
        <f t="shared" si="155"/>
        <v>9</v>
      </c>
      <c r="E1934" t="s">
        <v>12</v>
      </c>
      <c r="F1934" t="s">
        <v>13</v>
      </c>
      <c r="G1934">
        <f t="shared" si="156"/>
        <v>2525000</v>
      </c>
      <c r="H1934" t="s">
        <v>131</v>
      </c>
      <c r="I1934" t="s">
        <v>2181</v>
      </c>
      <c r="J1934" s="2">
        <f t="shared" si="157"/>
        <v>2325000</v>
      </c>
      <c r="K1934" t="s">
        <v>1352</v>
      </c>
      <c r="L1934">
        <f t="shared" si="158"/>
        <v>0.16944444444444443</v>
      </c>
      <c r="M1934" s="5">
        <v>0.16944444444444443</v>
      </c>
      <c r="N1934" t="s">
        <v>43</v>
      </c>
      <c r="P1934" t="s">
        <v>1053</v>
      </c>
      <c r="R1934" s="3">
        <f t="shared" si="154"/>
        <v>4.0666666666666664</v>
      </c>
    </row>
    <row r="1935" spans="1:18" hidden="1" x14ac:dyDescent="0.25">
      <c r="A1935" t="s">
        <v>5336</v>
      </c>
      <c r="B1935" t="s">
        <v>5848</v>
      </c>
      <c r="C1935" t="s">
        <v>5339</v>
      </c>
      <c r="D1935" s="3">
        <f t="shared" si="155"/>
        <v>16</v>
      </c>
      <c r="E1935" t="s">
        <v>79</v>
      </c>
      <c r="F1935" t="s">
        <v>13</v>
      </c>
      <c r="G1935">
        <f t="shared" si="156"/>
        <v>2975000</v>
      </c>
      <c r="H1935" t="s">
        <v>2804</v>
      </c>
      <c r="I1935" t="s">
        <v>5337</v>
      </c>
      <c r="J1935" s="2">
        <f t="shared" si="157"/>
        <v>2739000</v>
      </c>
      <c r="K1935" t="s">
        <v>5338</v>
      </c>
      <c r="L1935">
        <f t="shared" si="158"/>
        <v>0.20833333333333334</v>
      </c>
      <c r="M1935" s="5">
        <v>0.20833333333333334</v>
      </c>
      <c r="N1935" t="s">
        <v>43</v>
      </c>
      <c r="P1935" t="s">
        <v>3372</v>
      </c>
      <c r="R1935" s="3">
        <f t="shared" si="154"/>
        <v>5</v>
      </c>
    </row>
    <row r="1936" spans="1:18" x14ac:dyDescent="0.25">
      <c r="A1936" t="s">
        <v>827</v>
      </c>
      <c r="B1936" t="s">
        <v>640</v>
      </c>
      <c r="C1936" t="s">
        <v>657</v>
      </c>
      <c r="D1936" s="3">
        <f t="shared" si="155"/>
        <v>12</v>
      </c>
      <c r="E1936" t="s">
        <v>33</v>
      </c>
      <c r="F1936" t="s">
        <v>34</v>
      </c>
      <c r="G1936" t="str">
        <f t="shared" si="156"/>
        <v/>
      </c>
      <c r="H1936" t="s">
        <v>14</v>
      </c>
      <c r="I1936" t="s">
        <v>828</v>
      </c>
      <c r="J1936" s="2">
        <f t="shared" si="157"/>
        <v>2350000</v>
      </c>
      <c r="K1936" t="s">
        <v>647</v>
      </c>
      <c r="L1936">
        <f t="shared" si="158"/>
        <v>0</v>
      </c>
      <c r="N1936" t="s">
        <v>43</v>
      </c>
      <c r="R1936" s="3">
        <f t="shared" si="154"/>
        <v>0</v>
      </c>
    </row>
    <row r="1937" spans="1:18" hidden="1" x14ac:dyDescent="0.25">
      <c r="A1937" t="s">
        <v>1778</v>
      </c>
      <c r="B1937" t="s">
        <v>1303</v>
      </c>
      <c r="C1937" t="s">
        <v>1312</v>
      </c>
      <c r="D1937" s="3">
        <f t="shared" si="155"/>
        <v>9</v>
      </c>
      <c r="E1937" t="s">
        <v>12</v>
      </c>
      <c r="F1937" t="s">
        <v>13</v>
      </c>
      <c r="G1937" t="str">
        <f t="shared" si="156"/>
        <v/>
      </c>
      <c r="H1937" t="s">
        <v>14</v>
      </c>
      <c r="I1937" t="s">
        <v>1779</v>
      </c>
      <c r="J1937" s="2">
        <f t="shared" si="157"/>
        <v>1725000</v>
      </c>
      <c r="K1937" t="s">
        <v>897</v>
      </c>
      <c r="L1937">
        <f t="shared" si="158"/>
        <v>0.20833333333333334</v>
      </c>
      <c r="M1937" s="5">
        <v>0.20833333333333334</v>
      </c>
      <c r="N1937" t="s">
        <v>18</v>
      </c>
      <c r="P1937" t="s">
        <v>719</v>
      </c>
      <c r="R1937" s="3">
        <f t="shared" si="154"/>
        <v>5</v>
      </c>
    </row>
    <row r="1938" spans="1:18" hidden="1" x14ac:dyDescent="0.25">
      <c r="A1938" t="s">
        <v>1483</v>
      </c>
      <c r="B1938" t="s">
        <v>1303</v>
      </c>
      <c r="C1938" t="s">
        <v>1312</v>
      </c>
      <c r="D1938" s="3">
        <f t="shared" si="155"/>
        <v>9</v>
      </c>
      <c r="E1938" t="s">
        <v>12</v>
      </c>
      <c r="F1938" t="s">
        <v>13</v>
      </c>
      <c r="G1938">
        <f t="shared" si="156"/>
        <v>1025000</v>
      </c>
      <c r="H1938" t="s">
        <v>914</v>
      </c>
      <c r="I1938" t="s">
        <v>1484</v>
      </c>
      <c r="J1938" s="2">
        <f t="shared" si="157"/>
        <v>945000</v>
      </c>
      <c r="K1938" t="s">
        <v>1485</v>
      </c>
      <c r="L1938">
        <f t="shared" si="158"/>
        <v>0.20833333333333334</v>
      </c>
      <c r="M1938" s="5">
        <v>0.20833333333333334</v>
      </c>
      <c r="N1938" t="s">
        <v>18</v>
      </c>
      <c r="P1938" t="s">
        <v>719</v>
      </c>
      <c r="R1938" s="3">
        <f t="shared" si="154"/>
        <v>5</v>
      </c>
    </row>
    <row r="1939" spans="1:18" hidden="1" x14ac:dyDescent="0.25">
      <c r="A1939" t="s">
        <v>2877</v>
      </c>
      <c r="B1939" t="s">
        <v>3206</v>
      </c>
      <c r="C1939" t="s">
        <v>2631</v>
      </c>
      <c r="D1939" s="3">
        <f t="shared" si="155"/>
        <v>16</v>
      </c>
      <c r="E1939" t="s">
        <v>79</v>
      </c>
      <c r="F1939" t="s">
        <v>13</v>
      </c>
      <c r="G1939">
        <f t="shared" si="156"/>
        <v>2345000</v>
      </c>
      <c r="H1939" t="s">
        <v>2878</v>
      </c>
      <c r="I1939" t="s">
        <v>2879</v>
      </c>
      <c r="J1939" s="2">
        <f t="shared" si="157"/>
        <v>2159400</v>
      </c>
      <c r="K1939" t="s">
        <v>2880</v>
      </c>
      <c r="L1939">
        <f t="shared" si="158"/>
        <v>0.17222222222222225</v>
      </c>
      <c r="M1939" s="5">
        <v>0.17222222222222225</v>
      </c>
      <c r="N1939" t="s">
        <v>18</v>
      </c>
      <c r="P1939" t="s">
        <v>2881</v>
      </c>
      <c r="R1939" s="3">
        <f t="shared" si="154"/>
        <v>4.1333333333333337</v>
      </c>
    </row>
    <row r="1940" spans="1:18" hidden="1" x14ac:dyDescent="0.25">
      <c r="A1940" t="s">
        <v>2818</v>
      </c>
      <c r="B1940" t="s">
        <v>3206</v>
      </c>
      <c r="C1940" t="s">
        <v>2600</v>
      </c>
      <c r="D1940" s="3">
        <f t="shared" si="155"/>
        <v>9</v>
      </c>
      <c r="E1940" t="s">
        <v>12</v>
      </c>
      <c r="F1940" t="s">
        <v>13</v>
      </c>
      <c r="G1940" t="str">
        <f t="shared" si="156"/>
        <v/>
      </c>
      <c r="H1940" t="s">
        <v>14</v>
      </c>
      <c r="I1940" t="s">
        <v>2819</v>
      </c>
      <c r="J1940" s="2">
        <f t="shared" si="157"/>
        <v>2325000</v>
      </c>
      <c r="K1940" t="s">
        <v>1352</v>
      </c>
      <c r="L1940">
        <f t="shared" si="158"/>
        <v>0.20833333333333334</v>
      </c>
      <c r="M1940" s="5">
        <v>0.20833333333333334</v>
      </c>
      <c r="N1940" t="s">
        <v>37</v>
      </c>
      <c r="R1940" s="3">
        <f t="shared" si="154"/>
        <v>5</v>
      </c>
    </row>
    <row r="1941" spans="1:18" hidden="1" x14ac:dyDescent="0.25">
      <c r="A1941" t="s">
        <v>2843</v>
      </c>
      <c r="B1941" t="s">
        <v>3206</v>
      </c>
      <c r="C1941" t="s">
        <v>2600</v>
      </c>
      <c r="D1941" s="3">
        <f t="shared" si="155"/>
        <v>12</v>
      </c>
      <c r="E1941" t="s">
        <v>347</v>
      </c>
      <c r="F1941" t="s">
        <v>13</v>
      </c>
      <c r="G1941" t="str">
        <f t="shared" si="156"/>
        <v/>
      </c>
      <c r="H1941" t="s">
        <v>14</v>
      </c>
      <c r="I1941" t="s">
        <v>2844</v>
      </c>
      <c r="J1941" s="2">
        <f t="shared" si="157"/>
        <v>2025000</v>
      </c>
      <c r="K1941" t="s">
        <v>1065</v>
      </c>
      <c r="L1941">
        <f t="shared" si="158"/>
        <v>0.17222222222222225</v>
      </c>
      <c r="M1941" s="5">
        <v>0.17222222222222225</v>
      </c>
      <c r="N1941" t="s">
        <v>37</v>
      </c>
      <c r="R1941" s="3">
        <f t="shared" si="154"/>
        <v>4.1333333333333337</v>
      </c>
    </row>
    <row r="1942" spans="1:18" hidden="1" x14ac:dyDescent="0.25">
      <c r="A1942" t="s">
        <v>2054</v>
      </c>
      <c r="B1942" t="s">
        <v>2596</v>
      </c>
      <c r="C1942" t="s">
        <v>1977</v>
      </c>
      <c r="D1942" s="3">
        <f t="shared" si="155"/>
        <v>7.68</v>
      </c>
      <c r="E1942" t="s">
        <v>1640</v>
      </c>
      <c r="F1942" t="s">
        <v>13</v>
      </c>
      <c r="G1942">
        <f t="shared" si="156"/>
        <v>1925000</v>
      </c>
      <c r="H1942" t="s">
        <v>552</v>
      </c>
      <c r="I1942" t="s">
        <v>2055</v>
      </c>
      <c r="J1942" s="2">
        <f t="shared" si="157"/>
        <v>1830000</v>
      </c>
      <c r="K1942" t="s">
        <v>1828</v>
      </c>
      <c r="L1942">
        <f t="shared" si="158"/>
        <v>0.17222222222222225</v>
      </c>
      <c r="M1942" s="5">
        <v>0.17222222222222225</v>
      </c>
      <c r="N1942" t="s">
        <v>43</v>
      </c>
      <c r="P1942" t="s">
        <v>1171</v>
      </c>
      <c r="R1942" s="3">
        <f t="shared" si="154"/>
        <v>4.1333333333333337</v>
      </c>
    </row>
    <row r="1943" spans="1:18" hidden="1" x14ac:dyDescent="0.25">
      <c r="A1943" t="s">
        <v>2431</v>
      </c>
      <c r="B1943" t="s">
        <v>2596</v>
      </c>
      <c r="C1943" t="s">
        <v>2049</v>
      </c>
      <c r="D1943" s="3">
        <f t="shared" si="155"/>
        <v>7.5</v>
      </c>
      <c r="E1943" t="s">
        <v>614</v>
      </c>
      <c r="F1943" t="s">
        <v>13</v>
      </c>
      <c r="G1943">
        <f t="shared" si="156"/>
        <v>1625000</v>
      </c>
      <c r="H1943" t="s">
        <v>702</v>
      </c>
      <c r="I1943" t="s">
        <v>2432</v>
      </c>
      <c r="J1943" s="2">
        <f t="shared" si="157"/>
        <v>1545000</v>
      </c>
      <c r="K1943" t="s">
        <v>1503</v>
      </c>
      <c r="L1943">
        <f t="shared" si="158"/>
        <v>0.17291666666666669</v>
      </c>
      <c r="M1943" s="5">
        <v>0.17291666666666669</v>
      </c>
      <c r="N1943" t="s">
        <v>18</v>
      </c>
      <c r="P1943" t="s">
        <v>719</v>
      </c>
      <c r="R1943" s="3">
        <f t="shared" si="154"/>
        <v>4.1500000000000004</v>
      </c>
    </row>
    <row r="1944" spans="1:18" hidden="1" x14ac:dyDescent="0.25">
      <c r="A1944" t="s">
        <v>2075</v>
      </c>
      <c r="B1944" t="s">
        <v>2596</v>
      </c>
      <c r="C1944" t="s">
        <v>2049</v>
      </c>
      <c r="D1944" s="3">
        <f t="shared" si="155"/>
        <v>5.5</v>
      </c>
      <c r="E1944" t="s">
        <v>2076</v>
      </c>
      <c r="F1944" t="s">
        <v>13</v>
      </c>
      <c r="G1944">
        <f t="shared" si="156"/>
        <v>1645000</v>
      </c>
      <c r="H1944" t="s">
        <v>1124</v>
      </c>
      <c r="I1944" t="s">
        <v>2077</v>
      </c>
      <c r="J1944" s="2">
        <f t="shared" si="157"/>
        <v>1564000</v>
      </c>
      <c r="K1944" t="s">
        <v>2078</v>
      </c>
      <c r="L1944">
        <f t="shared" si="158"/>
        <v>0.17222222222222225</v>
      </c>
      <c r="M1944" s="5">
        <v>0.17222222222222225</v>
      </c>
      <c r="N1944" t="s">
        <v>43</v>
      </c>
      <c r="P1944" t="s">
        <v>2079</v>
      </c>
      <c r="R1944" s="3">
        <f t="shared" si="154"/>
        <v>4.1333333333333337</v>
      </c>
    </row>
    <row r="1945" spans="1:18" hidden="1" x14ac:dyDescent="0.25">
      <c r="A1945" t="s">
        <v>2127</v>
      </c>
      <c r="B1945" t="s">
        <v>2596</v>
      </c>
      <c r="C1945" t="s">
        <v>2049</v>
      </c>
      <c r="D1945" s="3">
        <f t="shared" si="155"/>
        <v>2.7</v>
      </c>
      <c r="E1945" t="s">
        <v>2128</v>
      </c>
      <c r="F1945" t="s">
        <v>13</v>
      </c>
      <c r="G1945">
        <f t="shared" si="156"/>
        <v>1505000</v>
      </c>
      <c r="H1945" t="s">
        <v>2129</v>
      </c>
      <c r="I1945" t="s">
        <v>2130</v>
      </c>
      <c r="J1945" s="2">
        <f t="shared" si="157"/>
        <v>1386600</v>
      </c>
      <c r="K1945" t="s">
        <v>2131</v>
      </c>
      <c r="L1945">
        <f t="shared" si="158"/>
        <v>0.17013888888888887</v>
      </c>
      <c r="M1945" s="5">
        <v>0.17013888888888887</v>
      </c>
      <c r="N1945" t="s">
        <v>43</v>
      </c>
      <c r="P1945" t="s">
        <v>1309</v>
      </c>
      <c r="R1945" s="3">
        <f t="shared" si="154"/>
        <v>4.083333333333333</v>
      </c>
    </row>
    <row r="1946" spans="1:18" hidden="1" x14ac:dyDescent="0.25">
      <c r="A1946" t="s">
        <v>3110</v>
      </c>
      <c r="B1946" t="s">
        <v>3206</v>
      </c>
      <c r="C1946" t="s">
        <v>2628</v>
      </c>
      <c r="D1946" s="3">
        <f t="shared" si="155"/>
        <v>6</v>
      </c>
      <c r="E1946" t="s">
        <v>64</v>
      </c>
      <c r="F1946" t="s">
        <v>34</v>
      </c>
      <c r="G1946">
        <f t="shared" si="156"/>
        <v>1725000</v>
      </c>
      <c r="H1946" t="s">
        <v>897</v>
      </c>
      <c r="I1946" t="s">
        <v>3111</v>
      </c>
      <c r="J1946" s="2">
        <f t="shared" si="157"/>
        <v>1640000</v>
      </c>
      <c r="K1946" t="s">
        <v>1735</v>
      </c>
      <c r="L1946">
        <f t="shared" si="158"/>
        <v>0.17083333333333331</v>
      </c>
      <c r="M1946" s="5">
        <v>0.17083333333333331</v>
      </c>
      <c r="N1946" t="s">
        <v>43</v>
      </c>
      <c r="P1946" t="s">
        <v>713</v>
      </c>
      <c r="R1946" s="3">
        <f t="shared" si="154"/>
        <v>4.0999999999999996</v>
      </c>
    </row>
    <row r="1947" spans="1:18" x14ac:dyDescent="0.25">
      <c r="A1947" t="s">
        <v>644</v>
      </c>
      <c r="B1947" t="s">
        <v>640</v>
      </c>
      <c r="C1947" t="s">
        <v>643</v>
      </c>
      <c r="D1947" s="3">
        <f t="shared" si="155"/>
        <v>22.200000000000003</v>
      </c>
      <c r="E1947" t="s">
        <v>645</v>
      </c>
      <c r="F1947" t="s">
        <v>13</v>
      </c>
      <c r="G1947" t="str">
        <f t="shared" si="156"/>
        <v/>
      </c>
      <c r="H1947" t="s">
        <v>14</v>
      </c>
      <c r="I1947" t="s">
        <v>646</v>
      </c>
      <c r="J1947" s="2">
        <f t="shared" si="157"/>
        <v>2350000</v>
      </c>
      <c r="K1947" t="s">
        <v>647</v>
      </c>
      <c r="L1947">
        <f t="shared" si="158"/>
        <v>0</v>
      </c>
      <c r="N1947" t="s">
        <v>37</v>
      </c>
      <c r="R1947" s="3">
        <f t="shared" si="154"/>
        <v>0</v>
      </c>
    </row>
    <row r="1948" spans="1:18" hidden="1" x14ac:dyDescent="0.25">
      <c r="A1948" t="s">
        <v>5511</v>
      </c>
      <c r="B1948" t="s">
        <v>5848</v>
      </c>
      <c r="C1948" t="s">
        <v>5339</v>
      </c>
      <c r="D1948" s="3">
        <f t="shared" si="155"/>
        <v>9.990000000000002</v>
      </c>
      <c r="E1948" t="s">
        <v>1012</v>
      </c>
      <c r="F1948" t="s">
        <v>13</v>
      </c>
      <c r="G1948" t="str">
        <f t="shared" si="156"/>
        <v/>
      </c>
      <c r="H1948" t="s">
        <v>14</v>
      </c>
      <c r="I1948" t="s">
        <v>5512</v>
      </c>
      <c r="J1948" s="2">
        <f t="shared" si="157"/>
        <v>1425000</v>
      </c>
      <c r="K1948" t="s">
        <v>909</v>
      </c>
      <c r="L1948">
        <f t="shared" si="158"/>
        <v>0.17222222222222225</v>
      </c>
      <c r="M1948" s="5">
        <v>0.17222222222222225</v>
      </c>
      <c r="N1948" t="s">
        <v>43</v>
      </c>
      <c r="P1948" t="s">
        <v>3352</v>
      </c>
      <c r="R1948" s="3">
        <f t="shared" si="154"/>
        <v>4.1333333333333337</v>
      </c>
    </row>
    <row r="1949" spans="1:18" hidden="1" x14ac:dyDescent="0.25">
      <c r="A1949" t="s">
        <v>2954</v>
      </c>
      <c r="B1949" t="s">
        <v>3206</v>
      </c>
      <c r="C1949" t="s">
        <v>2611</v>
      </c>
      <c r="D1949" s="3">
        <f t="shared" si="155"/>
        <v>15.899999999999999</v>
      </c>
      <c r="E1949" t="s">
        <v>2955</v>
      </c>
      <c r="F1949" t="s">
        <v>13</v>
      </c>
      <c r="G1949">
        <f t="shared" si="156"/>
        <v>2925000</v>
      </c>
      <c r="H1949" t="s">
        <v>1968</v>
      </c>
      <c r="I1949" t="s">
        <v>2956</v>
      </c>
      <c r="J1949" s="2">
        <f t="shared" si="157"/>
        <v>2780000</v>
      </c>
      <c r="K1949" t="s">
        <v>1969</v>
      </c>
      <c r="L1949">
        <f t="shared" si="158"/>
        <v>0.17222222222222225</v>
      </c>
      <c r="M1949" s="5">
        <v>0.17222222222222225</v>
      </c>
      <c r="N1949" t="s">
        <v>18</v>
      </c>
      <c r="P1949" t="s">
        <v>1970</v>
      </c>
      <c r="R1949" s="3">
        <f t="shared" si="154"/>
        <v>4.1333333333333337</v>
      </c>
    </row>
    <row r="1950" spans="1:18" x14ac:dyDescent="0.25">
      <c r="A1950" t="s">
        <v>5590</v>
      </c>
      <c r="B1950" t="s">
        <v>5848</v>
      </c>
      <c r="C1950" t="s">
        <v>1163</v>
      </c>
      <c r="D1950" s="3">
        <f t="shared" si="155"/>
        <v>12</v>
      </c>
      <c r="E1950" t="s">
        <v>33</v>
      </c>
      <c r="F1950" t="s">
        <v>13</v>
      </c>
      <c r="G1950" t="str">
        <f t="shared" si="156"/>
        <v/>
      </c>
      <c r="H1950" t="s">
        <v>14</v>
      </c>
      <c r="I1950" t="s">
        <v>5591</v>
      </c>
      <c r="J1950" s="2">
        <f t="shared" si="157"/>
        <v>2350000</v>
      </c>
      <c r="K1950" t="s">
        <v>647</v>
      </c>
      <c r="L1950">
        <f t="shared" si="158"/>
        <v>0</v>
      </c>
      <c r="N1950" t="s">
        <v>43</v>
      </c>
      <c r="R1950" s="3">
        <f t="shared" si="154"/>
        <v>0</v>
      </c>
    </row>
    <row r="1951" spans="1:18" hidden="1" x14ac:dyDescent="0.25">
      <c r="A1951" t="s">
        <v>2967</v>
      </c>
      <c r="B1951" t="s">
        <v>3206</v>
      </c>
      <c r="C1951" t="s">
        <v>2611</v>
      </c>
      <c r="D1951" s="3">
        <f t="shared" si="155"/>
        <v>6.72</v>
      </c>
      <c r="E1951" t="s">
        <v>1561</v>
      </c>
      <c r="F1951" t="s">
        <v>13</v>
      </c>
      <c r="G1951">
        <f t="shared" si="156"/>
        <v>2095000</v>
      </c>
      <c r="H1951" t="s">
        <v>2968</v>
      </c>
      <c r="I1951" t="s">
        <v>2969</v>
      </c>
      <c r="J1951" s="2">
        <f t="shared" si="157"/>
        <v>1991500</v>
      </c>
      <c r="K1951" t="s">
        <v>2970</v>
      </c>
      <c r="L1951">
        <f t="shared" si="158"/>
        <v>0.17222222222222225</v>
      </c>
      <c r="M1951" s="5">
        <v>0.17222222222222225</v>
      </c>
      <c r="N1951" t="s">
        <v>18</v>
      </c>
      <c r="P1951" t="s">
        <v>2095</v>
      </c>
      <c r="R1951" s="3">
        <f t="shared" si="154"/>
        <v>4.1333333333333337</v>
      </c>
    </row>
    <row r="1952" spans="1:18" hidden="1" x14ac:dyDescent="0.25">
      <c r="A1952" t="s">
        <v>4316</v>
      </c>
      <c r="B1952" t="s">
        <v>4272</v>
      </c>
      <c r="C1952" t="s">
        <v>4311</v>
      </c>
      <c r="D1952" s="3">
        <f t="shared" si="155"/>
        <v>14</v>
      </c>
      <c r="E1952" t="s">
        <v>238</v>
      </c>
      <c r="F1952" t="s">
        <v>13</v>
      </c>
      <c r="G1952" t="str">
        <f t="shared" si="156"/>
        <v/>
      </c>
      <c r="H1952" t="s">
        <v>14</v>
      </c>
      <c r="I1952" t="s">
        <v>4317</v>
      </c>
      <c r="J1952" s="2">
        <f t="shared" si="157"/>
        <v>1525000</v>
      </c>
      <c r="K1952" t="s">
        <v>27</v>
      </c>
      <c r="L1952">
        <f t="shared" si="158"/>
        <v>0.17083333333333331</v>
      </c>
      <c r="M1952" s="5">
        <v>0.17083333333333331</v>
      </c>
      <c r="N1952" t="s">
        <v>18</v>
      </c>
      <c r="P1952" t="s">
        <v>2065</v>
      </c>
      <c r="R1952" s="3">
        <f t="shared" si="154"/>
        <v>4.0999999999999996</v>
      </c>
    </row>
    <row r="1953" spans="1:18" hidden="1" x14ac:dyDescent="0.25">
      <c r="A1953" t="s">
        <v>4621</v>
      </c>
      <c r="B1953" t="s">
        <v>4272</v>
      </c>
      <c r="C1953" t="s">
        <v>4311</v>
      </c>
      <c r="D1953" s="3">
        <f t="shared" si="155"/>
        <v>6.72</v>
      </c>
      <c r="E1953" t="s">
        <v>1561</v>
      </c>
      <c r="F1953" t="s">
        <v>13</v>
      </c>
      <c r="G1953" t="str">
        <f t="shared" si="156"/>
        <v/>
      </c>
      <c r="H1953" t="s">
        <v>14</v>
      </c>
      <c r="I1953" t="s">
        <v>4622</v>
      </c>
      <c r="J1953" s="2">
        <f t="shared" si="157"/>
        <v>1125000</v>
      </c>
      <c r="K1953" t="s">
        <v>724</v>
      </c>
      <c r="L1953">
        <f t="shared" si="158"/>
        <v>0.20833333333333334</v>
      </c>
      <c r="M1953" s="5">
        <v>0.20833333333333334</v>
      </c>
      <c r="N1953" t="s">
        <v>18</v>
      </c>
      <c r="R1953" s="3">
        <f t="shared" si="154"/>
        <v>5</v>
      </c>
    </row>
    <row r="1954" spans="1:18" hidden="1" x14ac:dyDescent="0.25">
      <c r="A1954" t="s">
        <v>670</v>
      </c>
      <c r="B1954" t="s">
        <v>640</v>
      </c>
      <c r="C1954" t="s">
        <v>643</v>
      </c>
      <c r="D1954" s="3">
        <f t="shared" si="155"/>
        <v>13.5</v>
      </c>
      <c r="E1954" t="s">
        <v>667</v>
      </c>
      <c r="F1954" t="s">
        <v>34</v>
      </c>
      <c r="G1954">
        <f t="shared" si="156"/>
        <v>1600000</v>
      </c>
      <c r="H1954" t="s">
        <v>95</v>
      </c>
      <c r="I1954" t="s">
        <v>671</v>
      </c>
      <c r="J1954" s="2">
        <f t="shared" si="157"/>
        <v>1440000</v>
      </c>
      <c r="K1954" t="s">
        <v>672</v>
      </c>
      <c r="L1954">
        <f t="shared" si="158"/>
        <v>0.17222222222222225</v>
      </c>
      <c r="M1954" s="5">
        <v>0.17222222222222225</v>
      </c>
      <c r="N1954" t="s">
        <v>37</v>
      </c>
      <c r="P1954" t="s">
        <v>673</v>
      </c>
      <c r="R1954" s="3">
        <f t="shared" si="154"/>
        <v>4.1333333333333337</v>
      </c>
    </row>
    <row r="1955" spans="1:18" x14ac:dyDescent="0.25">
      <c r="A1955" t="s">
        <v>2567</v>
      </c>
      <c r="B1955" t="s">
        <v>2596</v>
      </c>
      <c r="C1955" t="s">
        <v>2193</v>
      </c>
      <c r="D1955" s="3">
        <f t="shared" si="155"/>
        <v>17.5</v>
      </c>
      <c r="E1955" t="s">
        <v>2568</v>
      </c>
      <c r="F1955" t="s">
        <v>13</v>
      </c>
      <c r="G1955" t="str">
        <f t="shared" si="156"/>
        <v/>
      </c>
      <c r="H1955" t="s">
        <v>14</v>
      </c>
      <c r="I1955" t="s">
        <v>2569</v>
      </c>
      <c r="J1955" s="2">
        <f t="shared" si="157"/>
        <v>2350000</v>
      </c>
      <c r="K1955" t="s">
        <v>647</v>
      </c>
      <c r="L1955">
        <f t="shared" si="158"/>
        <v>0</v>
      </c>
      <c r="N1955" t="s">
        <v>18</v>
      </c>
      <c r="R1955" s="3">
        <f t="shared" si="154"/>
        <v>0</v>
      </c>
    </row>
    <row r="1956" spans="1:18" hidden="1" x14ac:dyDescent="0.25">
      <c r="A1956" t="s">
        <v>666</v>
      </c>
      <c r="B1956" t="s">
        <v>640</v>
      </c>
      <c r="C1956" t="s">
        <v>643</v>
      </c>
      <c r="D1956" s="3">
        <f t="shared" si="155"/>
        <v>13.5</v>
      </c>
      <c r="E1956" t="s">
        <v>667</v>
      </c>
      <c r="F1956" t="s">
        <v>34</v>
      </c>
      <c r="G1956">
        <f t="shared" si="156"/>
        <v>1000000</v>
      </c>
      <c r="H1956" t="s">
        <v>52</v>
      </c>
      <c r="I1956" t="s">
        <v>668</v>
      </c>
      <c r="J1956" s="2">
        <f t="shared" si="157"/>
        <v>900000</v>
      </c>
      <c r="K1956" t="s">
        <v>101</v>
      </c>
      <c r="L1956">
        <f t="shared" si="158"/>
        <v>0.17083333333333331</v>
      </c>
      <c r="M1956" s="5">
        <v>0.17083333333333331</v>
      </c>
      <c r="N1956" t="s">
        <v>37</v>
      </c>
      <c r="P1956" t="s">
        <v>669</v>
      </c>
      <c r="R1956" s="3">
        <f t="shared" si="154"/>
        <v>4.0999999999999996</v>
      </c>
    </row>
    <row r="1957" spans="1:18" hidden="1" x14ac:dyDescent="0.25">
      <c r="A1957" t="s">
        <v>2884</v>
      </c>
      <c r="B1957" t="s">
        <v>3206</v>
      </c>
      <c r="C1957" t="s">
        <v>2682</v>
      </c>
      <c r="D1957" s="3">
        <f t="shared" si="155"/>
        <v>15</v>
      </c>
      <c r="E1957" t="s">
        <v>504</v>
      </c>
      <c r="F1957" t="s">
        <v>34</v>
      </c>
      <c r="G1957" t="str">
        <f t="shared" si="156"/>
        <v/>
      </c>
      <c r="H1957" t="s">
        <v>14</v>
      </c>
      <c r="I1957" t="s">
        <v>2885</v>
      </c>
      <c r="J1957" s="2">
        <f t="shared" si="157"/>
        <v>2575000</v>
      </c>
      <c r="K1957" t="s">
        <v>2154</v>
      </c>
      <c r="L1957">
        <f t="shared" si="158"/>
        <v>0.17291666666666669</v>
      </c>
      <c r="M1957" s="5">
        <v>0.17291666666666669</v>
      </c>
      <c r="N1957" t="s">
        <v>18</v>
      </c>
      <c r="P1957" t="s">
        <v>1053</v>
      </c>
      <c r="R1957" s="3">
        <f t="shared" si="154"/>
        <v>4.1500000000000004</v>
      </c>
    </row>
    <row r="1958" spans="1:18" hidden="1" x14ac:dyDescent="0.25">
      <c r="A1958" t="s">
        <v>3064</v>
      </c>
      <c r="B1958" t="s">
        <v>3206</v>
      </c>
      <c r="C1958" t="s">
        <v>2682</v>
      </c>
      <c r="D1958" s="3">
        <f t="shared" si="155"/>
        <v>12</v>
      </c>
      <c r="E1958" t="s">
        <v>347</v>
      </c>
      <c r="F1958" t="s">
        <v>34</v>
      </c>
      <c r="G1958" t="str">
        <f t="shared" si="156"/>
        <v/>
      </c>
      <c r="H1958" t="s">
        <v>14</v>
      </c>
      <c r="I1958" t="s">
        <v>3065</v>
      </c>
      <c r="J1958" s="2">
        <f t="shared" si="157"/>
        <v>2325000</v>
      </c>
      <c r="K1958" t="s">
        <v>1352</v>
      </c>
      <c r="L1958">
        <f t="shared" si="158"/>
        <v>0.17083333333333331</v>
      </c>
      <c r="M1958" s="5">
        <v>0.17083333333333331</v>
      </c>
      <c r="N1958" t="s">
        <v>18</v>
      </c>
      <c r="P1958" t="s">
        <v>1125</v>
      </c>
      <c r="R1958" s="3">
        <f t="shared" si="154"/>
        <v>4.0999999999999996</v>
      </c>
    </row>
    <row r="1959" spans="1:18" x14ac:dyDescent="0.25">
      <c r="A1959" t="s">
        <v>2510</v>
      </c>
      <c r="B1959" t="s">
        <v>2596</v>
      </c>
      <c r="C1959" t="s">
        <v>2013</v>
      </c>
      <c r="D1959" s="3">
        <f t="shared" si="155"/>
        <v>16</v>
      </c>
      <c r="E1959" t="s">
        <v>79</v>
      </c>
      <c r="F1959" t="s">
        <v>13</v>
      </c>
      <c r="G1959" t="str">
        <f t="shared" si="156"/>
        <v/>
      </c>
      <c r="H1959" t="s">
        <v>14</v>
      </c>
      <c r="I1959" t="s">
        <v>2511</v>
      </c>
      <c r="J1959" s="2">
        <f t="shared" si="157"/>
        <v>2400000</v>
      </c>
      <c r="K1959" t="s">
        <v>133</v>
      </c>
      <c r="L1959">
        <f t="shared" si="158"/>
        <v>0.20833333333333334</v>
      </c>
      <c r="M1959" s="5">
        <v>0.20833333333333334</v>
      </c>
      <c r="N1959" t="s">
        <v>43</v>
      </c>
      <c r="P1959" t="s">
        <v>1309</v>
      </c>
      <c r="R1959" s="3">
        <f t="shared" si="154"/>
        <v>5</v>
      </c>
    </row>
    <row r="1960" spans="1:18" hidden="1" x14ac:dyDescent="0.25">
      <c r="A1960" t="s">
        <v>4738</v>
      </c>
      <c r="B1960" t="s">
        <v>4272</v>
      </c>
      <c r="C1960" t="s">
        <v>4441</v>
      </c>
      <c r="D1960" s="3">
        <f t="shared" si="155"/>
        <v>12</v>
      </c>
      <c r="E1960" t="s">
        <v>347</v>
      </c>
      <c r="F1960" t="s">
        <v>13</v>
      </c>
      <c r="G1960">
        <f t="shared" si="156"/>
        <v>1525000</v>
      </c>
      <c r="H1960" t="s">
        <v>27</v>
      </c>
      <c r="I1960" t="s">
        <v>4739</v>
      </c>
      <c r="J1960" s="2">
        <f t="shared" si="157"/>
        <v>1375000</v>
      </c>
      <c r="K1960" t="s">
        <v>812</v>
      </c>
      <c r="L1960">
        <f t="shared" si="158"/>
        <v>0</v>
      </c>
      <c r="N1960" t="s">
        <v>37</v>
      </c>
      <c r="P1960" t="s">
        <v>681</v>
      </c>
      <c r="R1960" s="3">
        <f t="shared" si="154"/>
        <v>0</v>
      </c>
    </row>
    <row r="1961" spans="1:18" hidden="1" x14ac:dyDescent="0.25">
      <c r="A1961" t="s">
        <v>4558</v>
      </c>
      <c r="B1961" t="s">
        <v>4272</v>
      </c>
      <c r="C1961" t="s">
        <v>4441</v>
      </c>
      <c r="D1961" s="3">
        <f t="shared" si="155"/>
        <v>9</v>
      </c>
      <c r="E1961" t="s">
        <v>12</v>
      </c>
      <c r="F1961" t="s">
        <v>13</v>
      </c>
      <c r="G1961">
        <f t="shared" si="156"/>
        <v>1425000</v>
      </c>
      <c r="H1961" t="s">
        <v>909</v>
      </c>
      <c r="I1961" t="s">
        <v>4559</v>
      </c>
      <c r="J1961" s="2">
        <f t="shared" si="157"/>
        <v>1285000</v>
      </c>
      <c r="K1961" t="s">
        <v>1612</v>
      </c>
      <c r="L1961">
        <f t="shared" si="158"/>
        <v>0</v>
      </c>
      <c r="N1961" t="s">
        <v>37</v>
      </c>
      <c r="P1961" t="s">
        <v>1607</v>
      </c>
      <c r="R1961" s="3">
        <f t="shared" si="154"/>
        <v>0</v>
      </c>
    </row>
    <row r="1962" spans="1:18" x14ac:dyDescent="0.25">
      <c r="A1962" t="s">
        <v>1590</v>
      </c>
      <c r="B1962" t="s">
        <v>1303</v>
      </c>
      <c r="C1962" t="s">
        <v>1322</v>
      </c>
      <c r="D1962" s="3">
        <f t="shared" si="155"/>
        <v>12</v>
      </c>
      <c r="E1962" t="s">
        <v>347</v>
      </c>
      <c r="F1962" t="s">
        <v>13</v>
      </c>
      <c r="G1962" t="str">
        <f t="shared" si="156"/>
        <v/>
      </c>
      <c r="H1962" t="s">
        <v>14</v>
      </c>
      <c r="I1962" t="s">
        <v>1591</v>
      </c>
      <c r="J1962" s="2">
        <f t="shared" si="157"/>
        <v>2400000</v>
      </c>
      <c r="K1962" t="s">
        <v>133</v>
      </c>
      <c r="L1962">
        <f t="shared" si="158"/>
        <v>0.17083333333333331</v>
      </c>
      <c r="M1962" s="5">
        <v>0.17083333333333331</v>
      </c>
      <c r="N1962" t="s">
        <v>43</v>
      </c>
      <c r="P1962" t="s">
        <v>1592</v>
      </c>
      <c r="R1962" s="3">
        <f t="shared" si="154"/>
        <v>4.0999999999999996</v>
      </c>
    </row>
    <row r="1963" spans="1:18" hidden="1" x14ac:dyDescent="0.25">
      <c r="A1963" t="s">
        <v>3122</v>
      </c>
      <c r="B1963" t="s">
        <v>3206</v>
      </c>
      <c r="C1963" t="s">
        <v>2682</v>
      </c>
      <c r="D1963" s="3">
        <f t="shared" si="155"/>
        <v>16</v>
      </c>
      <c r="E1963" t="s">
        <v>79</v>
      </c>
      <c r="F1963" t="s">
        <v>13</v>
      </c>
      <c r="G1963">
        <f t="shared" si="156"/>
        <v>2450000</v>
      </c>
      <c r="H1963" t="s">
        <v>1918</v>
      </c>
      <c r="I1963" t="s">
        <v>3123</v>
      </c>
      <c r="J1963" s="2">
        <f t="shared" si="157"/>
        <v>2258000</v>
      </c>
      <c r="K1963" t="s">
        <v>3124</v>
      </c>
      <c r="L1963">
        <f t="shared" si="158"/>
        <v>0.17083333333333331</v>
      </c>
      <c r="M1963" s="5">
        <v>0.17083333333333331</v>
      </c>
      <c r="N1963" t="s">
        <v>43</v>
      </c>
      <c r="P1963" t="s">
        <v>1547</v>
      </c>
      <c r="R1963" s="3">
        <f t="shared" si="154"/>
        <v>4.0999999999999996</v>
      </c>
    </row>
    <row r="1964" spans="1:18" hidden="1" x14ac:dyDescent="0.25">
      <c r="A1964" t="s">
        <v>2688</v>
      </c>
      <c r="B1964" t="s">
        <v>3206</v>
      </c>
      <c r="C1964" t="s">
        <v>2631</v>
      </c>
      <c r="D1964" s="3">
        <f t="shared" si="155"/>
        <v>25</v>
      </c>
      <c r="E1964" t="s">
        <v>481</v>
      </c>
      <c r="F1964" t="s">
        <v>34</v>
      </c>
      <c r="G1964">
        <f t="shared" si="156"/>
        <v>2025000</v>
      </c>
      <c r="H1964" t="s">
        <v>1065</v>
      </c>
      <c r="I1964" t="s">
        <v>2689</v>
      </c>
      <c r="J1964" s="2">
        <f t="shared" si="157"/>
        <v>1865000</v>
      </c>
      <c r="K1964" t="s">
        <v>1349</v>
      </c>
      <c r="L1964">
        <f t="shared" si="158"/>
        <v>0.1673611111111111</v>
      </c>
      <c r="M1964" s="5">
        <v>0.1673611111111111</v>
      </c>
      <c r="N1964" t="s">
        <v>18</v>
      </c>
      <c r="P1964" t="s">
        <v>673</v>
      </c>
      <c r="R1964" s="3">
        <f t="shared" si="154"/>
        <v>4.0166666666666666</v>
      </c>
    </row>
    <row r="1965" spans="1:18" hidden="1" x14ac:dyDescent="0.25">
      <c r="A1965" t="s">
        <v>2666</v>
      </c>
      <c r="B1965" t="s">
        <v>3206</v>
      </c>
      <c r="C1965" t="s">
        <v>2631</v>
      </c>
      <c r="D1965" s="3">
        <f t="shared" si="155"/>
        <v>16</v>
      </c>
      <c r="E1965" t="s">
        <v>79</v>
      </c>
      <c r="F1965" t="s">
        <v>34</v>
      </c>
      <c r="G1965" t="str">
        <f t="shared" si="156"/>
        <v/>
      </c>
      <c r="H1965" t="s">
        <v>14</v>
      </c>
      <c r="I1965" t="s">
        <v>2667</v>
      </c>
      <c r="J1965" s="2">
        <f t="shared" si="157"/>
        <v>1725000</v>
      </c>
      <c r="K1965" t="s">
        <v>897</v>
      </c>
      <c r="L1965">
        <f t="shared" si="158"/>
        <v>0.16944444444444443</v>
      </c>
      <c r="M1965" s="5">
        <v>0.16944444444444443</v>
      </c>
      <c r="N1965" t="s">
        <v>18</v>
      </c>
      <c r="P1965" t="s">
        <v>673</v>
      </c>
      <c r="R1965" s="3">
        <f t="shared" si="154"/>
        <v>4.0666666666666664</v>
      </c>
    </row>
    <row r="1966" spans="1:18" hidden="1" x14ac:dyDescent="0.25">
      <c r="A1966" t="s">
        <v>2629</v>
      </c>
      <c r="B1966" t="s">
        <v>3206</v>
      </c>
      <c r="C1966" t="s">
        <v>2631</v>
      </c>
      <c r="D1966" s="3">
        <f t="shared" si="155"/>
        <v>6</v>
      </c>
      <c r="E1966" t="s">
        <v>64</v>
      </c>
      <c r="F1966" t="s">
        <v>34</v>
      </c>
      <c r="G1966" t="str">
        <f t="shared" si="156"/>
        <v/>
      </c>
      <c r="H1966" t="s">
        <v>14</v>
      </c>
      <c r="I1966" t="s">
        <v>2630</v>
      </c>
      <c r="J1966" s="2">
        <f t="shared" si="157"/>
        <v>1225000</v>
      </c>
      <c r="K1966" t="s">
        <v>661</v>
      </c>
      <c r="L1966">
        <f t="shared" si="158"/>
        <v>0.17291666666666669</v>
      </c>
      <c r="M1966" s="5">
        <v>0.17291666666666669</v>
      </c>
      <c r="N1966" t="s">
        <v>18</v>
      </c>
      <c r="P1966" t="s">
        <v>673</v>
      </c>
      <c r="R1966" s="3">
        <f t="shared" si="154"/>
        <v>4.1500000000000004</v>
      </c>
    </row>
    <row r="1967" spans="1:18" hidden="1" x14ac:dyDescent="0.25">
      <c r="A1967" t="s">
        <v>2674</v>
      </c>
      <c r="B1967" t="s">
        <v>3206</v>
      </c>
      <c r="C1967" t="s">
        <v>2631</v>
      </c>
      <c r="D1967" s="3">
        <f t="shared" si="155"/>
        <v>14.19</v>
      </c>
      <c r="E1967" t="s">
        <v>2675</v>
      </c>
      <c r="F1967" t="s">
        <v>13</v>
      </c>
      <c r="G1967" t="str">
        <f t="shared" si="156"/>
        <v/>
      </c>
      <c r="H1967" t="s">
        <v>14</v>
      </c>
      <c r="I1967" t="s">
        <v>2676</v>
      </c>
      <c r="J1967" s="2">
        <f t="shared" si="157"/>
        <v>3025000</v>
      </c>
      <c r="K1967" t="s">
        <v>1793</v>
      </c>
      <c r="L1967">
        <f t="shared" si="158"/>
        <v>0.17222222222222225</v>
      </c>
      <c r="M1967" s="5">
        <v>0.17222222222222225</v>
      </c>
      <c r="N1967" t="s">
        <v>43</v>
      </c>
      <c r="R1967" s="3">
        <f t="shared" si="154"/>
        <v>4.1333333333333337</v>
      </c>
    </row>
    <row r="1968" spans="1:18" hidden="1" x14ac:dyDescent="0.25">
      <c r="A1968" t="s">
        <v>1906</v>
      </c>
      <c r="B1968" t="s">
        <v>1303</v>
      </c>
      <c r="C1968" t="s">
        <v>1322</v>
      </c>
      <c r="D1968" s="3">
        <f t="shared" si="155"/>
        <v>9</v>
      </c>
      <c r="E1968" t="s">
        <v>12</v>
      </c>
      <c r="F1968" t="s">
        <v>13</v>
      </c>
      <c r="G1968" t="str">
        <f t="shared" si="156"/>
        <v/>
      </c>
      <c r="H1968" t="s">
        <v>14</v>
      </c>
      <c r="I1968" t="s">
        <v>1907</v>
      </c>
      <c r="J1968" s="2">
        <f t="shared" si="157"/>
        <v>2400000</v>
      </c>
      <c r="K1968" t="s">
        <v>133</v>
      </c>
      <c r="L1968">
        <f t="shared" si="158"/>
        <v>0.17222222222222225</v>
      </c>
      <c r="M1968" s="5">
        <v>0.17222222222222225</v>
      </c>
      <c r="N1968" t="s">
        <v>43</v>
      </c>
      <c r="P1968" t="s">
        <v>1618</v>
      </c>
      <c r="R1968" s="3">
        <f t="shared" si="154"/>
        <v>4.1333333333333337</v>
      </c>
    </row>
    <row r="1969" spans="1:18" hidden="1" x14ac:dyDescent="0.25">
      <c r="A1969" t="s">
        <v>1864</v>
      </c>
      <c r="B1969" t="s">
        <v>1303</v>
      </c>
      <c r="C1969" t="s">
        <v>1322</v>
      </c>
      <c r="D1969" s="3">
        <f t="shared" si="155"/>
        <v>12</v>
      </c>
      <c r="E1969" t="s">
        <v>33</v>
      </c>
      <c r="F1969" t="s">
        <v>13</v>
      </c>
      <c r="G1969" t="str">
        <f t="shared" si="156"/>
        <v/>
      </c>
      <c r="H1969" t="s">
        <v>14</v>
      </c>
      <c r="I1969" t="s">
        <v>1865</v>
      </c>
      <c r="J1969" s="2">
        <f t="shared" si="157"/>
        <v>2500000</v>
      </c>
      <c r="K1969" t="s">
        <v>272</v>
      </c>
      <c r="L1969">
        <f t="shared" si="158"/>
        <v>0.17222222222222225</v>
      </c>
      <c r="M1969" s="5">
        <v>0.17222222222222225</v>
      </c>
      <c r="N1969" t="s">
        <v>43</v>
      </c>
      <c r="P1969" t="s">
        <v>1618</v>
      </c>
      <c r="R1969" s="3">
        <f t="shared" si="154"/>
        <v>4.1333333333333337</v>
      </c>
    </row>
    <row r="1970" spans="1:18" hidden="1" x14ac:dyDescent="0.25">
      <c r="A1970" t="s">
        <v>1616</v>
      </c>
      <c r="B1970" t="s">
        <v>1303</v>
      </c>
      <c r="C1970" t="s">
        <v>1322</v>
      </c>
      <c r="D1970" s="3">
        <f t="shared" si="155"/>
        <v>16</v>
      </c>
      <c r="E1970" t="s">
        <v>79</v>
      </c>
      <c r="F1970" t="s">
        <v>13</v>
      </c>
      <c r="G1970" t="str">
        <f t="shared" si="156"/>
        <v/>
      </c>
      <c r="H1970" t="s">
        <v>14</v>
      </c>
      <c r="I1970" t="s">
        <v>1617</v>
      </c>
      <c r="J1970" s="2">
        <f t="shared" si="157"/>
        <v>3000000</v>
      </c>
      <c r="K1970" t="s">
        <v>1513</v>
      </c>
      <c r="L1970">
        <f t="shared" si="158"/>
        <v>0.17083333333333331</v>
      </c>
      <c r="M1970" s="5">
        <v>0.17083333333333331</v>
      </c>
      <c r="N1970" t="s">
        <v>43</v>
      </c>
      <c r="P1970" t="s">
        <v>1618</v>
      </c>
      <c r="R1970" s="3">
        <f t="shared" si="154"/>
        <v>4.0999999999999996</v>
      </c>
    </row>
    <row r="1971" spans="1:18" hidden="1" x14ac:dyDescent="0.25">
      <c r="A1971" t="s">
        <v>1875</v>
      </c>
      <c r="B1971" t="s">
        <v>1303</v>
      </c>
      <c r="C1971" t="s">
        <v>1322</v>
      </c>
      <c r="D1971" s="3">
        <f t="shared" si="155"/>
        <v>25</v>
      </c>
      <c r="E1971" t="s">
        <v>481</v>
      </c>
      <c r="F1971" t="s">
        <v>13</v>
      </c>
      <c r="G1971" t="str">
        <f t="shared" si="156"/>
        <v/>
      </c>
      <c r="H1971" t="s">
        <v>14</v>
      </c>
      <c r="I1971" t="s">
        <v>1876</v>
      </c>
      <c r="J1971" s="2">
        <f t="shared" si="157"/>
        <v>3500000</v>
      </c>
      <c r="K1971" t="s">
        <v>143</v>
      </c>
      <c r="L1971">
        <f t="shared" si="158"/>
        <v>0.17222222222222225</v>
      </c>
      <c r="M1971" s="5">
        <v>0.17222222222222225</v>
      </c>
      <c r="N1971" t="s">
        <v>43</v>
      </c>
      <c r="P1971" t="s">
        <v>1618</v>
      </c>
      <c r="R1971" s="3">
        <f t="shared" si="154"/>
        <v>4.1333333333333337</v>
      </c>
    </row>
    <row r="1972" spans="1:18" hidden="1" x14ac:dyDescent="0.25">
      <c r="A1972" t="s">
        <v>1686</v>
      </c>
      <c r="B1972" t="s">
        <v>1303</v>
      </c>
      <c r="C1972" t="s">
        <v>1322</v>
      </c>
      <c r="D1972" s="3">
        <f t="shared" si="155"/>
        <v>16</v>
      </c>
      <c r="E1972" t="s">
        <v>79</v>
      </c>
      <c r="F1972" t="s">
        <v>13</v>
      </c>
      <c r="G1972" t="str">
        <f t="shared" si="156"/>
        <v/>
      </c>
      <c r="H1972" t="s">
        <v>14</v>
      </c>
      <c r="I1972" t="s">
        <v>1687</v>
      </c>
      <c r="J1972" s="2">
        <f t="shared" si="157"/>
        <v>2800000</v>
      </c>
      <c r="K1972" t="s">
        <v>1166</v>
      </c>
      <c r="L1972">
        <f t="shared" si="158"/>
        <v>0.17222222222222225</v>
      </c>
      <c r="M1972" s="5">
        <v>0.17222222222222225</v>
      </c>
      <c r="N1972" t="s">
        <v>43</v>
      </c>
      <c r="P1972" t="s">
        <v>1618</v>
      </c>
      <c r="R1972" s="3">
        <f t="shared" si="154"/>
        <v>4.1333333333333337</v>
      </c>
    </row>
    <row r="1973" spans="1:18" x14ac:dyDescent="0.25">
      <c r="A1973" t="s">
        <v>2253</v>
      </c>
      <c r="B1973" t="s">
        <v>2596</v>
      </c>
      <c r="C1973" t="s">
        <v>2013</v>
      </c>
      <c r="D1973" s="3">
        <f t="shared" si="155"/>
        <v>14.700000000000001</v>
      </c>
      <c r="E1973" t="s">
        <v>2254</v>
      </c>
      <c r="F1973" t="s">
        <v>13</v>
      </c>
      <c r="G1973" t="str">
        <f t="shared" si="156"/>
        <v/>
      </c>
      <c r="H1973" t="s">
        <v>14</v>
      </c>
      <c r="I1973" t="s">
        <v>2255</v>
      </c>
      <c r="J1973" s="2">
        <f t="shared" si="157"/>
        <v>2425000</v>
      </c>
      <c r="K1973" t="s">
        <v>1544</v>
      </c>
      <c r="L1973">
        <f t="shared" si="158"/>
        <v>0.17083333333333331</v>
      </c>
      <c r="M1973" s="5">
        <v>0.17083333333333331</v>
      </c>
      <c r="N1973" t="s">
        <v>43</v>
      </c>
      <c r="P1973" t="s">
        <v>1309</v>
      </c>
      <c r="R1973" s="3">
        <f t="shared" si="154"/>
        <v>4.0999999999999996</v>
      </c>
    </row>
    <row r="1974" spans="1:18" x14ac:dyDescent="0.25">
      <c r="A1974" t="s">
        <v>3621</v>
      </c>
      <c r="B1974" t="s">
        <v>3233</v>
      </c>
      <c r="C1974" t="s">
        <v>3248</v>
      </c>
      <c r="D1974" s="3">
        <f t="shared" si="155"/>
        <v>9</v>
      </c>
      <c r="E1974" t="s">
        <v>12</v>
      </c>
      <c r="F1974" t="s">
        <v>13</v>
      </c>
      <c r="G1974" t="str">
        <f t="shared" si="156"/>
        <v/>
      </c>
      <c r="H1974" t="s">
        <v>14</v>
      </c>
      <c r="I1974" t="s">
        <v>3622</v>
      </c>
      <c r="J1974" s="2">
        <f t="shared" si="157"/>
        <v>2450000</v>
      </c>
      <c r="K1974" t="s">
        <v>1918</v>
      </c>
      <c r="L1974">
        <f t="shared" si="158"/>
        <v>0.17222222222222225</v>
      </c>
      <c r="M1974" s="5">
        <v>0.17222222222222225</v>
      </c>
      <c r="N1974" t="s">
        <v>18</v>
      </c>
      <c r="P1974" t="s">
        <v>727</v>
      </c>
      <c r="R1974" s="3">
        <f t="shared" si="154"/>
        <v>4.1333333333333337</v>
      </c>
    </row>
    <row r="1975" spans="1:18" hidden="1" x14ac:dyDescent="0.25">
      <c r="A1975" t="s">
        <v>2875</v>
      </c>
      <c r="B1975" t="s">
        <v>3206</v>
      </c>
      <c r="C1975" t="s">
        <v>2604</v>
      </c>
      <c r="D1975" s="3">
        <f t="shared" si="155"/>
        <v>14.28</v>
      </c>
      <c r="E1975" t="s">
        <v>1334</v>
      </c>
      <c r="F1975" t="s">
        <v>13</v>
      </c>
      <c r="G1975" t="str">
        <f t="shared" si="156"/>
        <v/>
      </c>
      <c r="H1975" t="s">
        <v>14</v>
      </c>
      <c r="I1975" t="s">
        <v>2876</v>
      </c>
      <c r="J1975" s="2">
        <f t="shared" si="157"/>
        <v>2725000</v>
      </c>
      <c r="K1975" t="s">
        <v>2295</v>
      </c>
      <c r="L1975">
        <f t="shared" si="158"/>
        <v>0.17083333333333331</v>
      </c>
      <c r="M1975" s="5">
        <v>0.17083333333333331</v>
      </c>
      <c r="N1975" t="s">
        <v>43</v>
      </c>
      <c r="P1975" t="s">
        <v>1824</v>
      </c>
      <c r="R1975" s="3">
        <f t="shared" si="154"/>
        <v>4.0999999999999996</v>
      </c>
    </row>
    <row r="1976" spans="1:18" hidden="1" x14ac:dyDescent="0.25">
      <c r="A1976" t="s">
        <v>2905</v>
      </c>
      <c r="B1976" t="s">
        <v>3206</v>
      </c>
      <c r="C1976" t="s">
        <v>2682</v>
      </c>
      <c r="D1976" s="3" t="e">
        <f t="shared" si="155"/>
        <v>#VALUE!</v>
      </c>
      <c r="E1976" t="s">
        <v>14</v>
      </c>
      <c r="F1976" t="s">
        <v>14</v>
      </c>
      <c r="G1976">
        <f t="shared" si="156"/>
        <v>3525000</v>
      </c>
      <c r="H1976" t="s">
        <v>2719</v>
      </c>
      <c r="I1976" t="s">
        <v>110</v>
      </c>
      <c r="J1976" s="2">
        <f t="shared" si="157"/>
        <v>3350000</v>
      </c>
      <c r="K1976" t="s">
        <v>2906</v>
      </c>
      <c r="L1976">
        <f t="shared" si="158"/>
        <v>0.17083333333333331</v>
      </c>
      <c r="M1976" s="5">
        <v>0.17083333333333331</v>
      </c>
      <c r="N1976" t="s">
        <v>18</v>
      </c>
      <c r="P1976" t="s">
        <v>1057</v>
      </c>
      <c r="R1976" s="3">
        <f t="shared" si="154"/>
        <v>4.0999999999999996</v>
      </c>
    </row>
    <row r="1977" spans="1:18" hidden="1" x14ac:dyDescent="0.25">
      <c r="A1977" t="s">
        <v>1958</v>
      </c>
      <c r="B1977" t="s">
        <v>1303</v>
      </c>
      <c r="C1977" t="s">
        <v>1362</v>
      </c>
      <c r="D1977" s="3">
        <f t="shared" si="155"/>
        <v>15.540000000000001</v>
      </c>
      <c r="E1977" t="s">
        <v>1729</v>
      </c>
      <c r="F1977" t="s">
        <v>13</v>
      </c>
      <c r="G1977">
        <f t="shared" si="156"/>
        <v>2475000</v>
      </c>
      <c r="H1977" t="s">
        <v>1638</v>
      </c>
      <c r="I1977" t="s">
        <v>1731</v>
      </c>
      <c r="J1977" s="2">
        <f t="shared" si="157"/>
        <v>2352500</v>
      </c>
      <c r="K1977" t="s">
        <v>1959</v>
      </c>
      <c r="L1977">
        <f t="shared" si="158"/>
        <v>0.17083333333333331</v>
      </c>
      <c r="M1977" s="5">
        <v>0.17083333333333331</v>
      </c>
      <c r="N1977" t="s">
        <v>43</v>
      </c>
      <c r="P1977" t="s">
        <v>1960</v>
      </c>
      <c r="R1977" s="3">
        <f t="shared" si="154"/>
        <v>4.0999999999999996</v>
      </c>
    </row>
    <row r="1978" spans="1:18" hidden="1" x14ac:dyDescent="0.25">
      <c r="A1978" t="s">
        <v>1728</v>
      </c>
      <c r="B1978" t="s">
        <v>1303</v>
      </c>
      <c r="C1978" t="s">
        <v>1362</v>
      </c>
      <c r="D1978" s="3">
        <f t="shared" si="155"/>
        <v>15.540000000000001</v>
      </c>
      <c r="E1978" t="s">
        <v>1729</v>
      </c>
      <c r="F1978" t="s">
        <v>13</v>
      </c>
      <c r="G1978">
        <f t="shared" si="156"/>
        <v>2675000</v>
      </c>
      <c r="H1978" t="s">
        <v>1730</v>
      </c>
      <c r="I1978" t="s">
        <v>1731</v>
      </c>
      <c r="J1978" s="2">
        <f t="shared" si="157"/>
        <v>2542500</v>
      </c>
      <c r="K1978" t="s">
        <v>1732</v>
      </c>
      <c r="L1978">
        <f t="shared" si="158"/>
        <v>0.17291666666666669</v>
      </c>
      <c r="M1978" s="5">
        <v>0.17291666666666669</v>
      </c>
      <c r="N1978" t="s">
        <v>43</v>
      </c>
      <c r="P1978" t="s">
        <v>1733</v>
      </c>
      <c r="R1978" s="3">
        <f t="shared" si="154"/>
        <v>4.1500000000000004</v>
      </c>
    </row>
    <row r="1979" spans="1:18" hidden="1" x14ac:dyDescent="0.25">
      <c r="A1979" t="s">
        <v>1967</v>
      </c>
      <c r="B1979" t="s">
        <v>1303</v>
      </c>
      <c r="C1979" t="s">
        <v>1362</v>
      </c>
      <c r="D1979" s="3">
        <f t="shared" si="155"/>
        <v>15.540000000000001</v>
      </c>
      <c r="E1979" t="s">
        <v>1729</v>
      </c>
      <c r="F1979" t="s">
        <v>13</v>
      </c>
      <c r="G1979">
        <f t="shared" si="156"/>
        <v>2925000</v>
      </c>
      <c r="H1979" t="s">
        <v>1968</v>
      </c>
      <c r="I1979" t="s">
        <v>1731</v>
      </c>
      <c r="J1979" s="2">
        <f t="shared" si="157"/>
        <v>2780000</v>
      </c>
      <c r="K1979" t="s">
        <v>1969</v>
      </c>
      <c r="L1979">
        <f t="shared" si="158"/>
        <v>0.16944444444444443</v>
      </c>
      <c r="M1979" s="5">
        <v>0.16944444444444443</v>
      </c>
      <c r="N1979" t="s">
        <v>43</v>
      </c>
      <c r="P1979" t="s">
        <v>1970</v>
      </c>
      <c r="R1979" s="3">
        <f t="shared" si="154"/>
        <v>4.0666666666666664</v>
      </c>
    </row>
    <row r="1980" spans="1:18" hidden="1" x14ac:dyDescent="0.25">
      <c r="A1980" t="s">
        <v>2637</v>
      </c>
      <c r="B1980" t="s">
        <v>3206</v>
      </c>
      <c r="C1980" t="s">
        <v>2640</v>
      </c>
      <c r="D1980" s="3">
        <f t="shared" si="155"/>
        <v>13.5</v>
      </c>
      <c r="E1980" t="s">
        <v>667</v>
      </c>
      <c r="F1980" t="s">
        <v>13</v>
      </c>
      <c r="G1980">
        <f t="shared" si="156"/>
        <v>1915000</v>
      </c>
      <c r="H1980" t="s">
        <v>938</v>
      </c>
      <c r="I1980" t="s">
        <v>2638</v>
      </c>
      <c r="J1980" s="2">
        <f t="shared" si="157"/>
        <v>1820500</v>
      </c>
      <c r="K1980" t="s">
        <v>2639</v>
      </c>
      <c r="L1980">
        <f t="shared" si="158"/>
        <v>0.17291666666666669</v>
      </c>
      <c r="M1980" s="5">
        <v>0.17291666666666669</v>
      </c>
      <c r="N1980" t="s">
        <v>18</v>
      </c>
      <c r="P1980" t="s">
        <v>1171</v>
      </c>
      <c r="R1980" s="3">
        <f t="shared" si="154"/>
        <v>4.1500000000000004</v>
      </c>
    </row>
    <row r="1981" spans="1:18" hidden="1" x14ac:dyDescent="0.25">
      <c r="A1981" t="s">
        <v>1120</v>
      </c>
      <c r="B1981" t="s">
        <v>640</v>
      </c>
      <c r="C1981" t="s">
        <v>643</v>
      </c>
      <c r="D1981" s="3">
        <f t="shared" si="155"/>
        <v>10.240000000000002</v>
      </c>
      <c r="E1981" t="s">
        <v>941</v>
      </c>
      <c r="F1981" t="s">
        <v>13</v>
      </c>
      <c r="G1981">
        <f t="shared" si="156"/>
        <v>1350000</v>
      </c>
      <c r="H1981" t="s">
        <v>257</v>
      </c>
      <c r="I1981" t="s">
        <v>1121</v>
      </c>
      <c r="J1981" s="2">
        <f t="shared" si="157"/>
        <v>1215000</v>
      </c>
      <c r="K1981" t="s">
        <v>831</v>
      </c>
      <c r="L1981">
        <f t="shared" si="158"/>
        <v>0.17083333333333331</v>
      </c>
      <c r="M1981" s="5">
        <v>0.17083333333333331</v>
      </c>
      <c r="N1981" t="s">
        <v>18</v>
      </c>
      <c r="P1981" t="s">
        <v>815</v>
      </c>
      <c r="R1981" s="3">
        <f t="shared" si="154"/>
        <v>4.0999999999999996</v>
      </c>
    </row>
    <row r="1982" spans="1:18" x14ac:dyDescent="0.25">
      <c r="A1982" t="s">
        <v>3265</v>
      </c>
      <c r="B1982" t="s">
        <v>3233</v>
      </c>
      <c r="C1982" t="s">
        <v>3261</v>
      </c>
      <c r="D1982" s="3">
        <f t="shared" si="155"/>
        <v>12</v>
      </c>
      <c r="E1982" t="s">
        <v>33</v>
      </c>
      <c r="F1982" t="s">
        <v>13</v>
      </c>
      <c r="G1982" t="str">
        <f t="shared" si="156"/>
        <v/>
      </c>
      <c r="H1982" t="s">
        <v>14</v>
      </c>
      <c r="I1982" t="s">
        <v>3266</v>
      </c>
      <c r="J1982" s="2">
        <f t="shared" si="157"/>
        <v>2450000</v>
      </c>
      <c r="K1982" t="s">
        <v>1918</v>
      </c>
      <c r="L1982">
        <f t="shared" si="158"/>
        <v>0</v>
      </c>
      <c r="N1982" t="s">
        <v>43</v>
      </c>
      <c r="R1982" s="3">
        <f t="shared" si="154"/>
        <v>0</v>
      </c>
    </row>
    <row r="1983" spans="1:18" x14ac:dyDescent="0.25">
      <c r="A1983" t="s">
        <v>3417</v>
      </c>
      <c r="B1983" t="s">
        <v>3233</v>
      </c>
      <c r="C1983" t="s">
        <v>3237</v>
      </c>
      <c r="D1983" s="3">
        <f t="shared" si="155"/>
        <v>12</v>
      </c>
      <c r="E1983" t="s">
        <v>33</v>
      </c>
      <c r="F1983" t="s">
        <v>13</v>
      </c>
      <c r="G1983" t="str">
        <f t="shared" si="156"/>
        <v/>
      </c>
      <c r="H1983" t="s">
        <v>14</v>
      </c>
      <c r="I1983" t="s">
        <v>3418</v>
      </c>
      <c r="J1983" s="2">
        <f t="shared" si="157"/>
        <v>2470000</v>
      </c>
      <c r="K1983" t="s">
        <v>3419</v>
      </c>
      <c r="L1983">
        <f t="shared" si="158"/>
        <v>0.17222222222222225</v>
      </c>
      <c r="M1983" s="5">
        <v>0.17222222222222225</v>
      </c>
      <c r="N1983" t="s">
        <v>43</v>
      </c>
      <c r="P1983" t="s">
        <v>1309</v>
      </c>
      <c r="R1983" s="3">
        <f t="shared" si="154"/>
        <v>4.1333333333333337</v>
      </c>
    </row>
    <row r="1984" spans="1:18" hidden="1" x14ac:dyDescent="0.25">
      <c r="A1984" t="s">
        <v>4395</v>
      </c>
      <c r="B1984" t="s">
        <v>4272</v>
      </c>
      <c r="C1984" t="s">
        <v>4271</v>
      </c>
      <c r="D1984" s="3">
        <f t="shared" si="155"/>
        <v>18</v>
      </c>
      <c r="E1984" t="s">
        <v>3192</v>
      </c>
      <c r="F1984" t="s">
        <v>13</v>
      </c>
      <c r="G1984" t="str">
        <f t="shared" si="156"/>
        <v/>
      </c>
      <c r="H1984" t="s">
        <v>14</v>
      </c>
      <c r="I1984" t="s">
        <v>4396</v>
      </c>
      <c r="J1984" s="2">
        <f t="shared" si="157"/>
        <v>1475000</v>
      </c>
      <c r="K1984" t="s">
        <v>182</v>
      </c>
      <c r="L1984">
        <f t="shared" si="158"/>
        <v>0.20833333333333334</v>
      </c>
      <c r="M1984" s="5">
        <v>0.20833333333333334</v>
      </c>
      <c r="N1984" t="s">
        <v>18</v>
      </c>
      <c r="P1984" t="s">
        <v>31</v>
      </c>
      <c r="R1984" s="3">
        <f t="shared" si="154"/>
        <v>5</v>
      </c>
    </row>
    <row r="1985" spans="1:18" hidden="1" x14ac:dyDescent="0.25">
      <c r="A1985" t="s">
        <v>4445</v>
      </c>
      <c r="B1985" t="s">
        <v>4272</v>
      </c>
      <c r="C1985" t="s">
        <v>4271</v>
      </c>
      <c r="D1985" s="3">
        <f t="shared" si="155"/>
        <v>12</v>
      </c>
      <c r="E1985" t="s">
        <v>347</v>
      </c>
      <c r="F1985" t="s">
        <v>13</v>
      </c>
      <c r="G1985" t="str">
        <f t="shared" si="156"/>
        <v/>
      </c>
      <c r="H1985" t="s">
        <v>14</v>
      </c>
      <c r="I1985" t="s">
        <v>4446</v>
      </c>
      <c r="J1985" s="2">
        <f t="shared" si="157"/>
        <v>1375000</v>
      </c>
      <c r="K1985" t="s">
        <v>812</v>
      </c>
      <c r="L1985">
        <f t="shared" si="158"/>
        <v>0.17291666666666669</v>
      </c>
      <c r="M1985" s="5">
        <v>0.17291666666666669</v>
      </c>
      <c r="N1985" t="s">
        <v>18</v>
      </c>
      <c r="P1985" t="s">
        <v>31</v>
      </c>
      <c r="R1985" s="3">
        <f t="shared" si="154"/>
        <v>4.1500000000000004</v>
      </c>
    </row>
    <row r="1986" spans="1:18" hidden="1" x14ac:dyDescent="0.25">
      <c r="A1986" t="s">
        <v>4467</v>
      </c>
      <c r="B1986" t="s">
        <v>4272</v>
      </c>
      <c r="C1986" t="s">
        <v>4281</v>
      </c>
      <c r="D1986" s="3">
        <f t="shared" si="155"/>
        <v>18</v>
      </c>
      <c r="E1986" t="s">
        <v>3192</v>
      </c>
      <c r="F1986" t="s">
        <v>13</v>
      </c>
      <c r="G1986" t="str">
        <f t="shared" si="156"/>
        <v/>
      </c>
      <c r="H1986" t="s">
        <v>14</v>
      </c>
      <c r="I1986" t="s">
        <v>4396</v>
      </c>
      <c r="J1986" s="2">
        <f t="shared" si="157"/>
        <v>1125000</v>
      </c>
      <c r="K1986" t="s">
        <v>724</v>
      </c>
      <c r="L1986">
        <f t="shared" si="158"/>
        <v>0.17291666666666669</v>
      </c>
      <c r="M1986" s="5">
        <v>0.17291666666666669</v>
      </c>
      <c r="N1986" t="s">
        <v>18</v>
      </c>
      <c r="R1986" s="3">
        <f t="shared" ref="R1986:R2049" si="159">24*L1986</f>
        <v>4.1500000000000004</v>
      </c>
    </row>
    <row r="1987" spans="1:18" hidden="1" x14ac:dyDescent="0.25">
      <c r="A1987" t="s">
        <v>3060</v>
      </c>
      <c r="B1987" t="s">
        <v>3206</v>
      </c>
      <c r="C1987" t="s">
        <v>2600</v>
      </c>
      <c r="D1987" s="3">
        <f t="shared" si="155"/>
        <v>7.5</v>
      </c>
      <c r="E1987" t="s">
        <v>178</v>
      </c>
      <c r="F1987" t="s">
        <v>34</v>
      </c>
      <c r="G1987" t="str">
        <f t="shared" si="156"/>
        <v/>
      </c>
      <c r="H1987" t="s">
        <v>14</v>
      </c>
      <c r="I1987" t="s">
        <v>3061</v>
      </c>
      <c r="J1987" s="2">
        <f t="shared" si="157"/>
        <v>3025000</v>
      </c>
      <c r="K1987" t="s">
        <v>1793</v>
      </c>
      <c r="L1987">
        <f t="shared" si="158"/>
        <v>0.17291666666666669</v>
      </c>
      <c r="M1987" s="5">
        <v>0.17291666666666669</v>
      </c>
      <c r="N1987" t="s">
        <v>18</v>
      </c>
      <c r="P1987" t="s">
        <v>2008</v>
      </c>
      <c r="R1987" s="3">
        <f t="shared" si="159"/>
        <v>4.1500000000000004</v>
      </c>
    </row>
    <row r="1988" spans="1:18" hidden="1" x14ac:dyDescent="0.25">
      <c r="A1988" t="s">
        <v>4429</v>
      </c>
      <c r="B1988" t="s">
        <v>4272</v>
      </c>
      <c r="C1988" t="s">
        <v>4285</v>
      </c>
      <c r="D1988" s="3">
        <f t="shared" ref="D1988:D2051" si="160">VALUE(LEFT(E1988,SEARCH(" x ",E1988)-1))*VALUE(MID(E1988,SEARCH(" x ",E1988)+3,SEARCH(" meter",E1988)-SEARCH(" x ",E1988)-3))</f>
        <v>16</v>
      </c>
      <c r="E1988" t="s">
        <v>79</v>
      </c>
      <c r="F1988" t="s">
        <v>13</v>
      </c>
      <c r="G1988">
        <f t="shared" ref="G1988:G2051" si="161">IF(H1988="N/A","",VALUE(SUBSTITUTE(SUBSTITUTE(H1988,"Rp",""),".","")))</f>
        <v>2041000</v>
      </c>
      <c r="H1988" t="s">
        <v>4430</v>
      </c>
      <c r="I1988" t="s">
        <v>4431</v>
      </c>
      <c r="J1988" s="2">
        <f t="shared" ref="J1988:J2051" si="162">VALUE(SUBSTITUTE(SUBSTITUTE(K1988,"Rp",""),".",""))</f>
        <v>1940200</v>
      </c>
      <c r="K1988" t="s">
        <v>4432</v>
      </c>
      <c r="L1988">
        <f t="shared" ref="L1988:L2051" si="163">M1988:M4328</f>
        <v>0.20833333333333334</v>
      </c>
      <c r="M1988" s="5">
        <v>0.20833333333333334</v>
      </c>
      <c r="N1988" t="s">
        <v>43</v>
      </c>
      <c r="P1988" t="s">
        <v>1615</v>
      </c>
      <c r="R1988" s="3">
        <f t="shared" si="159"/>
        <v>5</v>
      </c>
    </row>
    <row r="1989" spans="1:18" x14ac:dyDescent="0.25">
      <c r="A1989" t="s">
        <v>4075</v>
      </c>
      <c r="B1989" t="s">
        <v>3746</v>
      </c>
      <c r="C1989" t="s">
        <v>3889</v>
      </c>
      <c r="D1989" s="3">
        <f t="shared" si="160"/>
        <v>18</v>
      </c>
      <c r="E1989" t="s">
        <v>126</v>
      </c>
      <c r="F1989" t="s">
        <v>13</v>
      </c>
      <c r="G1989" t="str">
        <f t="shared" si="161"/>
        <v/>
      </c>
      <c r="H1989" t="s">
        <v>14</v>
      </c>
      <c r="I1989" t="s">
        <v>4076</v>
      </c>
      <c r="J1989" s="2">
        <f t="shared" si="162"/>
        <v>2500000</v>
      </c>
      <c r="K1989" t="s">
        <v>272</v>
      </c>
      <c r="L1989">
        <f t="shared" si="163"/>
        <v>0</v>
      </c>
      <c r="N1989" t="s">
        <v>43</v>
      </c>
      <c r="R1989" s="3">
        <f t="shared" si="159"/>
        <v>0</v>
      </c>
    </row>
    <row r="1990" spans="1:18" hidden="1" x14ac:dyDescent="0.25">
      <c r="A1990" t="s">
        <v>1665</v>
      </c>
      <c r="B1990" t="s">
        <v>1303</v>
      </c>
      <c r="C1990" t="s">
        <v>1392</v>
      </c>
      <c r="D1990" s="3">
        <f t="shared" si="160"/>
        <v>6.25</v>
      </c>
      <c r="E1990" t="s">
        <v>74</v>
      </c>
      <c r="F1990" t="s">
        <v>13</v>
      </c>
      <c r="G1990" t="str">
        <f t="shared" si="161"/>
        <v/>
      </c>
      <c r="H1990" t="s">
        <v>14</v>
      </c>
      <c r="I1990" t="s">
        <v>1666</v>
      </c>
      <c r="J1990" s="2">
        <f t="shared" si="162"/>
        <v>1185000</v>
      </c>
      <c r="K1990" t="s">
        <v>1667</v>
      </c>
      <c r="L1990">
        <f t="shared" si="163"/>
        <v>0.16874999999999998</v>
      </c>
      <c r="M1990" s="5">
        <v>0.16874999999999998</v>
      </c>
      <c r="N1990" t="s">
        <v>43</v>
      </c>
      <c r="P1990" t="s">
        <v>1528</v>
      </c>
      <c r="R1990" s="3">
        <f t="shared" si="159"/>
        <v>4.05</v>
      </c>
    </row>
    <row r="1991" spans="1:18" hidden="1" x14ac:dyDescent="0.25">
      <c r="A1991" t="s">
        <v>3225</v>
      </c>
      <c r="B1991" t="s">
        <v>3206</v>
      </c>
      <c r="C1991" t="s">
        <v>2720</v>
      </c>
      <c r="D1991" s="3">
        <f t="shared" si="160"/>
        <v>12</v>
      </c>
      <c r="E1991" t="s">
        <v>347</v>
      </c>
      <c r="F1991" t="s">
        <v>13</v>
      </c>
      <c r="G1991">
        <f t="shared" si="161"/>
        <v>1935000</v>
      </c>
      <c r="H1991" t="s">
        <v>3226</v>
      </c>
      <c r="I1991" t="s">
        <v>3227</v>
      </c>
      <c r="J1991" s="2">
        <f t="shared" si="162"/>
        <v>1839500</v>
      </c>
      <c r="K1991" t="s">
        <v>3228</v>
      </c>
      <c r="L1991">
        <f t="shared" si="163"/>
        <v>0.17083333333333331</v>
      </c>
      <c r="M1991" s="5">
        <v>0.17083333333333331</v>
      </c>
      <c r="N1991" t="s">
        <v>18</v>
      </c>
      <c r="P1991" t="s">
        <v>1581</v>
      </c>
      <c r="R1991" s="3">
        <f t="shared" si="159"/>
        <v>4.0999999999999996</v>
      </c>
    </row>
    <row r="1992" spans="1:18" hidden="1" x14ac:dyDescent="0.25">
      <c r="A1992" t="s">
        <v>4372</v>
      </c>
      <c r="B1992" t="s">
        <v>4272</v>
      </c>
      <c r="C1992" t="s">
        <v>4374</v>
      </c>
      <c r="D1992" s="3">
        <f t="shared" si="160"/>
        <v>15</v>
      </c>
      <c r="E1992" t="s">
        <v>504</v>
      </c>
      <c r="F1992" t="s">
        <v>13</v>
      </c>
      <c r="G1992" t="str">
        <f t="shared" si="161"/>
        <v/>
      </c>
      <c r="H1992" t="s">
        <v>14</v>
      </c>
      <c r="I1992" t="s">
        <v>4373</v>
      </c>
      <c r="J1992" s="2">
        <f t="shared" si="162"/>
        <v>2025000</v>
      </c>
      <c r="K1992" t="s">
        <v>1065</v>
      </c>
      <c r="L1992">
        <f t="shared" si="163"/>
        <v>0.17083333333333331</v>
      </c>
      <c r="M1992" s="5">
        <v>0.17083333333333331</v>
      </c>
      <c r="N1992" t="s">
        <v>43</v>
      </c>
      <c r="P1992" t="s">
        <v>1427</v>
      </c>
      <c r="R1992" s="3">
        <f t="shared" si="159"/>
        <v>4.0999999999999996</v>
      </c>
    </row>
    <row r="1993" spans="1:18" hidden="1" x14ac:dyDescent="0.25">
      <c r="A1993" t="s">
        <v>4378</v>
      </c>
      <c r="B1993" t="s">
        <v>4272</v>
      </c>
      <c r="C1993" t="s">
        <v>4374</v>
      </c>
      <c r="D1993" s="3">
        <f t="shared" si="160"/>
        <v>15</v>
      </c>
      <c r="E1993" t="s">
        <v>504</v>
      </c>
      <c r="F1993" t="s">
        <v>13</v>
      </c>
      <c r="G1993">
        <f t="shared" si="161"/>
        <v>2225000</v>
      </c>
      <c r="H1993" t="s">
        <v>1339</v>
      </c>
      <c r="I1993" t="s">
        <v>4373</v>
      </c>
      <c r="J1993" s="2">
        <f t="shared" si="162"/>
        <v>2049000</v>
      </c>
      <c r="K1993" t="s">
        <v>1797</v>
      </c>
      <c r="L1993">
        <f t="shared" si="163"/>
        <v>0.17083333333333331</v>
      </c>
      <c r="M1993" s="5">
        <v>0.17083333333333331</v>
      </c>
      <c r="N1993" t="s">
        <v>43</v>
      </c>
      <c r="P1993" t="s">
        <v>1427</v>
      </c>
      <c r="R1993" s="3">
        <f t="shared" si="159"/>
        <v>4.0999999999999996</v>
      </c>
    </row>
    <row r="1994" spans="1:18" hidden="1" x14ac:dyDescent="0.25">
      <c r="A1994" t="s">
        <v>3125</v>
      </c>
      <c r="B1994" t="s">
        <v>3206</v>
      </c>
      <c r="C1994" t="s">
        <v>2604</v>
      </c>
      <c r="D1994" s="3">
        <f t="shared" si="160"/>
        <v>10.240000000000002</v>
      </c>
      <c r="E1994" t="s">
        <v>941</v>
      </c>
      <c r="F1994" t="s">
        <v>13</v>
      </c>
      <c r="G1994" t="str">
        <f t="shared" si="161"/>
        <v/>
      </c>
      <c r="H1994" t="s">
        <v>14</v>
      </c>
      <c r="I1994" t="s">
        <v>3126</v>
      </c>
      <c r="J1994" s="2">
        <f t="shared" si="162"/>
        <v>2825000</v>
      </c>
      <c r="K1994" t="s">
        <v>1604</v>
      </c>
      <c r="L1994">
        <f t="shared" si="163"/>
        <v>0.17083333333333331</v>
      </c>
      <c r="M1994" s="5">
        <v>0.17083333333333331</v>
      </c>
      <c r="N1994" t="s">
        <v>43</v>
      </c>
      <c r="P1994" t="s">
        <v>2004</v>
      </c>
      <c r="R1994" s="3">
        <f t="shared" si="159"/>
        <v>4.0999999999999996</v>
      </c>
    </row>
    <row r="1995" spans="1:18" hidden="1" x14ac:dyDescent="0.25">
      <c r="A1995" t="s">
        <v>3171</v>
      </c>
      <c r="B1995" t="s">
        <v>3206</v>
      </c>
      <c r="C1995" t="s">
        <v>2604</v>
      </c>
      <c r="D1995" s="3">
        <f t="shared" si="160"/>
        <v>10.8</v>
      </c>
      <c r="E1995" t="s">
        <v>880</v>
      </c>
      <c r="F1995" t="s">
        <v>13</v>
      </c>
      <c r="G1995">
        <f t="shared" si="161"/>
        <v>3125000</v>
      </c>
      <c r="H1995" t="s">
        <v>2001</v>
      </c>
      <c r="I1995" t="s">
        <v>3172</v>
      </c>
      <c r="J1995" s="2">
        <f t="shared" si="162"/>
        <v>2877000</v>
      </c>
      <c r="K1995" t="s">
        <v>2003</v>
      </c>
      <c r="L1995">
        <f t="shared" si="163"/>
        <v>0.17291666666666669</v>
      </c>
      <c r="M1995" s="5">
        <v>0.17291666666666669</v>
      </c>
      <c r="N1995" t="s">
        <v>43</v>
      </c>
      <c r="P1995" t="s">
        <v>2004</v>
      </c>
      <c r="R1995" s="3">
        <f t="shared" si="159"/>
        <v>4.1500000000000004</v>
      </c>
    </row>
    <row r="1996" spans="1:18" hidden="1" x14ac:dyDescent="0.25">
      <c r="A1996" t="s">
        <v>3171</v>
      </c>
      <c r="B1996" t="s">
        <v>3206</v>
      </c>
      <c r="C1996" t="s">
        <v>2604</v>
      </c>
      <c r="D1996" s="3" t="e">
        <f t="shared" si="160"/>
        <v>#VALUE!</v>
      </c>
      <c r="E1996" t="s">
        <v>14</v>
      </c>
      <c r="F1996" t="s">
        <v>14</v>
      </c>
      <c r="G1996">
        <f t="shared" si="161"/>
        <v>3125000</v>
      </c>
      <c r="H1996" t="s">
        <v>2001</v>
      </c>
      <c r="I1996" t="s">
        <v>110</v>
      </c>
      <c r="J1996" s="2">
        <f t="shared" si="162"/>
        <v>2877000</v>
      </c>
      <c r="K1996" t="s">
        <v>2003</v>
      </c>
      <c r="L1996">
        <f t="shared" si="163"/>
        <v>0.17291666666666669</v>
      </c>
      <c r="M1996" s="5">
        <v>0.17291666666666669</v>
      </c>
      <c r="N1996" t="s">
        <v>43</v>
      </c>
      <c r="P1996" t="s">
        <v>2004</v>
      </c>
      <c r="R1996" s="3">
        <f t="shared" si="159"/>
        <v>4.1500000000000004</v>
      </c>
    </row>
    <row r="1997" spans="1:18" hidden="1" x14ac:dyDescent="0.25">
      <c r="A1997" t="s">
        <v>2429</v>
      </c>
      <c r="B1997" t="s">
        <v>2596</v>
      </c>
      <c r="C1997" t="s">
        <v>2071</v>
      </c>
      <c r="D1997" s="3">
        <f t="shared" si="160"/>
        <v>8.75</v>
      </c>
      <c r="E1997" t="s">
        <v>775</v>
      </c>
      <c r="F1997" t="s">
        <v>13</v>
      </c>
      <c r="G1997">
        <f t="shared" si="161"/>
        <v>1525000</v>
      </c>
      <c r="H1997" t="s">
        <v>27</v>
      </c>
      <c r="I1997" t="s">
        <v>2430</v>
      </c>
      <c r="J1997" s="2">
        <f t="shared" si="162"/>
        <v>1450000</v>
      </c>
      <c r="K1997" t="s">
        <v>29</v>
      </c>
      <c r="L1997">
        <f t="shared" si="163"/>
        <v>0.17222222222222225</v>
      </c>
      <c r="M1997" s="5">
        <v>0.17222222222222225</v>
      </c>
      <c r="N1997" t="s">
        <v>43</v>
      </c>
      <c r="P1997" t="s">
        <v>31</v>
      </c>
      <c r="R1997" s="3">
        <f t="shared" si="159"/>
        <v>4.1333333333333337</v>
      </c>
    </row>
    <row r="1998" spans="1:18" hidden="1" x14ac:dyDescent="0.25">
      <c r="A1998" t="s">
        <v>2866</v>
      </c>
      <c r="B1998" t="s">
        <v>3206</v>
      </c>
      <c r="C1998" t="s">
        <v>2628</v>
      </c>
      <c r="D1998" s="3">
        <f t="shared" si="160"/>
        <v>16</v>
      </c>
      <c r="E1998" t="s">
        <v>79</v>
      </c>
      <c r="F1998" t="s">
        <v>34</v>
      </c>
      <c r="G1998" t="str">
        <f t="shared" si="161"/>
        <v/>
      </c>
      <c r="H1998" t="s">
        <v>14</v>
      </c>
      <c r="I1998" t="s">
        <v>2867</v>
      </c>
      <c r="J1998" s="2">
        <f t="shared" si="162"/>
        <v>1545000</v>
      </c>
      <c r="K1998" t="s">
        <v>1503</v>
      </c>
      <c r="L1998">
        <f t="shared" si="163"/>
        <v>0.17222222222222225</v>
      </c>
      <c r="M1998" s="5">
        <v>0.17222222222222225</v>
      </c>
      <c r="N1998" t="s">
        <v>37</v>
      </c>
      <c r="P1998" t="s">
        <v>2166</v>
      </c>
      <c r="R1998" s="3">
        <f t="shared" si="159"/>
        <v>4.1333333333333337</v>
      </c>
    </row>
    <row r="1999" spans="1:18" hidden="1" x14ac:dyDescent="0.25">
      <c r="A1999" t="s">
        <v>1838</v>
      </c>
      <c r="B1999" t="s">
        <v>1303</v>
      </c>
      <c r="C1999" t="s">
        <v>1342</v>
      </c>
      <c r="D1999" s="3">
        <f t="shared" si="160"/>
        <v>17.5</v>
      </c>
      <c r="E1999" t="s">
        <v>1839</v>
      </c>
      <c r="F1999" t="s">
        <v>13</v>
      </c>
      <c r="G1999" t="str">
        <f t="shared" si="161"/>
        <v/>
      </c>
      <c r="H1999" t="s">
        <v>14</v>
      </c>
      <c r="I1999" t="s">
        <v>1840</v>
      </c>
      <c r="J1999" s="2">
        <f t="shared" si="162"/>
        <v>2305000</v>
      </c>
      <c r="K1999" t="s">
        <v>1841</v>
      </c>
      <c r="L1999">
        <f t="shared" si="163"/>
        <v>0.17291666666666669</v>
      </c>
      <c r="M1999" s="5">
        <v>0.17291666666666669</v>
      </c>
      <c r="N1999" t="s">
        <v>43</v>
      </c>
      <c r="R1999" s="3">
        <f t="shared" si="159"/>
        <v>4.1500000000000004</v>
      </c>
    </row>
    <row r="2000" spans="1:18" x14ac:dyDescent="0.25">
      <c r="A2000" t="s">
        <v>771</v>
      </c>
      <c r="B2000" t="s">
        <v>640</v>
      </c>
      <c r="C2000" t="s">
        <v>657</v>
      </c>
      <c r="D2000" s="3">
        <f t="shared" si="160"/>
        <v>20.25</v>
      </c>
      <c r="E2000" t="s">
        <v>772</v>
      </c>
      <c r="F2000" t="s">
        <v>34</v>
      </c>
      <c r="G2000" t="str">
        <f t="shared" si="161"/>
        <v/>
      </c>
      <c r="H2000" t="s">
        <v>14</v>
      </c>
      <c r="I2000" t="s">
        <v>773</v>
      </c>
      <c r="J2000" s="2">
        <f t="shared" si="162"/>
        <v>2500000</v>
      </c>
      <c r="K2000" t="s">
        <v>272</v>
      </c>
      <c r="L2000">
        <f t="shared" si="163"/>
        <v>0</v>
      </c>
      <c r="N2000" t="s">
        <v>43</v>
      </c>
      <c r="R2000" s="3">
        <f t="shared" si="159"/>
        <v>0</v>
      </c>
    </row>
    <row r="2001" spans="1:18" hidden="1" x14ac:dyDescent="0.25">
      <c r="A2001" t="s">
        <v>4470</v>
      </c>
      <c r="B2001" t="s">
        <v>4272</v>
      </c>
      <c r="C2001" t="s">
        <v>4337</v>
      </c>
      <c r="D2001" s="3">
        <f t="shared" si="160"/>
        <v>14.700000000000001</v>
      </c>
      <c r="E2001" t="s">
        <v>2254</v>
      </c>
      <c r="F2001" t="s">
        <v>13</v>
      </c>
      <c r="G2001">
        <f t="shared" si="161"/>
        <v>1475000</v>
      </c>
      <c r="H2001" t="s">
        <v>182</v>
      </c>
      <c r="I2001" t="s">
        <v>4471</v>
      </c>
      <c r="J2001" s="2">
        <f t="shared" si="162"/>
        <v>1402500</v>
      </c>
      <c r="K2001" t="s">
        <v>1713</v>
      </c>
      <c r="L2001">
        <f t="shared" si="163"/>
        <v>0.17013888888888887</v>
      </c>
      <c r="M2001" s="5">
        <v>0.17013888888888887</v>
      </c>
      <c r="N2001" t="s">
        <v>18</v>
      </c>
      <c r="P2001" t="s">
        <v>1714</v>
      </c>
      <c r="R2001" s="3">
        <f t="shared" si="159"/>
        <v>4.083333333333333</v>
      </c>
    </row>
    <row r="2002" spans="1:18" hidden="1" x14ac:dyDescent="0.25">
      <c r="A2002" t="s">
        <v>659</v>
      </c>
      <c r="B2002" t="s">
        <v>640</v>
      </c>
      <c r="C2002" t="s">
        <v>664</v>
      </c>
      <c r="D2002" s="3">
        <f t="shared" si="160"/>
        <v>12.8</v>
      </c>
      <c r="E2002" t="s">
        <v>660</v>
      </c>
      <c r="F2002" t="s">
        <v>13</v>
      </c>
      <c r="G2002">
        <f t="shared" si="161"/>
        <v>1225000</v>
      </c>
      <c r="H2002" t="s">
        <v>661</v>
      </c>
      <c r="I2002" t="s">
        <v>662</v>
      </c>
      <c r="J2002" s="2">
        <f t="shared" si="162"/>
        <v>1105000</v>
      </c>
      <c r="K2002" t="s">
        <v>663</v>
      </c>
      <c r="L2002">
        <f t="shared" si="163"/>
        <v>0.17083333333333331</v>
      </c>
      <c r="M2002" s="5">
        <v>0.17083333333333331</v>
      </c>
      <c r="N2002" t="s">
        <v>18</v>
      </c>
      <c r="P2002" t="s">
        <v>665</v>
      </c>
      <c r="R2002" s="3">
        <f t="shared" si="159"/>
        <v>4.0999999999999996</v>
      </c>
    </row>
    <row r="2003" spans="1:18" hidden="1" x14ac:dyDescent="0.25">
      <c r="A2003" t="s">
        <v>2362</v>
      </c>
      <c r="B2003" t="s">
        <v>2596</v>
      </c>
      <c r="C2003" t="s">
        <v>1981</v>
      </c>
      <c r="D2003" s="3">
        <f t="shared" si="160"/>
        <v>15</v>
      </c>
      <c r="E2003" t="s">
        <v>504</v>
      </c>
      <c r="F2003" t="s">
        <v>13</v>
      </c>
      <c r="G2003" t="str">
        <f t="shared" si="161"/>
        <v/>
      </c>
      <c r="H2003" t="s">
        <v>14</v>
      </c>
      <c r="I2003" t="s">
        <v>2363</v>
      </c>
      <c r="J2003" s="2">
        <f t="shared" si="162"/>
        <v>2325000</v>
      </c>
      <c r="K2003" t="s">
        <v>1352</v>
      </c>
      <c r="L2003">
        <f t="shared" si="163"/>
        <v>0.17291666666666669</v>
      </c>
      <c r="M2003" s="5">
        <v>0.17291666666666669</v>
      </c>
      <c r="N2003" t="s">
        <v>43</v>
      </c>
      <c r="P2003" t="s">
        <v>752</v>
      </c>
      <c r="R2003" s="3">
        <f t="shared" si="159"/>
        <v>4.1500000000000004</v>
      </c>
    </row>
    <row r="2004" spans="1:18" hidden="1" x14ac:dyDescent="0.25">
      <c r="A2004" t="s">
        <v>4512</v>
      </c>
      <c r="B2004" t="s">
        <v>4272</v>
      </c>
      <c r="C2004" t="s">
        <v>4281</v>
      </c>
      <c r="D2004" s="3">
        <f t="shared" si="160"/>
        <v>9</v>
      </c>
      <c r="E2004" t="s">
        <v>12</v>
      </c>
      <c r="F2004" t="s">
        <v>13</v>
      </c>
      <c r="G2004">
        <f t="shared" si="161"/>
        <v>1425000</v>
      </c>
      <c r="H2004" t="s">
        <v>909</v>
      </c>
      <c r="I2004" t="s">
        <v>4513</v>
      </c>
      <c r="J2004" s="2">
        <f t="shared" si="162"/>
        <v>1355000</v>
      </c>
      <c r="K2004" t="s">
        <v>2063</v>
      </c>
      <c r="L2004">
        <f t="shared" si="163"/>
        <v>0.20833333333333334</v>
      </c>
      <c r="M2004" s="5">
        <v>0.20833333333333334</v>
      </c>
      <c r="N2004" t="s">
        <v>18</v>
      </c>
      <c r="P2004" t="s">
        <v>2065</v>
      </c>
      <c r="R2004" s="3">
        <f t="shared" si="159"/>
        <v>5</v>
      </c>
    </row>
    <row r="2005" spans="1:18" x14ac:dyDescent="0.25">
      <c r="A2005" t="s">
        <v>2189</v>
      </c>
      <c r="B2005" t="s">
        <v>2596</v>
      </c>
      <c r="C2005" t="s">
        <v>1981</v>
      </c>
      <c r="D2005" s="3">
        <f t="shared" si="160"/>
        <v>9</v>
      </c>
      <c r="E2005" t="s">
        <v>12</v>
      </c>
      <c r="F2005" t="s">
        <v>13</v>
      </c>
      <c r="G2005" t="str">
        <f t="shared" si="161"/>
        <v/>
      </c>
      <c r="H2005" t="s">
        <v>14</v>
      </c>
      <c r="I2005" t="s">
        <v>2190</v>
      </c>
      <c r="J2005" s="2">
        <f t="shared" si="162"/>
        <v>2500000</v>
      </c>
      <c r="K2005" t="s">
        <v>272</v>
      </c>
      <c r="L2005">
        <f t="shared" si="163"/>
        <v>0.20833333333333334</v>
      </c>
      <c r="M2005" s="5">
        <v>0.20833333333333334</v>
      </c>
      <c r="N2005" t="s">
        <v>43</v>
      </c>
      <c r="R2005" s="3">
        <f t="shared" si="159"/>
        <v>5</v>
      </c>
    </row>
    <row r="2006" spans="1:18" hidden="1" x14ac:dyDescent="0.25">
      <c r="A2006" t="s">
        <v>3971</v>
      </c>
      <c r="B2006" t="s">
        <v>3746</v>
      </c>
      <c r="C2006" t="s">
        <v>3746</v>
      </c>
      <c r="D2006" s="3">
        <f t="shared" si="160"/>
        <v>24</v>
      </c>
      <c r="E2006" t="s">
        <v>601</v>
      </c>
      <c r="F2006" t="s">
        <v>13</v>
      </c>
      <c r="G2006">
        <f t="shared" si="161"/>
        <v>3425000</v>
      </c>
      <c r="H2006" t="s">
        <v>2634</v>
      </c>
      <c r="I2006" t="s">
        <v>3972</v>
      </c>
      <c r="J2006" s="2">
        <f t="shared" si="162"/>
        <v>3255000</v>
      </c>
      <c r="K2006" t="s">
        <v>2636</v>
      </c>
      <c r="L2006">
        <f t="shared" si="163"/>
        <v>0.1673611111111111</v>
      </c>
      <c r="M2006" s="5">
        <v>0.1673611111111111</v>
      </c>
      <c r="N2006" t="s">
        <v>43</v>
      </c>
      <c r="P2006" t="s">
        <v>899</v>
      </c>
      <c r="R2006" s="3">
        <f t="shared" si="159"/>
        <v>4.0166666666666666</v>
      </c>
    </row>
    <row r="2007" spans="1:18" hidden="1" x14ac:dyDescent="0.25">
      <c r="A2007" t="s">
        <v>3768</v>
      </c>
      <c r="B2007" t="s">
        <v>3746</v>
      </c>
      <c r="C2007" t="s">
        <v>3746</v>
      </c>
      <c r="D2007" s="3">
        <f t="shared" si="160"/>
        <v>24.010000000000005</v>
      </c>
      <c r="E2007" t="s">
        <v>3769</v>
      </c>
      <c r="F2007" t="s">
        <v>13</v>
      </c>
      <c r="G2007">
        <f t="shared" si="161"/>
        <v>2425000</v>
      </c>
      <c r="H2007" t="s">
        <v>1544</v>
      </c>
      <c r="I2007" t="s">
        <v>3770</v>
      </c>
      <c r="J2007" s="2">
        <f t="shared" si="162"/>
        <v>2305000</v>
      </c>
      <c r="K2007" t="s">
        <v>1841</v>
      </c>
      <c r="L2007">
        <f t="shared" si="163"/>
        <v>0.17083333333333331</v>
      </c>
      <c r="M2007" s="5">
        <v>0.17083333333333331</v>
      </c>
      <c r="N2007" t="s">
        <v>43</v>
      </c>
      <c r="P2007" t="s">
        <v>665</v>
      </c>
      <c r="R2007" s="3">
        <f t="shared" si="159"/>
        <v>4.0999999999999996</v>
      </c>
    </row>
    <row r="2008" spans="1:18" hidden="1" x14ac:dyDescent="0.25">
      <c r="A2008" t="s">
        <v>2889</v>
      </c>
      <c r="B2008" t="s">
        <v>3206</v>
      </c>
      <c r="C2008" t="s">
        <v>2640</v>
      </c>
      <c r="D2008" s="3">
        <f t="shared" si="160"/>
        <v>8.8000000000000007</v>
      </c>
      <c r="E2008" t="s">
        <v>1300</v>
      </c>
      <c r="F2008" t="s">
        <v>34</v>
      </c>
      <c r="G2008" t="str">
        <f t="shared" si="161"/>
        <v/>
      </c>
      <c r="H2008" t="s">
        <v>14</v>
      </c>
      <c r="I2008" t="s">
        <v>2890</v>
      </c>
      <c r="J2008" s="2">
        <f t="shared" si="162"/>
        <v>1825000</v>
      </c>
      <c r="K2008" t="s">
        <v>196</v>
      </c>
      <c r="L2008">
        <f t="shared" si="163"/>
        <v>0.17222222222222225</v>
      </c>
      <c r="M2008" s="5">
        <v>0.17222222222222225</v>
      </c>
      <c r="N2008" t="s">
        <v>18</v>
      </c>
      <c r="P2008" t="s">
        <v>2619</v>
      </c>
      <c r="R2008" s="3">
        <f t="shared" si="159"/>
        <v>4.1333333333333337</v>
      </c>
    </row>
    <row r="2009" spans="1:18" hidden="1" x14ac:dyDescent="0.25">
      <c r="A2009" t="s">
        <v>1746</v>
      </c>
      <c r="B2009" t="s">
        <v>1303</v>
      </c>
      <c r="C2009" t="s">
        <v>1342</v>
      </c>
      <c r="D2009" s="3">
        <f t="shared" si="160"/>
        <v>20</v>
      </c>
      <c r="E2009" t="s">
        <v>565</v>
      </c>
      <c r="F2009" t="s">
        <v>13</v>
      </c>
      <c r="G2009">
        <f t="shared" si="161"/>
        <v>1845000</v>
      </c>
      <c r="H2009" t="s">
        <v>1747</v>
      </c>
      <c r="I2009" t="s">
        <v>1748</v>
      </c>
      <c r="J2009" s="2">
        <f t="shared" si="162"/>
        <v>1754000</v>
      </c>
      <c r="K2009" t="s">
        <v>1749</v>
      </c>
      <c r="L2009">
        <f t="shared" si="163"/>
        <v>0.16944444444444443</v>
      </c>
      <c r="M2009" s="5">
        <v>0.16944444444444443</v>
      </c>
      <c r="N2009" t="s">
        <v>43</v>
      </c>
      <c r="P2009" t="s">
        <v>1750</v>
      </c>
      <c r="R2009" s="3">
        <f t="shared" si="159"/>
        <v>4.0666666666666664</v>
      </c>
    </row>
    <row r="2010" spans="1:18" x14ac:dyDescent="0.25">
      <c r="A2010" t="s">
        <v>1329</v>
      </c>
      <c r="B2010" t="s">
        <v>1303</v>
      </c>
      <c r="C2010" t="s">
        <v>1332</v>
      </c>
      <c r="D2010" s="3">
        <f t="shared" si="160"/>
        <v>9.9</v>
      </c>
      <c r="E2010" t="s">
        <v>1330</v>
      </c>
      <c r="F2010" t="s">
        <v>13</v>
      </c>
      <c r="G2010" t="str">
        <f t="shared" si="161"/>
        <v/>
      </c>
      <c r="H2010" t="s">
        <v>14</v>
      </c>
      <c r="I2010" t="s">
        <v>1331</v>
      </c>
      <c r="J2010" s="2">
        <f t="shared" si="162"/>
        <v>2500000</v>
      </c>
      <c r="K2010" t="s">
        <v>272</v>
      </c>
      <c r="L2010">
        <f t="shared" si="163"/>
        <v>0.20833333333333334</v>
      </c>
      <c r="M2010" s="5">
        <v>0.20833333333333334</v>
      </c>
      <c r="N2010" t="s">
        <v>43</v>
      </c>
      <c r="R2010" s="3">
        <f t="shared" si="159"/>
        <v>5</v>
      </c>
    </row>
    <row r="2011" spans="1:18" hidden="1" x14ac:dyDescent="0.25">
      <c r="A2011" t="s">
        <v>5351</v>
      </c>
      <c r="B2011" t="s">
        <v>5848</v>
      </c>
      <c r="C2011" t="s">
        <v>5335</v>
      </c>
      <c r="D2011" s="3">
        <f t="shared" si="160"/>
        <v>22</v>
      </c>
      <c r="E2011" t="s">
        <v>5352</v>
      </c>
      <c r="F2011" t="s">
        <v>13</v>
      </c>
      <c r="G2011" t="str">
        <f t="shared" si="161"/>
        <v/>
      </c>
      <c r="H2011" t="s">
        <v>14</v>
      </c>
      <c r="I2011" t="s">
        <v>5353</v>
      </c>
      <c r="J2011" s="2">
        <f t="shared" si="162"/>
        <v>1400000</v>
      </c>
      <c r="K2011" t="s">
        <v>81</v>
      </c>
      <c r="L2011">
        <f t="shared" si="163"/>
        <v>0.17222222222222225</v>
      </c>
      <c r="M2011" s="5">
        <v>0.17222222222222225</v>
      </c>
      <c r="N2011" t="s">
        <v>37</v>
      </c>
      <c r="P2011" t="s">
        <v>2379</v>
      </c>
      <c r="R2011" s="3">
        <f t="shared" si="159"/>
        <v>4.1333333333333337</v>
      </c>
    </row>
    <row r="2012" spans="1:18" hidden="1" x14ac:dyDescent="0.25">
      <c r="A2012" t="s">
        <v>5345</v>
      </c>
      <c r="B2012" t="s">
        <v>5848</v>
      </c>
      <c r="C2012" t="s">
        <v>5335</v>
      </c>
      <c r="D2012" s="3">
        <f t="shared" si="160"/>
        <v>8.58</v>
      </c>
      <c r="E2012" t="s">
        <v>5333</v>
      </c>
      <c r="F2012" t="s">
        <v>13</v>
      </c>
      <c r="G2012" t="str">
        <f t="shared" si="161"/>
        <v/>
      </c>
      <c r="H2012" t="s">
        <v>14</v>
      </c>
      <c r="I2012" t="s">
        <v>5346</v>
      </c>
      <c r="J2012" s="2">
        <f t="shared" si="162"/>
        <v>1200000</v>
      </c>
      <c r="K2012" t="s">
        <v>36</v>
      </c>
      <c r="L2012">
        <f t="shared" si="163"/>
        <v>0.20833333333333334</v>
      </c>
      <c r="M2012" s="5">
        <v>0.20833333333333334</v>
      </c>
      <c r="N2012" t="s">
        <v>37</v>
      </c>
      <c r="P2012" t="s">
        <v>2379</v>
      </c>
      <c r="R2012" s="3">
        <f t="shared" si="159"/>
        <v>5</v>
      </c>
    </row>
    <row r="2013" spans="1:18" hidden="1" x14ac:dyDescent="0.25">
      <c r="A2013" t="s">
        <v>5332</v>
      </c>
      <c r="B2013" t="s">
        <v>5848</v>
      </c>
      <c r="C2013" t="s">
        <v>5335</v>
      </c>
      <c r="D2013" s="3">
        <f t="shared" si="160"/>
        <v>8.58</v>
      </c>
      <c r="E2013" t="s">
        <v>5333</v>
      </c>
      <c r="F2013" t="s">
        <v>13</v>
      </c>
      <c r="G2013">
        <f t="shared" si="161"/>
        <v>1100000</v>
      </c>
      <c r="H2013" t="s">
        <v>42</v>
      </c>
      <c r="I2013" t="s">
        <v>5334</v>
      </c>
      <c r="J2013" s="2">
        <f t="shared" si="162"/>
        <v>1012000</v>
      </c>
      <c r="K2013" t="s">
        <v>3303</v>
      </c>
      <c r="L2013">
        <f t="shared" si="163"/>
        <v>0.17222222222222225</v>
      </c>
      <c r="M2013" s="5">
        <v>0.17222222222222225</v>
      </c>
      <c r="N2013" t="s">
        <v>37</v>
      </c>
      <c r="P2013" t="s">
        <v>2379</v>
      </c>
      <c r="R2013" s="3">
        <f t="shared" si="159"/>
        <v>4.1333333333333337</v>
      </c>
    </row>
    <row r="2014" spans="1:18" hidden="1" x14ac:dyDescent="0.25">
      <c r="A2014" t="s">
        <v>5354</v>
      </c>
      <c r="B2014" t="s">
        <v>5848</v>
      </c>
      <c r="C2014" t="s">
        <v>5335</v>
      </c>
      <c r="D2014" s="3">
        <f t="shared" si="160"/>
        <v>6.38</v>
      </c>
      <c r="E2014" t="s">
        <v>5355</v>
      </c>
      <c r="F2014" t="s">
        <v>13</v>
      </c>
      <c r="G2014" t="str">
        <f t="shared" si="161"/>
        <v/>
      </c>
      <c r="H2014" t="s">
        <v>14</v>
      </c>
      <c r="I2014" t="s">
        <v>5356</v>
      </c>
      <c r="J2014" s="2">
        <f t="shared" si="162"/>
        <v>600000</v>
      </c>
      <c r="K2014" t="s">
        <v>173</v>
      </c>
      <c r="L2014">
        <f t="shared" si="163"/>
        <v>0.17222222222222225</v>
      </c>
      <c r="M2014" s="5">
        <v>0.17222222222222225</v>
      </c>
      <c r="N2014" t="s">
        <v>37</v>
      </c>
      <c r="P2014" t="s">
        <v>2379</v>
      </c>
      <c r="R2014" s="3">
        <f t="shared" si="159"/>
        <v>4.1333333333333337</v>
      </c>
    </row>
    <row r="2015" spans="1:18" hidden="1" x14ac:dyDescent="0.25">
      <c r="A2015" t="s">
        <v>4647</v>
      </c>
      <c r="B2015" t="s">
        <v>4272</v>
      </c>
      <c r="C2015" t="s">
        <v>4295</v>
      </c>
      <c r="D2015" s="3">
        <f t="shared" si="160"/>
        <v>10.5</v>
      </c>
      <c r="E2015" t="s">
        <v>1051</v>
      </c>
      <c r="F2015" t="s">
        <v>13</v>
      </c>
      <c r="G2015">
        <f t="shared" si="161"/>
        <v>1725000</v>
      </c>
      <c r="H2015" t="s">
        <v>897</v>
      </c>
      <c r="I2015" t="s">
        <v>4648</v>
      </c>
      <c r="J2015" s="2">
        <f t="shared" si="162"/>
        <v>1589000</v>
      </c>
      <c r="K2015" t="s">
        <v>1656</v>
      </c>
      <c r="L2015">
        <f t="shared" si="163"/>
        <v>0.17222222222222225</v>
      </c>
      <c r="M2015" s="5">
        <v>0.17222222222222225</v>
      </c>
      <c r="N2015" t="s">
        <v>18</v>
      </c>
      <c r="P2015" t="s">
        <v>1657</v>
      </c>
      <c r="R2015" s="3">
        <f t="shared" si="159"/>
        <v>4.1333333333333337</v>
      </c>
    </row>
    <row r="2016" spans="1:18" hidden="1" x14ac:dyDescent="0.25">
      <c r="A2016" t="s">
        <v>2066</v>
      </c>
      <c r="B2016" t="s">
        <v>2596</v>
      </c>
      <c r="C2016" t="s">
        <v>2049</v>
      </c>
      <c r="D2016" s="3">
        <f t="shared" si="160"/>
        <v>16</v>
      </c>
      <c r="E2016" t="s">
        <v>79</v>
      </c>
      <c r="F2016" t="s">
        <v>13</v>
      </c>
      <c r="G2016">
        <f t="shared" si="161"/>
        <v>3000000</v>
      </c>
      <c r="H2016" t="s">
        <v>1513</v>
      </c>
      <c r="I2016" t="s">
        <v>2067</v>
      </c>
      <c r="J2016" s="2">
        <f t="shared" si="162"/>
        <v>2850000</v>
      </c>
      <c r="K2016" t="s">
        <v>2068</v>
      </c>
      <c r="L2016">
        <f t="shared" si="163"/>
        <v>0.17083333333333331</v>
      </c>
      <c r="M2016" s="5">
        <v>0.17083333333333331</v>
      </c>
      <c r="N2016" t="s">
        <v>43</v>
      </c>
      <c r="P2016" t="s">
        <v>681</v>
      </c>
      <c r="R2016" s="3">
        <f t="shared" si="159"/>
        <v>4.0999999999999996</v>
      </c>
    </row>
    <row r="2017" spans="1:18" hidden="1" x14ac:dyDescent="0.25">
      <c r="A2017" t="s">
        <v>2397</v>
      </c>
      <c r="B2017" t="s">
        <v>2596</v>
      </c>
      <c r="C2017" t="s">
        <v>2049</v>
      </c>
      <c r="D2017" s="3">
        <f t="shared" si="160"/>
        <v>9.6000000000000014</v>
      </c>
      <c r="E2017" t="s">
        <v>2398</v>
      </c>
      <c r="F2017" t="s">
        <v>13</v>
      </c>
      <c r="G2017" t="str">
        <f t="shared" si="161"/>
        <v/>
      </c>
      <c r="H2017" t="s">
        <v>14</v>
      </c>
      <c r="I2017" t="s">
        <v>2399</v>
      </c>
      <c r="J2017" s="2">
        <f t="shared" si="162"/>
        <v>2300000</v>
      </c>
      <c r="K2017" t="s">
        <v>820</v>
      </c>
      <c r="L2017">
        <f t="shared" si="163"/>
        <v>0.16944444444444443</v>
      </c>
      <c r="M2017" s="5">
        <v>0.16944444444444443</v>
      </c>
      <c r="N2017" t="s">
        <v>43</v>
      </c>
      <c r="P2017" t="s">
        <v>681</v>
      </c>
      <c r="R2017" s="3">
        <f t="shared" si="159"/>
        <v>4.0666666666666664</v>
      </c>
    </row>
    <row r="2018" spans="1:18" x14ac:dyDescent="0.25">
      <c r="A2018" t="s">
        <v>1681</v>
      </c>
      <c r="B2018" t="s">
        <v>1303</v>
      </c>
      <c r="C2018" t="s">
        <v>1683</v>
      </c>
      <c r="D2018" s="3">
        <f t="shared" si="160"/>
        <v>9</v>
      </c>
      <c r="E2018" t="s">
        <v>12</v>
      </c>
      <c r="F2018" t="s">
        <v>13</v>
      </c>
      <c r="G2018" t="str">
        <f t="shared" si="161"/>
        <v/>
      </c>
      <c r="H2018" t="s">
        <v>14</v>
      </c>
      <c r="I2018" t="s">
        <v>1682</v>
      </c>
      <c r="J2018" s="2">
        <f t="shared" si="162"/>
        <v>2500000</v>
      </c>
      <c r="K2018" t="s">
        <v>272</v>
      </c>
      <c r="L2018">
        <f t="shared" si="163"/>
        <v>0</v>
      </c>
      <c r="N2018" t="s">
        <v>43</v>
      </c>
      <c r="R2018" s="3">
        <f t="shared" si="159"/>
        <v>0</v>
      </c>
    </row>
    <row r="2019" spans="1:18" hidden="1" x14ac:dyDescent="0.25">
      <c r="A2019" t="s">
        <v>3819</v>
      </c>
      <c r="B2019" t="s">
        <v>3746</v>
      </c>
      <c r="C2019" t="s">
        <v>3821</v>
      </c>
      <c r="D2019" s="3">
        <f t="shared" si="160"/>
        <v>7</v>
      </c>
      <c r="E2019" t="s">
        <v>2752</v>
      </c>
      <c r="F2019" t="s">
        <v>13</v>
      </c>
      <c r="G2019">
        <f t="shared" si="161"/>
        <v>1475000</v>
      </c>
      <c r="H2019" t="s">
        <v>182</v>
      </c>
      <c r="I2019" t="s">
        <v>3820</v>
      </c>
      <c r="J2019" s="2">
        <f t="shared" si="162"/>
        <v>1402500</v>
      </c>
      <c r="K2019" t="s">
        <v>1713</v>
      </c>
      <c r="L2019">
        <f t="shared" si="163"/>
        <v>0.17222222222222225</v>
      </c>
      <c r="M2019" s="5">
        <v>0.17222222222222225</v>
      </c>
      <c r="N2019" t="s">
        <v>43</v>
      </c>
      <c r="P2019" t="s">
        <v>1714</v>
      </c>
      <c r="R2019" s="3">
        <f t="shared" si="159"/>
        <v>4.1333333333333337</v>
      </c>
    </row>
    <row r="2020" spans="1:18" hidden="1" x14ac:dyDescent="0.25">
      <c r="A2020" t="s">
        <v>3457</v>
      </c>
      <c r="B2020" t="s">
        <v>3233</v>
      </c>
      <c r="C2020" t="s">
        <v>3248</v>
      </c>
      <c r="D2020" s="3">
        <f t="shared" si="160"/>
        <v>10.240000000000002</v>
      </c>
      <c r="E2020" t="s">
        <v>941</v>
      </c>
      <c r="F2020" t="s">
        <v>13</v>
      </c>
      <c r="G2020">
        <f t="shared" si="161"/>
        <v>2325000</v>
      </c>
      <c r="H2020" t="s">
        <v>1352</v>
      </c>
      <c r="I2020" t="s">
        <v>3297</v>
      </c>
      <c r="J2020" s="2">
        <f t="shared" si="162"/>
        <v>2141000</v>
      </c>
      <c r="K2020" t="s">
        <v>1757</v>
      </c>
      <c r="L2020">
        <f t="shared" si="163"/>
        <v>0</v>
      </c>
      <c r="N2020" t="s">
        <v>43</v>
      </c>
      <c r="P2020" t="s">
        <v>1328</v>
      </c>
      <c r="R2020" s="3">
        <f t="shared" si="159"/>
        <v>0</v>
      </c>
    </row>
    <row r="2021" spans="1:18" hidden="1" x14ac:dyDescent="0.25">
      <c r="A2021" t="s">
        <v>3444</v>
      </c>
      <c r="B2021" t="s">
        <v>3233</v>
      </c>
      <c r="C2021" t="s">
        <v>3248</v>
      </c>
      <c r="D2021" s="3">
        <f t="shared" si="160"/>
        <v>11.840000000000002</v>
      </c>
      <c r="E2021" t="s">
        <v>1979</v>
      </c>
      <c r="F2021" t="s">
        <v>13</v>
      </c>
      <c r="G2021">
        <f t="shared" si="161"/>
        <v>2275000</v>
      </c>
      <c r="H2021" t="s">
        <v>1027</v>
      </c>
      <c r="I2021" t="s">
        <v>3445</v>
      </c>
      <c r="J2021" s="2">
        <f t="shared" si="162"/>
        <v>2095000</v>
      </c>
      <c r="K2021" t="s">
        <v>2968</v>
      </c>
      <c r="L2021">
        <f t="shared" si="163"/>
        <v>0.17013888888888887</v>
      </c>
      <c r="M2021" s="5">
        <v>0.17013888888888887</v>
      </c>
      <c r="N2021" t="s">
        <v>43</v>
      </c>
      <c r="P2021" t="s">
        <v>1125</v>
      </c>
      <c r="R2021" s="3">
        <f t="shared" si="159"/>
        <v>4.083333333333333</v>
      </c>
    </row>
    <row r="2022" spans="1:18" x14ac:dyDescent="0.25">
      <c r="A2022" t="s">
        <v>3413</v>
      </c>
      <c r="B2022" t="s">
        <v>3233</v>
      </c>
      <c r="C2022" t="s">
        <v>3288</v>
      </c>
      <c r="D2022" s="3">
        <f t="shared" si="160"/>
        <v>6.72</v>
      </c>
      <c r="E2022" t="s">
        <v>3071</v>
      </c>
      <c r="F2022" t="s">
        <v>13</v>
      </c>
      <c r="G2022" t="str">
        <f t="shared" si="161"/>
        <v/>
      </c>
      <c r="H2022" t="s">
        <v>14</v>
      </c>
      <c r="I2022" t="s">
        <v>3414</v>
      </c>
      <c r="J2022" s="2">
        <f t="shared" si="162"/>
        <v>2500000</v>
      </c>
      <c r="K2022" t="s">
        <v>272</v>
      </c>
      <c r="L2022">
        <f t="shared" si="163"/>
        <v>0</v>
      </c>
      <c r="N2022" t="s">
        <v>18</v>
      </c>
      <c r="R2022" s="3">
        <f t="shared" si="159"/>
        <v>0</v>
      </c>
    </row>
    <row r="2023" spans="1:18" hidden="1" x14ac:dyDescent="0.25">
      <c r="A2023" t="s">
        <v>2895</v>
      </c>
      <c r="B2023" t="s">
        <v>3206</v>
      </c>
      <c r="C2023" t="s">
        <v>2618</v>
      </c>
      <c r="D2023" s="3">
        <f t="shared" si="160"/>
        <v>9</v>
      </c>
      <c r="E2023" t="s">
        <v>12</v>
      </c>
      <c r="F2023" t="s">
        <v>13</v>
      </c>
      <c r="G2023">
        <f t="shared" si="161"/>
        <v>2525000</v>
      </c>
      <c r="H2023" t="s">
        <v>131</v>
      </c>
      <c r="I2023" t="s">
        <v>2896</v>
      </c>
      <c r="J2023" s="2">
        <f t="shared" si="162"/>
        <v>2325000</v>
      </c>
      <c r="K2023" t="s">
        <v>1352</v>
      </c>
      <c r="L2023">
        <f t="shared" si="163"/>
        <v>0.20833333333333334</v>
      </c>
      <c r="M2023" s="5">
        <v>0.20833333333333334</v>
      </c>
      <c r="N2023" t="s">
        <v>43</v>
      </c>
      <c r="P2023" t="s">
        <v>1053</v>
      </c>
      <c r="R2023" s="3">
        <f t="shared" si="159"/>
        <v>5</v>
      </c>
    </row>
    <row r="2024" spans="1:18" hidden="1" x14ac:dyDescent="0.25">
      <c r="A2024" t="s">
        <v>2314</v>
      </c>
      <c r="B2024" t="s">
        <v>2596</v>
      </c>
      <c r="C2024" t="s">
        <v>2193</v>
      </c>
      <c r="D2024" s="3">
        <f t="shared" si="160"/>
        <v>15.75</v>
      </c>
      <c r="E2024" t="s">
        <v>911</v>
      </c>
      <c r="F2024" t="s">
        <v>34</v>
      </c>
      <c r="G2024" t="str">
        <f t="shared" si="161"/>
        <v/>
      </c>
      <c r="H2024" t="s">
        <v>14</v>
      </c>
      <c r="I2024" t="s">
        <v>2315</v>
      </c>
      <c r="J2024" s="2">
        <f t="shared" si="162"/>
        <v>2985000</v>
      </c>
      <c r="K2024" t="s">
        <v>2316</v>
      </c>
      <c r="L2024">
        <f t="shared" si="163"/>
        <v>0.17222222222222225</v>
      </c>
      <c r="M2024" s="5">
        <v>0.17222222222222225</v>
      </c>
      <c r="N2024" t="s">
        <v>43</v>
      </c>
      <c r="R2024" s="3">
        <f t="shared" si="159"/>
        <v>4.1333333333333337</v>
      </c>
    </row>
    <row r="2025" spans="1:18" hidden="1" x14ac:dyDescent="0.25">
      <c r="A2025" t="s">
        <v>2364</v>
      </c>
      <c r="B2025" t="s">
        <v>2596</v>
      </c>
      <c r="C2025" t="s">
        <v>2193</v>
      </c>
      <c r="D2025" s="3">
        <f t="shared" si="160"/>
        <v>17.5</v>
      </c>
      <c r="E2025" t="s">
        <v>1839</v>
      </c>
      <c r="F2025" t="s">
        <v>34</v>
      </c>
      <c r="G2025" t="str">
        <f t="shared" si="161"/>
        <v/>
      </c>
      <c r="H2025" t="s">
        <v>14</v>
      </c>
      <c r="I2025" t="s">
        <v>2365</v>
      </c>
      <c r="J2025" s="2">
        <f t="shared" si="162"/>
        <v>3505000</v>
      </c>
      <c r="K2025" t="s">
        <v>2366</v>
      </c>
      <c r="L2025">
        <f t="shared" si="163"/>
        <v>0.17083333333333331</v>
      </c>
      <c r="M2025" s="5">
        <v>0.17083333333333331</v>
      </c>
      <c r="N2025" t="s">
        <v>43</v>
      </c>
      <c r="P2025" t="s">
        <v>1306</v>
      </c>
      <c r="R2025" s="3">
        <f t="shared" si="159"/>
        <v>4.0999999999999996</v>
      </c>
    </row>
    <row r="2026" spans="1:18" hidden="1" x14ac:dyDescent="0.25">
      <c r="A2026" t="s">
        <v>2282</v>
      </c>
      <c r="B2026" t="s">
        <v>2596</v>
      </c>
      <c r="C2026" t="s">
        <v>2193</v>
      </c>
      <c r="D2026" s="3">
        <f t="shared" si="160"/>
        <v>21</v>
      </c>
      <c r="E2026" t="s">
        <v>2283</v>
      </c>
      <c r="F2026" t="s">
        <v>34</v>
      </c>
      <c r="G2026" t="str">
        <f t="shared" si="161"/>
        <v/>
      </c>
      <c r="H2026" t="s">
        <v>14</v>
      </c>
      <c r="I2026" t="s">
        <v>2284</v>
      </c>
      <c r="J2026" s="2">
        <f t="shared" si="162"/>
        <v>3815000</v>
      </c>
      <c r="K2026" t="s">
        <v>2285</v>
      </c>
      <c r="L2026">
        <f t="shared" si="163"/>
        <v>0.17291666666666669</v>
      </c>
      <c r="M2026" s="5">
        <v>0.17291666666666669</v>
      </c>
      <c r="N2026" t="s">
        <v>43</v>
      </c>
      <c r="P2026" t="s">
        <v>1306</v>
      </c>
      <c r="R2026" s="3">
        <f t="shared" si="159"/>
        <v>4.1500000000000004</v>
      </c>
    </row>
    <row r="2027" spans="1:18" hidden="1" x14ac:dyDescent="0.25">
      <c r="A2027" t="s">
        <v>954</v>
      </c>
      <c r="B2027" t="s">
        <v>640</v>
      </c>
      <c r="C2027" t="s">
        <v>643</v>
      </c>
      <c r="D2027" s="3">
        <f t="shared" si="160"/>
        <v>12</v>
      </c>
      <c r="E2027" t="s">
        <v>347</v>
      </c>
      <c r="F2027" t="s">
        <v>13</v>
      </c>
      <c r="G2027" t="str">
        <f t="shared" si="161"/>
        <v/>
      </c>
      <c r="H2027" t="s">
        <v>14</v>
      </c>
      <c r="I2027" t="s">
        <v>955</v>
      </c>
      <c r="J2027" s="2">
        <f t="shared" si="162"/>
        <v>1975000</v>
      </c>
      <c r="K2027" t="s">
        <v>956</v>
      </c>
      <c r="L2027">
        <f t="shared" si="163"/>
        <v>0.17013888888888887</v>
      </c>
      <c r="M2027" s="5">
        <v>0.17013888888888887</v>
      </c>
      <c r="N2027" t="s">
        <v>18</v>
      </c>
      <c r="P2027" t="s">
        <v>762</v>
      </c>
      <c r="R2027" s="3">
        <f t="shared" si="159"/>
        <v>4.083333333333333</v>
      </c>
    </row>
    <row r="2028" spans="1:18" x14ac:dyDescent="0.25">
      <c r="A2028" t="s">
        <v>3600</v>
      </c>
      <c r="B2028" t="s">
        <v>3233</v>
      </c>
      <c r="C2028" t="s">
        <v>3261</v>
      </c>
      <c r="D2028" s="3">
        <f t="shared" si="160"/>
        <v>7.5</v>
      </c>
      <c r="E2028" t="s">
        <v>178</v>
      </c>
      <c r="F2028" t="s">
        <v>13</v>
      </c>
      <c r="G2028" t="str">
        <f t="shared" si="161"/>
        <v/>
      </c>
      <c r="H2028" t="s">
        <v>14</v>
      </c>
      <c r="I2028" t="s">
        <v>3601</v>
      </c>
      <c r="J2028" s="2">
        <f t="shared" si="162"/>
        <v>2500000</v>
      </c>
      <c r="K2028" t="s">
        <v>272</v>
      </c>
      <c r="L2028">
        <f t="shared" si="163"/>
        <v>0.20833333333333334</v>
      </c>
      <c r="M2028" s="5">
        <v>0.20833333333333334</v>
      </c>
      <c r="N2028" t="s">
        <v>43</v>
      </c>
      <c r="R2028" s="3">
        <f t="shared" si="159"/>
        <v>5</v>
      </c>
    </row>
    <row r="2029" spans="1:18" hidden="1" x14ac:dyDescent="0.25">
      <c r="A2029" t="s">
        <v>2764</v>
      </c>
      <c r="B2029" t="s">
        <v>3206</v>
      </c>
      <c r="C2029" t="s">
        <v>2671</v>
      </c>
      <c r="D2029" s="3">
        <f t="shared" si="160"/>
        <v>9.7999999999999989</v>
      </c>
      <c r="E2029" t="s">
        <v>2765</v>
      </c>
      <c r="F2029" t="s">
        <v>13</v>
      </c>
      <c r="G2029">
        <f t="shared" si="161"/>
        <v>2025000</v>
      </c>
      <c r="H2029" t="s">
        <v>1065</v>
      </c>
      <c r="I2029" t="s">
        <v>2766</v>
      </c>
      <c r="J2029" s="2">
        <f t="shared" si="162"/>
        <v>1865000</v>
      </c>
      <c r="K2029" t="s">
        <v>1349</v>
      </c>
      <c r="L2029">
        <f t="shared" si="163"/>
        <v>0.20833333333333334</v>
      </c>
      <c r="M2029" s="5">
        <v>0.20833333333333334</v>
      </c>
      <c r="N2029" t="s">
        <v>18</v>
      </c>
      <c r="P2029" t="s">
        <v>673</v>
      </c>
      <c r="R2029" s="3">
        <f t="shared" si="159"/>
        <v>5</v>
      </c>
    </row>
    <row r="2030" spans="1:18" hidden="1" x14ac:dyDescent="0.25">
      <c r="A2030" t="s">
        <v>2727</v>
      </c>
      <c r="B2030" t="s">
        <v>3206</v>
      </c>
      <c r="C2030" t="s">
        <v>2671</v>
      </c>
      <c r="D2030" s="3">
        <f t="shared" si="160"/>
        <v>8.9599999999999991</v>
      </c>
      <c r="E2030" t="s">
        <v>785</v>
      </c>
      <c r="F2030" t="s">
        <v>13</v>
      </c>
      <c r="G2030">
        <f t="shared" si="161"/>
        <v>1625000</v>
      </c>
      <c r="H2030" t="s">
        <v>702</v>
      </c>
      <c r="I2030" t="s">
        <v>2728</v>
      </c>
      <c r="J2030" s="2">
        <f t="shared" si="162"/>
        <v>1545000</v>
      </c>
      <c r="K2030" t="s">
        <v>1503</v>
      </c>
      <c r="L2030">
        <f t="shared" si="163"/>
        <v>0.20833333333333334</v>
      </c>
      <c r="M2030" s="5">
        <v>0.20833333333333334</v>
      </c>
      <c r="N2030" t="s">
        <v>18</v>
      </c>
      <c r="P2030" t="s">
        <v>719</v>
      </c>
      <c r="R2030" s="3">
        <f t="shared" si="159"/>
        <v>5</v>
      </c>
    </row>
    <row r="2031" spans="1:18" hidden="1" x14ac:dyDescent="0.25">
      <c r="A2031" t="s">
        <v>3127</v>
      </c>
      <c r="B2031" t="s">
        <v>3206</v>
      </c>
      <c r="C2031" t="s">
        <v>2631</v>
      </c>
      <c r="D2031" s="3">
        <f t="shared" si="160"/>
        <v>16</v>
      </c>
      <c r="E2031" t="s">
        <v>79</v>
      </c>
      <c r="F2031" t="s">
        <v>13</v>
      </c>
      <c r="G2031">
        <f t="shared" si="161"/>
        <v>2575000</v>
      </c>
      <c r="H2031" t="s">
        <v>2154</v>
      </c>
      <c r="I2031" t="s">
        <v>3128</v>
      </c>
      <c r="J2031" s="2">
        <f t="shared" si="162"/>
        <v>2447500</v>
      </c>
      <c r="K2031" t="s">
        <v>3129</v>
      </c>
      <c r="L2031">
        <f t="shared" si="163"/>
        <v>0.17291666666666669</v>
      </c>
      <c r="M2031" s="5">
        <v>0.17291666666666669</v>
      </c>
      <c r="N2031" t="s">
        <v>18</v>
      </c>
      <c r="P2031" t="s">
        <v>2619</v>
      </c>
      <c r="R2031" s="3">
        <f t="shared" si="159"/>
        <v>4.1500000000000004</v>
      </c>
    </row>
    <row r="2032" spans="1:18" hidden="1" x14ac:dyDescent="0.25">
      <c r="A2032" t="s">
        <v>3048</v>
      </c>
      <c r="B2032" t="s">
        <v>3206</v>
      </c>
      <c r="C2032" t="s">
        <v>2734</v>
      </c>
      <c r="D2032" s="3">
        <f t="shared" si="160"/>
        <v>14.4</v>
      </c>
      <c r="E2032" t="s">
        <v>3049</v>
      </c>
      <c r="F2032" t="s">
        <v>13</v>
      </c>
      <c r="G2032" t="str">
        <f t="shared" si="161"/>
        <v/>
      </c>
      <c r="H2032" t="s">
        <v>14</v>
      </c>
      <c r="I2032" t="s">
        <v>3050</v>
      </c>
      <c r="J2032" s="2">
        <f t="shared" si="162"/>
        <v>3325000</v>
      </c>
      <c r="K2032" t="s">
        <v>2133</v>
      </c>
      <c r="L2032">
        <f t="shared" si="163"/>
        <v>0.17083333333333331</v>
      </c>
      <c r="M2032" s="5">
        <v>0.17083333333333331</v>
      </c>
      <c r="N2032" t="s">
        <v>43</v>
      </c>
      <c r="P2032" t="s">
        <v>1622</v>
      </c>
      <c r="R2032" s="3">
        <f t="shared" si="159"/>
        <v>4.0999999999999996</v>
      </c>
    </row>
    <row r="2033" spans="1:18" hidden="1" x14ac:dyDescent="0.25">
      <c r="A2033" t="s">
        <v>3105</v>
      </c>
      <c r="B2033" t="s">
        <v>3206</v>
      </c>
      <c r="C2033" t="s">
        <v>2734</v>
      </c>
      <c r="D2033" s="3">
        <f t="shared" si="160"/>
        <v>14.4</v>
      </c>
      <c r="E2033" t="s">
        <v>3049</v>
      </c>
      <c r="F2033" t="s">
        <v>13</v>
      </c>
      <c r="G2033" t="str">
        <f t="shared" si="161"/>
        <v/>
      </c>
      <c r="H2033" t="s">
        <v>14</v>
      </c>
      <c r="I2033" t="s">
        <v>3106</v>
      </c>
      <c r="J2033" s="2">
        <f t="shared" si="162"/>
        <v>3025000</v>
      </c>
      <c r="K2033" t="s">
        <v>1793</v>
      </c>
      <c r="L2033">
        <f t="shared" si="163"/>
        <v>0.17083333333333331</v>
      </c>
      <c r="M2033" s="5">
        <v>0.17083333333333331</v>
      </c>
      <c r="N2033" t="s">
        <v>43</v>
      </c>
      <c r="R2033" s="3">
        <f t="shared" si="159"/>
        <v>4.0999999999999996</v>
      </c>
    </row>
    <row r="2034" spans="1:18" hidden="1" x14ac:dyDescent="0.25">
      <c r="A2034" t="s">
        <v>2824</v>
      </c>
      <c r="B2034" t="s">
        <v>3206</v>
      </c>
      <c r="C2034" t="s">
        <v>2640</v>
      </c>
      <c r="D2034" s="3">
        <f t="shared" si="160"/>
        <v>12.8</v>
      </c>
      <c r="E2034" t="s">
        <v>1382</v>
      </c>
      <c r="F2034" t="s">
        <v>13</v>
      </c>
      <c r="G2034" t="str">
        <f t="shared" si="161"/>
        <v/>
      </c>
      <c r="H2034" t="s">
        <v>14</v>
      </c>
      <c r="I2034" t="s">
        <v>2825</v>
      </c>
      <c r="J2034" s="2">
        <f t="shared" si="162"/>
        <v>1925000</v>
      </c>
      <c r="K2034" t="s">
        <v>552</v>
      </c>
      <c r="L2034">
        <f t="shared" si="163"/>
        <v>0.16944444444444443</v>
      </c>
      <c r="M2034" s="5">
        <v>0.16944444444444443</v>
      </c>
      <c r="N2034" t="s">
        <v>18</v>
      </c>
      <c r="P2034" t="s">
        <v>2826</v>
      </c>
      <c r="R2034" s="3">
        <f t="shared" si="159"/>
        <v>4.0666666666666664</v>
      </c>
    </row>
    <row r="2035" spans="1:18" x14ac:dyDescent="0.25">
      <c r="A2035" t="s">
        <v>3388</v>
      </c>
      <c r="B2035" t="s">
        <v>3233</v>
      </c>
      <c r="C2035" t="s">
        <v>3248</v>
      </c>
      <c r="D2035" s="3">
        <f t="shared" si="160"/>
        <v>16</v>
      </c>
      <c r="E2035" t="s">
        <v>79</v>
      </c>
      <c r="F2035" t="s">
        <v>13</v>
      </c>
      <c r="G2035" t="str">
        <f t="shared" si="161"/>
        <v/>
      </c>
      <c r="H2035" t="s">
        <v>14</v>
      </c>
      <c r="I2035" t="s">
        <v>3389</v>
      </c>
      <c r="J2035" s="2">
        <f t="shared" si="162"/>
        <v>2500000</v>
      </c>
      <c r="K2035" t="s">
        <v>272</v>
      </c>
      <c r="L2035">
        <f t="shared" si="163"/>
        <v>0.20833333333333334</v>
      </c>
      <c r="M2035" s="5">
        <v>0.20833333333333334</v>
      </c>
      <c r="N2035" t="s">
        <v>43</v>
      </c>
      <c r="R2035" s="3">
        <f t="shared" si="159"/>
        <v>5</v>
      </c>
    </row>
    <row r="2036" spans="1:18" hidden="1" x14ac:dyDescent="0.25">
      <c r="A2036" t="s">
        <v>2921</v>
      </c>
      <c r="B2036" t="s">
        <v>3206</v>
      </c>
      <c r="C2036" t="s">
        <v>2600</v>
      </c>
      <c r="D2036" s="3">
        <f t="shared" si="160"/>
        <v>15</v>
      </c>
      <c r="E2036" t="s">
        <v>71</v>
      </c>
      <c r="F2036" t="s">
        <v>34</v>
      </c>
      <c r="G2036">
        <f t="shared" si="161"/>
        <v>4425000</v>
      </c>
      <c r="H2036" t="s">
        <v>2922</v>
      </c>
      <c r="I2036" t="s">
        <v>2923</v>
      </c>
      <c r="J2036" s="2">
        <f t="shared" si="162"/>
        <v>4205000</v>
      </c>
      <c r="K2036" t="s">
        <v>2924</v>
      </c>
      <c r="L2036">
        <f t="shared" si="163"/>
        <v>0.17222222222222225</v>
      </c>
      <c r="M2036" s="5">
        <v>0.17222222222222225</v>
      </c>
      <c r="N2036" t="s">
        <v>43</v>
      </c>
      <c r="P2036" t="s">
        <v>892</v>
      </c>
      <c r="R2036" s="3">
        <f t="shared" si="159"/>
        <v>4.1333333333333337</v>
      </c>
    </row>
    <row r="2037" spans="1:18" hidden="1" x14ac:dyDescent="0.25">
      <c r="A2037" t="s">
        <v>2925</v>
      </c>
      <c r="B2037" t="s">
        <v>3206</v>
      </c>
      <c r="C2037" t="s">
        <v>2600</v>
      </c>
      <c r="D2037" s="3">
        <f t="shared" si="160"/>
        <v>6</v>
      </c>
      <c r="E2037" t="s">
        <v>285</v>
      </c>
      <c r="F2037" t="s">
        <v>13</v>
      </c>
      <c r="G2037">
        <f t="shared" si="161"/>
        <v>3715000</v>
      </c>
      <c r="H2037" t="s">
        <v>2926</v>
      </c>
      <c r="I2037" t="s">
        <v>2927</v>
      </c>
      <c r="J2037" s="2">
        <f t="shared" si="162"/>
        <v>3530500</v>
      </c>
      <c r="K2037" t="s">
        <v>2928</v>
      </c>
      <c r="L2037">
        <f t="shared" si="163"/>
        <v>0.17222222222222225</v>
      </c>
      <c r="M2037" s="5">
        <v>0.17222222222222225</v>
      </c>
      <c r="N2037" t="s">
        <v>43</v>
      </c>
      <c r="P2037" t="s">
        <v>887</v>
      </c>
      <c r="R2037" s="3">
        <f t="shared" si="159"/>
        <v>4.1333333333333337</v>
      </c>
    </row>
    <row r="2038" spans="1:18" hidden="1" x14ac:dyDescent="0.25">
      <c r="A2038" t="s">
        <v>5359</v>
      </c>
      <c r="B2038" t="s">
        <v>5848</v>
      </c>
      <c r="C2038" t="s">
        <v>5360</v>
      </c>
      <c r="D2038" s="3" t="e">
        <f t="shared" si="160"/>
        <v>#VALUE!</v>
      </c>
      <c r="E2038" t="s">
        <v>14</v>
      </c>
      <c r="F2038" t="s">
        <v>14</v>
      </c>
      <c r="G2038">
        <f t="shared" si="161"/>
        <v>1225000</v>
      </c>
      <c r="H2038" t="s">
        <v>661</v>
      </c>
      <c r="I2038" t="s">
        <v>110</v>
      </c>
      <c r="J2038" s="2">
        <f t="shared" si="162"/>
        <v>1129000</v>
      </c>
      <c r="K2038" t="s">
        <v>1680</v>
      </c>
      <c r="L2038">
        <f t="shared" si="163"/>
        <v>0.17291666666666669</v>
      </c>
      <c r="M2038" s="5">
        <v>0.17291666666666669</v>
      </c>
      <c r="N2038" t="s">
        <v>18</v>
      </c>
      <c r="P2038" t="s">
        <v>1581</v>
      </c>
      <c r="R2038" s="3">
        <f t="shared" si="159"/>
        <v>4.1500000000000004</v>
      </c>
    </row>
    <row r="2039" spans="1:18" hidden="1" x14ac:dyDescent="0.25">
      <c r="A2039" t="s">
        <v>3130</v>
      </c>
      <c r="B2039" t="s">
        <v>3206</v>
      </c>
      <c r="C2039" t="s">
        <v>2682</v>
      </c>
      <c r="D2039" s="3">
        <f t="shared" si="160"/>
        <v>10.5</v>
      </c>
      <c r="E2039" t="s">
        <v>653</v>
      </c>
      <c r="F2039" t="s">
        <v>13</v>
      </c>
      <c r="G2039" t="str">
        <f t="shared" si="161"/>
        <v/>
      </c>
      <c r="H2039" t="s">
        <v>14</v>
      </c>
      <c r="I2039" t="s">
        <v>3131</v>
      </c>
      <c r="J2039" s="2">
        <f t="shared" si="162"/>
        <v>1675000</v>
      </c>
      <c r="K2039" t="s">
        <v>1119</v>
      </c>
      <c r="L2039">
        <f t="shared" si="163"/>
        <v>0.17083333333333331</v>
      </c>
      <c r="M2039" s="5">
        <v>0.17083333333333331</v>
      </c>
      <c r="N2039" t="s">
        <v>43</v>
      </c>
      <c r="R2039" s="3">
        <f t="shared" si="159"/>
        <v>4.0999999999999996</v>
      </c>
    </row>
    <row r="2040" spans="1:18" x14ac:dyDescent="0.25">
      <c r="A2040" t="s">
        <v>5771</v>
      </c>
      <c r="B2040" t="s">
        <v>5848</v>
      </c>
      <c r="C2040" t="s">
        <v>5369</v>
      </c>
      <c r="D2040" s="3">
        <f t="shared" si="160"/>
        <v>25</v>
      </c>
      <c r="E2040" t="s">
        <v>481</v>
      </c>
      <c r="F2040" t="s">
        <v>13</v>
      </c>
      <c r="G2040" t="str">
        <f t="shared" si="161"/>
        <v/>
      </c>
      <c r="H2040" t="s">
        <v>14</v>
      </c>
      <c r="I2040" t="s">
        <v>5772</v>
      </c>
      <c r="J2040" s="2">
        <f t="shared" si="162"/>
        <v>2500000</v>
      </c>
      <c r="K2040" t="s">
        <v>272</v>
      </c>
      <c r="L2040">
        <f t="shared" si="163"/>
        <v>0.17083333333333331</v>
      </c>
      <c r="M2040" s="5">
        <v>0.17083333333333331</v>
      </c>
      <c r="N2040" t="s">
        <v>43</v>
      </c>
      <c r="R2040" s="3">
        <f t="shared" si="159"/>
        <v>4.0999999999999996</v>
      </c>
    </row>
    <row r="2041" spans="1:18" hidden="1" x14ac:dyDescent="0.25">
      <c r="A2041" t="s">
        <v>4556</v>
      </c>
      <c r="B2041" t="s">
        <v>4272</v>
      </c>
      <c r="C2041" t="s">
        <v>4354</v>
      </c>
      <c r="D2041" s="3">
        <f t="shared" si="160"/>
        <v>20.8</v>
      </c>
      <c r="E2041" t="s">
        <v>1368</v>
      </c>
      <c r="F2041" t="s">
        <v>13</v>
      </c>
      <c r="G2041">
        <f t="shared" si="161"/>
        <v>1575000</v>
      </c>
      <c r="H2041" t="s">
        <v>1021</v>
      </c>
      <c r="I2041" t="s">
        <v>4557</v>
      </c>
      <c r="J2041" s="2">
        <f t="shared" si="162"/>
        <v>1497500</v>
      </c>
      <c r="K2041" t="s">
        <v>3351</v>
      </c>
      <c r="L2041">
        <f t="shared" si="163"/>
        <v>0</v>
      </c>
      <c r="N2041" t="s">
        <v>18</v>
      </c>
      <c r="P2041" t="s">
        <v>3352</v>
      </c>
      <c r="R2041" s="3">
        <f t="shared" si="159"/>
        <v>0</v>
      </c>
    </row>
    <row r="2042" spans="1:18" hidden="1" x14ac:dyDescent="0.25">
      <c r="A2042" t="s">
        <v>4534</v>
      </c>
      <c r="B2042" t="s">
        <v>4272</v>
      </c>
      <c r="C2042" t="s">
        <v>4354</v>
      </c>
      <c r="D2042" s="3">
        <f t="shared" si="160"/>
        <v>9</v>
      </c>
      <c r="E2042" t="s">
        <v>12</v>
      </c>
      <c r="F2042" t="s">
        <v>13</v>
      </c>
      <c r="G2042">
        <f t="shared" si="161"/>
        <v>1225000</v>
      </c>
      <c r="H2042" t="s">
        <v>661</v>
      </c>
      <c r="I2042" t="s">
        <v>4535</v>
      </c>
      <c r="J2042" s="2">
        <f t="shared" si="162"/>
        <v>1165000</v>
      </c>
      <c r="K2042" t="s">
        <v>2949</v>
      </c>
      <c r="L2042">
        <f t="shared" si="163"/>
        <v>0.20833333333333334</v>
      </c>
      <c r="M2042" s="5">
        <v>0.20833333333333334</v>
      </c>
      <c r="N2042" t="s">
        <v>18</v>
      </c>
      <c r="P2042" t="s">
        <v>866</v>
      </c>
      <c r="R2042" s="3">
        <f t="shared" si="159"/>
        <v>5</v>
      </c>
    </row>
    <row r="2043" spans="1:18" hidden="1" x14ac:dyDescent="0.25">
      <c r="A2043" t="s">
        <v>2620</v>
      </c>
      <c r="B2043" t="s">
        <v>3206</v>
      </c>
      <c r="C2043" t="s">
        <v>2624</v>
      </c>
      <c r="D2043" s="3">
        <f t="shared" si="160"/>
        <v>14.8</v>
      </c>
      <c r="E2043" t="s">
        <v>2621</v>
      </c>
      <c r="F2043" t="s">
        <v>13</v>
      </c>
      <c r="G2043">
        <f t="shared" si="161"/>
        <v>2725000</v>
      </c>
      <c r="H2043" t="s">
        <v>2295</v>
      </c>
      <c r="I2043" t="s">
        <v>2622</v>
      </c>
      <c r="J2043" s="2">
        <f t="shared" si="162"/>
        <v>2590000</v>
      </c>
      <c r="K2043" t="s">
        <v>2623</v>
      </c>
      <c r="L2043">
        <f t="shared" si="163"/>
        <v>0.17083333333333331</v>
      </c>
      <c r="M2043" s="5">
        <v>0.17083333333333331</v>
      </c>
      <c r="N2043" t="s">
        <v>18</v>
      </c>
      <c r="P2043" t="s">
        <v>815</v>
      </c>
      <c r="R2043" s="3">
        <f t="shared" si="159"/>
        <v>4.0999999999999996</v>
      </c>
    </row>
    <row r="2044" spans="1:18" hidden="1" x14ac:dyDescent="0.25">
      <c r="A2044" t="s">
        <v>2694</v>
      </c>
      <c r="B2044" t="s">
        <v>3206</v>
      </c>
      <c r="C2044" t="s">
        <v>2624</v>
      </c>
      <c r="D2044" s="3">
        <f t="shared" si="160"/>
        <v>10</v>
      </c>
      <c r="E2044" t="s">
        <v>1457</v>
      </c>
      <c r="F2044" t="s">
        <v>13</v>
      </c>
      <c r="G2044" t="str">
        <f t="shared" si="161"/>
        <v/>
      </c>
      <c r="H2044" t="s">
        <v>14</v>
      </c>
      <c r="I2044" t="s">
        <v>2695</v>
      </c>
      <c r="J2044" s="2">
        <f t="shared" si="162"/>
        <v>2325000</v>
      </c>
      <c r="K2044" t="s">
        <v>1352</v>
      </c>
      <c r="L2044">
        <f t="shared" si="163"/>
        <v>0.17222222222222225</v>
      </c>
      <c r="M2044" s="5">
        <v>0.17222222222222225</v>
      </c>
      <c r="N2044" t="s">
        <v>18</v>
      </c>
      <c r="P2044" t="s">
        <v>815</v>
      </c>
      <c r="R2044" s="3">
        <f t="shared" si="159"/>
        <v>4.1333333333333337</v>
      </c>
    </row>
    <row r="2045" spans="1:18" hidden="1" x14ac:dyDescent="0.25">
      <c r="A2045" t="s">
        <v>4420</v>
      </c>
      <c r="B2045" t="s">
        <v>4272</v>
      </c>
      <c r="C2045" t="s">
        <v>4285</v>
      </c>
      <c r="D2045" s="3">
        <f t="shared" si="160"/>
        <v>9</v>
      </c>
      <c r="E2045" t="s">
        <v>12</v>
      </c>
      <c r="F2045" t="s">
        <v>13</v>
      </c>
      <c r="G2045" t="str">
        <f t="shared" si="161"/>
        <v/>
      </c>
      <c r="H2045" t="s">
        <v>14</v>
      </c>
      <c r="I2045" t="s">
        <v>4421</v>
      </c>
      <c r="J2045" s="2">
        <f t="shared" si="162"/>
        <v>1875000</v>
      </c>
      <c r="K2045" t="s">
        <v>884</v>
      </c>
      <c r="L2045">
        <f t="shared" si="163"/>
        <v>0.17083333333333331</v>
      </c>
      <c r="M2045" s="5">
        <v>0.17083333333333331</v>
      </c>
      <c r="N2045" t="s">
        <v>43</v>
      </c>
      <c r="R2045" s="3">
        <f t="shared" si="159"/>
        <v>4.0999999999999996</v>
      </c>
    </row>
    <row r="2046" spans="1:18" hidden="1" x14ac:dyDescent="0.25">
      <c r="A2046" t="s">
        <v>4665</v>
      </c>
      <c r="B2046" t="s">
        <v>4272</v>
      </c>
      <c r="C2046" t="s">
        <v>4285</v>
      </c>
      <c r="D2046" s="3">
        <f t="shared" si="160"/>
        <v>7.5</v>
      </c>
      <c r="E2046" t="s">
        <v>178</v>
      </c>
      <c r="F2046" t="s">
        <v>13</v>
      </c>
      <c r="G2046" t="str">
        <f t="shared" si="161"/>
        <v/>
      </c>
      <c r="H2046" t="s">
        <v>14</v>
      </c>
      <c r="I2046" t="s">
        <v>4666</v>
      </c>
      <c r="J2046" s="2">
        <f t="shared" si="162"/>
        <v>1675000</v>
      </c>
      <c r="K2046" t="s">
        <v>1119</v>
      </c>
      <c r="L2046">
        <f t="shared" si="163"/>
        <v>0.20833333333333334</v>
      </c>
      <c r="M2046" s="5">
        <v>0.20833333333333334</v>
      </c>
      <c r="N2046" t="s">
        <v>43</v>
      </c>
      <c r="R2046" s="3">
        <f t="shared" si="159"/>
        <v>5</v>
      </c>
    </row>
    <row r="2047" spans="1:18" x14ac:dyDescent="0.25">
      <c r="A2047" t="s">
        <v>1693</v>
      </c>
      <c r="B2047" t="s">
        <v>1303</v>
      </c>
      <c r="C2047" t="s">
        <v>1322</v>
      </c>
      <c r="D2047" s="3">
        <f t="shared" si="160"/>
        <v>9</v>
      </c>
      <c r="E2047" t="s">
        <v>12</v>
      </c>
      <c r="F2047" t="s">
        <v>13</v>
      </c>
      <c r="G2047" t="str">
        <f t="shared" si="161"/>
        <v/>
      </c>
      <c r="H2047" t="s">
        <v>14</v>
      </c>
      <c r="I2047" t="s">
        <v>1694</v>
      </c>
      <c r="J2047" s="2">
        <f t="shared" si="162"/>
        <v>2500000</v>
      </c>
      <c r="K2047" t="s">
        <v>272</v>
      </c>
      <c r="L2047">
        <f t="shared" si="163"/>
        <v>0.17083333333333331</v>
      </c>
      <c r="M2047" s="5">
        <v>0.17083333333333331</v>
      </c>
      <c r="N2047" t="s">
        <v>43</v>
      </c>
      <c r="R2047" s="3">
        <f t="shared" si="159"/>
        <v>4.0999999999999996</v>
      </c>
    </row>
    <row r="2048" spans="1:18" x14ac:dyDescent="0.25">
      <c r="A2048" t="s">
        <v>3327</v>
      </c>
      <c r="B2048" t="s">
        <v>3233</v>
      </c>
      <c r="C2048" t="s">
        <v>3329</v>
      </c>
      <c r="D2048" s="3">
        <f t="shared" si="160"/>
        <v>17.5</v>
      </c>
      <c r="E2048" t="s">
        <v>1839</v>
      </c>
      <c r="F2048" t="s">
        <v>13</v>
      </c>
      <c r="G2048" t="str">
        <f t="shared" si="161"/>
        <v/>
      </c>
      <c r="H2048" t="s">
        <v>14</v>
      </c>
      <c r="I2048" t="s">
        <v>3328</v>
      </c>
      <c r="J2048" s="2">
        <f t="shared" si="162"/>
        <v>2500000</v>
      </c>
      <c r="K2048" t="s">
        <v>272</v>
      </c>
      <c r="L2048">
        <f t="shared" si="163"/>
        <v>0</v>
      </c>
      <c r="N2048" t="s">
        <v>43</v>
      </c>
      <c r="R2048" s="3">
        <f t="shared" si="159"/>
        <v>0</v>
      </c>
    </row>
    <row r="2049" spans="1:18" hidden="1" x14ac:dyDescent="0.25">
      <c r="A2049" t="s">
        <v>3562</v>
      </c>
      <c r="B2049" t="s">
        <v>3233</v>
      </c>
      <c r="C2049" t="s">
        <v>3248</v>
      </c>
      <c r="D2049" s="3">
        <f t="shared" si="160"/>
        <v>4</v>
      </c>
      <c r="E2049" t="s">
        <v>313</v>
      </c>
      <c r="F2049" t="s">
        <v>13</v>
      </c>
      <c r="G2049" t="str">
        <f t="shared" si="161"/>
        <v/>
      </c>
      <c r="H2049" t="s">
        <v>14</v>
      </c>
      <c r="I2049" t="s">
        <v>3563</v>
      </c>
      <c r="J2049" s="2">
        <f t="shared" si="162"/>
        <v>1225000</v>
      </c>
      <c r="K2049" t="s">
        <v>661</v>
      </c>
      <c r="L2049">
        <f t="shared" si="163"/>
        <v>0.20833333333333334</v>
      </c>
      <c r="M2049" s="5">
        <v>0.20833333333333334</v>
      </c>
      <c r="N2049" t="s">
        <v>43</v>
      </c>
      <c r="P2049" t="s">
        <v>2143</v>
      </c>
      <c r="R2049" s="3">
        <f t="shared" si="159"/>
        <v>5</v>
      </c>
    </row>
    <row r="2050" spans="1:18" hidden="1" x14ac:dyDescent="0.25">
      <c r="A2050" t="s">
        <v>1931</v>
      </c>
      <c r="B2050" t="s">
        <v>1303</v>
      </c>
      <c r="C2050" t="s">
        <v>1930</v>
      </c>
      <c r="D2050" s="3">
        <f t="shared" si="160"/>
        <v>9</v>
      </c>
      <c r="E2050" t="s">
        <v>12</v>
      </c>
      <c r="F2050" t="s">
        <v>13</v>
      </c>
      <c r="G2050" t="str">
        <f t="shared" si="161"/>
        <v/>
      </c>
      <c r="H2050" t="s">
        <v>14</v>
      </c>
      <c r="I2050" t="s">
        <v>1932</v>
      </c>
      <c r="J2050" s="2">
        <f t="shared" si="162"/>
        <v>1700000</v>
      </c>
      <c r="K2050" t="s">
        <v>23</v>
      </c>
      <c r="L2050">
        <f t="shared" si="163"/>
        <v>0.17291666666666669</v>
      </c>
      <c r="M2050" s="5">
        <v>0.17291666666666669</v>
      </c>
      <c r="N2050" t="s">
        <v>43</v>
      </c>
      <c r="P2050" t="s">
        <v>1402</v>
      </c>
      <c r="R2050" s="3">
        <f t="shared" ref="R2050:R2113" si="164">24*L2050</f>
        <v>4.1500000000000004</v>
      </c>
    </row>
    <row r="2051" spans="1:18" hidden="1" x14ac:dyDescent="0.25">
      <c r="A2051" t="s">
        <v>1931</v>
      </c>
      <c r="B2051" t="s">
        <v>1303</v>
      </c>
      <c r="C2051" t="s">
        <v>1930</v>
      </c>
      <c r="D2051" s="3">
        <f t="shared" si="160"/>
        <v>9</v>
      </c>
      <c r="E2051" t="s">
        <v>12</v>
      </c>
      <c r="F2051" t="s">
        <v>13</v>
      </c>
      <c r="G2051" t="str">
        <f t="shared" si="161"/>
        <v/>
      </c>
      <c r="H2051" t="s">
        <v>14</v>
      </c>
      <c r="I2051" t="s">
        <v>1932</v>
      </c>
      <c r="J2051" s="2">
        <f t="shared" si="162"/>
        <v>1700000</v>
      </c>
      <c r="K2051" t="s">
        <v>23</v>
      </c>
      <c r="L2051">
        <f t="shared" si="163"/>
        <v>0.17291666666666669</v>
      </c>
      <c r="M2051" s="5">
        <v>0.17291666666666669</v>
      </c>
      <c r="N2051" t="s">
        <v>43</v>
      </c>
      <c r="P2051" t="s">
        <v>669</v>
      </c>
      <c r="R2051" s="3">
        <f t="shared" si="164"/>
        <v>4.1500000000000004</v>
      </c>
    </row>
    <row r="2052" spans="1:18" x14ac:dyDescent="0.25">
      <c r="A2052" t="s">
        <v>2294</v>
      </c>
      <c r="B2052" t="s">
        <v>2596</v>
      </c>
      <c r="C2052" t="s">
        <v>2024</v>
      </c>
      <c r="D2052" s="3">
        <f t="shared" ref="D2052:D2115" si="165">VALUE(LEFT(E2052,SEARCH(" x ",E2052)-1))*VALUE(MID(E2052,SEARCH(" x ",E2052)+3,SEARCH(" meter",E2052)-SEARCH(" x ",E2052)-3))</f>
        <v>12</v>
      </c>
      <c r="E2052" t="s">
        <v>347</v>
      </c>
      <c r="F2052" t="s">
        <v>13</v>
      </c>
      <c r="G2052">
        <f t="shared" ref="G2052:G2115" si="166">IF(H2052="N/A","",VALUE(SUBSTITUTE(SUBSTITUTE(H2052,"Rp",""),".","")))</f>
        <v>2725000</v>
      </c>
      <c r="H2052" t="s">
        <v>2295</v>
      </c>
      <c r="I2052" t="s">
        <v>2296</v>
      </c>
      <c r="J2052" s="2">
        <f t="shared" ref="J2052:J2115" si="167">VALUE(SUBSTITUTE(SUBSTITUTE(K2052,"Rp",""),".",""))</f>
        <v>2509000</v>
      </c>
      <c r="K2052" t="s">
        <v>2297</v>
      </c>
      <c r="L2052">
        <f t="shared" ref="L2052:L2115" si="168">M2052:M4392</f>
        <v>0.17083333333333331</v>
      </c>
      <c r="M2052" s="5">
        <v>0.17083333333333331</v>
      </c>
      <c r="N2052" t="s">
        <v>43</v>
      </c>
      <c r="P2052" t="s">
        <v>1618</v>
      </c>
      <c r="R2052" s="3">
        <f t="shared" si="164"/>
        <v>4.0999999999999996</v>
      </c>
    </row>
    <row r="2053" spans="1:18" hidden="1" x14ac:dyDescent="0.25">
      <c r="A2053" t="s">
        <v>3035</v>
      </c>
      <c r="B2053" t="s">
        <v>3206</v>
      </c>
      <c r="C2053" t="s">
        <v>2874</v>
      </c>
      <c r="D2053" s="3">
        <f t="shared" si="165"/>
        <v>17.479999999999997</v>
      </c>
      <c r="E2053" t="s">
        <v>3036</v>
      </c>
      <c r="F2053" t="s">
        <v>13</v>
      </c>
      <c r="G2053">
        <f t="shared" si="166"/>
        <v>3225000</v>
      </c>
      <c r="H2053" t="s">
        <v>2507</v>
      </c>
      <c r="I2053" t="s">
        <v>3037</v>
      </c>
      <c r="J2053" s="2">
        <f t="shared" si="167"/>
        <v>3065000</v>
      </c>
      <c r="K2053" t="s">
        <v>3002</v>
      </c>
      <c r="L2053">
        <f t="shared" si="168"/>
        <v>0.17013888888888887</v>
      </c>
      <c r="M2053" s="5">
        <v>0.17013888888888887</v>
      </c>
      <c r="N2053" t="s">
        <v>37</v>
      </c>
      <c r="P2053" t="s">
        <v>673</v>
      </c>
      <c r="R2053" s="3">
        <f t="shared" si="164"/>
        <v>4.083333333333333</v>
      </c>
    </row>
    <row r="2054" spans="1:18" hidden="1" x14ac:dyDescent="0.25">
      <c r="A2054" t="s">
        <v>3011</v>
      </c>
      <c r="B2054" t="s">
        <v>3206</v>
      </c>
      <c r="C2054" t="s">
        <v>2874</v>
      </c>
      <c r="D2054" s="3">
        <f t="shared" si="165"/>
        <v>14.719999999999999</v>
      </c>
      <c r="E2054" t="s">
        <v>3012</v>
      </c>
      <c r="F2054" t="s">
        <v>13</v>
      </c>
      <c r="G2054">
        <f t="shared" si="166"/>
        <v>2925000</v>
      </c>
      <c r="H2054" t="s">
        <v>1968</v>
      </c>
      <c r="I2054" t="s">
        <v>3013</v>
      </c>
      <c r="J2054" s="2">
        <f t="shared" si="167"/>
        <v>2780000</v>
      </c>
      <c r="K2054" t="s">
        <v>1969</v>
      </c>
      <c r="L2054">
        <f t="shared" si="168"/>
        <v>0.17222222222222225</v>
      </c>
      <c r="M2054" s="5">
        <v>0.17222222222222225</v>
      </c>
      <c r="N2054" t="s">
        <v>37</v>
      </c>
      <c r="P2054" t="s">
        <v>1970</v>
      </c>
      <c r="R2054" s="3">
        <f t="shared" si="164"/>
        <v>4.1333333333333337</v>
      </c>
    </row>
    <row r="2055" spans="1:18" hidden="1" x14ac:dyDescent="0.25">
      <c r="A2055" t="s">
        <v>2871</v>
      </c>
      <c r="B2055" t="s">
        <v>3206</v>
      </c>
      <c r="C2055" t="s">
        <v>2874</v>
      </c>
      <c r="D2055" s="3">
        <f t="shared" si="165"/>
        <v>16.72</v>
      </c>
      <c r="E2055" t="s">
        <v>2872</v>
      </c>
      <c r="F2055" t="s">
        <v>13</v>
      </c>
      <c r="G2055">
        <f t="shared" si="166"/>
        <v>2625000</v>
      </c>
      <c r="H2055" t="s">
        <v>2257</v>
      </c>
      <c r="I2055" t="s">
        <v>2873</v>
      </c>
      <c r="J2055" s="2">
        <f t="shared" si="167"/>
        <v>2495000</v>
      </c>
      <c r="K2055" t="s">
        <v>2259</v>
      </c>
      <c r="L2055">
        <f t="shared" si="168"/>
        <v>0.17083333333333331</v>
      </c>
      <c r="M2055" s="5">
        <v>0.17083333333333331</v>
      </c>
      <c r="N2055" t="s">
        <v>37</v>
      </c>
      <c r="P2055" t="s">
        <v>686</v>
      </c>
      <c r="R2055" s="3">
        <f t="shared" si="164"/>
        <v>4.0999999999999996</v>
      </c>
    </row>
    <row r="2056" spans="1:18" hidden="1" x14ac:dyDescent="0.25">
      <c r="A2056" t="s">
        <v>2859</v>
      </c>
      <c r="B2056" t="s">
        <v>3206</v>
      </c>
      <c r="C2056" t="s">
        <v>2640</v>
      </c>
      <c r="D2056" s="3">
        <f t="shared" si="165"/>
        <v>12</v>
      </c>
      <c r="E2056" t="s">
        <v>33</v>
      </c>
      <c r="F2056" t="s">
        <v>13</v>
      </c>
      <c r="G2056" t="str">
        <f t="shared" si="166"/>
        <v/>
      </c>
      <c r="H2056" t="s">
        <v>14</v>
      </c>
      <c r="I2056" t="s">
        <v>2860</v>
      </c>
      <c r="J2056" s="2">
        <f t="shared" si="167"/>
        <v>2360000</v>
      </c>
      <c r="K2056" t="s">
        <v>2861</v>
      </c>
      <c r="L2056">
        <f t="shared" si="168"/>
        <v>0.17222222222222225</v>
      </c>
      <c r="M2056" s="5">
        <v>0.17222222222222225</v>
      </c>
      <c r="N2056" t="s">
        <v>18</v>
      </c>
      <c r="P2056" t="s">
        <v>1030</v>
      </c>
      <c r="R2056" s="3">
        <f t="shared" si="164"/>
        <v>4.1333333333333337</v>
      </c>
    </row>
    <row r="2057" spans="1:18" hidden="1" x14ac:dyDescent="0.25">
      <c r="A2057" t="s">
        <v>3223</v>
      </c>
      <c r="B2057" t="s">
        <v>3206</v>
      </c>
      <c r="C2057" t="s">
        <v>2640</v>
      </c>
      <c r="D2057" s="3">
        <f t="shared" si="165"/>
        <v>10</v>
      </c>
      <c r="E2057" t="s">
        <v>414</v>
      </c>
      <c r="F2057" t="s">
        <v>13</v>
      </c>
      <c r="G2057" t="str">
        <f t="shared" si="166"/>
        <v/>
      </c>
      <c r="H2057" t="s">
        <v>14</v>
      </c>
      <c r="I2057" t="s">
        <v>3224</v>
      </c>
      <c r="J2057" s="2">
        <f t="shared" si="167"/>
        <v>2025000</v>
      </c>
      <c r="K2057" t="s">
        <v>1065</v>
      </c>
      <c r="L2057">
        <f t="shared" si="168"/>
        <v>0.17222222222222225</v>
      </c>
      <c r="M2057" s="5">
        <v>0.17222222222222225</v>
      </c>
      <c r="N2057" t="s">
        <v>18</v>
      </c>
      <c r="P2057" t="s">
        <v>2095</v>
      </c>
      <c r="R2057" s="3">
        <f t="shared" si="164"/>
        <v>4.1333333333333337</v>
      </c>
    </row>
    <row r="2058" spans="1:18" hidden="1" x14ac:dyDescent="0.25">
      <c r="A2058" t="s">
        <v>2820</v>
      </c>
      <c r="B2058" t="s">
        <v>3206</v>
      </c>
      <c r="C2058" t="s">
        <v>2628</v>
      </c>
      <c r="D2058" s="3">
        <f t="shared" si="165"/>
        <v>15</v>
      </c>
      <c r="E2058" t="s">
        <v>504</v>
      </c>
      <c r="F2058" t="s">
        <v>13</v>
      </c>
      <c r="G2058" t="str">
        <f t="shared" si="166"/>
        <v/>
      </c>
      <c r="H2058" t="s">
        <v>14</v>
      </c>
      <c r="I2058" t="s">
        <v>2821</v>
      </c>
      <c r="J2058" s="2">
        <f t="shared" si="167"/>
        <v>2125000</v>
      </c>
      <c r="K2058" t="s">
        <v>936</v>
      </c>
      <c r="L2058">
        <f t="shared" si="168"/>
        <v>0.17013888888888887</v>
      </c>
      <c r="M2058" s="5">
        <v>0.17013888888888887</v>
      </c>
      <c r="N2058" t="s">
        <v>43</v>
      </c>
      <c r="R2058" s="3">
        <f t="shared" si="164"/>
        <v>4.083333333333333</v>
      </c>
    </row>
    <row r="2059" spans="1:18" hidden="1" x14ac:dyDescent="0.25">
      <c r="A2059" t="s">
        <v>1437</v>
      </c>
      <c r="B2059" t="s">
        <v>1303</v>
      </c>
      <c r="C2059" t="s">
        <v>1392</v>
      </c>
      <c r="D2059" s="3">
        <f t="shared" si="165"/>
        <v>10.240000000000002</v>
      </c>
      <c r="E2059" t="s">
        <v>941</v>
      </c>
      <c r="F2059" t="s">
        <v>34</v>
      </c>
      <c r="G2059" t="str">
        <f t="shared" si="166"/>
        <v/>
      </c>
      <c r="H2059" t="s">
        <v>14</v>
      </c>
      <c r="I2059" t="s">
        <v>1438</v>
      </c>
      <c r="J2059" s="2">
        <f t="shared" si="167"/>
        <v>2275000</v>
      </c>
      <c r="K2059" t="s">
        <v>1027</v>
      </c>
      <c r="L2059">
        <f t="shared" si="168"/>
        <v>0.20833333333333334</v>
      </c>
      <c r="M2059" s="5">
        <v>0.20833333333333334</v>
      </c>
      <c r="N2059" t="s">
        <v>37</v>
      </c>
      <c r="R2059" s="3">
        <f t="shared" si="164"/>
        <v>5</v>
      </c>
    </row>
    <row r="2060" spans="1:18" hidden="1" x14ac:dyDescent="0.25">
      <c r="A2060" t="s">
        <v>1390</v>
      </c>
      <c r="B2060" t="s">
        <v>1303</v>
      </c>
      <c r="C2060" t="s">
        <v>1392</v>
      </c>
      <c r="D2060" s="3">
        <f t="shared" si="165"/>
        <v>8.9599999999999991</v>
      </c>
      <c r="E2060" t="s">
        <v>785</v>
      </c>
      <c r="F2060" t="s">
        <v>34</v>
      </c>
      <c r="G2060" t="str">
        <f t="shared" si="166"/>
        <v/>
      </c>
      <c r="H2060" t="s">
        <v>14</v>
      </c>
      <c r="I2060" t="s">
        <v>1391</v>
      </c>
      <c r="J2060" s="2">
        <f t="shared" si="167"/>
        <v>2175000</v>
      </c>
      <c r="K2060" t="s">
        <v>1386</v>
      </c>
      <c r="L2060">
        <f t="shared" si="168"/>
        <v>0.17222222222222225</v>
      </c>
      <c r="M2060" s="5">
        <v>0.17222222222222225</v>
      </c>
      <c r="N2060" t="s">
        <v>37</v>
      </c>
      <c r="R2060" s="3">
        <f t="shared" si="164"/>
        <v>4.1333333333333337</v>
      </c>
    </row>
    <row r="2061" spans="1:18" hidden="1" x14ac:dyDescent="0.25">
      <c r="A2061" t="s">
        <v>1410</v>
      </c>
      <c r="B2061" t="s">
        <v>1303</v>
      </c>
      <c r="C2061" t="s">
        <v>1392</v>
      </c>
      <c r="D2061" s="3">
        <f t="shared" si="165"/>
        <v>4.32</v>
      </c>
      <c r="E2061" t="s">
        <v>1411</v>
      </c>
      <c r="F2061" t="s">
        <v>34</v>
      </c>
      <c r="G2061" t="str">
        <f t="shared" si="166"/>
        <v/>
      </c>
      <c r="H2061" t="s">
        <v>14</v>
      </c>
      <c r="I2061" t="s">
        <v>1412</v>
      </c>
      <c r="J2061" s="2">
        <f t="shared" si="167"/>
        <v>1400000</v>
      </c>
      <c r="K2061" t="s">
        <v>81</v>
      </c>
      <c r="L2061">
        <f t="shared" si="168"/>
        <v>0.17222222222222225</v>
      </c>
      <c r="M2061" s="5">
        <v>0.17222222222222225</v>
      </c>
      <c r="N2061" t="s">
        <v>37</v>
      </c>
      <c r="R2061" s="3">
        <f t="shared" si="164"/>
        <v>4.1333333333333337</v>
      </c>
    </row>
    <row r="2062" spans="1:18" hidden="1" x14ac:dyDescent="0.25">
      <c r="A2062" t="s">
        <v>2933</v>
      </c>
      <c r="B2062" t="s">
        <v>3206</v>
      </c>
      <c r="C2062" t="s">
        <v>2682</v>
      </c>
      <c r="D2062" s="3">
        <f t="shared" si="165"/>
        <v>5</v>
      </c>
      <c r="E2062" t="s">
        <v>819</v>
      </c>
      <c r="F2062" t="s">
        <v>13</v>
      </c>
      <c r="G2062" t="str">
        <f t="shared" si="166"/>
        <v/>
      </c>
      <c r="H2062" t="s">
        <v>14</v>
      </c>
      <c r="I2062" t="s">
        <v>2934</v>
      </c>
      <c r="J2062" s="2">
        <f t="shared" si="167"/>
        <v>2175000</v>
      </c>
      <c r="K2062" t="s">
        <v>1386</v>
      </c>
      <c r="L2062">
        <f t="shared" si="168"/>
        <v>0.17291666666666669</v>
      </c>
      <c r="M2062" s="5">
        <v>0.17291666666666669</v>
      </c>
      <c r="N2062" t="s">
        <v>43</v>
      </c>
      <c r="P2062" t="s">
        <v>1643</v>
      </c>
      <c r="R2062" s="3">
        <f t="shared" si="164"/>
        <v>4.1500000000000004</v>
      </c>
    </row>
    <row r="2063" spans="1:18" hidden="1" x14ac:dyDescent="0.25">
      <c r="A2063" t="s">
        <v>3138</v>
      </c>
      <c r="B2063" t="s">
        <v>3206</v>
      </c>
      <c r="C2063" t="s">
        <v>2779</v>
      </c>
      <c r="D2063" s="3">
        <f t="shared" si="165"/>
        <v>10.26</v>
      </c>
      <c r="E2063" t="s">
        <v>3139</v>
      </c>
      <c r="F2063" t="s">
        <v>13</v>
      </c>
      <c r="G2063" t="str">
        <f t="shared" si="166"/>
        <v/>
      </c>
      <c r="H2063" t="s">
        <v>14</v>
      </c>
      <c r="I2063" t="s">
        <v>3140</v>
      </c>
      <c r="J2063" s="2">
        <f t="shared" si="167"/>
        <v>2525000</v>
      </c>
      <c r="K2063" t="s">
        <v>131</v>
      </c>
      <c r="L2063">
        <f t="shared" si="168"/>
        <v>0.17222222222222225</v>
      </c>
      <c r="M2063" s="5">
        <v>0.17222222222222225</v>
      </c>
      <c r="N2063" t="s">
        <v>18</v>
      </c>
      <c r="P2063" t="s">
        <v>665</v>
      </c>
      <c r="R2063" s="3">
        <f t="shared" si="164"/>
        <v>4.1333333333333337</v>
      </c>
    </row>
    <row r="2064" spans="1:18" hidden="1" x14ac:dyDescent="0.25">
      <c r="A2064" t="s">
        <v>1971</v>
      </c>
      <c r="B2064" t="s">
        <v>1303</v>
      </c>
      <c r="C2064" t="s">
        <v>1392</v>
      </c>
      <c r="D2064" s="3">
        <f t="shared" si="165"/>
        <v>6</v>
      </c>
      <c r="E2064" t="s">
        <v>64</v>
      </c>
      <c r="F2064" t="s">
        <v>13</v>
      </c>
      <c r="G2064" t="str">
        <f t="shared" si="166"/>
        <v/>
      </c>
      <c r="H2064" t="s">
        <v>14</v>
      </c>
      <c r="I2064" t="s">
        <v>1972</v>
      </c>
      <c r="J2064" s="2">
        <f t="shared" si="167"/>
        <v>950000</v>
      </c>
      <c r="K2064" t="s">
        <v>355</v>
      </c>
      <c r="L2064">
        <f t="shared" si="168"/>
        <v>0.17013888888888887</v>
      </c>
      <c r="M2064" s="5">
        <v>0.17013888888888887</v>
      </c>
      <c r="N2064" t="s">
        <v>18</v>
      </c>
      <c r="R2064" s="3">
        <f t="shared" si="164"/>
        <v>4.083333333333333</v>
      </c>
    </row>
    <row r="2065" spans="1:18" hidden="1" x14ac:dyDescent="0.25">
      <c r="A2065" t="s">
        <v>5545</v>
      </c>
      <c r="B2065" t="s">
        <v>5848</v>
      </c>
      <c r="C2065" t="s">
        <v>1163</v>
      </c>
      <c r="D2065" s="3">
        <f t="shared" si="165"/>
        <v>6.72</v>
      </c>
      <c r="E2065" t="s">
        <v>1561</v>
      </c>
      <c r="F2065" t="s">
        <v>34</v>
      </c>
      <c r="G2065" t="str">
        <f t="shared" si="166"/>
        <v/>
      </c>
      <c r="H2065" t="s">
        <v>14</v>
      </c>
      <c r="I2065" t="s">
        <v>5546</v>
      </c>
      <c r="J2065" s="2">
        <f t="shared" si="167"/>
        <v>1500000</v>
      </c>
      <c r="K2065" t="s">
        <v>66</v>
      </c>
      <c r="L2065">
        <f t="shared" si="168"/>
        <v>0.17291666666666669</v>
      </c>
      <c r="M2065" s="5">
        <v>0.17291666666666669</v>
      </c>
      <c r="N2065" t="s">
        <v>18</v>
      </c>
      <c r="P2065" t="s">
        <v>673</v>
      </c>
      <c r="R2065" s="3">
        <f t="shared" si="164"/>
        <v>4.1500000000000004</v>
      </c>
    </row>
    <row r="2066" spans="1:18" hidden="1" x14ac:dyDescent="0.25">
      <c r="A2066" t="s">
        <v>2033</v>
      </c>
      <c r="B2066" t="s">
        <v>2596</v>
      </c>
      <c r="C2066" t="s">
        <v>2036</v>
      </c>
      <c r="D2066" s="3">
        <f t="shared" si="165"/>
        <v>9.4500000000000011</v>
      </c>
      <c r="E2066" t="s">
        <v>2034</v>
      </c>
      <c r="F2066" t="s">
        <v>13</v>
      </c>
      <c r="G2066">
        <f t="shared" si="166"/>
        <v>3025000</v>
      </c>
      <c r="H2066" t="s">
        <v>1793</v>
      </c>
      <c r="I2066" t="s">
        <v>2035</v>
      </c>
      <c r="J2066" s="2">
        <f t="shared" si="167"/>
        <v>2875000</v>
      </c>
      <c r="K2066" t="s">
        <v>1414</v>
      </c>
      <c r="L2066">
        <f t="shared" si="168"/>
        <v>0.1673611111111111</v>
      </c>
      <c r="M2066" s="5">
        <v>0.1673611111111111</v>
      </c>
      <c r="N2066" t="s">
        <v>43</v>
      </c>
      <c r="P2066" t="s">
        <v>681</v>
      </c>
      <c r="R2066" s="3">
        <f t="shared" si="164"/>
        <v>4.0166666666666666</v>
      </c>
    </row>
    <row r="2067" spans="1:18" hidden="1" x14ac:dyDescent="0.25">
      <c r="A2067" t="s">
        <v>2194</v>
      </c>
      <c r="B2067" t="s">
        <v>2596</v>
      </c>
      <c r="C2067" t="s">
        <v>2036</v>
      </c>
      <c r="D2067" s="3">
        <f t="shared" si="165"/>
        <v>9.4500000000000011</v>
      </c>
      <c r="E2067" t="s">
        <v>2034</v>
      </c>
      <c r="F2067" t="s">
        <v>13</v>
      </c>
      <c r="G2067">
        <f t="shared" si="166"/>
        <v>2525000</v>
      </c>
      <c r="H2067" t="s">
        <v>131</v>
      </c>
      <c r="I2067" t="s">
        <v>2195</v>
      </c>
      <c r="J2067" s="2">
        <f t="shared" si="167"/>
        <v>2400000</v>
      </c>
      <c r="K2067" t="s">
        <v>133</v>
      </c>
      <c r="L2067">
        <f t="shared" si="168"/>
        <v>0.17013888888888887</v>
      </c>
      <c r="M2067" s="5">
        <v>0.17013888888888887</v>
      </c>
      <c r="N2067" t="s">
        <v>43</v>
      </c>
      <c r="P2067" t="s">
        <v>134</v>
      </c>
      <c r="R2067" s="3">
        <f t="shared" si="164"/>
        <v>4.083333333333333</v>
      </c>
    </row>
    <row r="2068" spans="1:18" hidden="1" x14ac:dyDescent="0.25">
      <c r="A2068" t="s">
        <v>2303</v>
      </c>
      <c r="B2068" t="s">
        <v>2596</v>
      </c>
      <c r="C2068" t="s">
        <v>2036</v>
      </c>
      <c r="D2068" s="3">
        <f t="shared" si="165"/>
        <v>9</v>
      </c>
      <c r="E2068" t="s">
        <v>12</v>
      </c>
      <c r="F2068" t="s">
        <v>13</v>
      </c>
      <c r="G2068">
        <f t="shared" si="166"/>
        <v>2025000</v>
      </c>
      <c r="H2068" t="s">
        <v>1065</v>
      </c>
      <c r="I2068" t="s">
        <v>2304</v>
      </c>
      <c r="J2068" s="2">
        <f t="shared" si="167"/>
        <v>1925000</v>
      </c>
      <c r="K2068" t="s">
        <v>552</v>
      </c>
      <c r="L2068">
        <f t="shared" si="168"/>
        <v>0.17083333333333331</v>
      </c>
      <c r="M2068" s="5">
        <v>0.17083333333333331</v>
      </c>
      <c r="N2068" t="s">
        <v>43</v>
      </c>
      <c r="P2068" t="s">
        <v>669</v>
      </c>
      <c r="R2068" s="3">
        <f t="shared" si="164"/>
        <v>4.0999999999999996</v>
      </c>
    </row>
    <row r="2069" spans="1:18" x14ac:dyDescent="0.25">
      <c r="A2069" t="s">
        <v>1574</v>
      </c>
      <c r="B2069" t="s">
        <v>1303</v>
      </c>
      <c r="C2069" t="s">
        <v>1312</v>
      </c>
      <c r="D2069" s="3">
        <f t="shared" si="165"/>
        <v>9</v>
      </c>
      <c r="E2069" t="s">
        <v>12</v>
      </c>
      <c r="F2069" t="s">
        <v>13</v>
      </c>
      <c r="G2069" t="str">
        <f t="shared" si="166"/>
        <v/>
      </c>
      <c r="H2069" t="s">
        <v>14</v>
      </c>
      <c r="I2069" t="s">
        <v>1575</v>
      </c>
      <c r="J2069" s="2">
        <f t="shared" si="167"/>
        <v>2600000</v>
      </c>
      <c r="K2069" t="s">
        <v>1336</v>
      </c>
      <c r="L2069">
        <f t="shared" si="168"/>
        <v>0.17083333333333331</v>
      </c>
      <c r="M2069" s="5">
        <v>0.17083333333333331</v>
      </c>
      <c r="N2069" t="s">
        <v>43</v>
      </c>
      <c r="R2069" s="3">
        <f t="shared" si="164"/>
        <v>4.0999999999999996</v>
      </c>
    </row>
    <row r="2070" spans="1:18" hidden="1" x14ac:dyDescent="0.25">
      <c r="A2070" t="s">
        <v>3814</v>
      </c>
      <c r="B2070" t="s">
        <v>3746</v>
      </c>
      <c r="C2070" t="s">
        <v>3753</v>
      </c>
      <c r="D2070" s="3">
        <f t="shared" si="165"/>
        <v>5.44</v>
      </c>
      <c r="E2070" t="s">
        <v>3815</v>
      </c>
      <c r="F2070" t="s">
        <v>13</v>
      </c>
      <c r="G2070">
        <f t="shared" si="166"/>
        <v>1375000</v>
      </c>
      <c r="H2070" t="s">
        <v>812</v>
      </c>
      <c r="I2070" t="s">
        <v>3816</v>
      </c>
      <c r="J2070" s="2">
        <f t="shared" si="167"/>
        <v>1267000</v>
      </c>
      <c r="K2070" t="s">
        <v>3568</v>
      </c>
      <c r="L2070">
        <f t="shared" si="168"/>
        <v>0.17013888888888887</v>
      </c>
      <c r="M2070" s="5">
        <v>0.17013888888888887</v>
      </c>
      <c r="N2070" t="s">
        <v>43</v>
      </c>
      <c r="P2070" t="s">
        <v>2143</v>
      </c>
      <c r="R2070" s="3">
        <f t="shared" si="164"/>
        <v>4.083333333333333</v>
      </c>
    </row>
    <row r="2071" spans="1:18" hidden="1" x14ac:dyDescent="0.25">
      <c r="A2071" t="s">
        <v>4489</v>
      </c>
      <c r="B2071" t="s">
        <v>4272</v>
      </c>
      <c r="C2071" t="s">
        <v>4271</v>
      </c>
      <c r="D2071" s="3">
        <f t="shared" si="165"/>
        <v>6.4399999999999995</v>
      </c>
      <c r="E2071" t="s">
        <v>3022</v>
      </c>
      <c r="F2071" t="s">
        <v>13</v>
      </c>
      <c r="G2071">
        <f t="shared" si="166"/>
        <v>1425000</v>
      </c>
      <c r="H2071" t="s">
        <v>909</v>
      </c>
      <c r="I2071" t="s">
        <v>4490</v>
      </c>
      <c r="J2071" s="2">
        <f t="shared" si="167"/>
        <v>1285000</v>
      </c>
      <c r="K2071" t="s">
        <v>1612</v>
      </c>
      <c r="L2071">
        <f t="shared" si="168"/>
        <v>0.17291666666666669</v>
      </c>
      <c r="M2071" s="5">
        <v>0.17291666666666669</v>
      </c>
      <c r="N2071" t="s">
        <v>37</v>
      </c>
      <c r="P2071" t="s">
        <v>1607</v>
      </c>
      <c r="R2071" s="3">
        <f t="shared" si="164"/>
        <v>4.1500000000000004</v>
      </c>
    </row>
    <row r="2072" spans="1:18" hidden="1" x14ac:dyDescent="0.25">
      <c r="A2072" t="s">
        <v>4379</v>
      </c>
      <c r="B2072" t="s">
        <v>4272</v>
      </c>
      <c r="C2072" t="s">
        <v>4271</v>
      </c>
      <c r="D2072" s="3">
        <f t="shared" si="165"/>
        <v>8.6999999999999993</v>
      </c>
      <c r="E2072" t="s">
        <v>4307</v>
      </c>
      <c r="F2072" t="s">
        <v>13</v>
      </c>
      <c r="G2072">
        <f t="shared" si="166"/>
        <v>1525000</v>
      </c>
      <c r="H2072" t="s">
        <v>27</v>
      </c>
      <c r="I2072" t="s">
        <v>4380</v>
      </c>
      <c r="J2072" s="2">
        <f t="shared" si="167"/>
        <v>1405000</v>
      </c>
      <c r="K2072" t="s">
        <v>2039</v>
      </c>
      <c r="L2072">
        <f t="shared" si="168"/>
        <v>0.17083333333333331</v>
      </c>
      <c r="M2072" s="5">
        <v>0.17083333333333331</v>
      </c>
      <c r="N2072" t="s">
        <v>37</v>
      </c>
      <c r="P2072" t="s">
        <v>665</v>
      </c>
      <c r="R2072" s="3">
        <f t="shared" si="164"/>
        <v>4.0999999999999996</v>
      </c>
    </row>
    <row r="2073" spans="1:18" hidden="1" x14ac:dyDescent="0.25">
      <c r="A2073" t="s">
        <v>4383</v>
      </c>
      <c r="B2073" t="s">
        <v>4272</v>
      </c>
      <c r="C2073" t="s">
        <v>4281</v>
      </c>
      <c r="D2073" s="3">
        <f t="shared" si="165"/>
        <v>6.4399999999999995</v>
      </c>
      <c r="E2073" t="s">
        <v>3022</v>
      </c>
      <c r="F2073" t="s">
        <v>13</v>
      </c>
      <c r="G2073">
        <f t="shared" si="166"/>
        <v>1125000</v>
      </c>
      <c r="H2073" t="s">
        <v>724</v>
      </c>
      <c r="I2073" t="s">
        <v>4384</v>
      </c>
      <c r="J2073" s="2">
        <f t="shared" si="167"/>
        <v>1070000</v>
      </c>
      <c r="K2073" t="s">
        <v>1651</v>
      </c>
      <c r="L2073">
        <f t="shared" si="168"/>
        <v>0.17222222222222225</v>
      </c>
      <c r="M2073" s="5">
        <v>0.17222222222222225</v>
      </c>
      <c r="N2073" t="s">
        <v>37</v>
      </c>
      <c r="P2073" t="s">
        <v>1652</v>
      </c>
      <c r="R2073" s="3">
        <f t="shared" si="164"/>
        <v>4.1333333333333337</v>
      </c>
    </row>
    <row r="2074" spans="1:18" hidden="1" x14ac:dyDescent="0.25">
      <c r="A2074" t="s">
        <v>4641</v>
      </c>
      <c r="B2074" t="s">
        <v>4272</v>
      </c>
      <c r="C2074" t="s">
        <v>4281</v>
      </c>
      <c r="D2074" s="3">
        <f t="shared" si="165"/>
        <v>9.1199999999999992</v>
      </c>
      <c r="E2074" t="s">
        <v>4642</v>
      </c>
      <c r="F2074" t="s">
        <v>13</v>
      </c>
      <c r="G2074">
        <f t="shared" si="166"/>
        <v>1225000</v>
      </c>
      <c r="H2074" t="s">
        <v>661</v>
      </c>
      <c r="I2074" t="s">
        <v>4643</v>
      </c>
      <c r="J2074" s="2">
        <f t="shared" si="167"/>
        <v>1165000</v>
      </c>
      <c r="K2074" t="s">
        <v>2949</v>
      </c>
      <c r="L2074">
        <f t="shared" si="168"/>
        <v>0.17291666666666669</v>
      </c>
      <c r="M2074" s="5">
        <v>0.17291666666666669</v>
      </c>
      <c r="N2074" t="s">
        <v>37</v>
      </c>
      <c r="P2074" t="s">
        <v>866</v>
      </c>
      <c r="R2074" s="3">
        <f t="shared" si="164"/>
        <v>4.1500000000000004</v>
      </c>
    </row>
    <row r="2075" spans="1:18" hidden="1" x14ac:dyDescent="0.25">
      <c r="A2075" t="s">
        <v>4483</v>
      </c>
      <c r="B2075" t="s">
        <v>4272</v>
      </c>
      <c r="C2075" t="s">
        <v>4271</v>
      </c>
      <c r="D2075" s="3">
        <f t="shared" si="165"/>
        <v>13.86</v>
      </c>
      <c r="E2075" t="s">
        <v>4484</v>
      </c>
      <c r="F2075" t="s">
        <v>13</v>
      </c>
      <c r="G2075" t="str">
        <f t="shared" si="166"/>
        <v/>
      </c>
      <c r="H2075" t="s">
        <v>14</v>
      </c>
      <c r="I2075" t="s">
        <v>4485</v>
      </c>
      <c r="J2075" s="2">
        <f t="shared" si="167"/>
        <v>1585000</v>
      </c>
      <c r="K2075" t="s">
        <v>4486</v>
      </c>
      <c r="L2075">
        <f t="shared" si="168"/>
        <v>0.17013888888888887</v>
      </c>
      <c r="M2075" s="5">
        <v>0.17013888888888887</v>
      </c>
      <c r="N2075" t="s">
        <v>43</v>
      </c>
      <c r="R2075" s="3">
        <f t="shared" si="164"/>
        <v>4.083333333333333</v>
      </c>
    </row>
    <row r="2076" spans="1:18" hidden="1" x14ac:dyDescent="0.25">
      <c r="A2076" t="s">
        <v>4273</v>
      </c>
      <c r="B2076" t="s">
        <v>4272</v>
      </c>
      <c r="C2076" t="s">
        <v>4276</v>
      </c>
      <c r="D2076" s="3">
        <f t="shared" si="165"/>
        <v>11.2</v>
      </c>
      <c r="E2076" t="s">
        <v>1543</v>
      </c>
      <c r="F2076" t="s">
        <v>13</v>
      </c>
      <c r="G2076" t="str">
        <f t="shared" si="166"/>
        <v/>
      </c>
      <c r="H2076" t="s">
        <v>14</v>
      </c>
      <c r="I2076" t="s">
        <v>4274</v>
      </c>
      <c r="J2076" s="2">
        <f t="shared" si="167"/>
        <v>1595000</v>
      </c>
      <c r="K2076" t="s">
        <v>4275</v>
      </c>
      <c r="L2076">
        <f t="shared" si="168"/>
        <v>0.17291666666666669</v>
      </c>
      <c r="M2076" s="5">
        <v>0.17291666666666669</v>
      </c>
      <c r="N2076" t="s">
        <v>43</v>
      </c>
      <c r="R2076" s="3">
        <f t="shared" si="164"/>
        <v>4.1500000000000004</v>
      </c>
    </row>
    <row r="2077" spans="1:18" hidden="1" x14ac:dyDescent="0.25">
      <c r="A2077" t="s">
        <v>4453</v>
      </c>
      <c r="B2077" t="s">
        <v>4272</v>
      </c>
      <c r="C2077" t="s">
        <v>4281</v>
      </c>
      <c r="D2077" s="3">
        <f t="shared" si="165"/>
        <v>12</v>
      </c>
      <c r="E2077" t="s">
        <v>347</v>
      </c>
      <c r="F2077" t="s">
        <v>13</v>
      </c>
      <c r="G2077" t="str">
        <f t="shared" si="166"/>
        <v/>
      </c>
      <c r="H2077" t="s">
        <v>14</v>
      </c>
      <c r="I2077" t="s">
        <v>4454</v>
      </c>
      <c r="J2077" s="2">
        <f t="shared" si="167"/>
        <v>1325000</v>
      </c>
      <c r="K2077" t="s">
        <v>683</v>
      </c>
      <c r="L2077">
        <f t="shared" si="168"/>
        <v>0.17083333333333331</v>
      </c>
      <c r="M2077" s="5">
        <v>0.17083333333333331</v>
      </c>
      <c r="N2077" t="s">
        <v>43</v>
      </c>
      <c r="R2077" s="3">
        <f t="shared" si="164"/>
        <v>4.0999999999999996</v>
      </c>
    </row>
    <row r="2078" spans="1:18" hidden="1" x14ac:dyDescent="0.25">
      <c r="A2078" t="s">
        <v>4370</v>
      </c>
      <c r="B2078" t="s">
        <v>4272</v>
      </c>
      <c r="C2078" t="s">
        <v>4281</v>
      </c>
      <c r="D2078" s="3">
        <f t="shared" si="165"/>
        <v>12</v>
      </c>
      <c r="E2078" t="s">
        <v>347</v>
      </c>
      <c r="F2078" t="s">
        <v>13</v>
      </c>
      <c r="G2078" t="str">
        <f t="shared" si="166"/>
        <v/>
      </c>
      <c r="H2078" t="s">
        <v>14</v>
      </c>
      <c r="I2078" t="s">
        <v>4371</v>
      </c>
      <c r="J2078" s="2">
        <f t="shared" si="167"/>
        <v>925000</v>
      </c>
      <c r="K2078" t="s">
        <v>649</v>
      </c>
      <c r="L2078">
        <f t="shared" si="168"/>
        <v>0.17222222222222225</v>
      </c>
      <c r="M2078" s="5">
        <v>0.17222222222222225</v>
      </c>
      <c r="N2078" t="s">
        <v>43</v>
      </c>
      <c r="R2078" s="3">
        <f t="shared" si="164"/>
        <v>4.1333333333333337</v>
      </c>
    </row>
    <row r="2079" spans="1:18" x14ac:dyDescent="0.25">
      <c r="A2079" t="s">
        <v>2292</v>
      </c>
      <c r="B2079" t="s">
        <v>2596</v>
      </c>
      <c r="C2079" t="s">
        <v>2049</v>
      </c>
      <c r="D2079" s="3">
        <f t="shared" si="165"/>
        <v>9</v>
      </c>
      <c r="E2079" t="s">
        <v>12</v>
      </c>
      <c r="F2079" t="s">
        <v>13</v>
      </c>
      <c r="G2079" t="str">
        <f t="shared" si="166"/>
        <v/>
      </c>
      <c r="H2079" t="s">
        <v>14</v>
      </c>
      <c r="I2079" t="s">
        <v>2293</v>
      </c>
      <c r="J2079" s="2">
        <f t="shared" si="167"/>
        <v>2600000</v>
      </c>
      <c r="K2079" t="s">
        <v>1336</v>
      </c>
      <c r="L2079">
        <f t="shared" si="168"/>
        <v>0.16944444444444443</v>
      </c>
      <c r="M2079" s="5">
        <v>0.16944444444444443</v>
      </c>
      <c r="N2079" t="s">
        <v>43</v>
      </c>
      <c r="R2079" s="3">
        <f t="shared" si="164"/>
        <v>4.0666666666666664</v>
      </c>
    </row>
    <row r="2080" spans="1:18" hidden="1" x14ac:dyDescent="0.25">
      <c r="A2080" t="s">
        <v>5457</v>
      </c>
      <c r="B2080" t="s">
        <v>5848</v>
      </c>
      <c r="C2080" t="s">
        <v>5360</v>
      </c>
      <c r="D2080" s="3">
        <f t="shared" si="165"/>
        <v>7.5</v>
      </c>
      <c r="E2080" t="s">
        <v>178</v>
      </c>
      <c r="F2080" t="s">
        <v>13</v>
      </c>
      <c r="G2080">
        <f t="shared" si="166"/>
        <v>1225000</v>
      </c>
      <c r="H2080" t="s">
        <v>661</v>
      </c>
      <c r="I2080" t="s">
        <v>5458</v>
      </c>
      <c r="J2080" s="2">
        <f t="shared" si="167"/>
        <v>1165000</v>
      </c>
      <c r="K2080" t="s">
        <v>2949</v>
      </c>
      <c r="L2080">
        <f t="shared" si="168"/>
        <v>0.17291666666666669</v>
      </c>
      <c r="M2080" s="5">
        <v>0.17291666666666669</v>
      </c>
      <c r="N2080" t="s">
        <v>18</v>
      </c>
      <c r="P2080" t="s">
        <v>866</v>
      </c>
      <c r="R2080" s="3">
        <f t="shared" si="164"/>
        <v>4.1500000000000004</v>
      </c>
    </row>
    <row r="2081" spans="1:18" hidden="1" x14ac:dyDescent="0.25">
      <c r="A2081" t="s">
        <v>5442</v>
      </c>
      <c r="B2081" t="s">
        <v>5848</v>
      </c>
      <c r="C2081" t="s">
        <v>5360</v>
      </c>
      <c r="D2081" s="3">
        <f t="shared" si="165"/>
        <v>9</v>
      </c>
      <c r="E2081" t="s">
        <v>12</v>
      </c>
      <c r="F2081" t="s">
        <v>13</v>
      </c>
      <c r="G2081">
        <f t="shared" si="166"/>
        <v>1325000</v>
      </c>
      <c r="H2081" t="s">
        <v>683</v>
      </c>
      <c r="I2081" t="s">
        <v>5443</v>
      </c>
      <c r="J2081" s="2">
        <f t="shared" si="167"/>
        <v>1260000</v>
      </c>
      <c r="K2081" t="s">
        <v>2165</v>
      </c>
      <c r="L2081">
        <f t="shared" si="168"/>
        <v>0.17222222222222225</v>
      </c>
      <c r="M2081" s="5">
        <v>0.17222222222222225</v>
      </c>
      <c r="N2081" t="s">
        <v>18</v>
      </c>
      <c r="P2081" t="s">
        <v>2166</v>
      </c>
      <c r="R2081" s="3">
        <f t="shared" si="164"/>
        <v>4.1333333333333337</v>
      </c>
    </row>
    <row r="2082" spans="1:18" hidden="1" x14ac:dyDescent="0.25">
      <c r="A2082" t="s">
        <v>3360</v>
      </c>
      <c r="B2082" t="s">
        <v>3233</v>
      </c>
      <c r="C2082" t="s">
        <v>3232</v>
      </c>
      <c r="D2082" s="3">
        <f t="shared" si="165"/>
        <v>8.75</v>
      </c>
      <c r="E2082" t="s">
        <v>775</v>
      </c>
      <c r="F2082" t="s">
        <v>13</v>
      </c>
      <c r="G2082" t="str">
        <f t="shared" si="166"/>
        <v/>
      </c>
      <c r="H2082" t="s">
        <v>14</v>
      </c>
      <c r="I2082" t="s">
        <v>3361</v>
      </c>
      <c r="J2082" s="2">
        <f t="shared" si="167"/>
        <v>1645000</v>
      </c>
      <c r="K2082" t="s">
        <v>1124</v>
      </c>
      <c r="L2082">
        <f t="shared" si="168"/>
        <v>0.17013888888888887</v>
      </c>
      <c r="M2082" s="5">
        <v>0.17013888888888887</v>
      </c>
      <c r="N2082" t="s">
        <v>43</v>
      </c>
      <c r="R2082" s="3">
        <f t="shared" si="164"/>
        <v>4.083333333333333</v>
      </c>
    </row>
    <row r="2083" spans="1:18" hidden="1" x14ac:dyDescent="0.25">
      <c r="A2083" t="s">
        <v>3053</v>
      </c>
      <c r="B2083" t="s">
        <v>3206</v>
      </c>
      <c r="C2083" t="s">
        <v>2640</v>
      </c>
      <c r="D2083" s="3">
        <f t="shared" si="165"/>
        <v>18</v>
      </c>
      <c r="E2083" t="s">
        <v>3054</v>
      </c>
      <c r="F2083" t="s">
        <v>13</v>
      </c>
      <c r="G2083">
        <f t="shared" si="166"/>
        <v>2925000</v>
      </c>
      <c r="H2083" t="s">
        <v>1968</v>
      </c>
      <c r="I2083" t="s">
        <v>3055</v>
      </c>
      <c r="J2083" s="2">
        <f t="shared" si="167"/>
        <v>2635000</v>
      </c>
      <c r="K2083" t="s">
        <v>3056</v>
      </c>
      <c r="L2083">
        <f t="shared" si="168"/>
        <v>0.17291666666666669</v>
      </c>
      <c r="M2083" s="5">
        <v>0.17291666666666669</v>
      </c>
      <c r="N2083" t="s">
        <v>43</v>
      </c>
      <c r="P2083" t="s">
        <v>3057</v>
      </c>
      <c r="R2083" s="3">
        <f t="shared" si="164"/>
        <v>4.1500000000000004</v>
      </c>
    </row>
    <row r="2084" spans="1:18" hidden="1" x14ac:dyDescent="0.25">
      <c r="A2084" t="s">
        <v>2787</v>
      </c>
      <c r="B2084" t="s">
        <v>3206</v>
      </c>
      <c r="C2084" t="s">
        <v>2640</v>
      </c>
      <c r="D2084" s="3">
        <f t="shared" si="165"/>
        <v>15.75</v>
      </c>
      <c r="E2084" t="s">
        <v>1099</v>
      </c>
      <c r="F2084" t="s">
        <v>13</v>
      </c>
      <c r="G2084">
        <f t="shared" si="166"/>
        <v>2725000</v>
      </c>
      <c r="H2084" t="s">
        <v>2295</v>
      </c>
      <c r="I2084" t="s">
        <v>2788</v>
      </c>
      <c r="J2084" s="2">
        <f t="shared" si="167"/>
        <v>2455000</v>
      </c>
      <c r="K2084" t="s">
        <v>2712</v>
      </c>
      <c r="L2084">
        <f t="shared" si="168"/>
        <v>0.17291666666666669</v>
      </c>
      <c r="M2084" s="5">
        <v>0.17291666666666669</v>
      </c>
      <c r="N2084" t="s">
        <v>43</v>
      </c>
      <c r="P2084" t="s">
        <v>968</v>
      </c>
      <c r="R2084" s="3">
        <f t="shared" si="164"/>
        <v>4.1500000000000004</v>
      </c>
    </row>
    <row r="2085" spans="1:18" hidden="1" x14ac:dyDescent="0.25">
      <c r="A2085" t="s">
        <v>3103</v>
      </c>
      <c r="B2085" t="s">
        <v>3206</v>
      </c>
      <c r="C2085" t="s">
        <v>2640</v>
      </c>
      <c r="D2085" s="3">
        <f t="shared" si="165"/>
        <v>13.5</v>
      </c>
      <c r="E2085" t="s">
        <v>667</v>
      </c>
      <c r="F2085" t="s">
        <v>13</v>
      </c>
      <c r="G2085">
        <f t="shared" si="166"/>
        <v>2325000</v>
      </c>
      <c r="H2085" t="s">
        <v>1352</v>
      </c>
      <c r="I2085" t="s">
        <v>3104</v>
      </c>
      <c r="J2085" s="2">
        <f t="shared" si="167"/>
        <v>2095000</v>
      </c>
      <c r="K2085" t="s">
        <v>2968</v>
      </c>
      <c r="L2085">
        <f t="shared" si="168"/>
        <v>0.16874999999999998</v>
      </c>
      <c r="M2085" s="5">
        <v>0.16874999999999998</v>
      </c>
      <c r="N2085" t="s">
        <v>43</v>
      </c>
      <c r="P2085" t="s">
        <v>823</v>
      </c>
      <c r="R2085" s="3">
        <f t="shared" si="164"/>
        <v>4.05</v>
      </c>
    </row>
    <row r="2086" spans="1:18" hidden="1" x14ac:dyDescent="0.25">
      <c r="A2086" t="s">
        <v>2911</v>
      </c>
      <c r="B2086" t="s">
        <v>3206</v>
      </c>
      <c r="C2086" t="s">
        <v>2640</v>
      </c>
      <c r="D2086" s="3">
        <f t="shared" si="165"/>
        <v>11.25</v>
      </c>
      <c r="E2086" t="s">
        <v>2912</v>
      </c>
      <c r="F2086" t="s">
        <v>13</v>
      </c>
      <c r="G2086">
        <f t="shared" si="166"/>
        <v>2025000</v>
      </c>
      <c r="H2086" t="s">
        <v>1065</v>
      </c>
      <c r="I2086" t="s">
        <v>2913</v>
      </c>
      <c r="J2086" s="2">
        <f t="shared" si="167"/>
        <v>1825000</v>
      </c>
      <c r="K2086" t="s">
        <v>196</v>
      </c>
      <c r="L2086">
        <f t="shared" si="168"/>
        <v>0.17291666666666669</v>
      </c>
      <c r="M2086" s="5">
        <v>0.17291666666666669</v>
      </c>
      <c r="N2086" t="s">
        <v>43</v>
      </c>
      <c r="P2086" t="s">
        <v>1053</v>
      </c>
      <c r="R2086" s="3">
        <f t="shared" si="164"/>
        <v>4.1500000000000004</v>
      </c>
    </row>
    <row r="2087" spans="1:18" hidden="1" x14ac:dyDescent="0.25">
      <c r="A2087" t="s">
        <v>3318</v>
      </c>
      <c r="B2087" t="s">
        <v>3233</v>
      </c>
      <c r="C2087" t="s">
        <v>3261</v>
      </c>
      <c r="D2087" s="3">
        <f t="shared" si="165"/>
        <v>11.100000000000001</v>
      </c>
      <c r="E2087" t="s">
        <v>3319</v>
      </c>
      <c r="F2087" t="s">
        <v>13</v>
      </c>
      <c r="G2087">
        <f t="shared" si="166"/>
        <v>1625000</v>
      </c>
      <c r="H2087" t="s">
        <v>702</v>
      </c>
      <c r="I2087" t="s">
        <v>3320</v>
      </c>
      <c r="J2087" s="2">
        <f t="shared" si="167"/>
        <v>1545000</v>
      </c>
      <c r="K2087" t="s">
        <v>1503</v>
      </c>
      <c r="L2087">
        <f t="shared" si="168"/>
        <v>0.16944444444444443</v>
      </c>
      <c r="M2087" s="5">
        <v>0.16944444444444443</v>
      </c>
      <c r="N2087" t="s">
        <v>43</v>
      </c>
      <c r="P2087" t="s">
        <v>719</v>
      </c>
      <c r="R2087" s="3">
        <f t="shared" si="164"/>
        <v>4.0666666666666664</v>
      </c>
    </row>
    <row r="2088" spans="1:18" hidden="1" x14ac:dyDescent="0.25">
      <c r="A2088" t="s">
        <v>2337</v>
      </c>
      <c r="B2088" t="s">
        <v>2596</v>
      </c>
      <c r="C2088" t="s">
        <v>2049</v>
      </c>
      <c r="D2088" s="3">
        <f t="shared" si="165"/>
        <v>10.240000000000002</v>
      </c>
      <c r="E2088" t="s">
        <v>941</v>
      </c>
      <c r="F2088" t="s">
        <v>13</v>
      </c>
      <c r="G2088">
        <f t="shared" si="166"/>
        <v>2775000</v>
      </c>
      <c r="H2088" t="s">
        <v>2338</v>
      </c>
      <c r="I2088" t="s">
        <v>2339</v>
      </c>
      <c r="J2088" s="2">
        <f t="shared" si="167"/>
        <v>2637500</v>
      </c>
      <c r="K2088" t="s">
        <v>2340</v>
      </c>
      <c r="L2088">
        <f t="shared" si="168"/>
        <v>0.17291666666666669</v>
      </c>
      <c r="M2088" s="5">
        <v>0.17291666666666669</v>
      </c>
      <c r="N2088" t="s">
        <v>43</v>
      </c>
      <c r="P2088" t="s">
        <v>1627</v>
      </c>
      <c r="R2088" s="3">
        <f t="shared" si="164"/>
        <v>4.1500000000000004</v>
      </c>
    </row>
    <row r="2089" spans="1:18" x14ac:dyDescent="0.25">
      <c r="A2089" t="s">
        <v>5671</v>
      </c>
      <c r="B2089" t="s">
        <v>5848</v>
      </c>
      <c r="C2089" t="s">
        <v>5339</v>
      </c>
      <c r="D2089" s="3">
        <f t="shared" si="165"/>
        <v>15</v>
      </c>
      <c r="E2089" t="s">
        <v>71</v>
      </c>
      <c r="F2089" t="s">
        <v>13</v>
      </c>
      <c r="G2089" t="str">
        <f t="shared" si="166"/>
        <v/>
      </c>
      <c r="H2089" t="s">
        <v>14</v>
      </c>
      <c r="I2089" t="s">
        <v>5672</v>
      </c>
      <c r="J2089" s="2">
        <f t="shared" si="167"/>
        <v>2650000</v>
      </c>
      <c r="K2089" t="s">
        <v>1325</v>
      </c>
      <c r="L2089">
        <f t="shared" si="168"/>
        <v>0.20833333333333334</v>
      </c>
      <c r="M2089" s="5">
        <v>0.20833333333333334</v>
      </c>
      <c r="N2089" t="s">
        <v>43</v>
      </c>
      <c r="R2089" s="3">
        <f t="shared" si="164"/>
        <v>5</v>
      </c>
    </row>
    <row r="2090" spans="1:18" hidden="1" x14ac:dyDescent="0.25">
      <c r="A2090" t="s">
        <v>3194</v>
      </c>
      <c r="B2090" t="s">
        <v>3206</v>
      </c>
      <c r="C2090" t="s">
        <v>2613</v>
      </c>
      <c r="D2090" s="3">
        <f t="shared" si="165"/>
        <v>16</v>
      </c>
      <c r="E2090" t="s">
        <v>79</v>
      </c>
      <c r="F2090" t="s">
        <v>34</v>
      </c>
      <c r="G2090" t="str">
        <f t="shared" si="166"/>
        <v/>
      </c>
      <c r="H2090" t="s">
        <v>14</v>
      </c>
      <c r="I2090" t="s">
        <v>3195</v>
      </c>
      <c r="J2090" s="2">
        <f t="shared" si="167"/>
        <v>3575000</v>
      </c>
      <c r="K2090" t="s">
        <v>3196</v>
      </c>
      <c r="L2090">
        <f t="shared" si="168"/>
        <v>0.17291666666666669</v>
      </c>
      <c r="M2090" s="5">
        <v>0.17291666666666669</v>
      </c>
      <c r="N2090" t="s">
        <v>18</v>
      </c>
      <c r="P2090" t="s">
        <v>899</v>
      </c>
      <c r="R2090" s="3">
        <f t="shared" si="164"/>
        <v>4.1500000000000004</v>
      </c>
    </row>
    <row r="2091" spans="1:18" hidden="1" x14ac:dyDescent="0.25">
      <c r="A2091" t="s">
        <v>3574</v>
      </c>
      <c r="B2091" t="s">
        <v>3233</v>
      </c>
      <c r="C2091" t="s">
        <v>3248</v>
      </c>
      <c r="D2091" s="3">
        <f t="shared" si="165"/>
        <v>8.3999999999999986</v>
      </c>
      <c r="E2091" t="s">
        <v>723</v>
      </c>
      <c r="F2091" t="s">
        <v>13</v>
      </c>
      <c r="G2091">
        <f t="shared" si="166"/>
        <v>1690000</v>
      </c>
      <c r="H2091" t="s">
        <v>886</v>
      </c>
      <c r="I2091" t="s">
        <v>3575</v>
      </c>
      <c r="J2091" s="2">
        <f t="shared" si="167"/>
        <v>1556800</v>
      </c>
      <c r="K2091" t="s">
        <v>3576</v>
      </c>
      <c r="L2091">
        <f t="shared" si="168"/>
        <v>0.17291666666666669</v>
      </c>
      <c r="M2091" s="5">
        <v>0.17291666666666669</v>
      </c>
      <c r="N2091" t="s">
        <v>18</v>
      </c>
      <c r="P2091" t="s">
        <v>1733</v>
      </c>
      <c r="R2091" s="3">
        <f t="shared" si="164"/>
        <v>4.1500000000000004</v>
      </c>
    </row>
    <row r="2092" spans="1:18" hidden="1" x14ac:dyDescent="0.25">
      <c r="A2092" t="s">
        <v>3481</v>
      </c>
      <c r="B2092" t="s">
        <v>3233</v>
      </c>
      <c r="C2092" t="s">
        <v>3248</v>
      </c>
      <c r="D2092" s="3">
        <f t="shared" si="165"/>
        <v>8.3999999999999986</v>
      </c>
      <c r="E2092" t="s">
        <v>723</v>
      </c>
      <c r="F2092" t="s">
        <v>13</v>
      </c>
      <c r="G2092">
        <f t="shared" si="166"/>
        <v>1510000</v>
      </c>
      <c r="H2092" t="s">
        <v>1554</v>
      </c>
      <c r="I2092" t="s">
        <v>3482</v>
      </c>
      <c r="J2092" s="2">
        <f t="shared" si="167"/>
        <v>1391200</v>
      </c>
      <c r="K2092" t="s">
        <v>3483</v>
      </c>
      <c r="L2092">
        <f t="shared" si="168"/>
        <v>0.20833333333333334</v>
      </c>
      <c r="M2092" s="5">
        <v>0.20833333333333334</v>
      </c>
      <c r="N2092" t="s">
        <v>18</v>
      </c>
      <c r="P2092" t="s">
        <v>3484</v>
      </c>
      <c r="R2092" s="3">
        <f t="shared" si="164"/>
        <v>5</v>
      </c>
    </row>
    <row r="2093" spans="1:18" hidden="1" x14ac:dyDescent="0.25">
      <c r="A2093" t="s">
        <v>1608</v>
      </c>
      <c r="B2093" t="s">
        <v>1303</v>
      </c>
      <c r="C2093" t="s">
        <v>1312</v>
      </c>
      <c r="D2093" s="3">
        <f t="shared" si="165"/>
        <v>8.19</v>
      </c>
      <c r="E2093" t="s">
        <v>1609</v>
      </c>
      <c r="F2093" t="s">
        <v>13</v>
      </c>
      <c r="G2093" t="str">
        <f t="shared" si="166"/>
        <v/>
      </c>
      <c r="H2093" t="s">
        <v>14</v>
      </c>
      <c r="I2093" t="s">
        <v>1610</v>
      </c>
      <c r="J2093" s="2">
        <f t="shared" si="167"/>
        <v>2225000</v>
      </c>
      <c r="K2093" t="s">
        <v>1339</v>
      </c>
      <c r="L2093">
        <f t="shared" si="168"/>
        <v>0.17083333333333331</v>
      </c>
      <c r="M2093" s="5">
        <v>0.17083333333333331</v>
      </c>
      <c r="N2093" t="s">
        <v>43</v>
      </c>
      <c r="P2093" t="s">
        <v>1030</v>
      </c>
      <c r="R2093" s="3">
        <f t="shared" si="164"/>
        <v>4.0999999999999996</v>
      </c>
    </row>
    <row r="2094" spans="1:18" hidden="1" x14ac:dyDescent="0.25">
      <c r="A2094" t="s">
        <v>1800</v>
      </c>
      <c r="B2094" t="s">
        <v>1303</v>
      </c>
      <c r="C2094" t="s">
        <v>1312</v>
      </c>
      <c r="D2094" s="3">
        <f t="shared" si="165"/>
        <v>8.19</v>
      </c>
      <c r="E2094" t="s">
        <v>1609</v>
      </c>
      <c r="F2094" t="s">
        <v>13</v>
      </c>
      <c r="G2094" t="str">
        <f t="shared" si="166"/>
        <v/>
      </c>
      <c r="H2094" t="s">
        <v>14</v>
      </c>
      <c r="I2094" t="s">
        <v>1801</v>
      </c>
      <c r="J2094" s="2">
        <f t="shared" si="167"/>
        <v>1975000</v>
      </c>
      <c r="K2094" t="s">
        <v>956</v>
      </c>
      <c r="L2094">
        <f t="shared" si="168"/>
        <v>0.17083333333333331</v>
      </c>
      <c r="M2094" s="5">
        <v>0.17083333333333331</v>
      </c>
      <c r="N2094" t="s">
        <v>43</v>
      </c>
      <c r="P2094" t="s">
        <v>1442</v>
      </c>
      <c r="R2094" s="3">
        <f t="shared" si="164"/>
        <v>4.0999999999999996</v>
      </c>
    </row>
    <row r="2095" spans="1:18" hidden="1" x14ac:dyDescent="0.25">
      <c r="A2095" t="s">
        <v>971</v>
      </c>
      <c r="B2095" t="s">
        <v>640</v>
      </c>
      <c r="C2095" t="s">
        <v>664</v>
      </c>
      <c r="D2095" s="3">
        <f t="shared" si="165"/>
        <v>20</v>
      </c>
      <c r="E2095" t="s">
        <v>565</v>
      </c>
      <c r="F2095" t="s">
        <v>13</v>
      </c>
      <c r="G2095">
        <f t="shared" si="166"/>
        <v>2500000</v>
      </c>
      <c r="H2095" t="s">
        <v>272</v>
      </c>
      <c r="I2095" t="s">
        <v>972</v>
      </c>
      <c r="J2095" s="2">
        <f t="shared" si="167"/>
        <v>2250000</v>
      </c>
      <c r="K2095" t="s">
        <v>448</v>
      </c>
      <c r="L2095">
        <f t="shared" si="168"/>
        <v>0.20833333333333334</v>
      </c>
      <c r="M2095" s="5">
        <v>0.20833333333333334</v>
      </c>
      <c r="N2095" t="s">
        <v>18</v>
      </c>
      <c r="P2095" t="s">
        <v>973</v>
      </c>
      <c r="R2095" s="3">
        <f t="shared" si="164"/>
        <v>5</v>
      </c>
    </row>
    <row r="2096" spans="1:18" hidden="1" x14ac:dyDescent="0.25">
      <c r="A2096" t="s">
        <v>1044</v>
      </c>
      <c r="B2096" t="s">
        <v>640</v>
      </c>
      <c r="C2096" t="s">
        <v>664</v>
      </c>
      <c r="D2096" s="3">
        <f t="shared" si="165"/>
        <v>12</v>
      </c>
      <c r="E2096" t="s">
        <v>347</v>
      </c>
      <c r="F2096" t="s">
        <v>13</v>
      </c>
      <c r="G2096">
        <f t="shared" si="166"/>
        <v>2200000</v>
      </c>
      <c r="H2096" t="s">
        <v>849</v>
      </c>
      <c r="I2096" t="s">
        <v>1045</v>
      </c>
      <c r="J2096" s="2">
        <f t="shared" si="167"/>
        <v>1980000</v>
      </c>
      <c r="K2096" t="s">
        <v>1046</v>
      </c>
      <c r="L2096">
        <f t="shared" si="168"/>
        <v>0.20833333333333334</v>
      </c>
      <c r="M2096" s="5">
        <v>0.20833333333333334</v>
      </c>
      <c r="N2096" t="s">
        <v>18</v>
      </c>
      <c r="P2096" t="s">
        <v>892</v>
      </c>
      <c r="R2096" s="3">
        <f t="shared" si="164"/>
        <v>5</v>
      </c>
    </row>
    <row r="2097" spans="1:18" x14ac:dyDescent="0.25">
      <c r="A2097" t="s">
        <v>2452</v>
      </c>
      <c r="B2097" t="s">
        <v>2596</v>
      </c>
      <c r="C2097" t="s">
        <v>2013</v>
      </c>
      <c r="D2097" s="3">
        <f t="shared" si="165"/>
        <v>12</v>
      </c>
      <c r="E2097" t="s">
        <v>347</v>
      </c>
      <c r="F2097" t="s">
        <v>13</v>
      </c>
      <c r="G2097">
        <f t="shared" si="166"/>
        <v>2925000</v>
      </c>
      <c r="H2097" t="s">
        <v>1968</v>
      </c>
      <c r="I2097" t="s">
        <v>2453</v>
      </c>
      <c r="J2097" s="2">
        <f t="shared" si="167"/>
        <v>2693000</v>
      </c>
      <c r="K2097" t="s">
        <v>2454</v>
      </c>
      <c r="L2097">
        <f t="shared" si="168"/>
        <v>0.16944444444444443</v>
      </c>
      <c r="M2097" s="5">
        <v>0.16944444444444443</v>
      </c>
      <c r="N2097" t="s">
        <v>43</v>
      </c>
      <c r="P2097" t="s">
        <v>2455</v>
      </c>
      <c r="R2097" s="3">
        <f t="shared" si="164"/>
        <v>4.0666666666666664</v>
      </c>
    </row>
    <row r="2098" spans="1:18" hidden="1" x14ac:dyDescent="0.25">
      <c r="A2098" t="s">
        <v>1095</v>
      </c>
      <c r="B2098" t="s">
        <v>640</v>
      </c>
      <c r="C2098" t="s">
        <v>664</v>
      </c>
      <c r="D2098" s="3">
        <f t="shared" si="165"/>
        <v>6.6000000000000005</v>
      </c>
      <c r="E2098" t="s">
        <v>1096</v>
      </c>
      <c r="F2098" t="s">
        <v>13</v>
      </c>
      <c r="G2098">
        <f t="shared" si="166"/>
        <v>1700000</v>
      </c>
      <c r="H2098" t="s">
        <v>23</v>
      </c>
      <c r="I2098" t="s">
        <v>1097</v>
      </c>
      <c r="J2098" s="2">
        <f t="shared" si="167"/>
        <v>1530000</v>
      </c>
      <c r="K2098" t="s">
        <v>928</v>
      </c>
      <c r="L2098">
        <f t="shared" si="168"/>
        <v>0.16944444444444443</v>
      </c>
      <c r="M2098" s="5">
        <v>0.16944444444444443</v>
      </c>
      <c r="N2098" t="s">
        <v>18</v>
      </c>
      <c r="P2098" t="s">
        <v>899</v>
      </c>
      <c r="R2098" s="3">
        <f t="shared" si="164"/>
        <v>4.0666666666666664</v>
      </c>
    </row>
    <row r="2099" spans="1:18" x14ac:dyDescent="0.25">
      <c r="A2099" t="s">
        <v>1523</v>
      </c>
      <c r="B2099" t="s">
        <v>1303</v>
      </c>
      <c r="C2099" t="s">
        <v>1302</v>
      </c>
      <c r="D2099" s="3">
        <f t="shared" si="165"/>
        <v>16</v>
      </c>
      <c r="E2099" t="s">
        <v>79</v>
      </c>
      <c r="F2099" t="s">
        <v>13</v>
      </c>
      <c r="G2099" t="str">
        <f t="shared" si="166"/>
        <v/>
      </c>
      <c r="H2099" t="s">
        <v>14</v>
      </c>
      <c r="I2099" t="s">
        <v>1524</v>
      </c>
      <c r="J2099" s="2">
        <f t="shared" si="167"/>
        <v>2700000</v>
      </c>
      <c r="K2099" t="s">
        <v>1071</v>
      </c>
      <c r="L2099">
        <f t="shared" si="168"/>
        <v>0.17291666666666669</v>
      </c>
      <c r="M2099" s="5">
        <v>0.17291666666666669</v>
      </c>
      <c r="N2099" t="s">
        <v>43</v>
      </c>
      <c r="R2099" s="3">
        <f t="shared" si="164"/>
        <v>4.1500000000000004</v>
      </c>
    </row>
    <row r="2100" spans="1:18" x14ac:dyDescent="0.25">
      <c r="A2100" t="s">
        <v>3402</v>
      </c>
      <c r="B2100" t="s">
        <v>3233</v>
      </c>
      <c r="C2100" t="s">
        <v>3261</v>
      </c>
      <c r="D2100" s="3">
        <f t="shared" si="165"/>
        <v>16</v>
      </c>
      <c r="E2100" t="s">
        <v>79</v>
      </c>
      <c r="F2100" t="s">
        <v>13</v>
      </c>
      <c r="G2100" t="str">
        <f t="shared" si="166"/>
        <v/>
      </c>
      <c r="H2100" t="s">
        <v>14</v>
      </c>
      <c r="I2100" t="s">
        <v>3403</v>
      </c>
      <c r="J2100" s="2">
        <f t="shared" si="167"/>
        <v>2700000</v>
      </c>
      <c r="K2100" t="s">
        <v>1071</v>
      </c>
      <c r="L2100">
        <f t="shared" si="168"/>
        <v>0</v>
      </c>
      <c r="N2100" t="s">
        <v>43</v>
      </c>
      <c r="R2100" s="3">
        <f t="shared" si="164"/>
        <v>0</v>
      </c>
    </row>
    <row r="2101" spans="1:18" hidden="1" x14ac:dyDescent="0.25">
      <c r="A2101" t="s">
        <v>2091</v>
      </c>
      <c r="B2101" t="s">
        <v>2596</v>
      </c>
      <c r="C2101" t="s">
        <v>1994</v>
      </c>
      <c r="D2101" s="3">
        <f t="shared" si="165"/>
        <v>14</v>
      </c>
      <c r="E2101" t="s">
        <v>875</v>
      </c>
      <c r="F2101" t="s">
        <v>13</v>
      </c>
      <c r="G2101">
        <f t="shared" si="166"/>
        <v>1825000</v>
      </c>
      <c r="H2101" t="s">
        <v>196</v>
      </c>
      <c r="I2101" t="s">
        <v>2092</v>
      </c>
      <c r="J2101" s="2">
        <f t="shared" si="167"/>
        <v>1735000</v>
      </c>
      <c r="K2101" t="s">
        <v>198</v>
      </c>
      <c r="L2101">
        <f t="shared" si="168"/>
        <v>0.17291666666666669</v>
      </c>
      <c r="M2101" s="5">
        <v>0.17291666666666669</v>
      </c>
      <c r="N2101" t="s">
        <v>18</v>
      </c>
      <c r="P2101" t="s">
        <v>199</v>
      </c>
      <c r="R2101" s="3">
        <f t="shared" si="164"/>
        <v>4.1500000000000004</v>
      </c>
    </row>
    <row r="2102" spans="1:18" hidden="1" x14ac:dyDescent="0.25">
      <c r="A2102" t="s">
        <v>2385</v>
      </c>
      <c r="B2102" t="s">
        <v>2596</v>
      </c>
      <c r="C2102" t="s">
        <v>1994</v>
      </c>
      <c r="D2102" s="3">
        <f t="shared" si="165"/>
        <v>12</v>
      </c>
      <c r="E2102" t="s">
        <v>347</v>
      </c>
      <c r="F2102" t="s">
        <v>13</v>
      </c>
      <c r="G2102" t="str">
        <f t="shared" si="166"/>
        <v/>
      </c>
      <c r="H2102" t="s">
        <v>14</v>
      </c>
      <c r="I2102" t="s">
        <v>2386</v>
      </c>
      <c r="J2102" s="2">
        <f t="shared" si="167"/>
        <v>1625000</v>
      </c>
      <c r="K2102" t="s">
        <v>702</v>
      </c>
      <c r="L2102">
        <f t="shared" si="168"/>
        <v>0.17083333333333331</v>
      </c>
      <c r="M2102" s="5">
        <v>0.17083333333333331</v>
      </c>
      <c r="N2102" t="s">
        <v>18</v>
      </c>
      <c r="P2102" t="s">
        <v>199</v>
      </c>
      <c r="R2102" s="3">
        <f t="shared" si="164"/>
        <v>4.0999999999999996</v>
      </c>
    </row>
    <row r="2103" spans="1:18" x14ac:dyDescent="0.25">
      <c r="A2103" t="s">
        <v>1625</v>
      </c>
      <c r="B2103" t="s">
        <v>1303</v>
      </c>
      <c r="C2103" t="s">
        <v>1392</v>
      </c>
      <c r="D2103" s="3">
        <f t="shared" si="165"/>
        <v>12</v>
      </c>
      <c r="E2103" t="s">
        <v>33</v>
      </c>
      <c r="F2103" t="s">
        <v>13</v>
      </c>
      <c r="G2103" t="str">
        <f t="shared" si="166"/>
        <v/>
      </c>
      <c r="H2103" t="s">
        <v>14</v>
      </c>
      <c r="I2103" t="s">
        <v>1626</v>
      </c>
      <c r="J2103" s="2">
        <f t="shared" si="167"/>
        <v>2700000</v>
      </c>
      <c r="K2103" t="s">
        <v>1071</v>
      </c>
      <c r="L2103">
        <f t="shared" si="168"/>
        <v>0.17083333333333331</v>
      </c>
      <c r="M2103" s="5">
        <v>0.17083333333333331</v>
      </c>
      <c r="N2103" t="s">
        <v>43</v>
      </c>
      <c r="P2103" t="s">
        <v>1627</v>
      </c>
      <c r="R2103" s="3">
        <f t="shared" si="164"/>
        <v>4.0999999999999996</v>
      </c>
    </row>
    <row r="2104" spans="1:18" hidden="1" x14ac:dyDescent="0.25">
      <c r="A2104" t="s">
        <v>1417</v>
      </c>
      <c r="B2104" t="s">
        <v>1303</v>
      </c>
      <c r="C2104" t="s">
        <v>1322</v>
      </c>
      <c r="D2104" s="3">
        <f t="shared" si="165"/>
        <v>8.75</v>
      </c>
      <c r="E2104" t="s">
        <v>1404</v>
      </c>
      <c r="F2104" t="s">
        <v>13</v>
      </c>
      <c r="G2104">
        <f t="shared" si="166"/>
        <v>1895000</v>
      </c>
      <c r="H2104" t="s">
        <v>1418</v>
      </c>
      <c r="I2104" t="s">
        <v>1419</v>
      </c>
      <c r="J2104" s="2">
        <f t="shared" si="167"/>
        <v>1745400</v>
      </c>
      <c r="K2104" t="s">
        <v>1420</v>
      </c>
      <c r="L2104">
        <f t="shared" si="168"/>
        <v>0.17083333333333331</v>
      </c>
      <c r="M2104" s="5">
        <v>0.17083333333333331</v>
      </c>
      <c r="N2104" t="s">
        <v>43</v>
      </c>
      <c r="P2104" t="s">
        <v>681</v>
      </c>
      <c r="R2104" s="3">
        <f t="shared" si="164"/>
        <v>4.0999999999999996</v>
      </c>
    </row>
    <row r="2105" spans="1:18" hidden="1" x14ac:dyDescent="0.25">
      <c r="A2105" t="s">
        <v>1403</v>
      </c>
      <c r="B2105" t="s">
        <v>1303</v>
      </c>
      <c r="C2105" t="s">
        <v>1322</v>
      </c>
      <c r="D2105" s="3">
        <f t="shared" si="165"/>
        <v>8.75</v>
      </c>
      <c r="E2105" t="s">
        <v>1404</v>
      </c>
      <c r="F2105" t="s">
        <v>13</v>
      </c>
      <c r="G2105" t="str">
        <f t="shared" si="166"/>
        <v/>
      </c>
      <c r="H2105" t="s">
        <v>14</v>
      </c>
      <c r="I2105" t="s">
        <v>1405</v>
      </c>
      <c r="J2105" s="2">
        <f t="shared" si="167"/>
        <v>1525000</v>
      </c>
      <c r="K2105" t="s">
        <v>27</v>
      </c>
      <c r="L2105">
        <f t="shared" si="168"/>
        <v>0.17083333333333331</v>
      </c>
      <c r="M2105" s="5">
        <v>0.17083333333333331</v>
      </c>
      <c r="N2105" t="s">
        <v>43</v>
      </c>
      <c r="P2105" t="s">
        <v>681</v>
      </c>
      <c r="R2105" s="3">
        <f t="shared" si="164"/>
        <v>4.0999999999999996</v>
      </c>
    </row>
    <row r="2106" spans="1:18" hidden="1" x14ac:dyDescent="0.25">
      <c r="A2106" t="s">
        <v>1428</v>
      </c>
      <c r="B2106" t="s">
        <v>1303</v>
      </c>
      <c r="C2106" t="s">
        <v>1322</v>
      </c>
      <c r="D2106" s="3">
        <f t="shared" si="165"/>
        <v>7</v>
      </c>
      <c r="E2106" t="s">
        <v>210</v>
      </c>
      <c r="F2106" t="s">
        <v>13</v>
      </c>
      <c r="G2106" t="str">
        <f t="shared" si="166"/>
        <v/>
      </c>
      <c r="H2106" t="s">
        <v>14</v>
      </c>
      <c r="I2106" t="s">
        <v>1429</v>
      </c>
      <c r="J2106" s="2">
        <f t="shared" si="167"/>
        <v>1345000</v>
      </c>
      <c r="K2106" t="s">
        <v>1430</v>
      </c>
      <c r="L2106">
        <f t="shared" si="168"/>
        <v>0.17083333333333331</v>
      </c>
      <c r="M2106" s="5">
        <v>0.17083333333333331</v>
      </c>
      <c r="N2106" t="s">
        <v>43</v>
      </c>
      <c r="P2106" t="s">
        <v>681</v>
      </c>
      <c r="R2106" s="3">
        <f t="shared" si="164"/>
        <v>4.0999999999999996</v>
      </c>
    </row>
    <row r="2107" spans="1:18" x14ac:dyDescent="0.25">
      <c r="A2107" t="s">
        <v>1452</v>
      </c>
      <c r="B2107" t="s">
        <v>1303</v>
      </c>
      <c r="C2107" t="s">
        <v>1322</v>
      </c>
      <c r="D2107" s="3">
        <f t="shared" si="165"/>
        <v>9</v>
      </c>
      <c r="E2107" t="s">
        <v>12</v>
      </c>
      <c r="F2107" t="s">
        <v>13</v>
      </c>
      <c r="G2107" t="str">
        <f t="shared" si="166"/>
        <v/>
      </c>
      <c r="H2107" t="s">
        <v>14</v>
      </c>
      <c r="I2107" t="s">
        <v>1453</v>
      </c>
      <c r="J2107" s="2">
        <f t="shared" si="167"/>
        <v>2705000</v>
      </c>
      <c r="K2107" t="s">
        <v>1454</v>
      </c>
      <c r="L2107">
        <f t="shared" si="168"/>
        <v>0.17222222222222225</v>
      </c>
      <c r="M2107" s="5">
        <v>0.17222222222222225</v>
      </c>
      <c r="N2107" t="s">
        <v>43</v>
      </c>
      <c r="P2107" t="s">
        <v>1455</v>
      </c>
      <c r="R2107" s="3">
        <f t="shared" si="164"/>
        <v>4.1333333333333337</v>
      </c>
    </row>
    <row r="2108" spans="1:18" hidden="1" x14ac:dyDescent="0.25">
      <c r="A2108" t="s">
        <v>1351</v>
      </c>
      <c r="B2108" t="s">
        <v>1303</v>
      </c>
      <c r="C2108" t="s">
        <v>1312</v>
      </c>
      <c r="D2108" s="3">
        <f t="shared" si="165"/>
        <v>8.64</v>
      </c>
      <c r="E2108" t="s">
        <v>1344</v>
      </c>
      <c r="F2108" t="s">
        <v>13</v>
      </c>
      <c r="G2108">
        <f t="shared" si="166"/>
        <v>2325000</v>
      </c>
      <c r="H2108" t="s">
        <v>1352</v>
      </c>
      <c r="I2108" t="s">
        <v>1353</v>
      </c>
      <c r="J2108" s="2">
        <f t="shared" si="167"/>
        <v>2210000</v>
      </c>
      <c r="K2108" t="s">
        <v>1354</v>
      </c>
      <c r="L2108">
        <f t="shared" si="168"/>
        <v>0.17222222222222225</v>
      </c>
      <c r="M2108" s="5">
        <v>0.17222222222222225</v>
      </c>
      <c r="N2108" t="s">
        <v>43</v>
      </c>
      <c r="P2108" t="s">
        <v>752</v>
      </c>
      <c r="R2108" s="3">
        <f t="shared" si="164"/>
        <v>4.1333333333333337</v>
      </c>
    </row>
    <row r="2109" spans="1:18" x14ac:dyDescent="0.25">
      <c r="A2109" t="s">
        <v>1462</v>
      </c>
      <c r="B2109" t="s">
        <v>1303</v>
      </c>
      <c r="C2109" t="s">
        <v>1342</v>
      </c>
      <c r="D2109" s="3">
        <f t="shared" si="165"/>
        <v>12</v>
      </c>
      <c r="E2109" t="s">
        <v>33</v>
      </c>
      <c r="F2109" t="s">
        <v>13</v>
      </c>
      <c r="G2109" t="str">
        <f t="shared" si="166"/>
        <v/>
      </c>
      <c r="H2109" t="s">
        <v>14</v>
      </c>
      <c r="I2109" t="s">
        <v>1463</v>
      </c>
      <c r="J2109" s="2">
        <f t="shared" si="167"/>
        <v>2750000</v>
      </c>
      <c r="K2109" t="s">
        <v>1464</v>
      </c>
      <c r="L2109">
        <f t="shared" si="168"/>
        <v>0.17083333333333331</v>
      </c>
      <c r="M2109" s="5">
        <v>0.17083333333333331</v>
      </c>
      <c r="N2109" t="s">
        <v>43</v>
      </c>
      <c r="R2109" s="3">
        <f t="shared" si="164"/>
        <v>4.0999999999999996</v>
      </c>
    </row>
    <row r="2110" spans="1:18" hidden="1" x14ac:dyDescent="0.25">
      <c r="A2110" t="s">
        <v>5482</v>
      </c>
      <c r="B2110" t="s">
        <v>5848</v>
      </c>
      <c r="C2110" t="s">
        <v>5339</v>
      </c>
      <c r="D2110" s="3">
        <f t="shared" si="165"/>
        <v>11.2</v>
      </c>
      <c r="E2110" t="s">
        <v>2669</v>
      </c>
      <c r="F2110" t="s">
        <v>13</v>
      </c>
      <c r="G2110">
        <f t="shared" si="166"/>
        <v>2375000</v>
      </c>
      <c r="H2110" t="s">
        <v>1388</v>
      </c>
      <c r="I2110" t="s">
        <v>5483</v>
      </c>
      <c r="J2110" s="2">
        <f t="shared" si="167"/>
        <v>2257500</v>
      </c>
      <c r="K2110" t="s">
        <v>1389</v>
      </c>
      <c r="L2110">
        <f t="shared" si="168"/>
        <v>0.17013888888888887</v>
      </c>
      <c r="M2110" s="5">
        <v>0.17013888888888887</v>
      </c>
      <c r="N2110" t="s">
        <v>43</v>
      </c>
      <c r="P2110" t="s">
        <v>1309</v>
      </c>
      <c r="R2110" s="3">
        <f t="shared" si="164"/>
        <v>4.083333333333333</v>
      </c>
    </row>
    <row r="2111" spans="1:18" hidden="1" x14ac:dyDescent="0.25">
      <c r="A2111" t="s">
        <v>5375</v>
      </c>
      <c r="B2111" t="s">
        <v>5848</v>
      </c>
      <c r="C2111" t="s">
        <v>5339</v>
      </c>
      <c r="D2111" s="3">
        <f t="shared" si="165"/>
        <v>10.5</v>
      </c>
      <c r="E2111" t="s">
        <v>653</v>
      </c>
      <c r="F2111" t="s">
        <v>13</v>
      </c>
      <c r="G2111">
        <f t="shared" si="166"/>
        <v>2275000</v>
      </c>
      <c r="H2111" t="s">
        <v>1027</v>
      </c>
      <c r="I2111" t="s">
        <v>5376</v>
      </c>
      <c r="J2111" s="2">
        <f t="shared" si="167"/>
        <v>2162500</v>
      </c>
      <c r="K2111" t="s">
        <v>1029</v>
      </c>
      <c r="L2111">
        <f t="shared" si="168"/>
        <v>0.17222222222222225</v>
      </c>
      <c r="M2111" s="5">
        <v>0.17222222222222225</v>
      </c>
      <c r="N2111" t="s">
        <v>43</v>
      </c>
      <c r="P2111" t="s">
        <v>1030</v>
      </c>
      <c r="R2111" s="3">
        <f t="shared" si="164"/>
        <v>4.1333333333333337</v>
      </c>
    </row>
    <row r="2112" spans="1:18" hidden="1" x14ac:dyDescent="0.25">
      <c r="A2112" t="s">
        <v>2836</v>
      </c>
      <c r="B2112" t="s">
        <v>3206</v>
      </c>
      <c r="C2112" t="s">
        <v>2618</v>
      </c>
      <c r="D2112" s="3">
        <f t="shared" si="165"/>
        <v>6.6000000000000005</v>
      </c>
      <c r="E2112" t="s">
        <v>1096</v>
      </c>
      <c r="F2112" t="s">
        <v>34</v>
      </c>
      <c r="G2112" t="str">
        <f t="shared" si="166"/>
        <v/>
      </c>
      <c r="H2112" t="s">
        <v>14</v>
      </c>
      <c r="I2112" t="s">
        <v>2837</v>
      </c>
      <c r="J2112" s="2">
        <f t="shared" si="167"/>
        <v>1225000</v>
      </c>
      <c r="K2112" t="s">
        <v>661</v>
      </c>
      <c r="L2112">
        <f t="shared" si="168"/>
        <v>0.17291666666666669</v>
      </c>
      <c r="M2112" s="5">
        <v>0.17291666666666669</v>
      </c>
      <c r="N2112" t="s">
        <v>37</v>
      </c>
      <c r="R2112" s="3">
        <f t="shared" si="164"/>
        <v>4.1500000000000004</v>
      </c>
    </row>
    <row r="2113" spans="1:18" hidden="1" x14ac:dyDescent="0.25">
      <c r="A2113" t="s">
        <v>2822</v>
      </c>
      <c r="B2113" t="s">
        <v>3206</v>
      </c>
      <c r="C2113" t="s">
        <v>2618</v>
      </c>
      <c r="D2113" s="3">
        <f t="shared" si="165"/>
        <v>6</v>
      </c>
      <c r="E2113" t="s">
        <v>285</v>
      </c>
      <c r="F2113" t="s">
        <v>13</v>
      </c>
      <c r="G2113">
        <f t="shared" si="166"/>
        <v>2225000</v>
      </c>
      <c r="H2113" t="s">
        <v>1339</v>
      </c>
      <c r="I2113" t="s">
        <v>2823</v>
      </c>
      <c r="J2113" s="2">
        <f t="shared" si="167"/>
        <v>2005000</v>
      </c>
      <c r="K2113" t="s">
        <v>1671</v>
      </c>
      <c r="L2113">
        <f t="shared" si="168"/>
        <v>0.17083333333333331</v>
      </c>
      <c r="M2113" s="5">
        <v>0.17083333333333331</v>
      </c>
      <c r="N2113" t="s">
        <v>18</v>
      </c>
      <c r="P2113" t="s">
        <v>892</v>
      </c>
      <c r="R2113" s="3">
        <f t="shared" si="164"/>
        <v>4.0999999999999996</v>
      </c>
    </row>
    <row r="2114" spans="1:18" hidden="1" x14ac:dyDescent="0.25">
      <c r="A2114" t="s">
        <v>2735</v>
      </c>
      <c r="B2114" t="s">
        <v>3206</v>
      </c>
      <c r="C2114" t="s">
        <v>2618</v>
      </c>
      <c r="D2114" s="3">
        <f t="shared" si="165"/>
        <v>32</v>
      </c>
      <c r="E2114" t="s">
        <v>570</v>
      </c>
      <c r="F2114" t="s">
        <v>13</v>
      </c>
      <c r="G2114">
        <f t="shared" si="166"/>
        <v>3300000</v>
      </c>
      <c r="H2114" t="s">
        <v>2116</v>
      </c>
      <c r="I2114" t="s">
        <v>2736</v>
      </c>
      <c r="J2114" s="2">
        <f t="shared" si="167"/>
        <v>3135000</v>
      </c>
      <c r="K2114" t="s">
        <v>2737</v>
      </c>
      <c r="L2114">
        <f t="shared" si="168"/>
        <v>0.17291666666666669</v>
      </c>
      <c r="M2114" s="5">
        <v>0.17291666666666669</v>
      </c>
      <c r="N2114" t="s">
        <v>37</v>
      </c>
      <c r="P2114" t="s">
        <v>1555</v>
      </c>
      <c r="R2114" s="3">
        <f t="shared" ref="R2114:R2177" si="169">24*L2114</f>
        <v>4.1500000000000004</v>
      </c>
    </row>
    <row r="2115" spans="1:18" hidden="1" x14ac:dyDescent="0.25">
      <c r="A2115" t="s">
        <v>2614</v>
      </c>
      <c r="B2115" t="s">
        <v>3206</v>
      </c>
      <c r="C2115" t="s">
        <v>2618</v>
      </c>
      <c r="D2115" s="3">
        <f t="shared" si="165"/>
        <v>20</v>
      </c>
      <c r="E2115" t="s">
        <v>565</v>
      </c>
      <c r="F2115" t="s">
        <v>13</v>
      </c>
      <c r="G2115">
        <f t="shared" si="166"/>
        <v>2550000</v>
      </c>
      <c r="H2115" t="s">
        <v>2615</v>
      </c>
      <c r="I2115" t="s">
        <v>2616</v>
      </c>
      <c r="J2115" s="2">
        <f t="shared" si="167"/>
        <v>2422500</v>
      </c>
      <c r="K2115" t="s">
        <v>2617</v>
      </c>
      <c r="L2115">
        <f t="shared" si="168"/>
        <v>0.17083333333333331</v>
      </c>
      <c r="M2115" s="5">
        <v>0.17083333333333331</v>
      </c>
      <c r="N2115" t="s">
        <v>37</v>
      </c>
      <c r="P2115" t="s">
        <v>2619</v>
      </c>
      <c r="R2115" s="3">
        <f t="shared" si="169"/>
        <v>4.0999999999999996</v>
      </c>
    </row>
    <row r="2116" spans="1:18" hidden="1" x14ac:dyDescent="0.25">
      <c r="A2116" t="s">
        <v>2685</v>
      </c>
      <c r="B2116" t="s">
        <v>3206</v>
      </c>
      <c r="C2116" t="s">
        <v>2618</v>
      </c>
      <c r="D2116" s="3">
        <f t="shared" ref="D2116:D2179" si="170">VALUE(LEFT(E2116,SEARCH(" x ",E2116)-1))*VALUE(MID(E2116,SEARCH(" x ",E2116)+3,SEARCH(" meter",E2116)-SEARCH(" x ",E2116)-3))</f>
        <v>12.25</v>
      </c>
      <c r="E2116" t="s">
        <v>187</v>
      </c>
      <c r="F2116" t="s">
        <v>13</v>
      </c>
      <c r="G2116" t="str">
        <f t="shared" ref="G2116:G2179" si="171">IF(H2116="N/A","",VALUE(SUBSTITUTE(SUBSTITUTE(H2116,"Rp",""),".","")))</f>
        <v/>
      </c>
      <c r="H2116" t="s">
        <v>14</v>
      </c>
      <c r="I2116" t="s">
        <v>2686</v>
      </c>
      <c r="J2116" s="2">
        <f t="shared" ref="J2116:J2179" si="172">VALUE(SUBSTITUTE(SUBSTITUTE(K2116,"Rp",""),".",""))</f>
        <v>2130000</v>
      </c>
      <c r="K2116" t="s">
        <v>2687</v>
      </c>
      <c r="L2116">
        <f t="shared" ref="L2116:L2179" si="173">M2116:M4456</f>
        <v>0.20833333333333334</v>
      </c>
      <c r="M2116" s="5">
        <v>0.20833333333333334</v>
      </c>
      <c r="N2116" t="s">
        <v>37</v>
      </c>
      <c r="P2116" t="s">
        <v>2619</v>
      </c>
      <c r="R2116" s="3">
        <f t="shared" si="169"/>
        <v>5</v>
      </c>
    </row>
    <row r="2117" spans="1:18" hidden="1" x14ac:dyDescent="0.25">
      <c r="A2117" t="s">
        <v>2747</v>
      </c>
      <c r="B2117" t="s">
        <v>3206</v>
      </c>
      <c r="C2117" t="s">
        <v>2644</v>
      </c>
      <c r="D2117" s="3">
        <f t="shared" si="170"/>
        <v>21</v>
      </c>
      <c r="E2117" t="s">
        <v>121</v>
      </c>
      <c r="F2117" t="s">
        <v>34</v>
      </c>
      <c r="G2117" t="str">
        <f t="shared" si="171"/>
        <v/>
      </c>
      <c r="H2117" t="s">
        <v>14</v>
      </c>
      <c r="I2117" t="s">
        <v>2748</v>
      </c>
      <c r="J2117" s="2">
        <f t="shared" si="172"/>
        <v>3875000</v>
      </c>
      <c r="K2117" t="s">
        <v>1661</v>
      </c>
      <c r="L2117">
        <f t="shared" si="173"/>
        <v>0</v>
      </c>
      <c r="N2117" t="s">
        <v>18</v>
      </c>
      <c r="R2117" s="3">
        <f t="shared" si="169"/>
        <v>0</v>
      </c>
    </row>
    <row r="2118" spans="1:18" hidden="1" x14ac:dyDescent="0.25">
      <c r="A2118" t="s">
        <v>2641</v>
      </c>
      <c r="B2118" t="s">
        <v>3206</v>
      </c>
      <c r="C2118" t="s">
        <v>2644</v>
      </c>
      <c r="D2118" s="3">
        <f t="shared" si="170"/>
        <v>8.9599999999999991</v>
      </c>
      <c r="E2118" t="s">
        <v>2642</v>
      </c>
      <c r="F2118" t="s">
        <v>34</v>
      </c>
      <c r="G2118" t="str">
        <f t="shared" si="171"/>
        <v/>
      </c>
      <c r="H2118" t="s">
        <v>14</v>
      </c>
      <c r="I2118" t="s">
        <v>2643</v>
      </c>
      <c r="J2118" s="2">
        <f t="shared" si="172"/>
        <v>2875000</v>
      </c>
      <c r="K2118" t="s">
        <v>1414</v>
      </c>
      <c r="L2118">
        <f t="shared" si="173"/>
        <v>0.17291666666666669</v>
      </c>
      <c r="M2118" s="5">
        <v>0.17291666666666669</v>
      </c>
      <c r="N2118" t="s">
        <v>18</v>
      </c>
      <c r="R2118" s="3">
        <f t="shared" si="169"/>
        <v>4.1500000000000004</v>
      </c>
    </row>
    <row r="2119" spans="1:18" hidden="1" x14ac:dyDescent="0.25">
      <c r="A2119" t="s">
        <v>2662</v>
      </c>
      <c r="B2119" t="s">
        <v>3206</v>
      </c>
      <c r="C2119" t="s">
        <v>2644</v>
      </c>
      <c r="D2119" s="3">
        <f t="shared" si="170"/>
        <v>12</v>
      </c>
      <c r="E2119" t="s">
        <v>33</v>
      </c>
      <c r="F2119" t="s">
        <v>34</v>
      </c>
      <c r="G2119" t="str">
        <f t="shared" si="171"/>
        <v/>
      </c>
      <c r="H2119" t="s">
        <v>14</v>
      </c>
      <c r="I2119" t="s">
        <v>2663</v>
      </c>
      <c r="J2119" s="2">
        <f t="shared" si="172"/>
        <v>2475000</v>
      </c>
      <c r="K2119" t="s">
        <v>1638</v>
      </c>
      <c r="L2119">
        <f t="shared" si="173"/>
        <v>0.17222222222222225</v>
      </c>
      <c r="M2119" s="5">
        <v>0.17222222222222225</v>
      </c>
      <c r="N2119" t="s">
        <v>18</v>
      </c>
      <c r="R2119" s="3">
        <f t="shared" si="169"/>
        <v>4.1333333333333337</v>
      </c>
    </row>
    <row r="2120" spans="1:18" x14ac:dyDescent="0.25">
      <c r="A2120" t="s">
        <v>1963</v>
      </c>
      <c r="B2120" t="s">
        <v>1303</v>
      </c>
      <c r="C2120" t="s">
        <v>1322</v>
      </c>
      <c r="D2120" s="3">
        <f t="shared" si="170"/>
        <v>12</v>
      </c>
      <c r="E2120" t="s">
        <v>33</v>
      </c>
      <c r="F2120" t="s">
        <v>13</v>
      </c>
      <c r="G2120" t="str">
        <f t="shared" si="171"/>
        <v/>
      </c>
      <c r="H2120" t="s">
        <v>14</v>
      </c>
      <c r="I2120" t="s">
        <v>1964</v>
      </c>
      <c r="J2120" s="2">
        <f t="shared" si="172"/>
        <v>2750000</v>
      </c>
      <c r="K2120" t="s">
        <v>1464</v>
      </c>
      <c r="L2120">
        <f t="shared" si="173"/>
        <v>0</v>
      </c>
      <c r="N2120" t="s">
        <v>18</v>
      </c>
      <c r="R2120" s="3">
        <f t="shared" si="169"/>
        <v>0</v>
      </c>
    </row>
    <row r="2121" spans="1:18" hidden="1" x14ac:dyDescent="0.25">
      <c r="A2121" t="s">
        <v>4424</v>
      </c>
      <c r="B2121" t="s">
        <v>4272</v>
      </c>
      <c r="C2121" t="s">
        <v>4285</v>
      </c>
      <c r="D2121" s="3">
        <f t="shared" si="170"/>
        <v>15.600000000000001</v>
      </c>
      <c r="E2121" t="s">
        <v>4313</v>
      </c>
      <c r="F2121" t="s">
        <v>13</v>
      </c>
      <c r="G2121">
        <f t="shared" si="171"/>
        <v>1800000</v>
      </c>
      <c r="H2121" t="s">
        <v>228</v>
      </c>
      <c r="I2121" t="s">
        <v>4314</v>
      </c>
      <c r="J2121" s="2">
        <f t="shared" si="172"/>
        <v>1710000</v>
      </c>
      <c r="K2121" t="s">
        <v>2404</v>
      </c>
      <c r="L2121">
        <f t="shared" si="173"/>
        <v>0.17222222222222225</v>
      </c>
      <c r="M2121" s="5">
        <v>0.17222222222222225</v>
      </c>
      <c r="N2121" t="s">
        <v>43</v>
      </c>
      <c r="P2121" t="s">
        <v>199</v>
      </c>
      <c r="R2121" s="3">
        <f t="shared" si="169"/>
        <v>4.1333333333333337</v>
      </c>
    </row>
    <row r="2122" spans="1:18" hidden="1" x14ac:dyDescent="0.25">
      <c r="A2122" t="s">
        <v>4312</v>
      </c>
      <c r="B2122" t="s">
        <v>4272</v>
      </c>
      <c r="C2122" t="s">
        <v>4285</v>
      </c>
      <c r="D2122" s="3">
        <f t="shared" si="170"/>
        <v>15.600000000000001</v>
      </c>
      <c r="E2122" t="s">
        <v>4313</v>
      </c>
      <c r="F2122" t="s">
        <v>13</v>
      </c>
      <c r="G2122">
        <f t="shared" si="171"/>
        <v>1600000</v>
      </c>
      <c r="H2122" t="s">
        <v>95</v>
      </c>
      <c r="I2122" t="s">
        <v>4314</v>
      </c>
      <c r="J2122" s="2">
        <f t="shared" si="172"/>
        <v>1520000</v>
      </c>
      <c r="K2122" t="s">
        <v>4315</v>
      </c>
      <c r="L2122">
        <f t="shared" si="173"/>
        <v>0.17291666666666669</v>
      </c>
      <c r="M2122" s="5">
        <v>0.17291666666666669</v>
      </c>
      <c r="N2122" t="s">
        <v>43</v>
      </c>
      <c r="P2122" t="s">
        <v>719</v>
      </c>
      <c r="R2122" s="3">
        <f t="shared" si="169"/>
        <v>4.1500000000000004</v>
      </c>
    </row>
    <row r="2123" spans="1:18" hidden="1" x14ac:dyDescent="0.25">
      <c r="A2123" t="s">
        <v>3090</v>
      </c>
      <c r="B2123" t="s">
        <v>3206</v>
      </c>
      <c r="C2123" t="s">
        <v>2720</v>
      </c>
      <c r="D2123" s="3">
        <f t="shared" si="170"/>
        <v>16</v>
      </c>
      <c r="E2123" t="s">
        <v>79</v>
      </c>
      <c r="F2123" t="s">
        <v>13</v>
      </c>
      <c r="G2123">
        <f t="shared" si="171"/>
        <v>2475000</v>
      </c>
      <c r="H2123" t="s">
        <v>1638</v>
      </c>
      <c r="I2123" t="s">
        <v>3091</v>
      </c>
      <c r="J2123" s="2">
        <f t="shared" si="172"/>
        <v>2352500</v>
      </c>
      <c r="K2123" t="s">
        <v>1959</v>
      </c>
      <c r="L2123">
        <f t="shared" si="173"/>
        <v>0.17013888888888887</v>
      </c>
      <c r="M2123" s="5">
        <v>0.17013888888888887</v>
      </c>
      <c r="N2123" t="s">
        <v>18</v>
      </c>
      <c r="P2123" t="s">
        <v>1960</v>
      </c>
      <c r="R2123" s="3">
        <f t="shared" si="169"/>
        <v>4.083333333333333</v>
      </c>
    </row>
    <row r="2124" spans="1:18" hidden="1" x14ac:dyDescent="0.25">
      <c r="A2124" t="s">
        <v>2350</v>
      </c>
      <c r="B2124" t="s">
        <v>2596</v>
      </c>
      <c r="C2124" t="s">
        <v>1981</v>
      </c>
      <c r="D2124" s="3">
        <f t="shared" si="170"/>
        <v>12.8</v>
      </c>
      <c r="E2124" t="s">
        <v>1382</v>
      </c>
      <c r="F2124" t="s">
        <v>13</v>
      </c>
      <c r="G2124">
        <f t="shared" si="171"/>
        <v>1900000</v>
      </c>
      <c r="H2124" t="s">
        <v>352</v>
      </c>
      <c r="I2124" t="s">
        <v>2351</v>
      </c>
      <c r="J2124" s="2">
        <f t="shared" si="172"/>
        <v>1805000</v>
      </c>
      <c r="K2124" t="s">
        <v>2269</v>
      </c>
      <c r="L2124">
        <f t="shared" si="173"/>
        <v>0.17083333333333331</v>
      </c>
      <c r="M2124" s="5">
        <v>0.17083333333333331</v>
      </c>
      <c r="N2124" t="s">
        <v>43</v>
      </c>
      <c r="P2124" t="s">
        <v>1171</v>
      </c>
      <c r="R2124" s="3">
        <f t="shared" si="169"/>
        <v>4.0999999999999996</v>
      </c>
    </row>
    <row r="2125" spans="1:18" x14ac:dyDescent="0.25">
      <c r="A2125" t="s">
        <v>3438</v>
      </c>
      <c r="B2125" t="s">
        <v>3233</v>
      </c>
      <c r="C2125" t="s">
        <v>3237</v>
      </c>
      <c r="D2125" s="3">
        <f t="shared" si="170"/>
        <v>12</v>
      </c>
      <c r="E2125" t="s">
        <v>33</v>
      </c>
      <c r="F2125" t="s">
        <v>13</v>
      </c>
      <c r="G2125" t="str">
        <f t="shared" si="171"/>
        <v/>
      </c>
      <c r="H2125" t="s">
        <v>14</v>
      </c>
      <c r="I2125" t="s">
        <v>3439</v>
      </c>
      <c r="J2125" s="2">
        <f t="shared" si="172"/>
        <v>2755000</v>
      </c>
      <c r="K2125" t="s">
        <v>2985</v>
      </c>
      <c r="L2125">
        <f t="shared" si="173"/>
        <v>0.17222222222222225</v>
      </c>
      <c r="M2125" s="5">
        <v>0.17222222222222225</v>
      </c>
      <c r="N2125" t="s">
        <v>43</v>
      </c>
      <c r="R2125" s="3">
        <f t="shared" si="169"/>
        <v>4.1333333333333337</v>
      </c>
    </row>
    <row r="2126" spans="1:18" hidden="1" x14ac:dyDescent="0.25">
      <c r="A2126" t="s">
        <v>3467</v>
      </c>
      <c r="B2126" t="s">
        <v>3233</v>
      </c>
      <c r="C2126" t="s">
        <v>3248</v>
      </c>
      <c r="D2126" s="3">
        <f t="shared" si="170"/>
        <v>7.5</v>
      </c>
      <c r="E2126" t="s">
        <v>178</v>
      </c>
      <c r="F2126" t="s">
        <v>34</v>
      </c>
      <c r="G2126">
        <f t="shared" si="171"/>
        <v>2125000</v>
      </c>
      <c r="H2126" t="s">
        <v>936</v>
      </c>
      <c r="I2126" t="s">
        <v>3468</v>
      </c>
      <c r="J2126" s="2">
        <f t="shared" si="172"/>
        <v>1945000</v>
      </c>
      <c r="K2126" t="s">
        <v>3469</v>
      </c>
      <c r="L2126">
        <f t="shared" si="173"/>
        <v>0.17291666666666669</v>
      </c>
      <c r="M2126" s="5">
        <v>0.17291666666666669</v>
      </c>
      <c r="N2126" t="s">
        <v>43</v>
      </c>
      <c r="P2126" t="s">
        <v>1125</v>
      </c>
      <c r="R2126" s="3">
        <f t="shared" si="169"/>
        <v>4.1500000000000004</v>
      </c>
    </row>
    <row r="2127" spans="1:18" hidden="1" x14ac:dyDescent="0.25">
      <c r="A2127" t="s">
        <v>3291</v>
      </c>
      <c r="B2127" t="s">
        <v>3233</v>
      </c>
      <c r="C2127" t="s">
        <v>3248</v>
      </c>
      <c r="D2127" s="3">
        <f t="shared" si="170"/>
        <v>6.25</v>
      </c>
      <c r="E2127" t="s">
        <v>74</v>
      </c>
      <c r="F2127" t="s">
        <v>34</v>
      </c>
      <c r="G2127">
        <f t="shared" si="171"/>
        <v>1875000</v>
      </c>
      <c r="H2127" t="s">
        <v>884</v>
      </c>
      <c r="I2127" t="s">
        <v>3292</v>
      </c>
      <c r="J2127" s="2">
        <f t="shared" si="172"/>
        <v>1751000</v>
      </c>
      <c r="K2127" t="s">
        <v>3293</v>
      </c>
      <c r="L2127">
        <f t="shared" si="173"/>
        <v>0.17222222222222225</v>
      </c>
      <c r="M2127" s="5">
        <v>0.17222222222222225</v>
      </c>
      <c r="N2127" t="s">
        <v>43</v>
      </c>
      <c r="P2127" t="s">
        <v>1810</v>
      </c>
      <c r="R2127" s="3">
        <f t="shared" si="169"/>
        <v>4.1333333333333337</v>
      </c>
    </row>
    <row r="2128" spans="1:18" hidden="1" x14ac:dyDescent="0.25">
      <c r="A2128" t="s">
        <v>5446</v>
      </c>
      <c r="B2128" t="s">
        <v>5848</v>
      </c>
      <c r="C2128" t="s">
        <v>5350</v>
      </c>
      <c r="D2128" s="3">
        <f t="shared" si="170"/>
        <v>6.25</v>
      </c>
      <c r="E2128" t="s">
        <v>74</v>
      </c>
      <c r="F2128" t="s">
        <v>34</v>
      </c>
      <c r="G2128">
        <f t="shared" si="171"/>
        <v>1625000</v>
      </c>
      <c r="H2128" t="s">
        <v>702</v>
      </c>
      <c r="I2128" t="s">
        <v>5447</v>
      </c>
      <c r="J2128" s="2">
        <f t="shared" si="172"/>
        <v>1545000</v>
      </c>
      <c r="K2128" t="s">
        <v>1503</v>
      </c>
      <c r="L2128">
        <f t="shared" si="173"/>
        <v>0.17291666666666669</v>
      </c>
      <c r="M2128" s="5">
        <v>0.17291666666666669</v>
      </c>
      <c r="N2128" t="s">
        <v>43</v>
      </c>
      <c r="P2128" t="s">
        <v>719</v>
      </c>
      <c r="R2128" s="3">
        <f t="shared" si="169"/>
        <v>4.1500000000000004</v>
      </c>
    </row>
    <row r="2129" spans="1:18" hidden="1" x14ac:dyDescent="0.25">
      <c r="A2129" t="s">
        <v>5638</v>
      </c>
      <c r="B2129" t="s">
        <v>5848</v>
      </c>
      <c r="C2129" t="s">
        <v>5350</v>
      </c>
      <c r="D2129" s="3">
        <f t="shared" si="170"/>
        <v>6.25</v>
      </c>
      <c r="E2129" t="s">
        <v>74</v>
      </c>
      <c r="F2129" t="s">
        <v>34</v>
      </c>
      <c r="G2129">
        <f t="shared" si="171"/>
        <v>1225000</v>
      </c>
      <c r="H2129" t="s">
        <v>661</v>
      </c>
      <c r="I2129" t="s">
        <v>5639</v>
      </c>
      <c r="J2129" s="2">
        <f t="shared" si="172"/>
        <v>1129000</v>
      </c>
      <c r="K2129" t="s">
        <v>1680</v>
      </c>
      <c r="L2129">
        <f t="shared" si="173"/>
        <v>0.17083333333333331</v>
      </c>
      <c r="M2129" s="5">
        <v>0.17083333333333331</v>
      </c>
      <c r="N2129" t="s">
        <v>43</v>
      </c>
      <c r="P2129" t="s">
        <v>1581</v>
      </c>
      <c r="R2129" s="3">
        <f t="shared" si="169"/>
        <v>4.0999999999999996</v>
      </c>
    </row>
    <row r="2130" spans="1:18" hidden="1" x14ac:dyDescent="0.25">
      <c r="A2130" t="s">
        <v>5699</v>
      </c>
      <c r="B2130" t="s">
        <v>5848</v>
      </c>
      <c r="C2130" t="s">
        <v>5350</v>
      </c>
      <c r="D2130" s="3">
        <f t="shared" si="170"/>
        <v>6.25</v>
      </c>
      <c r="E2130" t="s">
        <v>74</v>
      </c>
      <c r="F2130" t="s">
        <v>34</v>
      </c>
      <c r="G2130">
        <f t="shared" si="171"/>
        <v>1125000</v>
      </c>
      <c r="H2130" t="s">
        <v>724</v>
      </c>
      <c r="I2130" t="s">
        <v>5700</v>
      </c>
      <c r="J2130" s="2">
        <f t="shared" si="172"/>
        <v>1037000</v>
      </c>
      <c r="K2130" t="s">
        <v>2378</v>
      </c>
      <c r="L2130">
        <f t="shared" si="173"/>
        <v>0.17291666666666669</v>
      </c>
      <c r="M2130" s="5">
        <v>0.17291666666666669</v>
      </c>
      <c r="N2130" t="s">
        <v>43</v>
      </c>
      <c r="P2130" t="s">
        <v>2379</v>
      </c>
      <c r="R2130" s="3">
        <f t="shared" si="169"/>
        <v>4.1500000000000004</v>
      </c>
    </row>
    <row r="2131" spans="1:18" hidden="1" x14ac:dyDescent="0.25">
      <c r="A2131" t="s">
        <v>5746</v>
      </c>
      <c r="B2131" t="s">
        <v>5848</v>
      </c>
      <c r="C2131" t="s">
        <v>5350</v>
      </c>
      <c r="D2131" s="3">
        <f t="shared" si="170"/>
        <v>12</v>
      </c>
      <c r="E2131" t="s">
        <v>33</v>
      </c>
      <c r="F2131" t="s">
        <v>34</v>
      </c>
      <c r="G2131">
        <f t="shared" si="171"/>
        <v>1725000</v>
      </c>
      <c r="H2131" t="s">
        <v>897</v>
      </c>
      <c r="I2131" t="s">
        <v>5747</v>
      </c>
      <c r="J2131" s="2">
        <f t="shared" si="172"/>
        <v>1640000</v>
      </c>
      <c r="K2131" t="s">
        <v>1735</v>
      </c>
      <c r="L2131">
        <f t="shared" si="173"/>
        <v>0.17291666666666669</v>
      </c>
      <c r="M2131" s="5">
        <v>0.17291666666666669</v>
      </c>
      <c r="N2131" t="s">
        <v>43</v>
      </c>
      <c r="P2131" t="s">
        <v>713</v>
      </c>
      <c r="R2131" s="3">
        <f t="shared" si="169"/>
        <v>4.1500000000000004</v>
      </c>
    </row>
    <row r="2132" spans="1:18" hidden="1" x14ac:dyDescent="0.25">
      <c r="A2132" t="s">
        <v>5422</v>
      </c>
      <c r="B2132" t="s">
        <v>5848</v>
      </c>
      <c r="C2132" t="s">
        <v>5339</v>
      </c>
      <c r="D2132" s="3">
        <f t="shared" si="170"/>
        <v>10.8</v>
      </c>
      <c r="E2132" t="s">
        <v>880</v>
      </c>
      <c r="F2132" t="s">
        <v>34</v>
      </c>
      <c r="G2132">
        <f t="shared" si="171"/>
        <v>1900000</v>
      </c>
      <c r="H2132" t="s">
        <v>352</v>
      </c>
      <c r="I2132" t="s">
        <v>5423</v>
      </c>
      <c r="J2132" s="2">
        <f t="shared" si="172"/>
        <v>1710000</v>
      </c>
      <c r="K2132" t="s">
        <v>2404</v>
      </c>
      <c r="L2132">
        <f t="shared" si="173"/>
        <v>0.17222222222222225</v>
      </c>
      <c r="M2132" s="5">
        <v>0.17222222222222225</v>
      </c>
      <c r="N2132" t="s">
        <v>43</v>
      </c>
      <c r="P2132" t="s">
        <v>1078</v>
      </c>
      <c r="R2132" s="3">
        <f t="shared" si="169"/>
        <v>4.1333333333333337</v>
      </c>
    </row>
    <row r="2133" spans="1:18" hidden="1" x14ac:dyDescent="0.25">
      <c r="A2133" t="s">
        <v>5788</v>
      </c>
      <c r="B2133" t="s">
        <v>5848</v>
      </c>
      <c r="C2133" t="s">
        <v>5339</v>
      </c>
      <c r="D2133" s="3">
        <f t="shared" si="170"/>
        <v>10.8</v>
      </c>
      <c r="E2133" t="s">
        <v>880</v>
      </c>
      <c r="F2133" t="s">
        <v>13</v>
      </c>
      <c r="G2133">
        <f t="shared" si="171"/>
        <v>1800000</v>
      </c>
      <c r="H2133" t="s">
        <v>228</v>
      </c>
      <c r="I2133" t="s">
        <v>5789</v>
      </c>
      <c r="J2133" s="2">
        <f t="shared" si="172"/>
        <v>1620000</v>
      </c>
      <c r="K2133" t="s">
        <v>5790</v>
      </c>
      <c r="L2133">
        <f t="shared" si="173"/>
        <v>0</v>
      </c>
      <c r="N2133" t="s">
        <v>43</v>
      </c>
      <c r="P2133" t="s">
        <v>1125</v>
      </c>
      <c r="R2133" s="3">
        <f t="shared" si="169"/>
        <v>0</v>
      </c>
    </row>
    <row r="2134" spans="1:18" hidden="1" x14ac:dyDescent="0.25">
      <c r="A2134" t="s">
        <v>5605</v>
      </c>
      <c r="B2134" t="s">
        <v>5848</v>
      </c>
      <c r="C2134" t="s">
        <v>5339</v>
      </c>
      <c r="D2134" s="3">
        <f t="shared" si="170"/>
        <v>12.92</v>
      </c>
      <c r="E2134" t="s">
        <v>5606</v>
      </c>
      <c r="F2134" t="s">
        <v>34</v>
      </c>
      <c r="G2134">
        <f t="shared" si="171"/>
        <v>1700000</v>
      </c>
      <c r="H2134" t="s">
        <v>23</v>
      </c>
      <c r="I2134" t="s">
        <v>5607</v>
      </c>
      <c r="J2134" s="2">
        <f t="shared" si="172"/>
        <v>1530000</v>
      </c>
      <c r="K2134" t="s">
        <v>928</v>
      </c>
      <c r="L2134">
        <f t="shared" si="173"/>
        <v>0.17291666666666669</v>
      </c>
      <c r="M2134" s="5">
        <v>0.17291666666666669</v>
      </c>
      <c r="N2134" t="s">
        <v>43</v>
      </c>
      <c r="P2134" t="s">
        <v>899</v>
      </c>
      <c r="R2134" s="3">
        <f t="shared" si="169"/>
        <v>4.1500000000000004</v>
      </c>
    </row>
    <row r="2135" spans="1:18" hidden="1" x14ac:dyDescent="0.25">
      <c r="A2135" t="s">
        <v>5760</v>
      </c>
      <c r="B2135" t="s">
        <v>5848</v>
      </c>
      <c r="C2135" t="s">
        <v>5339</v>
      </c>
      <c r="D2135" s="3">
        <f t="shared" si="170"/>
        <v>10.8</v>
      </c>
      <c r="E2135" t="s">
        <v>880</v>
      </c>
      <c r="F2135" t="s">
        <v>13</v>
      </c>
      <c r="G2135">
        <f t="shared" si="171"/>
        <v>1500000</v>
      </c>
      <c r="H2135" t="s">
        <v>66</v>
      </c>
      <c r="I2135" t="s">
        <v>5761</v>
      </c>
      <c r="J2135" s="2">
        <f t="shared" si="172"/>
        <v>1350000</v>
      </c>
      <c r="K2135" t="s">
        <v>257</v>
      </c>
      <c r="L2135">
        <f t="shared" si="173"/>
        <v>0.17291666666666669</v>
      </c>
      <c r="M2135" s="5">
        <v>0.17291666666666669</v>
      </c>
      <c r="N2135" t="s">
        <v>43</v>
      </c>
      <c r="P2135" t="s">
        <v>681</v>
      </c>
      <c r="R2135" s="3">
        <f t="shared" si="169"/>
        <v>4.1500000000000004</v>
      </c>
    </row>
    <row r="2136" spans="1:18" hidden="1" x14ac:dyDescent="0.25">
      <c r="A2136" t="s">
        <v>5758</v>
      </c>
      <c r="B2136" t="s">
        <v>5848</v>
      </c>
      <c r="C2136" t="s">
        <v>5339</v>
      </c>
      <c r="D2136" s="3">
        <f t="shared" si="170"/>
        <v>10.8</v>
      </c>
      <c r="E2136" t="s">
        <v>880</v>
      </c>
      <c r="F2136" t="s">
        <v>34</v>
      </c>
      <c r="G2136">
        <f t="shared" si="171"/>
        <v>1600000</v>
      </c>
      <c r="H2136" t="s">
        <v>95</v>
      </c>
      <c r="I2136" t="s">
        <v>5759</v>
      </c>
      <c r="J2136" s="2">
        <f t="shared" si="172"/>
        <v>1440000</v>
      </c>
      <c r="K2136" t="s">
        <v>672</v>
      </c>
      <c r="L2136">
        <f t="shared" si="173"/>
        <v>0.12847222222222224</v>
      </c>
      <c r="M2136" s="5">
        <v>0.12847222222222224</v>
      </c>
      <c r="N2136" t="s">
        <v>43</v>
      </c>
      <c r="P2136" t="s">
        <v>673</v>
      </c>
      <c r="R2136" s="3">
        <f t="shared" si="169"/>
        <v>3.0833333333333339</v>
      </c>
    </row>
    <row r="2137" spans="1:18" hidden="1" x14ac:dyDescent="0.25">
      <c r="A2137" t="s">
        <v>1802</v>
      </c>
      <c r="B2137" t="s">
        <v>1303</v>
      </c>
      <c r="C2137" t="s">
        <v>1312</v>
      </c>
      <c r="D2137" s="3">
        <f t="shared" si="170"/>
        <v>6.6000000000000005</v>
      </c>
      <c r="E2137" t="s">
        <v>1096</v>
      </c>
      <c r="F2137" t="s">
        <v>13</v>
      </c>
      <c r="G2137" t="str">
        <f t="shared" si="171"/>
        <v/>
      </c>
      <c r="H2137" t="s">
        <v>14</v>
      </c>
      <c r="I2137" t="s">
        <v>1803</v>
      </c>
      <c r="J2137" s="2">
        <f t="shared" si="172"/>
        <v>1925000</v>
      </c>
      <c r="K2137" t="s">
        <v>552</v>
      </c>
      <c r="L2137">
        <f t="shared" si="173"/>
        <v>0.17291666666666669</v>
      </c>
      <c r="M2137" s="5">
        <v>0.17291666666666669</v>
      </c>
      <c r="N2137" t="s">
        <v>43</v>
      </c>
      <c r="P2137" t="s">
        <v>1402</v>
      </c>
      <c r="R2137" s="3">
        <f t="shared" si="169"/>
        <v>4.1500000000000004</v>
      </c>
    </row>
    <row r="2138" spans="1:18" x14ac:dyDescent="0.25">
      <c r="A2138" t="s">
        <v>2982</v>
      </c>
      <c r="B2138" t="s">
        <v>3206</v>
      </c>
      <c r="C2138" t="s">
        <v>2640</v>
      </c>
      <c r="D2138" s="3">
        <f t="shared" si="170"/>
        <v>15.2</v>
      </c>
      <c r="E2138" t="s">
        <v>2983</v>
      </c>
      <c r="F2138" t="s">
        <v>13</v>
      </c>
      <c r="G2138">
        <f t="shared" si="171"/>
        <v>2900000</v>
      </c>
      <c r="H2138" t="s">
        <v>1738</v>
      </c>
      <c r="I2138" t="s">
        <v>2984</v>
      </c>
      <c r="J2138" s="2">
        <f t="shared" si="172"/>
        <v>2755000</v>
      </c>
      <c r="K2138" t="s">
        <v>2985</v>
      </c>
      <c r="L2138">
        <f t="shared" si="173"/>
        <v>0.17291666666666669</v>
      </c>
      <c r="M2138" s="5">
        <v>0.17291666666666669</v>
      </c>
      <c r="N2138" t="s">
        <v>43</v>
      </c>
      <c r="P2138" t="s">
        <v>1970</v>
      </c>
      <c r="R2138" s="3">
        <f t="shared" si="169"/>
        <v>4.1500000000000004</v>
      </c>
    </row>
    <row r="2139" spans="1:18" hidden="1" x14ac:dyDescent="0.25">
      <c r="A2139" t="s">
        <v>3066</v>
      </c>
      <c r="B2139" t="s">
        <v>3206</v>
      </c>
      <c r="C2139" t="s">
        <v>2671</v>
      </c>
      <c r="D2139" s="3">
        <f t="shared" si="170"/>
        <v>9</v>
      </c>
      <c r="E2139" t="s">
        <v>12</v>
      </c>
      <c r="F2139" t="s">
        <v>13</v>
      </c>
      <c r="G2139" t="str">
        <f t="shared" si="171"/>
        <v/>
      </c>
      <c r="H2139" t="s">
        <v>14</v>
      </c>
      <c r="I2139" t="s">
        <v>3067</v>
      </c>
      <c r="J2139" s="2">
        <f t="shared" si="172"/>
        <v>1425000</v>
      </c>
      <c r="K2139" t="s">
        <v>909</v>
      </c>
      <c r="L2139">
        <f t="shared" si="173"/>
        <v>0.17222222222222225</v>
      </c>
      <c r="M2139" s="5">
        <v>0.17222222222222225</v>
      </c>
      <c r="N2139" t="s">
        <v>18</v>
      </c>
      <c r="P2139" t="s">
        <v>979</v>
      </c>
      <c r="R2139" s="3">
        <f t="shared" si="169"/>
        <v>4.1333333333333337</v>
      </c>
    </row>
    <row r="2140" spans="1:18" hidden="1" x14ac:dyDescent="0.25">
      <c r="A2140" t="s">
        <v>1707</v>
      </c>
      <c r="B2140" t="s">
        <v>1303</v>
      </c>
      <c r="C2140" t="s">
        <v>1312</v>
      </c>
      <c r="D2140" s="3">
        <f t="shared" si="170"/>
        <v>8</v>
      </c>
      <c r="E2140" t="s">
        <v>1708</v>
      </c>
      <c r="F2140" t="s">
        <v>13</v>
      </c>
      <c r="G2140">
        <f t="shared" si="171"/>
        <v>1875000</v>
      </c>
      <c r="H2140" t="s">
        <v>884</v>
      </c>
      <c r="I2140" t="s">
        <v>1709</v>
      </c>
      <c r="J2140" s="2">
        <f t="shared" si="172"/>
        <v>1727000</v>
      </c>
      <c r="K2140" t="s">
        <v>1642</v>
      </c>
      <c r="L2140">
        <f t="shared" si="173"/>
        <v>0.20833333333333334</v>
      </c>
      <c r="M2140" s="5">
        <v>0.20833333333333334</v>
      </c>
      <c r="N2140" t="s">
        <v>43</v>
      </c>
      <c r="P2140" t="s">
        <v>1643</v>
      </c>
      <c r="R2140" s="3">
        <f t="shared" si="169"/>
        <v>5</v>
      </c>
    </row>
    <row r="2141" spans="1:18" hidden="1" x14ac:dyDescent="0.25">
      <c r="A2141" t="s">
        <v>1939</v>
      </c>
      <c r="B2141" t="s">
        <v>1303</v>
      </c>
      <c r="C2141" t="s">
        <v>1312</v>
      </c>
      <c r="D2141" s="3">
        <f t="shared" si="170"/>
        <v>8</v>
      </c>
      <c r="E2141" t="s">
        <v>1708</v>
      </c>
      <c r="F2141" t="s">
        <v>13</v>
      </c>
      <c r="G2141">
        <f t="shared" si="171"/>
        <v>1825000</v>
      </c>
      <c r="H2141" t="s">
        <v>196</v>
      </c>
      <c r="I2141" t="s">
        <v>1940</v>
      </c>
      <c r="J2141" s="2">
        <f t="shared" si="172"/>
        <v>1681000</v>
      </c>
      <c r="K2141" t="s">
        <v>1401</v>
      </c>
      <c r="L2141">
        <f t="shared" si="173"/>
        <v>0.17013888888888887</v>
      </c>
      <c r="M2141" s="5">
        <v>0.17013888888888887</v>
      </c>
      <c r="N2141" t="s">
        <v>43</v>
      </c>
      <c r="P2141" t="s">
        <v>1402</v>
      </c>
      <c r="R2141" s="3">
        <f t="shared" si="169"/>
        <v>4.083333333333333</v>
      </c>
    </row>
    <row r="2142" spans="1:18" hidden="1" x14ac:dyDescent="0.25">
      <c r="A2142" t="s">
        <v>5836</v>
      </c>
      <c r="B2142" t="s">
        <v>5848</v>
      </c>
      <c r="C2142" t="s">
        <v>5369</v>
      </c>
      <c r="D2142" s="3">
        <f t="shared" si="170"/>
        <v>16</v>
      </c>
      <c r="E2142" t="s">
        <v>79</v>
      </c>
      <c r="F2142" t="s">
        <v>13</v>
      </c>
      <c r="G2142" t="str">
        <f t="shared" si="171"/>
        <v/>
      </c>
      <c r="H2142" t="s">
        <v>14</v>
      </c>
      <c r="I2142" t="s">
        <v>5837</v>
      </c>
      <c r="J2142" s="2">
        <f t="shared" si="172"/>
        <v>1875000</v>
      </c>
      <c r="K2142" t="s">
        <v>884</v>
      </c>
      <c r="L2142">
        <f t="shared" si="173"/>
        <v>0.16666666666666666</v>
      </c>
      <c r="M2142" s="5">
        <v>0.16666666666666666</v>
      </c>
      <c r="N2142" t="s">
        <v>18</v>
      </c>
      <c r="R2142" s="3">
        <f t="shared" si="169"/>
        <v>4</v>
      </c>
    </row>
    <row r="2143" spans="1:18" hidden="1" x14ac:dyDescent="0.25">
      <c r="A2143" t="s">
        <v>5564</v>
      </c>
      <c r="B2143" t="s">
        <v>5848</v>
      </c>
      <c r="C2143" t="s">
        <v>5369</v>
      </c>
      <c r="D2143" s="3">
        <f t="shared" si="170"/>
        <v>10.5</v>
      </c>
      <c r="E2143" t="s">
        <v>653</v>
      </c>
      <c r="F2143" t="s">
        <v>13</v>
      </c>
      <c r="G2143" t="str">
        <f t="shared" si="171"/>
        <v/>
      </c>
      <c r="H2143" t="s">
        <v>14</v>
      </c>
      <c r="I2143" t="s">
        <v>5565</v>
      </c>
      <c r="J2143" s="2">
        <f t="shared" si="172"/>
        <v>1775000</v>
      </c>
      <c r="K2143" t="s">
        <v>1055</v>
      </c>
      <c r="L2143">
        <f t="shared" si="173"/>
        <v>0.17291666666666669</v>
      </c>
      <c r="M2143" s="5">
        <v>0.17291666666666669</v>
      </c>
      <c r="N2143" t="s">
        <v>18</v>
      </c>
      <c r="R2143" s="3">
        <f t="shared" si="169"/>
        <v>4.1500000000000004</v>
      </c>
    </row>
    <row r="2144" spans="1:18" hidden="1" x14ac:dyDescent="0.25">
      <c r="A2144" t="s">
        <v>5424</v>
      </c>
      <c r="B2144" t="s">
        <v>5848</v>
      </c>
      <c r="C2144" t="s">
        <v>5369</v>
      </c>
      <c r="D2144" s="3">
        <f t="shared" si="170"/>
        <v>9</v>
      </c>
      <c r="E2144" t="s">
        <v>12</v>
      </c>
      <c r="F2144" t="s">
        <v>13</v>
      </c>
      <c r="G2144" t="str">
        <f t="shared" si="171"/>
        <v/>
      </c>
      <c r="H2144" t="s">
        <v>14</v>
      </c>
      <c r="I2144" t="s">
        <v>5425</v>
      </c>
      <c r="J2144" s="2">
        <f t="shared" si="172"/>
        <v>1675000</v>
      </c>
      <c r="K2144" t="s">
        <v>1119</v>
      </c>
      <c r="L2144">
        <f t="shared" si="173"/>
        <v>0.17291666666666669</v>
      </c>
      <c r="M2144" s="5">
        <v>0.17291666666666669</v>
      </c>
      <c r="N2144" t="s">
        <v>18</v>
      </c>
      <c r="R2144" s="3">
        <f t="shared" si="169"/>
        <v>4.1500000000000004</v>
      </c>
    </row>
    <row r="2145" spans="1:18" x14ac:dyDescent="0.25">
      <c r="A2145" t="s">
        <v>3229</v>
      </c>
      <c r="B2145" t="s">
        <v>3233</v>
      </c>
      <c r="C2145" t="s">
        <v>3232</v>
      </c>
      <c r="D2145" s="3">
        <f t="shared" si="170"/>
        <v>14.100000000000001</v>
      </c>
      <c r="E2145" t="s">
        <v>3230</v>
      </c>
      <c r="F2145" t="s">
        <v>13</v>
      </c>
      <c r="G2145" t="str">
        <f t="shared" si="171"/>
        <v/>
      </c>
      <c r="H2145" t="s">
        <v>14</v>
      </c>
      <c r="I2145" t="s">
        <v>3231</v>
      </c>
      <c r="J2145" s="2">
        <f t="shared" si="172"/>
        <v>2775000</v>
      </c>
      <c r="K2145" t="s">
        <v>2338</v>
      </c>
      <c r="L2145">
        <f t="shared" si="173"/>
        <v>0.17222222222222225</v>
      </c>
      <c r="M2145" s="5">
        <v>0.17222222222222225</v>
      </c>
      <c r="N2145" t="s">
        <v>43</v>
      </c>
      <c r="R2145" s="3">
        <f t="shared" si="169"/>
        <v>4.1333333333333337</v>
      </c>
    </row>
    <row r="2146" spans="1:18" hidden="1" x14ac:dyDescent="0.25">
      <c r="A2146" t="s">
        <v>3141</v>
      </c>
      <c r="B2146" t="s">
        <v>3206</v>
      </c>
      <c r="C2146" t="s">
        <v>2628</v>
      </c>
      <c r="D2146" s="3">
        <f t="shared" si="170"/>
        <v>12</v>
      </c>
      <c r="E2146" t="s">
        <v>33</v>
      </c>
      <c r="F2146" t="s">
        <v>13</v>
      </c>
      <c r="G2146">
        <f t="shared" si="171"/>
        <v>2275000</v>
      </c>
      <c r="H2146" t="s">
        <v>1027</v>
      </c>
      <c r="I2146" t="s">
        <v>3142</v>
      </c>
      <c r="J2146" s="2">
        <f t="shared" si="172"/>
        <v>2162500</v>
      </c>
      <c r="K2146" t="s">
        <v>1029</v>
      </c>
      <c r="L2146">
        <f t="shared" si="173"/>
        <v>0.17222222222222225</v>
      </c>
      <c r="M2146" s="5">
        <v>0.17222222222222225</v>
      </c>
      <c r="N2146" t="s">
        <v>18</v>
      </c>
      <c r="P2146" t="s">
        <v>1030</v>
      </c>
      <c r="R2146" s="3">
        <f t="shared" si="169"/>
        <v>4.1333333333333337</v>
      </c>
    </row>
    <row r="2147" spans="1:18" hidden="1" x14ac:dyDescent="0.25">
      <c r="A2147" t="s">
        <v>3945</v>
      </c>
      <c r="B2147" t="s">
        <v>3746</v>
      </c>
      <c r="C2147" t="s">
        <v>3763</v>
      </c>
      <c r="D2147" s="3">
        <f t="shared" si="170"/>
        <v>9</v>
      </c>
      <c r="E2147" t="s">
        <v>12</v>
      </c>
      <c r="F2147" t="s">
        <v>13</v>
      </c>
      <c r="G2147">
        <f t="shared" si="171"/>
        <v>1925000</v>
      </c>
      <c r="H2147" t="s">
        <v>552</v>
      </c>
      <c r="I2147" t="s">
        <v>3946</v>
      </c>
      <c r="J2147" s="2">
        <f t="shared" si="172"/>
        <v>1773000</v>
      </c>
      <c r="K2147" t="s">
        <v>1563</v>
      </c>
      <c r="L2147">
        <f t="shared" si="173"/>
        <v>0.17083333333333331</v>
      </c>
      <c r="M2147" s="5">
        <v>0.17083333333333331</v>
      </c>
      <c r="N2147" t="s">
        <v>18</v>
      </c>
      <c r="P2147" t="s">
        <v>1564</v>
      </c>
      <c r="R2147" s="3">
        <f t="shared" si="169"/>
        <v>4.0999999999999996</v>
      </c>
    </row>
    <row r="2148" spans="1:18" hidden="1" x14ac:dyDescent="0.25">
      <c r="A2148" t="s">
        <v>3781</v>
      </c>
      <c r="B2148" t="s">
        <v>3746</v>
      </c>
      <c r="C2148" t="s">
        <v>3763</v>
      </c>
      <c r="D2148" s="3">
        <f t="shared" si="170"/>
        <v>9</v>
      </c>
      <c r="E2148" t="s">
        <v>12</v>
      </c>
      <c r="F2148" t="s">
        <v>13</v>
      </c>
      <c r="G2148">
        <f t="shared" si="171"/>
        <v>1495000</v>
      </c>
      <c r="H2148" t="s">
        <v>2202</v>
      </c>
      <c r="I2148" t="s">
        <v>3782</v>
      </c>
      <c r="J2148" s="2">
        <f t="shared" si="172"/>
        <v>1421500</v>
      </c>
      <c r="K2148" t="s">
        <v>3783</v>
      </c>
      <c r="L2148">
        <f t="shared" si="173"/>
        <v>0.17291666666666669</v>
      </c>
      <c r="M2148" s="5">
        <v>0.17291666666666669</v>
      </c>
      <c r="N2148" t="s">
        <v>18</v>
      </c>
      <c r="P2148" t="s">
        <v>1528</v>
      </c>
      <c r="R2148" s="3">
        <f t="shared" si="169"/>
        <v>4.1500000000000004</v>
      </c>
    </row>
    <row r="2149" spans="1:18" hidden="1" x14ac:dyDescent="0.25">
      <c r="A2149" t="s">
        <v>3963</v>
      </c>
      <c r="B2149" t="s">
        <v>3746</v>
      </c>
      <c r="C2149" t="s">
        <v>3763</v>
      </c>
      <c r="D2149" s="3">
        <f t="shared" si="170"/>
        <v>9</v>
      </c>
      <c r="E2149" t="s">
        <v>12</v>
      </c>
      <c r="F2149" t="s">
        <v>13</v>
      </c>
      <c r="G2149">
        <f t="shared" si="171"/>
        <v>1425000</v>
      </c>
      <c r="H2149" t="s">
        <v>909</v>
      </c>
      <c r="I2149" t="s">
        <v>3782</v>
      </c>
      <c r="J2149" s="2">
        <f t="shared" si="172"/>
        <v>1355000</v>
      </c>
      <c r="K2149" t="s">
        <v>2063</v>
      </c>
      <c r="L2149">
        <f t="shared" si="173"/>
        <v>0.20833333333333334</v>
      </c>
      <c r="M2149" s="5">
        <v>0.20833333333333334</v>
      </c>
      <c r="N2149" t="s">
        <v>18</v>
      </c>
      <c r="P2149" t="s">
        <v>2065</v>
      </c>
      <c r="R2149" s="3">
        <f t="shared" si="169"/>
        <v>5</v>
      </c>
    </row>
    <row r="2150" spans="1:18" x14ac:dyDescent="0.25">
      <c r="A2150" t="s">
        <v>2893</v>
      </c>
      <c r="B2150" t="s">
        <v>3206</v>
      </c>
      <c r="C2150" t="s">
        <v>2779</v>
      </c>
      <c r="D2150" s="3">
        <f t="shared" si="170"/>
        <v>16</v>
      </c>
      <c r="E2150" t="s">
        <v>79</v>
      </c>
      <c r="F2150" t="s">
        <v>13</v>
      </c>
      <c r="G2150" t="str">
        <f t="shared" si="171"/>
        <v/>
      </c>
      <c r="H2150" t="s">
        <v>14</v>
      </c>
      <c r="I2150" t="s">
        <v>2894</v>
      </c>
      <c r="J2150" s="2">
        <f t="shared" si="172"/>
        <v>2825000</v>
      </c>
      <c r="K2150" t="s">
        <v>1604</v>
      </c>
      <c r="L2150">
        <f t="shared" si="173"/>
        <v>0.17013888888888887</v>
      </c>
      <c r="M2150" s="5">
        <v>0.17013888888888887</v>
      </c>
      <c r="N2150" t="s">
        <v>43</v>
      </c>
      <c r="P2150" t="s">
        <v>1607</v>
      </c>
      <c r="R2150" s="3">
        <f t="shared" si="169"/>
        <v>4.083333333333333</v>
      </c>
    </row>
    <row r="2151" spans="1:18" x14ac:dyDescent="0.25">
      <c r="A2151" t="s">
        <v>3132</v>
      </c>
      <c r="B2151" t="s">
        <v>3206</v>
      </c>
      <c r="C2151" t="s">
        <v>2682</v>
      </c>
      <c r="D2151" s="3">
        <f t="shared" si="170"/>
        <v>13.799999999999999</v>
      </c>
      <c r="E2151" t="s">
        <v>3133</v>
      </c>
      <c r="F2151" t="s">
        <v>13</v>
      </c>
      <c r="G2151" t="str">
        <f t="shared" si="171"/>
        <v/>
      </c>
      <c r="H2151" t="s">
        <v>14</v>
      </c>
      <c r="I2151" t="s">
        <v>3134</v>
      </c>
      <c r="J2151" s="2">
        <f t="shared" si="172"/>
        <v>2925000</v>
      </c>
      <c r="K2151" t="s">
        <v>1968</v>
      </c>
      <c r="L2151">
        <f t="shared" si="173"/>
        <v>0.17291666666666669</v>
      </c>
      <c r="M2151" s="5">
        <v>0.17291666666666669</v>
      </c>
      <c r="N2151" t="s">
        <v>43</v>
      </c>
      <c r="P2151" t="s">
        <v>3135</v>
      </c>
      <c r="R2151" s="3">
        <f t="shared" si="169"/>
        <v>4.1500000000000004</v>
      </c>
    </row>
    <row r="2152" spans="1:18" hidden="1" x14ac:dyDescent="0.25">
      <c r="A2152" t="s">
        <v>1736</v>
      </c>
      <c r="B2152" t="s">
        <v>1303</v>
      </c>
      <c r="C2152" t="s">
        <v>1322</v>
      </c>
      <c r="D2152" s="3">
        <f t="shared" si="170"/>
        <v>9</v>
      </c>
      <c r="E2152" t="s">
        <v>12</v>
      </c>
      <c r="F2152" t="s">
        <v>13</v>
      </c>
      <c r="G2152" t="str">
        <f t="shared" si="171"/>
        <v/>
      </c>
      <c r="H2152" t="s">
        <v>14</v>
      </c>
      <c r="I2152" t="s">
        <v>1737</v>
      </c>
      <c r="J2152" s="2">
        <f t="shared" si="172"/>
        <v>2900000</v>
      </c>
      <c r="K2152" t="s">
        <v>1738</v>
      </c>
      <c r="L2152">
        <f t="shared" si="173"/>
        <v>0.16944444444444443</v>
      </c>
      <c r="M2152" s="5">
        <v>0.16944444444444443</v>
      </c>
      <c r="N2152" t="s">
        <v>43</v>
      </c>
      <c r="P2152" t="s">
        <v>1592</v>
      </c>
      <c r="R2152" s="3">
        <f t="shared" si="169"/>
        <v>4.0666666666666664</v>
      </c>
    </row>
    <row r="2153" spans="1:18" x14ac:dyDescent="0.25">
      <c r="A2153" t="s">
        <v>2506</v>
      </c>
      <c r="B2153" t="s">
        <v>2596</v>
      </c>
      <c r="C2153" t="s">
        <v>2036</v>
      </c>
      <c r="D2153" s="3">
        <f t="shared" si="170"/>
        <v>12.600000000000001</v>
      </c>
      <c r="E2153" t="s">
        <v>2173</v>
      </c>
      <c r="F2153" t="s">
        <v>13</v>
      </c>
      <c r="G2153">
        <f t="shared" si="171"/>
        <v>3225000</v>
      </c>
      <c r="H2153" t="s">
        <v>2507</v>
      </c>
      <c r="I2153" t="s">
        <v>2508</v>
      </c>
      <c r="J2153" s="2">
        <f t="shared" si="172"/>
        <v>2969000</v>
      </c>
      <c r="K2153" t="s">
        <v>2509</v>
      </c>
      <c r="L2153">
        <f t="shared" si="173"/>
        <v>0.17291666666666669</v>
      </c>
      <c r="M2153" s="5">
        <v>0.17291666666666669</v>
      </c>
      <c r="N2153" t="s">
        <v>43</v>
      </c>
      <c r="P2153" t="s">
        <v>1824</v>
      </c>
      <c r="R2153" s="3">
        <f t="shared" si="169"/>
        <v>4.1500000000000004</v>
      </c>
    </row>
    <row r="2154" spans="1:18" hidden="1" x14ac:dyDescent="0.25">
      <c r="A2154" t="s">
        <v>2309</v>
      </c>
      <c r="B2154" t="s">
        <v>2596</v>
      </c>
      <c r="C2154" t="s">
        <v>2042</v>
      </c>
      <c r="D2154" s="3">
        <f t="shared" si="170"/>
        <v>10.5</v>
      </c>
      <c r="E2154" t="s">
        <v>653</v>
      </c>
      <c r="F2154" t="s">
        <v>13</v>
      </c>
      <c r="G2154" t="str">
        <f t="shared" si="171"/>
        <v/>
      </c>
      <c r="H2154" t="s">
        <v>14</v>
      </c>
      <c r="I2154" t="s">
        <v>2102</v>
      </c>
      <c r="J2154" s="2">
        <f t="shared" si="172"/>
        <v>3205000</v>
      </c>
      <c r="K2154" t="s">
        <v>2310</v>
      </c>
      <c r="L2154">
        <f t="shared" si="173"/>
        <v>0.17222222222222225</v>
      </c>
      <c r="M2154" s="5">
        <v>0.17222222222222225</v>
      </c>
      <c r="N2154" t="s">
        <v>43</v>
      </c>
      <c r="R2154" s="3">
        <f t="shared" si="169"/>
        <v>4.1333333333333337</v>
      </c>
    </row>
    <row r="2155" spans="1:18" hidden="1" x14ac:dyDescent="0.25">
      <c r="A2155" t="s">
        <v>2298</v>
      </c>
      <c r="B2155" t="s">
        <v>2596</v>
      </c>
      <c r="C2155" t="s">
        <v>2042</v>
      </c>
      <c r="D2155" s="3">
        <f t="shared" si="170"/>
        <v>10.5</v>
      </c>
      <c r="E2155" t="s">
        <v>653</v>
      </c>
      <c r="F2155" t="s">
        <v>13</v>
      </c>
      <c r="G2155" t="str">
        <f t="shared" si="171"/>
        <v/>
      </c>
      <c r="H2155" t="s">
        <v>14</v>
      </c>
      <c r="I2155" t="s">
        <v>2102</v>
      </c>
      <c r="J2155" s="2">
        <f t="shared" si="172"/>
        <v>3095000</v>
      </c>
      <c r="K2155" t="s">
        <v>2299</v>
      </c>
      <c r="L2155">
        <f t="shared" si="173"/>
        <v>0.17083333333333331</v>
      </c>
      <c r="M2155" s="5">
        <v>0.17083333333333331</v>
      </c>
      <c r="N2155" t="s">
        <v>43</v>
      </c>
      <c r="R2155" s="3">
        <f t="shared" si="169"/>
        <v>4.0999999999999996</v>
      </c>
    </row>
    <row r="2156" spans="1:18" hidden="1" x14ac:dyDescent="0.25">
      <c r="A2156" t="s">
        <v>2101</v>
      </c>
      <c r="B2156" t="s">
        <v>2596</v>
      </c>
      <c r="C2156" t="s">
        <v>2042</v>
      </c>
      <c r="D2156" s="3">
        <f t="shared" si="170"/>
        <v>10.5</v>
      </c>
      <c r="E2156" t="s">
        <v>653</v>
      </c>
      <c r="F2156" t="s">
        <v>13</v>
      </c>
      <c r="G2156" t="str">
        <f t="shared" si="171"/>
        <v/>
      </c>
      <c r="H2156" t="s">
        <v>14</v>
      </c>
      <c r="I2156" t="s">
        <v>2102</v>
      </c>
      <c r="J2156" s="2">
        <f t="shared" si="172"/>
        <v>2875000</v>
      </c>
      <c r="K2156" t="s">
        <v>1414</v>
      </c>
      <c r="L2156">
        <f t="shared" si="173"/>
        <v>0.17083333333333331</v>
      </c>
      <c r="M2156" s="5">
        <v>0.17083333333333331</v>
      </c>
      <c r="N2156" t="s">
        <v>43</v>
      </c>
      <c r="R2156" s="3">
        <f t="shared" si="169"/>
        <v>4.0999999999999996</v>
      </c>
    </row>
    <row r="2157" spans="1:18" hidden="1" x14ac:dyDescent="0.25">
      <c r="A2157" t="s">
        <v>2392</v>
      </c>
      <c r="B2157" t="s">
        <v>2596</v>
      </c>
      <c r="C2157" t="s">
        <v>2036</v>
      </c>
      <c r="D2157" s="3">
        <f t="shared" si="170"/>
        <v>9</v>
      </c>
      <c r="E2157" t="s">
        <v>12</v>
      </c>
      <c r="F2157" t="s">
        <v>13</v>
      </c>
      <c r="G2157">
        <f t="shared" si="171"/>
        <v>3020000</v>
      </c>
      <c r="H2157" t="s">
        <v>2393</v>
      </c>
      <c r="I2157" t="s">
        <v>2394</v>
      </c>
      <c r="J2157" s="2">
        <f t="shared" si="172"/>
        <v>2722500</v>
      </c>
      <c r="K2157" t="s">
        <v>2395</v>
      </c>
      <c r="L2157">
        <f t="shared" si="173"/>
        <v>0.17083333333333331</v>
      </c>
      <c r="M2157" s="5">
        <v>0.17083333333333331</v>
      </c>
      <c r="N2157" t="s">
        <v>43</v>
      </c>
      <c r="P2157" t="s">
        <v>2396</v>
      </c>
      <c r="R2157" s="3">
        <f t="shared" si="169"/>
        <v>4.0999999999999996</v>
      </c>
    </row>
    <row r="2158" spans="1:18" hidden="1" x14ac:dyDescent="0.25">
      <c r="A2158" t="s">
        <v>2407</v>
      </c>
      <c r="B2158" t="s">
        <v>2596</v>
      </c>
      <c r="C2158" t="s">
        <v>2036</v>
      </c>
      <c r="D2158" s="3">
        <f t="shared" si="170"/>
        <v>7.5</v>
      </c>
      <c r="E2158" t="s">
        <v>178</v>
      </c>
      <c r="F2158" t="s">
        <v>13</v>
      </c>
      <c r="G2158">
        <f t="shared" si="171"/>
        <v>2895000</v>
      </c>
      <c r="H2158" t="s">
        <v>2408</v>
      </c>
      <c r="I2158" t="s">
        <v>2409</v>
      </c>
      <c r="J2158" s="2">
        <f t="shared" si="172"/>
        <v>2610000</v>
      </c>
      <c r="K2158" t="s">
        <v>2410</v>
      </c>
      <c r="L2158">
        <f t="shared" si="173"/>
        <v>0.17083333333333331</v>
      </c>
      <c r="M2158" s="5">
        <v>0.17083333333333331</v>
      </c>
      <c r="N2158" t="s">
        <v>43</v>
      </c>
      <c r="P2158" t="s">
        <v>2411</v>
      </c>
      <c r="R2158" s="3">
        <f t="shared" si="169"/>
        <v>4.0999999999999996</v>
      </c>
    </row>
    <row r="2159" spans="1:18" hidden="1" x14ac:dyDescent="0.25">
      <c r="A2159" t="s">
        <v>2305</v>
      </c>
      <c r="B2159" t="s">
        <v>2596</v>
      </c>
      <c r="C2159" t="s">
        <v>2036</v>
      </c>
      <c r="D2159" s="3">
        <f t="shared" si="170"/>
        <v>6.25</v>
      </c>
      <c r="E2159" t="s">
        <v>74</v>
      </c>
      <c r="F2159" t="s">
        <v>13</v>
      </c>
      <c r="G2159">
        <f t="shared" si="171"/>
        <v>2545000</v>
      </c>
      <c r="H2159" t="s">
        <v>2306</v>
      </c>
      <c r="I2159" t="s">
        <v>2307</v>
      </c>
      <c r="J2159" s="2">
        <f t="shared" si="172"/>
        <v>2295000</v>
      </c>
      <c r="K2159" t="s">
        <v>2308</v>
      </c>
      <c r="L2159">
        <f t="shared" si="173"/>
        <v>0.17083333333333331</v>
      </c>
      <c r="M2159" s="5">
        <v>0.17083333333333331</v>
      </c>
      <c r="N2159" t="s">
        <v>43</v>
      </c>
      <c r="P2159" t="s">
        <v>973</v>
      </c>
      <c r="R2159" s="3">
        <f t="shared" si="169"/>
        <v>4.0999999999999996</v>
      </c>
    </row>
    <row r="2160" spans="1:18" hidden="1" x14ac:dyDescent="0.25">
      <c r="A2160" t="s">
        <v>3510</v>
      </c>
      <c r="B2160" t="s">
        <v>3233</v>
      </c>
      <c r="C2160" t="s">
        <v>3248</v>
      </c>
      <c r="D2160" s="3">
        <f t="shared" si="170"/>
        <v>10.240000000000002</v>
      </c>
      <c r="E2160" t="s">
        <v>941</v>
      </c>
      <c r="F2160" t="s">
        <v>13</v>
      </c>
      <c r="G2160">
        <f t="shared" si="171"/>
        <v>2500000</v>
      </c>
      <c r="H2160" t="s">
        <v>272</v>
      </c>
      <c r="I2160" t="s">
        <v>3511</v>
      </c>
      <c r="J2160" s="2">
        <f t="shared" si="172"/>
        <v>2300000</v>
      </c>
      <c r="K2160" t="s">
        <v>820</v>
      </c>
      <c r="L2160">
        <f t="shared" si="173"/>
        <v>0</v>
      </c>
      <c r="N2160" t="s">
        <v>18</v>
      </c>
      <c r="P2160" t="s">
        <v>1053</v>
      </c>
      <c r="R2160" s="3">
        <f t="shared" si="169"/>
        <v>0</v>
      </c>
    </row>
    <row r="2161" spans="1:18" x14ac:dyDescent="0.25">
      <c r="A2161" t="s">
        <v>2051</v>
      </c>
      <c r="B2161" t="s">
        <v>2596</v>
      </c>
      <c r="C2161" t="s">
        <v>2053</v>
      </c>
      <c r="D2161" s="3">
        <f t="shared" si="170"/>
        <v>12</v>
      </c>
      <c r="E2161" t="s">
        <v>33</v>
      </c>
      <c r="F2161" t="s">
        <v>34</v>
      </c>
      <c r="G2161" t="str">
        <f t="shared" si="171"/>
        <v/>
      </c>
      <c r="H2161" t="s">
        <v>14</v>
      </c>
      <c r="I2161" t="s">
        <v>2052</v>
      </c>
      <c r="J2161" s="2">
        <f t="shared" si="172"/>
        <v>3000000</v>
      </c>
      <c r="K2161" t="s">
        <v>1513</v>
      </c>
      <c r="L2161">
        <f t="shared" si="173"/>
        <v>0.12569444444444444</v>
      </c>
      <c r="M2161" s="5">
        <v>0.12569444444444444</v>
      </c>
      <c r="N2161" t="s">
        <v>43</v>
      </c>
      <c r="P2161" t="s">
        <v>681</v>
      </c>
      <c r="R2161" s="3">
        <f t="shared" si="169"/>
        <v>3.0166666666666666</v>
      </c>
    </row>
    <row r="2162" spans="1:18" x14ac:dyDescent="0.25">
      <c r="A2162" t="s">
        <v>1511</v>
      </c>
      <c r="B2162" t="s">
        <v>1303</v>
      </c>
      <c r="C2162" t="s">
        <v>1322</v>
      </c>
      <c r="D2162" s="3">
        <f t="shared" si="170"/>
        <v>12</v>
      </c>
      <c r="E2162" t="s">
        <v>33</v>
      </c>
      <c r="F2162" t="s">
        <v>13</v>
      </c>
      <c r="G2162" t="str">
        <f t="shared" si="171"/>
        <v/>
      </c>
      <c r="H2162" t="s">
        <v>14</v>
      </c>
      <c r="I2162" t="s">
        <v>1512</v>
      </c>
      <c r="J2162" s="2">
        <f t="shared" si="172"/>
        <v>3000000</v>
      </c>
      <c r="K2162" t="s">
        <v>1513</v>
      </c>
      <c r="L2162">
        <f t="shared" si="173"/>
        <v>0.17013888888888887</v>
      </c>
      <c r="M2162" s="5">
        <v>0.17013888888888887</v>
      </c>
      <c r="N2162" t="s">
        <v>18</v>
      </c>
      <c r="R2162" s="3">
        <f t="shared" si="169"/>
        <v>4.083333333333333</v>
      </c>
    </row>
    <row r="2163" spans="1:18" x14ac:dyDescent="0.25">
      <c r="A2163" t="s">
        <v>2167</v>
      </c>
      <c r="B2163" t="s">
        <v>2596</v>
      </c>
      <c r="C2163" t="s">
        <v>2049</v>
      </c>
      <c r="D2163" s="3">
        <f t="shared" si="170"/>
        <v>10.5</v>
      </c>
      <c r="E2163" t="s">
        <v>653</v>
      </c>
      <c r="F2163" t="s">
        <v>13</v>
      </c>
      <c r="G2163" t="str">
        <f t="shared" si="171"/>
        <v/>
      </c>
      <c r="H2163" t="s">
        <v>14</v>
      </c>
      <c r="I2163" t="s">
        <v>2168</v>
      </c>
      <c r="J2163" s="2">
        <f t="shared" si="172"/>
        <v>3000000</v>
      </c>
      <c r="K2163" t="s">
        <v>1513</v>
      </c>
      <c r="L2163">
        <f t="shared" si="173"/>
        <v>0.17291666666666669</v>
      </c>
      <c r="M2163" s="5">
        <v>0.17291666666666669</v>
      </c>
      <c r="N2163" t="s">
        <v>43</v>
      </c>
      <c r="P2163" t="s">
        <v>681</v>
      </c>
      <c r="R2163" s="3">
        <f t="shared" si="169"/>
        <v>4.1500000000000004</v>
      </c>
    </row>
    <row r="2164" spans="1:18" hidden="1" x14ac:dyDescent="0.25">
      <c r="A2164" t="s">
        <v>1600</v>
      </c>
      <c r="B2164" t="s">
        <v>1303</v>
      </c>
      <c r="C2164" t="s">
        <v>1350</v>
      </c>
      <c r="D2164" s="3">
        <f t="shared" si="170"/>
        <v>10.35</v>
      </c>
      <c r="E2164" t="s">
        <v>1601</v>
      </c>
      <c r="F2164" t="s">
        <v>34</v>
      </c>
      <c r="G2164" t="str">
        <f t="shared" si="171"/>
        <v/>
      </c>
      <c r="H2164" t="s">
        <v>14</v>
      </c>
      <c r="I2164" t="s">
        <v>1602</v>
      </c>
      <c r="J2164" s="2">
        <f t="shared" si="172"/>
        <v>1975000</v>
      </c>
      <c r="K2164" t="s">
        <v>956</v>
      </c>
      <c r="L2164">
        <f t="shared" si="173"/>
        <v>0.17083333333333331</v>
      </c>
      <c r="M2164" s="5">
        <v>0.17083333333333331</v>
      </c>
      <c r="N2164" t="s">
        <v>43</v>
      </c>
      <c r="P2164" t="s">
        <v>669</v>
      </c>
      <c r="R2164" s="3">
        <f t="shared" si="169"/>
        <v>4.0999999999999996</v>
      </c>
    </row>
    <row r="2165" spans="1:18" hidden="1" x14ac:dyDescent="0.25">
      <c r="A2165" t="s">
        <v>1878</v>
      </c>
      <c r="B2165" t="s">
        <v>1303</v>
      </c>
      <c r="C2165" t="s">
        <v>1350</v>
      </c>
      <c r="D2165" s="3">
        <f t="shared" si="170"/>
        <v>21.830000000000002</v>
      </c>
      <c r="E2165" t="s">
        <v>1879</v>
      </c>
      <c r="F2165" t="s">
        <v>13</v>
      </c>
      <c r="G2165">
        <f t="shared" si="171"/>
        <v>2825000</v>
      </c>
      <c r="H2165" t="s">
        <v>1604</v>
      </c>
      <c r="I2165" t="s">
        <v>1880</v>
      </c>
      <c r="J2165" s="2">
        <f t="shared" si="172"/>
        <v>2685000</v>
      </c>
      <c r="K2165" t="s">
        <v>1606</v>
      </c>
      <c r="L2165">
        <f t="shared" si="173"/>
        <v>0.16944444444444443</v>
      </c>
      <c r="M2165" s="5">
        <v>0.16944444444444443</v>
      </c>
      <c r="N2165" t="s">
        <v>43</v>
      </c>
      <c r="P2165" t="s">
        <v>1607</v>
      </c>
      <c r="R2165" s="3">
        <f t="shared" si="169"/>
        <v>4.0666666666666664</v>
      </c>
    </row>
    <row r="2166" spans="1:18" hidden="1" x14ac:dyDescent="0.25">
      <c r="A2166" t="s">
        <v>1804</v>
      </c>
      <c r="B2166" t="s">
        <v>1303</v>
      </c>
      <c r="C2166" t="s">
        <v>1350</v>
      </c>
      <c r="D2166" s="3">
        <f t="shared" si="170"/>
        <v>6.16</v>
      </c>
      <c r="E2166" t="s">
        <v>1805</v>
      </c>
      <c r="F2166" t="s">
        <v>13</v>
      </c>
      <c r="G2166">
        <f t="shared" si="171"/>
        <v>2225000</v>
      </c>
      <c r="H2166" t="s">
        <v>1339</v>
      </c>
      <c r="I2166" t="s">
        <v>1806</v>
      </c>
      <c r="J2166" s="2">
        <f t="shared" si="172"/>
        <v>2115000</v>
      </c>
      <c r="K2166" t="s">
        <v>1341</v>
      </c>
      <c r="L2166">
        <f t="shared" si="173"/>
        <v>0.17222222222222225</v>
      </c>
      <c r="M2166" s="5">
        <v>0.17222222222222225</v>
      </c>
      <c r="N2166" t="s">
        <v>43</v>
      </c>
      <c r="P2166" t="s">
        <v>727</v>
      </c>
      <c r="R2166" s="3">
        <f t="shared" si="169"/>
        <v>4.1333333333333337</v>
      </c>
    </row>
    <row r="2167" spans="1:18" hidden="1" x14ac:dyDescent="0.25">
      <c r="A2167" t="s">
        <v>5453</v>
      </c>
      <c r="B2167" t="s">
        <v>5848</v>
      </c>
      <c r="C2167" t="s">
        <v>5454</v>
      </c>
      <c r="D2167" s="3" t="e">
        <f t="shared" si="170"/>
        <v>#VALUE!</v>
      </c>
      <c r="E2167" t="s">
        <v>14</v>
      </c>
      <c r="F2167" t="s">
        <v>14</v>
      </c>
      <c r="G2167">
        <f t="shared" si="171"/>
        <v>1625000</v>
      </c>
      <c r="H2167" t="s">
        <v>702</v>
      </c>
      <c r="I2167" t="s">
        <v>110</v>
      </c>
      <c r="J2167" s="2">
        <f t="shared" si="172"/>
        <v>1497000</v>
      </c>
      <c r="K2167" t="s">
        <v>4331</v>
      </c>
      <c r="L2167">
        <f t="shared" si="173"/>
        <v>0.17222222222222225</v>
      </c>
      <c r="M2167" s="5">
        <v>0.17222222222222225</v>
      </c>
      <c r="N2167" t="s">
        <v>18</v>
      </c>
      <c r="P2167" t="s">
        <v>2619</v>
      </c>
      <c r="R2167" s="3">
        <f t="shared" si="169"/>
        <v>4.1333333333333337</v>
      </c>
    </row>
    <row r="2168" spans="1:18" hidden="1" x14ac:dyDescent="0.25">
      <c r="A2168" t="s">
        <v>2914</v>
      </c>
      <c r="B2168" t="s">
        <v>3206</v>
      </c>
      <c r="C2168" t="s">
        <v>2644</v>
      </c>
      <c r="D2168" s="3">
        <f t="shared" si="170"/>
        <v>9</v>
      </c>
      <c r="E2168" t="s">
        <v>12</v>
      </c>
      <c r="F2168" t="s">
        <v>13</v>
      </c>
      <c r="G2168" t="str">
        <f t="shared" si="171"/>
        <v/>
      </c>
      <c r="H2168" t="s">
        <v>14</v>
      </c>
      <c r="I2168" t="s">
        <v>2915</v>
      </c>
      <c r="J2168" s="2">
        <f t="shared" si="172"/>
        <v>2605000</v>
      </c>
      <c r="K2168" t="s">
        <v>2916</v>
      </c>
      <c r="L2168">
        <f t="shared" si="173"/>
        <v>0.17083333333333331</v>
      </c>
      <c r="M2168" s="5">
        <v>0.17083333333333331</v>
      </c>
      <c r="N2168" t="s">
        <v>18</v>
      </c>
      <c r="P2168" t="s">
        <v>2917</v>
      </c>
      <c r="R2168" s="3">
        <f t="shared" si="169"/>
        <v>4.0999999999999996</v>
      </c>
    </row>
    <row r="2169" spans="1:18" hidden="1" x14ac:dyDescent="0.25">
      <c r="A2169" t="s">
        <v>2957</v>
      </c>
      <c r="B2169" t="s">
        <v>3206</v>
      </c>
      <c r="C2169" t="s">
        <v>2644</v>
      </c>
      <c r="D2169" s="3">
        <f t="shared" si="170"/>
        <v>10.5</v>
      </c>
      <c r="E2169" t="s">
        <v>1051</v>
      </c>
      <c r="F2169" t="s">
        <v>34</v>
      </c>
      <c r="G2169">
        <f t="shared" si="171"/>
        <v>2805000</v>
      </c>
      <c r="H2169" t="s">
        <v>2958</v>
      </c>
      <c r="I2169" t="s">
        <v>2959</v>
      </c>
      <c r="J2169" s="2">
        <f t="shared" si="172"/>
        <v>2582600</v>
      </c>
      <c r="K2169" t="s">
        <v>2960</v>
      </c>
      <c r="L2169">
        <f t="shared" si="173"/>
        <v>0.17083333333333331</v>
      </c>
      <c r="M2169" s="5">
        <v>0.17083333333333331</v>
      </c>
      <c r="N2169" t="s">
        <v>18</v>
      </c>
      <c r="P2169" t="s">
        <v>2917</v>
      </c>
      <c r="R2169" s="3">
        <f t="shared" si="169"/>
        <v>4.0999999999999996</v>
      </c>
    </row>
    <row r="2170" spans="1:18" hidden="1" x14ac:dyDescent="0.25">
      <c r="A2170" t="s">
        <v>2422</v>
      </c>
      <c r="B2170" t="s">
        <v>2596</v>
      </c>
      <c r="C2170" t="s">
        <v>2036</v>
      </c>
      <c r="D2170" s="3">
        <f t="shared" si="170"/>
        <v>12.5</v>
      </c>
      <c r="E2170" t="s">
        <v>2423</v>
      </c>
      <c r="F2170" t="s">
        <v>13</v>
      </c>
      <c r="G2170" t="str">
        <f t="shared" si="171"/>
        <v/>
      </c>
      <c r="H2170" t="s">
        <v>14</v>
      </c>
      <c r="I2170" t="s">
        <v>2424</v>
      </c>
      <c r="J2170" s="2">
        <f t="shared" si="172"/>
        <v>2525000</v>
      </c>
      <c r="K2170" t="s">
        <v>131</v>
      </c>
      <c r="L2170">
        <f t="shared" si="173"/>
        <v>0.17083333333333331</v>
      </c>
      <c r="M2170" s="5">
        <v>0.17083333333333331</v>
      </c>
      <c r="N2170" t="s">
        <v>18</v>
      </c>
      <c r="R2170" s="3">
        <f t="shared" si="169"/>
        <v>4.0999999999999996</v>
      </c>
    </row>
    <row r="2171" spans="1:18" hidden="1" x14ac:dyDescent="0.25">
      <c r="A2171" t="s">
        <v>2184</v>
      </c>
      <c r="B2171" t="s">
        <v>2596</v>
      </c>
      <c r="C2171" t="s">
        <v>2036</v>
      </c>
      <c r="D2171" s="3">
        <f t="shared" si="170"/>
        <v>12</v>
      </c>
      <c r="E2171" t="s">
        <v>347</v>
      </c>
      <c r="F2171" t="s">
        <v>13</v>
      </c>
      <c r="G2171" t="str">
        <f t="shared" si="171"/>
        <v/>
      </c>
      <c r="H2171" t="s">
        <v>14</v>
      </c>
      <c r="I2171" t="s">
        <v>2185</v>
      </c>
      <c r="J2171" s="2">
        <f t="shared" si="172"/>
        <v>2075000</v>
      </c>
      <c r="K2171" t="s">
        <v>1567</v>
      </c>
      <c r="L2171">
        <f t="shared" si="173"/>
        <v>0.17222222222222225</v>
      </c>
      <c r="M2171" s="5">
        <v>0.17222222222222225</v>
      </c>
      <c r="N2171" t="s">
        <v>18</v>
      </c>
      <c r="P2171" t="s">
        <v>1581</v>
      </c>
      <c r="R2171" s="3">
        <f t="shared" si="169"/>
        <v>4.1333333333333337</v>
      </c>
    </row>
    <row r="2172" spans="1:18" hidden="1" x14ac:dyDescent="0.25">
      <c r="A2172" t="s">
        <v>1001</v>
      </c>
      <c r="B2172" t="s">
        <v>640</v>
      </c>
      <c r="C2172" t="s">
        <v>643</v>
      </c>
      <c r="D2172" s="3">
        <f t="shared" si="170"/>
        <v>7.2900000000000009</v>
      </c>
      <c r="E2172" t="s">
        <v>1002</v>
      </c>
      <c r="F2172" t="s">
        <v>13</v>
      </c>
      <c r="G2172">
        <f t="shared" si="171"/>
        <v>1725000</v>
      </c>
      <c r="H2172" t="s">
        <v>897</v>
      </c>
      <c r="I2172" t="s">
        <v>1003</v>
      </c>
      <c r="J2172" s="2">
        <f t="shared" si="172"/>
        <v>1555000</v>
      </c>
      <c r="K2172" t="s">
        <v>789</v>
      </c>
      <c r="L2172">
        <f t="shared" si="173"/>
        <v>0.17013888888888887</v>
      </c>
      <c r="M2172" s="5">
        <v>0.17013888888888887</v>
      </c>
      <c r="N2172" t="s">
        <v>37</v>
      </c>
      <c r="P2172" t="s">
        <v>899</v>
      </c>
      <c r="R2172" s="3">
        <f t="shared" si="169"/>
        <v>4.083333333333333</v>
      </c>
    </row>
    <row r="2173" spans="1:18" x14ac:dyDescent="0.25">
      <c r="A2173" t="s">
        <v>1584</v>
      </c>
      <c r="B2173" t="s">
        <v>1303</v>
      </c>
      <c r="C2173" t="s">
        <v>1322</v>
      </c>
      <c r="D2173" s="3">
        <f t="shared" si="170"/>
        <v>12</v>
      </c>
      <c r="E2173" t="s">
        <v>33</v>
      </c>
      <c r="F2173" t="s">
        <v>13</v>
      </c>
      <c r="G2173" t="str">
        <f t="shared" si="171"/>
        <v/>
      </c>
      <c r="H2173" t="s">
        <v>14</v>
      </c>
      <c r="I2173" t="s">
        <v>1585</v>
      </c>
      <c r="J2173" s="2">
        <f t="shared" si="172"/>
        <v>3000000</v>
      </c>
      <c r="K2173" t="s">
        <v>1513</v>
      </c>
      <c r="L2173">
        <f t="shared" si="173"/>
        <v>0.17083333333333331</v>
      </c>
      <c r="M2173" s="5">
        <v>0.17083333333333331</v>
      </c>
      <c r="N2173" t="s">
        <v>43</v>
      </c>
      <c r="P2173" t="s">
        <v>681</v>
      </c>
      <c r="R2173" s="3">
        <f t="shared" si="169"/>
        <v>4.0999999999999996</v>
      </c>
    </row>
    <row r="2174" spans="1:18" x14ac:dyDescent="0.25">
      <c r="A2174" t="s">
        <v>2040</v>
      </c>
      <c r="B2174" t="s">
        <v>2596</v>
      </c>
      <c r="C2174" t="s">
        <v>2042</v>
      </c>
      <c r="D2174" s="3">
        <f t="shared" si="170"/>
        <v>12</v>
      </c>
      <c r="E2174" t="s">
        <v>33</v>
      </c>
      <c r="F2174" t="s">
        <v>13</v>
      </c>
      <c r="G2174" t="str">
        <f t="shared" si="171"/>
        <v/>
      </c>
      <c r="H2174" t="s">
        <v>14</v>
      </c>
      <c r="I2174" t="s">
        <v>2041</v>
      </c>
      <c r="J2174" s="2">
        <f t="shared" si="172"/>
        <v>3000000</v>
      </c>
      <c r="K2174" t="s">
        <v>1513</v>
      </c>
      <c r="L2174">
        <f t="shared" si="173"/>
        <v>0.12847222222222224</v>
      </c>
      <c r="M2174" s="5">
        <v>0.12847222222222224</v>
      </c>
      <c r="N2174" t="s">
        <v>43</v>
      </c>
      <c r="R2174" s="3">
        <f t="shared" si="169"/>
        <v>3.0833333333333339</v>
      </c>
    </row>
    <row r="2175" spans="1:18" hidden="1" x14ac:dyDescent="0.25">
      <c r="A2175" t="s">
        <v>4288</v>
      </c>
      <c r="B2175" t="s">
        <v>4272</v>
      </c>
      <c r="C2175" t="s">
        <v>4285</v>
      </c>
      <c r="D2175" s="3">
        <f t="shared" si="170"/>
        <v>14</v>
      </c>
      <c r="E2175" t="s">
        <v>238</v>
      </c>
      <c r="F2175" t="s">
        <v>13</v>
      </c>
      <c r="G2175" t="str">
        <f t="shared" si="171"/>
        <v/>
      </c>
      <c r="H2175" t="s">
        <v>14</v>
      </c>
      <c r="I2175" t="s">
        <v>4289</v>
      </c>
      <c r="J2175" s="2">
        <f t="shared" si="172"/>
        <v>1475000</v>
      </c>
      <c r="K2175" t="s">
        <v>182</v>
      </c>
      <c r="L2175">
        <f t="shared" si="173"/>
        <v>0.17083333333333331</v>
      </c>
      <c r="M2175" s="5">
        <v>0.17083333333333331</v>
      </c>
      <c r="N2175" t="s">
        <v>43</v>
      </c>
      <c r="P2175" t="s">
        <v>719</v>
      </c>
      <c r="R2175" s="3">
        <f t="shared" si="169"/>
        <v>4.0999999999999996</v>
      </c>
    </row>
    <row r="2176" spans="1:18" hidden="1" x14ac:dyDescent="0.25">
      <c r="A2176" t="s">
        <v>4290</v>
      </c>
      <c r="B2176" t="s">
        <v>4272</v>
      </c>
      <c r="C2176" t="s">
        <v>4285</v>
      </c>
      <c r="D2176" s="3">
        <f t="shared" si="170"/>
        <v>14</v>
      </c>
      <c r="E2176" t="s">
        <v>238</v>
      </c>
      <c r="F2176" t="s">
        <v>13</v>
      </c>
      <c r="G2176" t="str">
        <f t="shared" si="171"/>
        <v/>
      </c>
      <c r="H2176" t="s">
        <v>14</v>
      </c>
      <c r="I2176" t="s">
        <v>4291</v>
      </c>
      <c r="J2176" s="2">
        <f t="shared" si="172"/>
        <v>1375000</v>
      </c>
      <c r="K2176" t="s">
        <v>812</v>
      </c>
      <c r="L2176">
        <f t="shared" si="173"/>
        <v>0.17083333333333331</v>
      </c>
      <c r="M2176" s="5">
        <v>0.17083333333333331</v>
      </c>
      <c r="N2176" t="s">
        <v>43</v>
      </c>
      <c r="R2176" s="3">
        <f t="shared" si="169"/>
        <v>4.0999999999999996</v>
      </c>
    </row>
    <row r="2177" spans="1:18" hidden="1" x14ac:dyDescent="0.25">
      <c r="A2177" t="s">
        <v>2099</v>
      </c>
      <c r="B2177" t="s">
        <v>2596</v>
      </c>
      <c r="C2177" t="s">
        <v>2036</v>
      </c>
      <c r="D2177" s="3">
        <f t="shared" si="170"/>
        <v>7.5</v>
      </c>
      <c r="E2177" t="s">
        <v>178</v>
      </c>
      <c r="F2177" t="s">
        <v>13</v>
      </c>
      <c r="G2177">
        <f t="shared" si="171"/>
        <v>1375000</v>
      </c>
      <c r="H2177" t="s">
        <v>812</v>
      </c>
      <c r="I2177" t="s">
        <v>2100</v>
      </c>
      <c r="J2177" s="2">
        <f t="shared" si="172"/>
        <v>1307500</v>
      </c>
      <c r="K2177" t="s">
        <v>1817</v>
      </c>
      <c r="L2177">
        <f t="shared" si="173"/>
        <v>0.17291666666666669</v>
      </c>
      <c r="M2177" s="5">
        <v>0.17291666666666669</v>
      </c>
      <c r="N2177" t="s">
        <v>18</v>
      </c>
      <c r="P2177" t="s">
        <v>745</v>
      </c>
      <c r="R2177" s="3">
        <f t="shared" si="169"/>
        <v>4.1500000000000004</v>
      </c>
    </row>
    <row r="2178" spans="1:18" hidden="1" x14ac:dyDescent="0.25">
      <c r="A2178" t="s">
        <v>5670</v>
      </c>
      <c r="B2178" t="s">
        <v>5848</v>
      </c>
      <c r="C2178" t="s">
        <v>5369</v>
      </c>
      <c r="D2178" s="3" t="e">
        <f t="shared" si="170"/>
        <v>#VALUE!</v>
      </c>
      <c r="E2178" t="s">
        <v>14</v>
      </c>
      <c r="F2178" t="s">
        <v>14</v>
      </c>
      <c r="G2178">
        <f t="shared" si="171"/>
        <v>2025000</v>
      </c>
      <c r="H2178" t="s">
        <v>1065</v>
      </c>
      <c r="I2178" t="s">
        <v>110</v>
      </c>
      <c r="J2178" s="2">
        <f t="shared" si="172"/>
        <v>1925000</v>
      </c>
      <c r="K2178" t="s">
        <v>552</v>
      </c>
      <c r="L2178">
        <f t="shared" si="173"/>
        <v>0.20833333333333334</v>
      </c>
      <c r="M2178" s="5">
        <v>0.20833333333333334</v>
      </c>
      <c r="N2178" t="s">
        <v>18</v>
      </c>
      <c r="P2178" t="s">
        <v>669</v>
      </c>
      <c r="R2178" s="3">
        <f t="shared" ref="R2178:R2241" si="174">24*L2178</f>
        <v>5</v>
      </c>
    </row>
    <row r="2179" spans="1:18" hidden="1" x14ac:dyDescent="0.25">
      <c r="A2179" t="s">
        <v>3038</v>
      </c>
      <c r="B2179" t="s">
        <v>3206</v>
      </c>
      <c r="C2179" t="s">
        <v>2772</v>
      </c>
      <c r="D2179" s="3">
        <f t="shared" si="170"/>
        <v>20</v>
      </c>
      <c r="E2179" t="s">
        <v>565</v>
      </c>
      <c r="F2179" t="s">
        <v>13</v>
      </c>
      <c r="G2179" t="str">
        <f t="shared" si="171"/>
        <v/>
      </c>
      <c r="H2179" t="s">
        <v>14</v>
      </c>
      <c r="I2179" t="s">
        <v>3039</v>
      </c>
      <c r="J2179" s="2">
        <f t="shared" si="172"/>
        <v>2005000</v>
      </c>
      <c r="K2179" t="s">
        <v>1671</v>
      </c>
      <c r="L2179">
        <f t="shared" si="173"/>
        <v>0.17222222222222225</v>
      </c>
      <c r="M2179" s="5">
        <v>0.17222222222222225</v>
      </c>
      <c r="N2179" t="s">
        <v>43</v>
      </c>
      <c r="P2179" t="s">
        <v>1622</v>
      </c>
      <c r="R2179" s="3">
        <f t="shared" si="174"/>
        <v>4.1333333333333337</v>
      </c>
    </row>
    <row r="2180" spans="1:18" hidden="1" x14ac:dyDescent="0.25">
      <c r="A2180" t="s">
        <v>648</v>
      </c>
      <c r="B2180" t="s">
        <v>640</v>
      </c>
      <c r="C2180" t="s">
        <v>643</v>
      </c>
      <c r="D2180" s="3">
        <f t="shared" ref="D2180:D2243" si="175">VALUE(LEFT(E2180,SEARCH(" x ",E2180)-1))*VALUE(MID(E2180,SEARCH(" x ",E2180)+3,SEARCH(" meter",E2180)-SEARCH(" x ",E2180)-3))</f>
        <v>16</v>
      </c>
      <c r="E2180" t="s">
        <v>79</v>
      </c>
      <c r="F2180" t="s">
        <v>13</v>
      </c>
      <c r="G2180">
        <f t="shared" ref="G2180:G2243" si="176">IF(H2180="N/A","",VALUE(SUBSTITUTE(SUBSTITUTE(H2180,"Rp",""),".","")))</f>
        <v>925000</v>
      </c>
      <c r="H2180" t="s">
        <v>649</v>
      </c>
      <c r="I2180" t="s">
        <v>650</v>
      </c>
      <c r="J2180" s="2">
        <f t="shared" ref="J2180:J2243" si="177">VALUE(SUBSTITUTE(SUBSTITUTE(K2180,"Rp",""),".",""))</f>
        <v>835000</v>
      </c>
      <c r="K2180" t="s">
        <v>651</v>
      </c>
      <c r="L2180">
        <f t="shared" ref="L2180:L2243" si="178">M2180:M4520</f>
        <v>0.17083333333333331</v>
      </c>
      <c r="M2180" s="5">
        <v>0.17083333333333331</v>
      </c>
      <c r="N2180" t="s">
        <v>37</v>
      </c>
      <c r="P2180" t="s">
        <v>199</v>
      </c>
      <c r="R2180" s="3">
        <f t="shared" si="174"/>
        <v>4.0999999999999996</v>
      </c>
    </row>
    <row r="2181" spans="1:18" hidden="1" x14ac:dyDescent="0.25">
      <c r="A2181" t="s">
        <v>5799</v>
      </c>
      <c r="B2181" t="s">
        <v>5848</v>
      </c>
      <c r="C2181" t="s">
        <v>5339</v>
      </c>
      <c r="D2181" s="3">
        <f t="shared" si="175"/>
        <v>12</v>
      </c>
      <c r="E2181" t="s">
        <v>33</v>
      </c>
      <c r="F2181" t="s">
        <v>34</v>
      </c>
      <c r="G2181" t="str">
        <f t="shared" si="176"/>
        <v/>
      </c>
      <c r="H2181" t="s">
        <v>14</v>
      </c>
      <c r="I2181" t="s">
        <v>5800</v>
      </c>
      <c r="J2181" s="2">
        <f t="shared" si="177"/>
        <v>1200000</v>
      </c>
      <c r="K2181" t="s">
        <v>36</v>
      </c>
      <c r="L2181">
        <f t="shared" si="178"/>
        <v>0</v>
      </c>
      <c r="N2181" t="s">
        <v>18</v>
      </c>
      <c r="R2181" s="3">
        <f t="shared" si="174"/>
        <v>0</v>
      </c>
    </row>
    <row r="2182" spans="1:18" hidden="1" x14ac:dyDescent="0.25">
      <c r="A2182" t="s">
        <v>5691</v>
      </c>
      <c r="B2182" t="s">
        <v>5848</v>
      </c>
      <c r="C2182" t="s">
        <v>5406</v>
      </c>
      <c r="D2182" s="3">
        <f t="shared" si="175"/>
        <v>8</v>
      </c>
      <c r="E2182" t="s">
        <v>1740</v>
      </c>
      <c r="F2182" t="s">
        <v>34</v>
      </c>
      <c r="G2182" t="str">
        <f t="shared" si="176"/>
        <v/>
      </c>
      <c r="H2182" t="s">
        <v>14</v>
      </c>
      <c r="I2182" t="s">
        <v>5692</v>
      </c>
      <c r="J2182" s="2">
        <f t="shared" si="177"/>
        <v>1200000</v>
      </c>
      <c r="K2182" t="s">
        <v>36</v>
      </c>
      <c r="L2182">
        <f t="shared" si="178"/>
        <v>0</v>
      </c>
      <c r="N2182" t="s">
        <v>18</v>
      </c>
      <c r="R2182" s="3">
        <f t="shared" si="174"/>
        <v>0</v>
      </c>
    </row>
    <row r="2183" spans="1:18" hidden="1" x14ac:dyDescent="0.25">
      <c r="A2183" t="s">
        <v>341</v>
      </c>
      <c r="B2183" t="s">
        <v>20</v>
      </c>
      <c r="C2183" t="s">
        <v>293</v>
      </c>
      <c r="D2183" s="3">
        <f t="shared" si="175"/>
        <v>6</v>
      </c>
      <c r="E2183" t="s">
        <v>285</v>
      </c>
      <c r="F2183" t="s">
        <v>34</v>
      </c>
      <c r="G2183" t="str">
        <f t="shared" si="176"/>
        <v/>
      </c>
      <c r="H2183" t="s">
        <v>14</v>
      </c>
      <c r="I2183" t="s">
        <v>342</v>
      </c>
      <c r="J2183" s="2">
        <f t="shared" si="177"/>
        <v>750000</v>
      </c>
      <c r="K2183" t="s">
        <v>76</v>
      </c>
      <c r="L2183">
        <f t="shared" si="178"/>
        <v>0</v>
      </c>
      <c r="N2183" t="s">
        <v>43</v>
      </c>
      <c r="R2183" s="3">
        <f t="shared" si="174"/>
        <v>0</v>
      </c>
    </row>
    <row r="2184" spans="1:18" x14ac:dyDescent="0.25">
      <c r="A2184" t="s">
        <v>2501</v>
      </c>
      <c r="B2184" t="s">
        <v>2596</v>
      </c>
      <c r="C2184" t="s">
        <v>1981</v>
      </c>
      <c r="D2184" s="3">
        <f t="shared" si="175"/>
        <v>16</v>
      </c>
      <c r="E2184" t="s">
        <v>79</v>
      </c>
      <c r="F2184" t="s">
        <v>13</v>
      </c>
      <c r="G2184" t="str">
        <f t="shared" si="176"/>
        <v/>
      </c>
      <c r="H2184" t="s">
        <v>14</v>
      </c>
      <c r="I2184" t="s">
        <v>2502</v>
      </c>
      <c r="J2184" s="2">
        <f t="shared" si="177"/>
        <v>3000000</v>
      </c>
      <c r="K2184" t="s">
        <v>1513</v>
      </c>
      <c r="L2184">
        <f t="shared" si="178"/>
        <v>0.20833333333333334</v>
      </c>
      <c r="M2184" s="5">
        <v>0.20833333333333334</v>
      </c>
      <c r="N2184" t="s">
        <v>43</v>
      </c>
      <c r="R2184" s="3">
        <f t="shared" si="174"/>
        <v>5</v>
      </c>
    </row>
    <row r="2185" spans="1:18" hidden="1" x14ac:dyDescent="0.25">
      <c r="A2185" t="s">
        <v>3999</v>
      </c>
      <c r="B2185" t="s">
        <v>3746</v>
      </c>
      <c r="C2185" t="s">
        <v>3759</v>
      </c>
      <c r="D2185" s="3">
        <f t="shared" si="175"/>
        <v>6.25</v>
      </c>
      <c r="E2185" t="s">
        <v>74</v>
      </c>
      <c r="F2185" t="s">
        <v>34</v>
      </c>
      <c r="G2185" t="str">
        <f t="shared" si="176"/>
        <v/>
      </c>
      <c r="H2185" t="s">
        <v>14</v>
      </c>
      <c r="I2185" t="s">
        <v>4000</v>
      </c>
      <c r="J2185" s="2">
        <f t="shared" si="177"/>
        <v>850000</v>
      </c>
      <c r="K2185" t="s">
        <v>185</v>
      </c>
      <c r="L2185">
        <f t="shared" si="178"/>
        <v>0</v>
      </c>
      <c r="N2185" t="s">
        <v>18</v>
      </c>
      <c r="R2185" s="3">
        <f t="shared" si="174"/>
        <v>0</v>
      </c>
    </row>
    <row r="2186" spans="1:18" x14ac:dyDescent="0.25">
      <c r="A2186" t="s">
        <v>1548</v>
      </c>
      <c r="B2186" t="s">
        <v>1303</v>
      </c>
      <c r="C2186" t="s">
        <v>1362</v>
      </c>
      <c r="D2186" s="3">
        <f t="shared" si="175"/>
        <v>18</v>
      </c>
      <c r="E2186" t="s">
        <v>126</v>
      </c>
      <c r="F2186" t="s">
        <v>13</v>
      </c>
      <c r="G2186" t="str">
        <f t="shared" si="176"/>
        <v/>
      </c>
      <c r="H2186" t="s">
        <v>14</v>
      </c>
      <c r="I2186" t="s">
        <v>1549</v>
      </c>
      <c r="J2186" s="2">
        <f t="shared" si="177"/>
        <v>3100000</v>
      </c>
      <c r="K2186" t="s">
        <v>1550</v>
      </c>
      <c r="L2186">
        <f t="shared" si="178"/>
        <v>0</v>
      </c>
      <c r="N2186" t="s">
        <v>43</v>
      </c>
      <c r="R2186" s="3">
        <f t="shared" si="174"/>
        <v>0</v>
      </c>
    </row>
    <row r="2187" spans="1:18" hidden="1" x14ac:dyDescent="0.25">
      <c r="A2187" t="s">
        <v>4077</v>
      </c>
      <c r="B2187" t="s">
        <v>3746</v>
      </c>
      <c r="C2187" t="s">
        <v>3780</v>
      </c>
      <c r="D2187" s="3">
        <f t="shared" si="175"/>
        <v>9.5</v>
      </c>
      <c r="E2187" t="s">
        <v>4078</v>
      </c>
      <c r="F2187" t="s">
        <v>13</v>
      </c>
      <c r="G2187" t="str">
        <f t="shared" si="176"/>
        <v/>
      </c>
      <c r="H2187" t="s">
        <v>14</v>
      </c>
      <c r="I2187" t="s">
        <v>4079</v>
      </c>
      <c r="J2187" s="2">
        <f t="shared" si="177"/>
        <v>1700000</v>
      </c>
      <c r="K2187" t="s">
        <v>23</v>
      </c>
      <c r="L2187">
        <f t="shared" si="178"/>
        <v>0</v>
      </c>
      <c r="N2187" t="s">
        <v>43</v>
      </c>
      <c r="R2187" s="3">
        <f t="shared" si="174"/>
        <v>0</v>
      </c>
    </row>
    <row r="2188" spans="1:18" hidden="1" x14ac:dyDescent="0.25">
      <c r="A2188" t="s">
        <v>4257</v>
      </c>
      <c r="B2188" t="s">
        <v>3746</v>
      </c>
      <c r="C2188" t="s">
        <v>3780</v>
      </c>
      <c r="D2188" s="3">
        <f t="shared" si="175"/>
        <v>15</v>
      </c>
      <c r="E2188" t="s">
        <v>4258</v>
      </c>
      <c r="F2188" t="s">
        <v>13</v>
      </c>
      <c r="G2188" t="str">
        <f t="shared" si="176"/>
        <v/>
      </c>
      <c r="H2188" t="s">
        <v>14</v>
      </c>
      <c r="I2188" t="s">
        <v>4259</v>
      </c>
      <c r="J2188" s="2">
        <f t="shared" si="177"/>
        <v>1999000</v>
      </c>
      <c r="K2188" t="s">
        <v>4260</v>
      </c>
      <c r="L2188">
        <f t="shared" si="178"/>
        <v>0.20833333333333334</v>
      </c>
      <c r="M2188" s="5">
        <v>0.20833333333333334</v>
      </c>
      <c r="N2188" t="s">
        <v>43</v>
      </c>
      <c r="P2188" t="s">
        <v>1171</v>
      </c>
      <c r="R2188" s="3">
        <f t="shared" si="174"/>
        <v>5</v>
      </c>
    </row>
    <row r="2189" spans="1:18" hidden="1" x14ac:dyDescent="0.25">
      <c r="A2189" t="s">
        <v>4157</v>
      </c>
      <c r="B2189" t="s">
        <v>3746</v>
      </c>
      <c r="C2189" t="s">
        <v>3780</v>
      </c>
      <c r="D2189" s="3">
        <f t="shared" si="175"/>
        <v>10</v>
      </c>
      <c r="E2189" t="s">
        <v>414</v>
      </c>
      <c r="F2189" t="s">
        <v>13</v>
      </c>
      <c r="G2189" t="str">
        <f t="shared" si="176"/>
        <v/>
      </c>
      <c r="H2189" t="s">
        <v>14</v>
      </c>
      <c r="I2189" t="s">
        <v>4158</v>
      </c>
      <c r="J2189" s="2">
        <f t="shared" si="177"/>
        <v>1899000</v>
      </c>
      <c r="K2189" t="s">
        <v>4159</v>
      </c>
      <c r="L2189">
        <f t="shared" si="178"/>
        <v>0</v>
      </c>
      <c r="N2189" t="s">
        <v>43</v>
      </c>
      <c r="R2189" s="3">
        <f t="shared" si="174"/>
        <v>0</v>
      </c>
    </row>
    <row r="2190" spans="1:18" x14ac:dyDescent="0.25">
      <c r="A2190" t="s">
        <v>2812</v>
      </c>
      <c r="B2190" t="s">
        <v>3206</v>
      </c>
      <c r="C2190" t="s">
        <v>2816</v>
      </c>
      <c r="D2190" s="3">
        <f t="shared" si="175"/>
        <v>12.209999999999999</v>
      </c>
      <c r="E2190" t="s">
        <v>2813</v>
      </c>
      <c r="F2190" t="s">
        <v>13</v>
      </c>
      <c r="G2190" t="str">
        <f t="shared" si="176"/>
        <v/>
      </c>
      <c r="H2190" t="s">
        <v>14</v>
      </c>
      <c r="I2190" t="s">
        <v>2814</v>
      </c>
      <c r="J2190" s="2">
        <f t="shared" si="177"/>
        <v>3105000</v>
      </c>
      <c r="K2190" t="s">
        <v>2815</v>
      </c>
      <c r="L2190">
        <f t="shared" si="178"/>
        <v>0.17083333333333331</v>
      </c>
      <c r="M2190" s="5">
        <v>0.17083333333333331</v>
      </c>
      <c r="N2190" t="s">
        <v>43</v>
      </c>
      <c r="P2190" t="s">
        <v>2817</v>
      </c>
      <c r="R2190" s="3">
        <f t="shared" si="174"/>
        <v>4.0999999999999996</v>
      </c>
    </row>
    <row r="2191" spans="1:18" hidden="1" x14ac:dyDescent="0.25">
      <c r="A2191" t="s">
        <v>5095</v>
      </c>
      <c r="B2191" t="s">
        <v>4806</v>
      </c>
      <c r="C2191" t="s">
        <v>4865</v>
      </c>
      <c r="D2191" s="3">
        <f t="shared" si="175"/>
        <v>9</v>
      </c>
      <c r="E2191" t="s">
        <v>12</v>
      </c>
      <c r="F2191" t="s">
        <v>13</v>
      </c>
      <c r="G2191" t="str">
        <f t="shared" si="176"/>
        <v/>
      </c>
      <c r="H2191" t="s">
        <v>14</v>
      </c>
      <c r="I2191" t="s">
        <v>5096</v>
      </c>
      <c r="J2191" s="2">
        <f t="shared" si="177"/>
        <v>1150000</v>
      </c>
      <c r="K2191" t="s">
        <v>700</v>
      </c>
      <c r="L2191">
        <f t="shared" si="178"/>
        <v>0.20833333333333334</v>
      </c>
      <c r="M2191" s="5">
        <v>0.20833333333333334</v>
      </c>
      <c r="N2191" t="s">
        <v>43</v>
      </c>
      <c r="R2191" s="3">
        <f t="shared" si="174"/>
        <v>5</v>
      </c>
    </row>
    <row r="2192" spans="1:18" x14ac:dyDescent="0.25">
      <c r="A2192" t="s">
        <v>3155</v>
      </c>
      <c r="B2192" t="s">
        <v>3206</v>
      </c>
      <c r="C2192" t="s">
        <v>2640</v>
      </c>
      <c r="D2192" s="3">
        <f t="shared" si="175"/>
        <v>17.28</v>
      </c>
      <c r="E2192" t="s">
        <v>3156</v>
      </c>
      <c r="F2192" t="s">
        <v>13</v>
      </c>
      <c r="G2192">
        <f t="shared" si="176"/>
        <v>3500000</v>
      </c>
      <c r="H2192" t="s">
        <v>143</v>
      </c>
      <c r="I2192" t="s">
        <v>3157</v>
      </c>
      <c r="J2192" s="2">
        <f t="shared" si="177"/>
        <v>3150000</v>
      </c>
      <c r="K2192" t="s">
        <v>2524</v>
      </c>
      <c r="L2192">
        <f t="shared" si="178"/>
        <v>0.17291666666666669</v>
      </c>
      <c r="M2192" s="5">
        <v>0.17291666666666669</v>
      </c>
      <c r="N2192" t="s">
        <v>43</v>
      </c>
      <c r="P2192" t="s">
        <v>3158</v>
      </c>
      <c r="R2192" s="3">
        <f t="shared" si="174"/>
        <v>4.1500000000000004</v>
      </c>
    </row>
    <row r="2193" spans="1:18" hidden="1" x14ac:dyDescent="0.25">
      <c r="A2193" t="s">
        <v>3581</v>
      </c>
      <c r="B2193" t="s">
        <v>3233</v>
      </c>
      <c r="C2193" t="s">
        <v>3261</v>
      </c>
      <c r="D2193" s="3">
        <f t="shared" si="175"/>
        <v>8.25</v>
      </c>
      <c r="E2193" t="s">
        <v>3582</v>
      </c>
      <c r="F2193" t="s">
        <v>13</v>
      </c>
      <c r="G2193" t="str">
        <f t="shared" si="176"/>
        <v/>
      </c>
      <c r="H2193" t="s">
        <v>14</v>
      </c>
      <c r="I2193" t="s">
        <v>3583</v>
      </c>
      <c r="J2193" s="2">
        <f t="shared" si="177"/>
        <v>1900000</v>
      </c>
      <c r="K2193" t="s">
        <v>352</v>
      </c>
      <c r="L2193">
        <f t="shared" si="178"/>
        <v>0.20833333333333334</v>
      </c>
      <c r="M2193" s="5">
        <v>0.20833333333333334</v>
      </c>
      <c r="N2193" t="s">
        <v>43</v>
      </c>
      <c r="R2193" s="3">
        <f t="shared" si="174"/>
        <v>5</v>
      </c>
    </row>
    <row r="2194" spans="1:18" hidden="1" x14ac:dyDescent="0.25">
      <c r="A2194" t="s">
        <v>3332</v>
      </c>
      <c r="B2194" t="s">
        <v>3233</v>
      </c>
      <c r="C2194" t="s">
        <v>3329</v>
      </c>
      <c r="D2194" s="3">
        <f t="shared" si="175"/>
        <v>12</v>
      </c>
      <c r="E2194" t="s">
        <v>33</v>
      </c>
      <c r="F2194" t="s">
        <v>13</v>
      </c>
      <c r="G2194" t="str">
        <f t="shared" si="176"/>
        <v/>
      </c>
      <c r="H2194" t="s">
        <v>14</v>
      </c>
      <c r="I2194" t="s">
        <v>3333</v>
      </c>
      <c r="J2194" s="2">
        <f t="shared" si="177"/>
        <v>2000000</v>
      </c>
      <c r="K2194" t="s">
        <v>128</v>
      </c>
      <c r="L2194">
        <f t="shared" si="178"/>
        <v>0</v>
      </c>
      <c r="N2194" t="s">
        <v>43</v>
      </c>
      <c r="R2194" s="3">
        <f t="shared" si="174"/>
        <v>0</v>
      </c>
    </row>
    <row r="2195" spans="1:18" hidden="1" x14ac:dyDescent="0.25">
      <c r="A2195" t="s">
        <v>5082</v>
      </c>
      <c r="B2195" t="s">
        <v>4806</v>
      </c>
      <c r="C2195" t="s">
        <v>4825</v>
      </c>
      <c r="D2195" s="3">
        <f t="shared" si="175"/>
        <v>11.25</v>
      </c>
      <c r="E2195" t="s">
        <v>2912</v>
      </c>
      <c r="F2195" t="s">
        <v>13</v>
      </c>
      <c r="G2195" t="str">
        <f t="shared" si="176"/>
        <v/>
      </c>
      <c r="H2195" t="s">
        <v>14</v>
      </c>
      <c r="I2195" t="s">
        <v>5083</v>
      </c>
      <c r="J2195" s="2">
        <f t="shared" si="177"/>
        <v>1600000</v>
      </c>
      <c r="K2195" t="s">
        <v>95</v>
      </c>
      <c r="L2195">
        <f t="shared" si="178"/>
        <v>0</v>
      </c>
      <c r="N2195" t="s">
        <v>18</v>
      </c>
      <c r="R2195" s="3">
        <f t="shared" si="174"/>
        <v>0</v>
      </c>
    </row>
    <row r="2196" spans="1:18" hidden="1" x14ac:dyDescent="0.25">
      <c r="A2196" t="s">
        <v>564</v>
      </c>
      <c r="B2196" t="s">
        <v>20</v>
      </c>
      <c r="C2196" t="s">
        <v>67</v>
      </c>
      <c r="D2196" s="3">
        <f t="shared" si="175"/>
        <v>20</v>
      </c>
      <c r="E2196" t="s">
        <v>565</v>
      </c>
      <c r="F2196" t="s">
        <v>13</v>
      </c>
      <c r="G2196" t="str">
        <f t="shared" si="176"/>
        <v/>
      </c>
      <c r="H2196" t="s">
        <v>14</v>
      </c>
      <c r="I2196" t="s">
        <v>566</v>
      </c>
      <c r="J2196" s="2">
        <f t="shared" si="177"/>
        <v>2400000</v>
      </c>
      <c r="K2196" t="s">
        <v>133</v>
      </c>
      <c r="L2196">
        <f t="shared" si="178"/>
        <v>0.17291666666666669</v>
      </c>
      <c r="M2196" s="5">
        <v>0.17291666666666669</v>
      </c>
      <c r="N2196" t="s">
        <v>43</v>
      </c>
      <c r="R2196" s="3">
        <f t="shared" si="174"/>
        <v>4.1500000000000004</v>
      </c>
    </row>
    <row r="2197" spans="1:18" hidden="1" x14ac:dyDescent="0.25">
      <c r="A2197" t="s">
        <v>1204</v>
      </c>
      <c r="B2197" t="s">
        <v>640</v>
      </c>
      <c r="C2197" t="s">
        <v>1016</v>
      </c>
      <c r="D2197" s="3">
        <f t="shared" si="175"/>
        <v>12</v>
      </c>
      <c r="E2197" t="s">
        <v>33</v>
      </c>
      <c r="F2197" t="s">
        <v>13</v>
      </c>
      <c r="G2197" t="str">
        <f t="shared" si="176"/>
        <v/>
      </c>
      <c r="H2197" t="s">
        <v>14</v>
      </c>
      <c r="I2197" t="s">
        <v>1205</v>
      </c>
      <c r="J2197" s="2">
        <f t="shared" si="177"/>
        <v>650000</v>
      </c>
      <c r="K2197" t="s">
        <v>105</v>
      </c>
      <c r="L2197">
        <f t="shared" si="178"/>
        <v>0</v>
      </c>
      <c r="N2197" t="s">
        <v>37</v>
      </c>
      <c r="R2197" s="3">
        <f t="shared" si="174"/>
        <v>0</v>
      </c>
    </row>
    <row r="2198" spans="1:18" hidden="1" x14ac:dyDescent="0.25">
      <c r="A2198" t="s">
        <v>5815</v>
      </c>
      <c r="B2198" t="s">
        <v>5848</v>
      </c>
      <c r="C2198" t="s">
        <v>5369</v>
      </c>
      <c r="D2198" s="3">
        <f t="shared" si="175"/>
        <v>18</v>
      </c>
      <c r="E2198" t="s">
        <v>126</v>
      </c>
      <c r="F2198" t="s">
        <v>13</v>
      </c>
      <c r="G2198" t="str">
        <f t="shared" si="176"/>
        <v/>
      </c>
      <c r="H2198" t="s">
        <v>14</v>
      </c>
      <c r="I2198" t="s">
        <v>5816</v>
      </c>
      <c r="J2198" s="2">
        <f t="shared" si="177"/>
        <v>1800000</v>
      </c>
      <c r="K2198" t="s">
        <v>228</v>
      </c>
      <c r="L2198">
        <f t="shared" si="178"/>
        <v>0</v>
      </c>
      <c r="N2198" t="s">
        <v>43</v>
      </c>
      <c r="R2198" s="3">
        <f t="shared" si="174"/>
        <v>0</v>
      </c>
    </row>
    <row r="2199" spans="1:18" hidden="1" x14ac:dyDescent="0.25">
      <c r="A2199" t="s">
        <v>3529</v>
      </c>
      <c r="B2199" t="s">
        <v>3233</v>
      </c>
      <c r="C2199" t="s">
        <v>3261</v>
      </c>
      <c r="D2199" s="3">
        <f t="shared" si="175"/>
        <v>12</v>
      </c>
      <c r="E2199" t="s">
        <v>33</v>
      </c>
      <c r="F2199" t="s">
        <v>13</v>
      </c>
      <c r="G2199" t="str">
        <f t="shared" si="176"/>
        <v/>
      </c>
      <c r="H2199" t="s">
        <v>14</v>
      </c>
      <c r="I2199" t="s">
        <v>3530</v>
      </c>
      <c r="J2199" s="2">
        <f t="shared" si="177"/>
        <v>2500000</v>
      </c>
      <c r="K2199" t="s">
        <v>272</v>
      </c>
      <c r="L2199">
        <f t="shared" si="178"/>
        <v>0.20833333333333334</v>
      </c>
      <c r="M2199" s="5">
        <v>0.20833333333333334</v>
      </c>
      <c r="N2199" t="s">
        <v>43</v>
      </c>
      <c r="R2199" s="3">
        <f t="shared" si="174"/>
        <v>5</v>
      </c>
    </row>
    <row r="2200" spans="1:18" x14ac:dyDescent="0.25">
      <c r="A2200" t="s">
        <v>3119</v>
      </c>
      <c r="B2200" t="s">
        <v>3206</v>
      </c>
      <c r="C2200" t="s">
        <v>2618</v>
      </c>
      <c r="D2200" s="3">
        <f t="shared" si="175"/>
        <v>11.2</v>
      </c>
      <c r="E2200" t="s">
        <v>1543</v>
      </c>
      <c r="F2200" t="s">
        <v>13</v>
      </c>
      <c r="G2200">
        <f t="shared" si="176"/>
        <v>3425000</v>
      </c>
      <c r="H2200" t="s">
        <v>2634</v>
      </c>
      <c r="I2200" t="s">
        <v>3120</v>
      </c>
      <c r="J2200" s="2">
        <f t="shared" si="177"/>
        <v>3153000</v>
      </c>
      <c r="K2200" t="s">
        <v>3121</v>
      </c>
      <c r="L2200">
        <f t="shared" si="178"/>
        <v>0.17222222222222225</v>
      </c>
      <c r="M2200" s="5">
        <v>0.17222222222222225</v>
      </c>
      <c r="N2200" t="s">
        <v>43</v>
      </c>
      <c r="P2200" t="s">
        <v>2826</v>
      </c>
      <c r="R2200" s="3">
        <f t="shared" si="174"/>
        <v>4.1333333333333337</v>
      </c>
    </row>
    <row r="2201" spans="1:18" hidden="1" x14ac:dyDescent="0.25">
      <c r="A2201" t="s">
        <v>3471</v>
      </c>
      <c r="B2201" t="s">
        <v>3233</v>
      </c>
      <c r="C2201" t="s">
        <v>3261</v>
      </c>
      <c r="D2201" s="3">
        <f t="shared" si="175"/>
        <v>12</v>
      </c>
      <c r="E2201" t="s">
        <v>33</v>
      </c>
      <c r="F2201" t="s">
        <v>13</v>
      </c>
      <c r="G2201" t="str">
        <f t="shared" si="176"/>
        <v/>
      </c>
      <c r="H2201" t="s">
        <v>14</v>
      </c>
      <c r="I2201" t="s">
        <v>3472</v>
      </c>
      <c r="J2201" s="2">
        <f t="shared" si="177"/>
        <v>1650000</v>
      </c>
      <c r="K2201" t="s">
        <v>90</v>
      </c>
      <c r="L2201">
        <f t="shared" si="178"/>
        <v>0.17222222222222225</v>
      </c>
      <c r="M2201" s="5">
        <v>0.17222222222222225</v>
      </c>
      <c r="N2201" t="s">
        <v>43</v>
      </c>
      <c r="P2201" t="s">
        <v>3352</v>
      </c>
      <c r="R2201" s="3">
        <f t="shared" si="174"/>
        <v>4.1333333333333337</v>
      </c>
    </row>
    <row r="2202" spans="1:18" hidden="1" x14ac:dyDescent="0.25">
      <c r="A2202" t="s">
        <v>4784</v>
      </c>
      <c r="B2202" t="s">
        <v>4272</v>
      </c>
      <c r="C2202" t="s">
        <v>4281</v>
      </c>
      <c r="D2202" s="3">
        <f t="shared" si="175"/>
        <v>14</v>
      </c>
      <c r="E2202" t="s">
        <v>875</v>
      </c>
      <c r="F2202" t="s">
        <v>13</v>
      </c>
      <c r="G2202" t="str">
        <f t="shared" si="176"/>
        <v/>
      </c>
      <c r="H2202" t="s">
        <v>14</v>
      </c>
      <c r="I2202" t="s">
        <v>4785</v>
      </c>
      <c r="J2202" s="2">
        <f t="shared" si="177"/>
        <v>1350000</v>
      </c>
      <c r="K2202" t="s">
        <v>257</v>
      </c>
      <c r="L2202">
        <f t="shared" si="178"/>
        <v>0.20833333333333334</v>
      </c>
      <c r="M2202" s="5">
        <v>0.20833333333333334</v>
      </c>
      <c r="N2202" t="s">
        <v>43</v>
      </c>
      <c r="R2202" s="3">
        <f t="shared" si="174"/>
        <v>5</v>
      </c>
    </row>
    <row r="2203" spans="1:18" hidden="1" x14ac:dyDescent="0.25">
      <c r="A2203" t="s">
        <v>4529</v>
      </c>
      <c r="B2203" t="s">
        <v>4272</v>
      </c>
      <c r="C2203" t="s">
        <v>4271</v>
      </c>
      <c r="D2203" s="3">
        <f t="shared" si="175"/>
        <v>9</v>
      </c>
      <c r="E2203" t="s">
        <v>12</v>
      </c>
      <c r="F2203" t="s">
        <v>13</v>
      </c>
      <c r="G2203" t="str">
        <f t="shared" si="176"/>
        <v/>
      </c>
      <c r="H2203" t="s">
        <v>14</v>
      </c>
      <c r="I2203" t="s">
        <v>4530</v>
      </c>
      <c r="J2203" s="2">
        <f t="shared" si="177"/>
        <v>1200000</v>
      </c>
      <c r="K2203" t="s">
        <v>36</v>
      </c>
      <c r="L2203">
        <f t="shared" si="178"/>
        <v>0.17083333333333331</v>
      </c>
      <c r="M2203" s="5">
        <v>0.17083333333333331</v>
      </c>
      <c r="N2203" t="s">
        <v>37</v>
      </c>
      <c r="R2203" s="3">
        <f t="shared" si="174"/>
        <v>4.0999999999999996</v>
      </c>
    </row>
    <row r="2204" spans="1:18" hidden="1" x14ac:dyDescent="0.25">
      <c r="A2204" t="s">
        <v>158</v>
      </c>
      <c r="B2204" t="s">
        <v>20</v>
      </c>
      <c r="C2204" t="s">
        <v>54</v>
      </c>
      <c r="D2204" s="3">
        <f t="shared" si="175"/>
        <v>20</v>
      </c>
      <c r="E2204" t="s">
        <v>159</v>
      </c>
      <c r="F2204" t="s">
        <v>13</v>
      </c>
      <c r="G2204" t="str">
        <f t="shared" si="176"/>
        <v/>
      </c>
      <c r="H2204" t="s">
        <v>14</v>
      </c>
      <c r="I2204" t="s">
        <v>160</v>
      </c>
      <c r="J2204" s="2">
        <f t="shared" si="177"/>
        <v>1500000</v>
      </c>
      <c r="K2204" t="s">
        <v>66</v>
      </c>
      <c r="L2204">
        <f t="shared" si="178"/>
        <v>0</v>
      </c>
      <c r="N2204" t="s">
        <v>43</v>
      </c>
      <c r="R2204" s="3">
        <f t="shared" si="174"/>
        <v>0</v>
      </c>
    </row>
    <row r="2205" spans="1:18" hidden="1" x14ac:dyDescent="0.25">
      <c r="A2205" t="s">
        <v>3336</v>
      </c>
      <c r="B2205" t="s">
        <v>3233</v>
      </c>
      <c r="C2205" t="s">
        <v>3261</v>
      </c>
      <c r="D2205" s="3">
        <f t="shared" si="175"/>
        <v>12.5</v>
      </c>
      <c r="E2205" t="s">
        <v>1250</v>
      </c>
      <c r="F2205" t="s">
        <v>34</v>
      </c>
      <c r="G2205" t="str">
        <f t="shared" si="176"/>
        <v/>
      </c>
      <c r="H2205" t="s">
        <v>14</v>
      </c>
      <c r="I2205" t="s">
        <v>3337</v>
      </c>
      <c r="J2205" s="2">
        <f t="shared" si="177"/>
        <v>950000</v>
      </c>
      <c r="K2205" t="s">
        <v>355</v>
      </c>
      <c r="L2205">
        <f t="shared" si="178"/>
        <v>0</v>
      </c>
      <c r="N2205" t="s">
        <v>43</v>
      </c>
      <c r="R2205" s="3">
        <f t="shared" si="174"/>
        <v>0</v>
      </c>
    </row>
    <row r="2206" spans="1:18" hidden="1" x14ac:dyDescent="0.25">
      <c r="A2206" t="s">
        <v>5052</v>
      </c>
      <c r="B2206" t="s">
        <v>4806</v>
      </c>
      <c r="C2206" t="s">
        <v>4830</v>
      </c>
      <c r="D2206" s="3">
        <f t="shared" si="175"/>
        <v>13.5</v>
      </c>
      <c r="E2206" t="s">
        <v>667</v>
      </c>
      <c r="F2206" t="s">
        <v>13</v>
      </c>
      <c r="G2206" t="str">
        <f t="shared" si="176"/>
        <v/>
      </c>
      <c r="H2206" t="s">
        <v>14</v>
      </c>
      <c r="I2206" t="s">
        <v>5053</v>
      </c>
      <c r="J2206" s="2">
        <f t="shared" si="177"/>
        <v>1800000</v>
      </c>
      <c r="K2206" t="s">
        <v>228</v>
      </c>
      <c r="L2206">
        <f t="shared" si="178"/>
        <v>0</v>
      </c>
      <c r="N2206" t="s">
        <v>43</v>
      </c>
      <c r="R2206" s="3">
        <f t="shared" si="174"/>
        <v>0</v>
      </c>
    </row>
    <row r="2207" spans="1:18" hidden="1" x14ac:dyDescent="0.25">
      <c r="A2207" t="s">
        <v>5188</v>
      </c>
      <c r="B2207" t="s">
        <v>4806</v>
      </c>
      <c r="C2207" t="s">
        <v>4805</v>
      </c>
      <c r="D2207" s="3">
        <f t="shared" si="175"/>
        <v>12</v>
      </c>
      <c r="E2207" t="s">
        <v>33</v>
      </c>
      <c r="F2207" t="s">
        <v>13</v>
      </c>
      <c r="G2207" t="str">
        <f t="shared" si="176"/>
        <v/>
      </c>
      <c r="H2207" t="s">
        <v>14</v>
      </c>
      <c r="I2207" t="s">
        <v>5189</v>
      </c>
      <c r="J2207" s="2">
        <f t="shared" si="177"/>
        <v>750000</v>
      </c>
      <c r="K2207" t="s">
        <v>76</v>
      </c>
      <c r="L2207">
        <f t="shared" si="178"/>
        <v>0.20833333333333334</v>
      </c>
      <c r="M2207" s="5">
        <v>0.20833333333333334</v>
      </c>
      <c r="N2207" t="s">
        <v>43</v>
      </c>
      <c r="R2207" s="3">
        <f t="shared" si="174"/>
        <v>5</v>
      </c>
    </row>
    <row r="2208" spans="1:18" hidden="1" x14ac:dyDescent="0.25">
      <c r="A2208" t="s">
        <v>578</v>
      </c>
      <c r="B2208" t="s">
        <v>20</v>
      </c>
      <c r="C2208" t="s">
        <v>580</v>
      </c>
      <c r="D2208" s="3">
        <f t="shared" si="175"/>
        <v>12</v>
      </c>
      <c r="E2208" t="s">
        <v>33</v>
      </c>
      <c r="F2208" t="s">
        <v>34</v>
      </c>
      <c r="G2208" t="str">
        <f t="shared" si="176"/>
        <v/>
      </c>
      <c r="H2208" t="s">
        <v>14</v>
      </c>
      <c r="I2208" t="s">
        <v>579</v>
      </c>
      <c r="J2208" s="2">
        <f t="shared" si="177"/>
        <v>1700000</v>
      </c>
      <c r="K2208" t="s">
        <v>23</v>
      </c>
      <c r="L2208">
        <f t="shared" si="178"/>
        <v>0</v>
      </c>
      <c r="N2208" t="s">
        <v>18</v>
      </c>
      <c r="R2208" s="3">
        <f t="shared" si="174"/>
        <v>0</v>
      </c>
    </row>
    <row r="2209" spans="1:18" hidden="1" x14ac:dyDescent="0.25">
      <c r="A2209" t="s">
        <v>4920</v>
      </c>
      <c r="B2209" t="s">
        <v>4806</v>
      </c>
      <c r="C2209" t="s">
        <v>4805</v>
      </c>
      <c r="D2209" s="3">
        <f t="shared" si="175"/>
        <v>8</v>
      </c>
      <c r="E2209" t="s">
        <v>1740</v>
      </c>
      <c r="F2209" t="s">
        <v>13</v>
      </c>
      <c r="G2209" t="str">
        <f t="shared" si="176"/>
        <v/>
      </c>
      <c r="H2209" t="s">
        <v>14</v>
      </c>
      <c r="I2209" t="s">
        <v>4921</v>
      </c>
      <c r="J2209" s="2">
        <f t="shared" si="177"/>
        <v>1400000</v>
      </c>
      <c r="K2209" t="s">
        <v>81</v>
      </c>
      <c r="L2209">
        <f t="shared" si="178"/>
        <v>0</v>
      </c>
      <c r="N2209" t="s">
        <v>37</v>
      </c>
      <c r="R2209" s="3">
        <f t="shared" si="174"/>
        <v>0</v>
      </c>
    </row>
    <row r="2210" spans="1:18" hidden="1" x14ac:dyDescent="0.25">
      <c r="A2210" t="s">
        <v>4699</v>
      </c>
      <c r="B2210" t="s">
        <v>4272</v>
      </c>
      <c r="C2210" t="s">
        <v>4354</v>
      </c>
      <c r="D2210" s="3">
        <f t="shared" si="175"/>
        <v>18</v>
      </c>
      <c r="E2210" t="s">
        <v>126</v>
      </c>
      <c r="F2210" t="s">
        <v>34</v>
      </c>
      <c r="G2210" t="str">
        <f t="shared" si="176"/>
        <v/>
      </c>
      <c r="H2210" t="s">
        <v>14</v>
      </c>
      <c r="I2210" t="s">
        <v>4700</v>
      </c>
      <c r="J2210" s="2">
        <f t="shared" si="177"/>
        <v>900000</v>
      </c>
      <c r="K2210" t="s">
        <v>101</v>
      </c>
      <c r="L2210">
        <f t="shared" si="178"/>
        <v>0.17291666666666669</v>
      </c>
      <c r="M2210" s="5">
        <v>0.17291666666666669</v>
      </c>
      <c r="N2210" t="s">
        <v>37</v>
      </c>
      <c r="R2210" s="3">
        <f t="shared" si="174"/>
        <v>4.1500000000000004</v>
      </c>
    </row>
    <row r="2211" spans="1:18" hidden="1" x14ac:dyDescent="0.25">
      <c r="A2211" t="s">
        <v>5018</v>
      </c>
      <c r="B2211" t="s">
        <v>4806</v>
      </c>
      <c r="C2211" t="s">
        <v>4820</v>
      </c>
      <c r="D2211" s="3">
        <f t="shared" si="175"/>
        <v>12</v>
      </c>
      <c r="E2211" t="s">
        <v>33</v>
      </c>
      <c r="F2211" t="s">
        <v>13</v>
      </c>
      <c r="G2211" t="str">
        <f t="shared" si="176"/>
        <v/>
      </c>
      <c r="H2211" t="s">
        <v>14</v>
      </c>
      <c r="I2211" t="s">
        <v>5019</v>
      </c>
      <c r="J2211" s="2">
        <f t="shared" si="177"/>
        <v>1250000</v>
      </c>
      <c r="K2211" t="s">
        <v>202</v>
      </c>
      <c r="L2211">
        <f t="shared" si="178"/>
        <v>0</v>
      </c>
      <c r="N2211" t="s">
        <v>18</v>
      </c>
      <c r="R2211" s="3">
        <f t="shared" si="174"/>
        <v>0</v>
      </c>
    </row>
    <row r="2212" spans="1:18" hidden="1" x14ac:dyDescent="0.25">
      <c r="A2212" t="s">
        <v>4025</v>
      </c>
      <c r="B2212" t="s">
        <v>3746</v>
      </c>
      <c r="C2212" t="s">
        <v>4027</v>
      </c>
      <c r="D2212" s="3">
        <f t="shared" si="175"/>
        <v>9</v>
      </c>
      <c r="E2212" t="s">
        <v>12</v>
      </c>
      <c r="F2212" t="s">
        <v>13</v>
      </c>
      <c r="G2212" t="str">
        <f t="shared" si="176"/>
        <v/>
      </c>
      <c r="H2212" t="s">
        <v>14</v>
      </c>
      <c r="I2212" t="s">
        <v>4026</v>
      </c>
      <c r="J2212" s="2">
        <f t="shared" si="177"/>
        <v>1100000</v>
      </c>
      <c r="K2212" t="s">
        <v>42</v>
      </c>
      <c r="L2212">
        <f t="shared" si="178"/>
        <v>0.16666666666666666</v>
      </c>
      <c r="M2212" s="5">
        <v>0.16666666666666666</v>
      </c>
      <c r="N2212" t="s">
        <v>18</v>
      </c>
      <c r="R2212" s="3">
        <f t="shared" si="174"/>
        <v>4</v>
      </c>
    </row>
    <row r="2213" spans="1:18" hidden="1" x14ac:dyDescent="0.25">
      <c r="A2213" t="s">
        <v>4016</v>
      </c>
      <c r="B2213" t="s">
        <v>3746</v>
      </c>
      <c r="C2213" t="s">
        <v>3833</v>
      </c>
      <c r="D2213" s="3">
        <f t="shared" si="175"/>
        <v>12</v>
      </c>
      <c r="E2213" t="s">
        <v>33</v>
      </c>
      <c r="F2213" t="s">
        <v>13</v>
      </c>
      <c r="G2213" t="str">
        <f t="shared" si="176"/>
        <v/>
      </c>
      <c r="H2213" t="s">
        <v>14</v>
      </c>
      <c r="I2213" t="s">
        <v>4017</v>
      </c>
      <c r="J2213" s="2">
        <f t="shared" si="177"/>
        <v>1600000</v>
      </c>
      <c r="K2213" t="s">
        <v>95</v>
      </c>
      <c r="L2213">
        <f t="shared" si="178"/>
        <v>0</v>
      </c>
      <c r="N2213" t="s">
        <v>18</v>
      </c>
      <c r="R2213" s="3">
        <f t="shared" si="174"/>
        <v>0</v>
      </c>
    </row>
    <row r="2214" spans="1:18" hidden="1" x14ac:dyDescent="0.25">
      <c r="A2214" t="s">
        <v>70</v>
      </c>
      <c r="B2214" t="s">
        <v>20</v>
      </c>
      <c r="C2214" t="s">
        <v>30</v>
      </c>
      <c r="D2214" s="3">
        <f t="shared" si="175"/>
        <v>15</v>
      </c>
      <c r="E2214" t="s">
        <v>71</v>
      </c>
      <c r="F2214" t="s">
        <v>13</v>
      </c>
      <c r="G2214" t="str">
        <f t="shared" si="176"/>
        <v/>
      </c>
      <c r="H2214" t="s">
        <v>14</v>
      </c>
      <c r="I2214" t="s">
        <v>72</v>
      </c>
      <c r="J2214" s="2">
        <f t="shared" si="177"/>
        <v>1500000</v>
      </c>
      <c r="K2214" t="s">
        <v>66</v>
      </c>
      <c r="L2214">
        <f t="shared" si="178"/>
        <v>0.20833333333333334</v>
      </c>
      <c r="M2214" s="5">
        <v>0.20833333333333334</v>
      </c>
      <c r="N2214" t="s">
        <v>18</v>
      </c>
      <c r="P2214" t="s">
        <v>31</v>
      </c>
      <c r="R2214" s="3">
        <f t="shared" si="174"/>
        <v>5</v>
      </c>
    </row>
    <row r="2215" spans="1:18" hidden="1" x14ac:dyDescent="0.25">
      <c r="A2215" t="s">
        <v>4860</v>
      </c>
      <c r="B2215" t="s">
        <v>4806</v>
      </c>
      <c r="C2215" t="s">
        <v>4862</v>
      </c>
      <c r="D2215" s="3">
        <f t="shared" si="175"/>
        <v>12</v>
      </c>
      <c r="E2215" t="s">
        <v>33</v>
      </c>
      <c r="F2215" t="s">
        <v>13</v>
      </c>
      <c r="G2215" t="str">
        <f t="shared" si="176"/>
        <v/>
      </c>
      <c r="H2215" t="s">
        <v>14</v>
      </c>
      <c r="I2215" t="s">
        <v>4861</v>
      </c>
      <c r="J2215" s="2">
        <f t="shared" si="177"/>
        <v>1000000</v>
      </c>
      <c r="K2215" t="s">
        <v>52</v>
      </c>
      <c r="L2215">
        <f t="shared" si="178"/>
        <v>0</v>
      </c>
      <c r="N2215" t="s">
        <v>37</v>
      </c>
      <c r="R2215" s="3">
        <f t="shared" si="174"/>
        <v>0</v>
      </c>
    </row>
    <row r="2216" spans="1:18" hidden="1" x14ac:dyDescent="0.25">
      <c r="A2216" t="s">
        <v>4228</v>
      </c>
      <c r="B2216" t="s">
        <v>3746</v>
      </c>
      <c r="C2216" t="s">
        <v>3775</v>
      </c>
      <c r="D2216" s="3">
        <f t="shared" si="175"/>
        <v>12</v>
      </c>
      <c r="E2216" t="s">
        <v>33</v>
      </c>
      <c r="F2216" t="s">
        <v>13</v>
      </c>
      <c r="G2216" t="str">
        <f t="shared" si="176"/>
        <v/>
      </c>
      <c r="H2216" t="s">
        <v>14</v>
      </c>
      <c r="I2216" t="s">
        <v>4229</v>
      </c>
      <c r="J2216" s="2">
        <f t="shared" si="177"/>
        <v>1750000</v>
      </c>
      <c r="K2216" t="s">
        <v>306</v>
      </c>
      <c r="L2216">
        <f t="shared" si="178"/>
        <v>0.20833333333333334</v>
      </c>
      <c r="M2216" s="5">
        <v>0.20833333333333334</v>
      </c>
      <c r="N2216" t="s">
        <v>18</v>
      </c>
      <c r="R2216" s="3">
        <f t="shared" si="174"/>
        <v>5</v>
      </c>
    </row>
    <row r="2217" spans="1:18" hidden="1" x14ac:dyDescent="0.25">
      <c r="A2217" t="s">
        <v>1861</v>
      </c>
      <c r="B2217" t="s">
        <v>1303</v>
      </c>
      <c r="C2217" t="s">
        <v>1863</v>
      </c>
      <c r="D2217" s="3">
        <f t="shared" si="175"/>
        <v>9</v>
      </c>
      <c r="E2217" t="s">
        <v>12</v>
      </c>
      <c r="F2217" t="s">
        <v>13</v>
      </c>
      <c r="G2217" t="str">
        <f t="shared" si="176"/>
        <v/>
      </c>
      <c r="H2217" t="s">
        <v>14</v>
      </c>
      <c r="I2217" t="s">
        <v>1862</v>
      </c>
      <c r="J2217" s="2">
        <f t="shared" si="177"/>
        <v>1400000</v>
      </c>
      <c r="K2217" t="s">
        <v>81</v>
      </c>
      <c r="L2217">
        <f t="shared" si="178"/>
        <v>0.17083333333333331</v>
      </c>
      <c r="M2217" s="5">
        <v>0.17083333333333331</v>
      </c>
      <c r="N2217" t="s">
        <v>43</v>
      </c>
      <c r="R2217" s="3">
        <f t="shared" si="174"/>
        <v>4.0999999999999996</v>
      </c>
    </row>
    <row r="2218" spans="1:18" hidden="1" x14ac:dyDescent="0.25">
      <c r="A2218" t="s">
        <v>1320</v>
      </c>
      <c r="B2218" t="s">
        <v>1303</v>
      </c>
      <c r="C2218" t="s">
        <v>1322</v>
      </c>
      <c r="D2218" s="3">
        <f t="shared" si="175"/>
        <v>9</v>
      </c>
      <c r="E2218" t="s">
        <v>12</v>
      </c>
      <c r="F2218" t="s">
        <v>13</v>
      </c>
      <c r="G2218" t="str">
        <f t="shared" si="176"/>
        <v/>
      </c>
      <c r="H2218" t="s">
        <v>14</v>
      </c>
      <c r="I2218" t="s">
        <v>1321</v>
      </c>
      <c r="J2218" s="2">
        <f t="shared" si="177"/>
        <v>2200000</v>
      </c>
      <c r="K2218" t="s">
        <v>849</v>
      </c>
      <c r="L2218">
        <f t="shared" si="178"/>
        <v>0.17222222222222225</v>
      </c>
      <c r="M2218" s="5">
        <v>0.17222222222222225</v>
      </c>
      <c r="N2218" t="s">
        <v>43</v>
      </c>
      <c r="P2218" t="s">
        <v>1030</v>
      </c>
      <c r="R2218" s="3">
        <f t="shared" si="174"/>
        <v>4.1333333333333337</v>
      </c>
    </row>
    <row r="2219" spans="1:18" hidden="1" x14ac:dyDescent="0.25">
      <c r="A2219" t="s">
        <v>3556</v>
      </c>
      <c r="B2219" t="s">
        <v>3233</v>
      </c>
      <c r="C2219" t="s">
        <v>3261</v>
      </c>
      <c r="D2219" s="3">
        <f t="shared" si="175"/>
        <v>12</v>
      </c>
      <c r="E2219" t="s">
        <v>33</v>
      </c>
      <c r="F2219" t="s">
        <v>13</v>
      </c>
      <c r="G2219" t="str">
        <f t="shared" si="176"/>
        <v/>
      </c>
      <c r="H2219" t="s">
        <v>14</v>
      </c>
      <c r="I2219" t="s">
        <v>3557</v>
      </c>
      <c r="J2219" s="2">
        <f t="shared" si="177"/>
        <v>1500000</v>
      </c>
      <c r="K2219" t="s">
        <v>66</v>
      </c>
      <c r="L2219">
        <f t="shared" si="178"/>
        <v>0.20833333333333334</v>
      </c>
      <c r="M2219" s="5">
        <v>0.20833333333333334</v>
      </c>
      <c r="N2219" t="s">
        <v>43</v>
      </c>
      <c r="P2219" t="s">
        <v>3352</v>
      </c>
      <c r="R2219" s="3">
        <f t="shared" si="174"/>
        <v>5</v>
      </c>
    </row>
    <row r="2220" spans="1:18" hidden="1" x14ac:dyDescent="0.25">
      <c r="A2220" t="s">
        <v>516</v>
      </c>
      <c r="B2220" t="s">
        <v>20</v>
      </c>
      <c r="C2220" t="s">
        <v>113</v>
      </c>
      <c r="D2220" s="3">
        <f t="shared" si="175"/>
        <v>12</v>
      </c>
      <c r="E2220" t="s">
        <v>33</v>
      </c>
      <c r="F2220" t="s">
        <v>13</v>
      </c>
      <c r="G2220" t="str">
        <f t="shared" si="176"/>
        <v/>
      </c>
      <c r="H2220" t="s">
        <v>14</v>
      </c>
      <c r="I2220" t="s">
        <v>517</v>
      </c>
      <c r="J2220" s="2">
        <f t="shared" si="177"/>
        <v>600000</v>
      </c>
      <c r="K2220" t="s">
        <v>173</v>
      </c>
      <c r="L2220">
        <f t="shared" si="178"/>
        <v>0</v>
      </c>
      <c r="N2220" t="s">
        <v>43</v>
      </c>
      <c r="R2220" s="3">
        <f t="shared" si="174"/>
        <v>0</v>
      </c>
    </row>
    <row r="2221" spans="1:18" hidden="1" x14ac:dyDescent="0.25">
      <c r="A2221" t="s">
        <v>3547</v>
      </c>
      <c r="B2221" t="s">
        <v>3233</v>
      </c>
      <c r="C2221" t="s">
        <v>3288</v>
      </c>
      <c r="D2221" s="3">
        <f t="shared" si="175"/>
        <v>12</v>
      </c>
      <c r="E2221" t="s">
        <v>33</v>
      </c>
      <c r="F2221" t="s">
        <v>13</v>
      </c>
      <c r="G2221" t="str">
        <f t="shared" si="176"/>
        <v/>
      </c>
      <c r="H2221" t="s">
        <v>14</v>
      </c>
      <c r="I2221" t="s">
        <v>3548</v>
      </c>
      <c r="J2221" s="2">
        <f t="shared" si="177"/>
        <v>1650000</v>
      </c>
      <c r="K2221" t="s">
        <v>90</v>
      </c>
      <c r="L2221">
        <f t="shared" si="178"/>
        <v>0</v>
      </c>
      <c r="N2221" t="s">
        <v>18</v>
      </c>
      <c r="R2221" s="3">
        <f t="shared" si="174"/>
        <v>0</v>
      </c>
    </row>
    <row r="2222" spans="1:18" x14ac:dyDescent="0.25">
      <c r="A2222" t="s">
        <v>1954</v>
      </c>
      <c r="B2222" t="s">
        <v>1303</v>
      </c>
      <c r="C2222" t="s">
        <v>1392</v>
      </c>
      <c r="D2222" s="3">
        <f t="shared" si="175"/>
        <v>12</v>
      </c>
      <c r="E2222" t="s">
        <v>33</v>
      </c>
      <c r="F2222" t="s">
        <v>13</v>
      </c>
      <c r="G2222" t="str">
        <f t="shared" si="176"/>
        <v/>
      </c>
      <c r="H2222" t="s">
        <v>14</v>
      </c>
      <c r="I2222" t="s">
        <v>1955</v>
      </c>
      <c r="J2222" s="2">
        <f t="shared" si="177"/>
        <v>3250000</v>
      </c>
      <c r="K2222" t="s">
        <v>1315</v>
      </c>
      <c r="L2222">
        <f t="shared" si="178"/>
        <v>0.20833333333333334</v>
      </c>
      <c r="M2222" s="5">
        <v>0.20833333333333334</v>
      </c>
      <c r="N2222" t="s">
        <v>43</v>
      </c>
      <c r="R2222" s="3">
        <f t="shared" si="174"/>
        <v>5</v>
      </c>
    </row>
    <row r="2223" spans="1:18" hidden="1" x14ac:dyDescent="0.25">
      <c r="A2223" t="s">
        <v>1229</v>
      </c>
      <c r="B2223" t="s">
        <v>640</v>
      </c>
      <c r="C2223" t="s">
        <v>643</v>
      </c>
      <c r="D2223" s="3">
        <f t="shared" si="175"/>
        <v>9</v>
      </c>
      <c r="E2223" t="s">
        <v>12</v>
      </c>
      <c r="F2223" t="s">
        <v>34</v>
      </c>
      <c r="G2223" t="str">
        <f t="shared" si="176"/>
        <v/>
      </c>
      <c r="H2223" t="s">
        <v>14</v>
      </c>
      <c r="I2223" t="s">
        <v>1230</v>
      </c>
      <c r="J2223" s="2">
        <f t="shared" si="177"/>
        <v>750000</v>
      </c>
      <c r="K2223" t="s">
        <v>76</v>
      </c>
      <c r="L2223">
        <f t="shared" si="178"/>
        <v>0.16944444444444443</v>
      </c>
      <c r="M2223" s="5">
        <v>0.16944444444444443</v>
      </c>
      <c r="N2223" t="s">
        <v>43</v>
      </c>
      <c r="R2223" s="3">
        <f t="shared" si="174"/>
        <v>4.0666666666666664</v>
      </c>
    </row>
    <row r="2224" spans="1:18" x14ac:dyDescent="0.25">
      <c r="A2224" t="s">
        <v>1313</v>
      </c>
      <c r="B2224" t="s">
        <v>1303</v>
      </c>
      <c r="C2224" t="s">
        <v>1316</v>
      </c>
      <c r="D2224" s="3">
        <f t="shared" si="175"/>
        <v>12</v>
      </c>
      <c r="E2224" t="s">
        <v>33</v>
      </c>
      <c r="F2224" t="s">
        <v>13</v>
      </c>
      <c r="G2224" t="str">
        <f t="shared" si="176"/>
        <v/>
      </c>
      <c r="H2224" t="s">
        <v>14</v>
      </c>
      <c r="I2224" t="s">
        <v>1314</v>
      </c>
      <c r="J2224" s="2">
        <f t="shared" si="177"/>
        <v>3250000</v>
      </c>
      <c r="K2224" t="s">
        <v>1315</v>
      </c>
      <c r="L2224">
        <f t="shared" si="178"/>
        <v>0.20833333333333334</v>
      </c>
      <c r="M2224" s="5">
        <v>0.20833333333333334</v>
      </c>
      <c r="N2224" t="s">
        <v>43</v>
      </c>
      <c r="R2224" s="3">
        <f t="shared" si="174"/>
        <v>5</v>
      </c>
    </row>
    <row r="2225" spans="1:18" hidden="1" x14ac:dyDescent="0.25">
      <c r="A2225" t="s">
        <v>1705</v>
      </c>
      <c r="B2225" t="s">
        <v>1303</v>
      </c>
      <c r="C2225" t="s">
        <v>1312</v>
      </c>
      <c r="D2225" s="3">
        <f t="shared" si="175"/>
        <v>9</v>
      </c>
      <c r="E2225" t="s">
        <v>12</v>
      </c>
      <c r="F2225" t="s">
        <v>13</v>
      </c>
      <c r="G2225" t="str">
        <f t="shared" si="176"/>
        <v/>
      </c>
      <c r="H2225" t="s">
        <v>14</v>
      </c>
      <c r="I2225" t="s">
        <v>1706</v>
      </c>
      <c r="J2225" s="2">
        <f t="shared" si="177"/>
        <v>3000000</v>
      </c>
      <c r="K2225" t="s">
        <v>1513</v>
      </c>
      <c r="L2225">
        <f t="shared" si="178"/>
        <v>0.17291666666666669</v>
      </c>
      <c r="M2225" s="5">
        <v>0.17291666666666669</v>
      </c>
      <c r="N2225" t="s">
        <v>43</v>
      </c>
      <c r="R2225" s="3">
        <f t="shared" si="174"/>
        <v>4.1500000000000004</v>
      </c>
    </row>
    <row r="2226" spans="1:18" x14ac:dyDescent="0.25">
      <c r="A2226" t="s">
        <v>3623</v>
      </c>
      <c r="B2226" t="s">
        <v>3233</v>
      </c>
      <c r="C2226" t="s">
        <v>3237</v>
      </c>
      <c r="D2226" s="3">
        <f t="shared" si="175"/>
        <v>18</v>
      </c>
      <c r="E2226" t="s">
        <v>1338</v>
      </c>
      <c r="F2226" t="s">
        <v>13</v>
      </c>
      <c r="G2226" t="str">
        <f t="shared" si="176"/>
        <v/>
      </c>
      <c r="H2226" t="s">
        <v>14</v>
      </c>
      <c r="I2226" t="s">
        <v>3624</v>
      </c>
      <c r="J2226" s="2">
        <f t="shared" si="177"/>
        <v>3300000</v>
      </c>
      <c r="K2226" t="s">
        <v>2116</v>
      </c>
      <c r="L2226">
        <f t="shared" si="178"/>
        <v>0</v>
      </c>
      <c r="N2226" t="s">
        <v>43</v>
      </c>
      <c r="R2226" s="3">
        <f t="shared" si="174"/>
        <v>0</v>
      </c>
    </row>
    <row r="2227" spans="1:18" hidden="1" x14ac:dyDescent="0.25">
      <c r="A2227" t="s">
        <v>5664</v>
      </c>
      <c r="B2227" t="s">
        <v>5848</v>
      </c>
      <c r="C2227" t="s">
        <v>5339</v>
      </c>
      <c r="D2227" s="3">
        <f t="shared" si="175"/>
        <v>16</v>
      </c>
      <c r="E2227" t="s">
        <v>79</v>
      </c>
      <c r="F2227" t="s">
        <v>34</v>
      </c>
      <c r="G2227" t="str">
        <f t="shared" si="176"/>
        <v/>
      </c>
      <c r="H2227" t="s">
        <v>14</v>
      </c>
      <c r="I2227" t="s">
        <v>5665</v>
      </c>
      <c r="J2227" s="2">
        <f t="shared" si="177"/>
        <v>3300000</v>
      </c>
      <c r="K2227" t="s">
        <v>2116</v>
      </c>
      <c r="L2227">
        <f t="shared" si="178"/>
        <v>0.20833333333333334</v>
      </c>
      <c r="M2227" s="5">
        <v>0.20833333333333334</v>
      </c>
      <c r="N2227" t="s">
        <v>43</v>
      </c>
      <c r="R2227" s="3">
        <f t="shared" si="174"/>
        <v>5</v>
      </c>
    </row>
    <row r="2228" spans="1:18" hidden="1" x14ac:dyDescent="0.25">
      <c r="A2228" t="s">
        <v>3430</v>
      </c>
      <c r="B2228" t="s">
        <v>3233</v>
      </c>
      <c r="C2228" t="s">
        <v>3432</v>
      </c>
      <c r="D2228" s="3">
        <f t="shared" si="175"/>
        <v>21</v>
      </c>
      <c r="E2228" t="s">
        <v>121</v>
      </c>
      <c r="F2228" t="s">
        <v>13</v>
      </c>
      <c r="G2228" t="str">
        <f t="shared" si="176"/>
        <v/>
      </c>
      <c r="H2228" t="s">
        <v>14</v>
      </c>
      <c r="I2228" t="s">
        <v>3431</v>
      </c>
      <c r="J2228" s="2">
        <f t="shared" si="177"/>
        <v>1700000</v>
      </c>
      <c r="K2228" t="s">
        <v>23</v>
      </c>
      <c r="L2228">
        <f t="shared" si="178"/>
        <v>0.17222222222222225</v>
      </c>
      <c r="M2228" s="5">
        <v>0.17222222222222225</v>
      </c>
      <c r="N2228" t="s">
        <v>43</v>
      </c>
      <c r="P2228" t="s">
        <v>1449</v>
      </c>
      <c r="R2228" s="3">
        <f t="shared" si="174"/>
        <v>4.1333333333333337</v>
      </c>
    </row>
    <row r="2229" spans="1:18" hidden="1" x14ac:dyDescent="0.25">
      <c r="A2229" t="s">
        <v>2529</v>
      </c>
      <c r="B2229" t="s">
        <v>2596</v>
      </c>
      <c r="C2229" t="s">
        <v>2053</v>
      </c>
      <c r="D2229" s="3">
        <f t="shared" si="175"/>
        <v>9</v>
      </c>
      <c r="E2229" t="s">
        <v>12</v>
      </c>
      <c r="F2229" t="s">
        <v>34</v>
      </c>
      <c r="G2229" t="str">
        <f t="shared" si="176"/>
        <v/>
      </c>
      <c r="H2229" t="s">
        <v>14</v>
      </c>
      <c r="I2229" t="s">
        <v>2530</v>
      </c>
      <c r="J2229" s="2">
        <f t="shared" si="177"/>
        <v>1850000</v>
      </c>
      <c r="K2229" t="s">
        <v>87</v>
      </c>
      <c r="L2229">
        <f t="shared" si="178"/>
        <v>0.17222222222222225</v>
      </c>
      <c r="M2229" s="5">
        <v>0.17222222222222225</v>
      </c>
      <c r="N2229" t="s">
        <v>18</v>
      </c>
      <c r="R2229" s="3">
        <f t="shared" si="174"/>
        <v>4.1333333333333337</v>
      </c>
    </row>
    <row r="2230" spans="1:18" hidden="1" x14ac:dyDescent="0.25">
      <c r="A2230" t="s">
        <v>3680</v>
      </c>
      <c r="B2230" t="s">
        <v>3233</v>
      </c>
      <c r="C2230" t="s">
        <v>3261</v>
      </c>
      <c r="D2230" s="3">
        <f t="shared" si="175"/>
        <v>9</v>
      </c>
      <c r="E2230" t="s">
        <v>12</v>
      </c>
      <c r="F2230" t="s">
        <v>13</v>
      </c>
      <c r="G2230" t="str">
        <f t="shared" si="176"/>
        <v/>
      </c>
      <c r="H2230" t="s">
        <v>14</v>
      </c>
      <c r="I2230" t="s">
        <v>3681</v>
      </c>
      <c r="J2230" s="2">
        <f t="shared" si="177"/>
        <v>1300000</v>
      </c>
      <c r="K2230" t="s">
        <v>17</v>
      </c>
      <c r="L2230">
        <f t="shared" si="178"/>
        <v>0.12569444444444444</v>
      </c>
      <c r="M2230" s="5">
        <v>0.12569444444444444</v>
      </c>
      <c r="N2230" t="s">
        <v>43</v>
      </c>
      <c r="R2230" s="3">
        <f t="shared" si="174"/>
        <v>3.0166666666666666</v>
      </c>
    </row>
    <row r="2231" spans="1:18" hidden="1" x14ac:dyDescent="0.25">
      <c r="A2231" t="s">
        <v>3975</v>
      </c>
      <c r="B2231" t="s">
        <v>3746</v>
      </c>
      <c r="C2231" t="s">
        <v>3897</v>
      </c>
      <c r="D2231" s="3">
        <f t="shared" si="175"/>
        <v>9</v>
      </c>
      <c r="E2231" t="s">
        <v>12</v>
      </c>
      <c r="F2231" t="s">
        <v>13</v>
      </c>
      <c r="G2231" t="str">
        <f t="shared" si="176"/>
        <v/>
      </c>
      <c r="H2231" t="s">
        <v>14</v>
      </c>
      <c r="I2231" t="s">
        <v>3976</v>
      </c>
      <c r="J2231" s="2">
        <f t="shared" si="177"/>
        <v>700000</v>
      </c>
      <c r="K2231" t="s">
        <v>157</v>
      </c>
      <c r="L2231">
        <f t="shared" si="178"/>
        <v>0</v>
      </c>
      <c r="N2231" t="s">
        <v>18</v>
      </c>
      <c r="R2231" s="3">
        <f t="shared" si="174"/>
        <v>0</v>
      </c>
    </row>
    <row r="2232" spans="1:18" hidden="1" x14ac:dyDescent="0.25">
      <c r="A2232" t="s">
        <v>212</v>
      </c>
      <c r="B2232" t="s">
        <v>20</v>
      </c>
      <c r="C2232" t="s">
        <v>67</v>
      </c>
      <c r="D2232" s="3">
        <f t="shared" si="175"/>
        <v>12</v>
      </c>
      <c r="E2232" t="s">
        <v>33</v>
      </c>
      <c r="F2232" t="s">
        <v>34</v>
      </c>
      <c r="G2232" t="str">
        <f t="shared" si="176"/>
        <v/>
      </c>
      <c r="H2232" t="s">
        <v>14</v>
      </c>
      <c r="I2232" t="s">
        <v>213</v>
      </c>
      <c r="J2232" s="2">
        <f t="shared" si="177"/>
        <v>1500000</v>
      </c>
      <c r="K2232" t="s">
        <v>66</v>
      </c>
      <c r="L2232">
        <f t="shared" si="178"/>
        <v>0</v>
      </c>
      <c r="N2232" t="s">
        <v>18</v>
      </c>
      <c r="R2232" s="3">
        <f t="shared" si="174"/>
        <v>0</v>
      </c>
    </row>
    <row r="2233" spans="1:18" hidden="1" x14ac:dyDescent="0.25">
      <c r="A2233" t="s">
        <v>4656</v>
      </c>
      <c r="B2233" t="s">
        <v>4272</v>
      </c>
      <c r="C2233" t="s">
        <v>4281</v>
      </c>
      <c r="D2233" s="3">
        <f t="shared" si="175"/>
        <v>9</v>
      </c>
      <c r="E2233" t="s">
        <v>12</v>
      </c>
      <c r="F2233" t="s">
        <v>13</v>
      </c>
      <c r="G2233" t="str">
        <f t="shared" si="176"/>
        <v/>
      </c>
      <c r="H2233" t="s">
        <v>14</v>
      </c>
      <c r="I2233" t="s">
        <v>4657</v>
      </c>
      <c r="J2233" s="2">
        <f t="shared" si="177"/>
        <v>1400000</v>
      </c>
      <c r="K2233" t="s">
        <v>81</v>
      </c>
      <c r="L2233">
        <f t="shared" si="178"/>
        <v>0.17291666666666669</v>
      </c>
      <c r="M2233" s="5">
        <v>0.17291666666666669</v>
      </c>
      <c r="N2233" t="s">
        <v>43</v>
      </c>
      <c r="P2233" t="s">
        <v>2095</v>
      </c>
      <c r="R2233" s="3">
        <f t="shared" si="174"/>
        <v>4.1500000000000004</v>
      </c>
    </row>
    <row r="2234" spans="1:18" hidden="1" x14ac:dyDescent="0.25">
      <c r="A2234" t="s">
        <v>3465</v>
      </c>
      <c r="B2234" t="s">
        <v>3233</v>
      </c>
      <c r="C2234" t="s">
        <v>3232</v>
      </c>
      <c r="D2234" s="3">
        <f t="shared" si="175"/>
        <v>5.5</v>
      </c>
      <c r="E2234" t="s">
        <v>2076</v>
      </c>
      <c r="F2234" t="s">
        <v>13</v>
      </c>
      <c r="G2234" t="str">
        <f t="shared" si="176"/>
        <v/>
      </c>
      <c r="H2234" t="s">
        <v>14</v>
      </c>
      <c r="I2234" t="s">
        <v>3466</v>
      </c>
      <c r="J2234" s="2">
        <f t="shared" si="177"/>
        <v>1850000</v>
      </c>
      <c r="K2234" t="s">
        <v>87</v>
      </c>
      <c r="L2234">
        <f t="shared" si="178"/>
        <v>0.17222222222222225</v>
      </c>
      <c r="M2234" s="5">
        <v>0.17222222222222225</v>
      </c>
      <c r="N2234" t="s">
        <v>43</v>
      </c>
      <c r="P2234" t="s">
        <v>1810</v>
      </c>
      <c r="R2234" s="3">
        <f t="shared" si="174"/>
        <v>4.1333333333333337</v>
      </c>
    </row>
    <row r="2235" spans="1:18" hidden="1" x14ac:dyDescent="0.25">
      <c r="A2235" t="s">
        <v>4889</v>
      </c>
      <c r="B2235" t="s">
        <v>4806</v>
      </c>
      <c r="C2235" t="s">
        <v>4825</v>
      </c>
      <c r="D2235" s="3">
        <f t="shared" si="175"/>
        <v>12</v>
      </c>
      <c r="E2235" t="s">
        <v>33</v>
      </c>
      <c r="F2235" t="s">
        <v>13</v>
      </c>
      <c r="G2235" t="str">
        <f t="shared" si="176"/>
        <v/>
      </c>
      <c r="H2235" t="s">
        <v>14</v>
      </c>
      <c r="I2235" t="s">
        <v>4890</v>
      </c>
      <c r="J2235" s="2">
        <f t="shared" si="177"/>
        <v>1900000</v>
      </c>
      <c r="K2235" t="s">
        <v>352</v>
      </c>
      <c r="L2235">
        <f t="shared" si="178"/>
        <v>0</v>
      </c>
      <c r="N2235" t="s">
        <v>18</v>
      </c>
      <c r="R2235" s="3">
        <f t="shared" si="174"/>
        <v>0</v>
      </c>
    </row>
    <row r="2236" spans="1:18" hidden="1" x14ac:dyDescent="0.25">
      <c r="A2236" t="s">
        <v>4572</v>
      </c>
      <c r="B2236" t="s">
        <v>4272</v>
      </c>
      <c r="C2236" t="s">
        <v>4417</v>
      </c>
      <c r="D2236" s="3">
        <f t="shared" si="175"/>
        <v>9</v>
      </c>
      <c r="E2236" t="s">
        <v>12</v>
      </c>
      <c r="F2236" t="s">
        <v>13</v>
      </c>
      <c r="G2236" t="str">
        <f t="shared" si="176"/>
        <v/>
      </c>
      <c r="H2236" t="s">
        <v>14</v>
      </c>
      <c r="I2236" t="s">
        <v>4573</v>
      </c>
      <c r="J2236" s="2">
        <f t="shared" si="177"/>
        <v>1300000</v>
      </c>
      <c r="K2236" t="s">
        <v>17</v>
      </c>
      <c r="L2236">
        <f t="shared" si="178"/>
        <v>0</v>
      </c>
      <c r="N2236" t="s">
        <v>18</v>
      </c>
      <c r="R2236" s="3">
        <f t="shared" si="174"/>
        <v>0</v>
      </c>
    </row>
    <row r="2237" spans="1:18" hidden="1" x14ac:dyDescent="0.25">
      <c r="A2237" t="s">
        <v>2941</v>
      </c>
      <c r="B2237" t="s">
        <v>3206</v>
      </c>
      <c r="C2237" t="s">
        <v>2631</v>
      </c>
      <c r="D2237" s="3">
        <f t="shared" si="175"/>
        <v>17.5</v>
      </c>
      <c r="E2237" t="s">
        <v>2568</v>
      </c>
      <c r="F2237" t="s">
        <v>13</v>
      </c>
      <c r="G2237" t="str">
        <f t="shared" si="176"/>
        <v/>
      </c>
      <c r="H2237" t="s">
        <v>14</v>
      </c>
      <c r="I2237" t="s">
        <v>2942</v>
      </c>
      <c r="J2237" s="2">
        <f t="shared" si="177"/>
        <v>3850000</v>
      </c>
      <c r="K2237" t="s">
        <v>2943</v>
      </c>
      <c r="L2237">
        <f t="shared" si="178"/>
        <v>0.17083333333333331</v>
      </c>
      <c r="M2237" s="5">
        <v>0.17083333333333331</v>
      </c>
      <c r="N2237" t="s">
        <v>43</v>
      </c>
      <c r="P2237" t="s">
        <v>2605</v>
      </c>
      <c r="R2237" s="3">
        <f t="shared" si="174"/>
        <v>4.0999999999999996</v>
      </c>
    </row>
    <row r="2238" spans="1:18" x14ac:dyDescent="0.25">
      <c r="A2238" t="s">
        <v>2329</v>
      </c>
      <c r="B2238" t="s">
        <v>2596</v>
      </c>
      <c r="C2238" t="s">
        <v>2013</v>
      </c>
      <c r="D2238" s="3">
        <f t="shared" si="175"/>
        <v>17.64</v>
      </c>
      <c r="E2238" t="s">
        <v>2330</v>
      </c>
      <c r="F2238" t="s">
        <v>13</v>
      </c>
      <c r="G2238">
        <f t="shared" si="176"/>
        <v>3600000</v>
      </c>
      <c r="H2238" t="s">
        <v>1723</v>
      </c>
      <c r="I2238" t="s">
        <v>2331</v>
      </c>
      <c r="J2238" s="2">
        <f t="shared" si="177"/>
        <v>3312000</v>
      </c>
      <c r="K2238" t="s">
        <v>2332</v>
      </c>
      <c r="L2238">
        <f t="shared" si="178"/>
        <v>0.17222222222222225</v>
      </c>
      <c r="M2238" s="5">
        <v>0.17222222222222225</v>
      </c>
      <c r="N2238" t="s">
        <v>43</v>
      </c>
      <c r="P2238" t="s">
        <v>1306</v>
      </c>
      <c r="R2238" s="3">
        <f t="shared" si="174"/>
        <v>4.1333333333333337</v>
      </c>
    </row>
    <row r="2239" spans="1:18" x14ac:dyDescent="0.25">
      <c r="A2239" t="s">
        <v>2456</v>
      </c>
      <c r="B2239" t="s">
        <v>2596</v>
      </c>
      <c r="C2239" t="s">
        <v>2013</v>
      </c>
      <c r="D2239" s="3">
        <f t="shared" si="175"/>
        <v>20</v>
      </c>
      <c r="E2239" t="s">
        <v>565</v>
      </c>
      <c r="F2239" t="s">
        <v>13</v>
      </c>
      <c r="G2239">
        <f t="shared" si="176"/>
        <v>3825000</v>
      </c>
      <c r="H2239" t="s">
        <v>2457</v>
      </c>
      <c r="I2239" t="s">
        <v>2458</v>
      </c>
      <c r="J2239" s="2">
        <f t="shared" si="177"/>
        <v>3445000</v>
      </c>
      <c r="K2239" t="s">
        <v>2459</v>
      </c>
      <c r="L2239">
        <f t="shared" si="178"/>
        <v>0.17222222222222225</v>
      </c>
      <c r="M2239" s="5">
        <v>0.17222222222222225</v>
      </c>
      <c r="N2239" t="s">
        <v>43</v>
      </c>
      <c r="P2239" t="s">
        <v>2460</v>
      </c>
      <c r="R2239" s="3">
        <f t="shared" si="174"/>
        <v>4.1333333333333337</v>
      </c>
    </row>
    <row r="2240" spans="1:18" hidden="1" x14ac:dyDescent="0.25">
      <c r="A2240" t="s">
        <v>5064</v>
      </c>
      <c r="B2240" t="s">
        <v>4806</v>
      </c>
      <c r="C2240" t="s">
        <v>4809</v>
      </c>
      <c r="D2240" s="3">
        <f t="shared" si="175"/>
        <v>35</v>
      </c>
      <c r="E2240" t="s">
        <v>5065</v>
      </c>
      <c r="F2240" t="s">
        <v>13</v>
      </c>
      <c r="G2240" t="str">
        <f t="shared" si="176"/>
        <v/>
      </c>
      <c r="H2240" t="s">
        <v>14</v>
      </c>
      <c r="I2240" t="s">
        <v>5066</v>
      </c>
      <c r="J2240" s="2">
        <f t="shared" si="177"/>
        <v>1700000</v>
      </c>
      <c r="K2240" t="s">
        <v>23</v>
      </c>
      <c r="L2240">
        <f t="shared" si="178"/>
        <v>0</v>
      </c>
      <c r="N2240" t="s">
        <v>43</v>
      </c>
      <c r="R2240" s="3">
        <f t="shared" si="174"/>
        <v>0</v>
      </c>
    </row>
    <row r="2241" spans="1:18" x14ac:dyDescent="0.25">
      <c r="A2241" t="s">
        <v>2598</v>
      </c>
      <c r="B2241" t="s">
        <v>3206</v>
      </c>
      <c r="C2241" t="s">
        <v>2600</v>
      </c>
      <c r="D2241" s="3">
        <f t="shared" si="175"/>
        <v>15</v>
      </c>
      <c r="E2241" t="s">
        <v>71</v>
      </c>
      <c r="F2241" t="s">
        <v>13</v>
      </c>
      <c r="G2241" t="str">
        <f t="shared" si="176"/>
        <v/>
      </c>
      <c r="H2241" t="s">
        <v>14</v>
      </c>
      <c r="I2241" t="s">
        <v>2599</v>
      </c>
      <c r="J2241" s="2">
        <f t="shared" si="177"/>
        <v>3500000</v>
      </c>
      <c r="K2241" t="s">
        <v>143</v>
      </c>
      <c r="L2241">
        <f t="shared" si="178"/>
        <v>0.16666666666666666</v>
      </c>
      <c r="M2241" s="5">
        <v>0.16666666666666666</v>
      </c>
      <c r="N2241" t="s">
        <v>43</v>
      </c>
      <c r="R2241" s="3">
        <f t="shared" si="174"/>
        <v>4</v>
      </c>
    </row>
    <row r="2242" spans="1:18" hidden="1" x14ac:dyDescent="0.25">
      <c r="A2242" t="s">
        <v>3415</v>
      </c>
      <c r="B2242" t="s">
        <v>3233</v>
      </c>
      <c r="C2242" t="s">
        <v>3329</v>
      </c>
      <c r="D2242" s="3">
        <f t="shared" si="175"/>
        <v>12</v>
      </c>
      <c r="E2242" t="s">
        <v>33</v>
      </c>
      <c r="F2242" t="s">
        <v>13</v>
      </c>
      <c r="G2242" t="str">
        <f t="shared" si="176"/>
        <v/>
      </c>
      <c r="H2242" t="s">
        <v>14</v>
      </c>
      <c r="I2242" t="s">
        <v>3416</v>
      </c>
      <c r="J2242" s="2">
        <f t="shared" si="177"/>
        <v>1600000</v>
      </c>
      <c r="K2242" t="s">
        <v>95</v>
      </c>
      <c r="L2242">
        <f t="shared" si="178"/>
        <v>0.17222222222222225</v>
      </c>
      <c r="M2242" s="5">
        <v>0.17222222222222225</v>
      </c>
      <c r="N2242" t="s">
        <v>43</v>
      </c>
      <c r="P2242" t="s">
        <v>1449</v>
      </c>
      <c r="R2242" s="3">
        <f t="shared" ref="R2242:R2305" si="179">24*L2242</f>
        <v>4.1333333333333337</v>
      </c>
    </row>
    <row r="2243" spans="1:18" hidden="1" x14ac:dyDescent="0.25">
      <c r="A2243" t="s">
        <v>3424</v>
      </c>
      <c r="B2243" t="s">
        <v>3233</v>
      </c>
      <c r="C2243" t="s">
        <v>3329</v>
      </c>
      <c r="D2243" s="3">
        <f t="shared" si="175"/>
        <v>20</v>
      </c>
      <c r="E2243" t="s">
        <v>159</v>
      </c>
      <c r="F2243" t="s">
        <v>13</v>
      </c>
      <c r="G2243" t="str">
        <f t="shared" si="176"/>
        <v/>
      </c>
      <c r="H2243" t="s">
        <v>14</v>
      </c>
      <c r="I2243" t="s">
        <v>3425</v>
      </c>
      <c r="J2243" s="2">
        <f t="shared" si="177"/>
        <v>1600000</v>
      </c>
      <c r="K2243" t="s">
        <v>95</v>
      </c>
      <c r="L2243">
        <f t="shared" si="178"/>
        <v>0.17222222222222225</v>
      </c>
      <c r="M2243" s="5">
        <v>0.17222222222222225</v>
      </c>
      <c r="N2243" t="s">
        <v>43</v>
      </c>
      <c r="P2243" t="s">
        <v>1449</v>
      </c>
      <c r="R2243" s="3">
        <f t="shared" si="179"/>
        <v>4.1333333333333337</v>
      </c>
    </row>
    <row r="2244" spans="1:18" hidden="1" x14ac:dyDescent="0.25">
      <c r="A2244" t="s">
        <v>420</v>
      </c>
      <c r="B2244" t="s">
        <v>20</v>
      </c>
      <c r="C2244" t="s">
        <v>24</v>
      </c>
      <c r="D2244" s="3">
        <f t="shared" ref="D2244:D2307" si="180">VALUE(LEFT(E2244,SEARCH(" x ",E2244)-1))*VALUE(MID(E2244,SEARCH(" x ",E2244)+3,SEARCH(" meter",E2244)-SEARCH(" x ",E2244)-3))</f>
        <v>9</v>
      </c>
      <c r="E2244" t="s">
        <v>12</v>
      </c>
      <c r="F2244" t="s">
        <v>13</v>
      </c>
      <c r="G2244" t="str">
        <f t="shared" ref="G2244:G2307" si="181">IF(H2244="N/A","",VALUE(SUBSTITUTE(SUBSTITUTE(H2244,"Rp",""),".","")))</f>
        <v/>
      </c>
      <c r="H2244" t="s">
        <v>14</v>
      </c>
      <c r="I2244" t="s">
        <v>421</v>
      </c>
      <c r="J2244" s="2">
        <f t="shared" ref="J2244:J2307" si="182">VALUE(SUBSTITUTE(SUBSTITUTE(K2244,"Rp",""),".",""))</f>
        <v>1400000</v>
      </c>
      <c r="K2244" t="s">
        <v>81</v>
      </c>
      <c r="L2244">
        <f t="shared" ref="L2244:L2307" si="183">M2244:M4584</f>
        <v>0</v>
      </c>
      <c r="N2244" t="s">
        <v>18</v>
      </c>
      <c r="R2244" s="3">
        <f t="shared" si="179"/>
        <v>0</v>
      </c>
    </row>
    <row r="2245" spans="1:18" hidden="1" x14ac:dyDescent="0.25">
      <c r="A2245" t="s">
        <v>5298</v>
      </c>
      <c r="B2245" t="s">
        <v>4806</v>
      </c>
      <c r="C2245" t="s">
        <v>4805</v>
      </c>
      <c r="D2245" s="3">
        <f t="shared" si="180"/>
        <v>8.41</v>
      </c>
      <c r="E2245" t="s">
        <v>5299</v>
      </c>
      <c r="F2245" t="s">
        <v>13</v>
      </c>
      <c r="G2245" t="str">
        <f t="shared" si="181"/>
        <v/>
      </c>
      <c r="H2245" t="s">
        <v>14</v>
      </c>
      <c r="I2245" t="s">
        <v>5300</v>
      </c>
      <c r="J2245" s="2">
        <f t="shared" si="182"/>
        <v>1325000</v>
      </c>
      <c r="K2245" t="s">
        <v>683</v>
      </c>
      <c r="L2245">
        <f t="shared" si="183"/>
        <v>0</v>
      </c>
      <c r="N2245" t="s">
        <v>18</v>
      </c>
      <c r="R2245" s="3">
        <f t="shared" si="179"/>
        <v>0</v>
      </c>
    </row>
    <row r="2246" spans="1:18" hidden="1" x14ac:dyDescent="0.25">
      <c r="A2246" t="s">
        <v>5298</v>
      </c>
      <c r="B2246" t="s">
        <v>4806</v>
      </c>
      <c r="C2246" t="s">
        <v>4805</v>
      </c>
      <c r="D2246" s="3">
        <f t="shared" si="180"/>
        <v>8.41</v>
      </c>
      <c r="E2246" t="s">
        <v>5299</v>
      </c>
      <c r="F2246" t="s">
        <v>13</v>
      </c>
      <c r="G2246" t="str">
        <f t="shared" si="181"/>
        <v/>
      </c>
      <c r="H2246" t="s">
        <v>14</v>
      </c>
      <c r="I2246" t="s">
        <v>5322</v>
      </c>
      <c r="J2246" s="2">
        <f t="shared" si="182"/>
        <v>1325000</v>
      </c>
      <c r="K2246" t="s">
        <v>683</v>
      </c>
      <c r="L2246">
        <f t="shared" si="183"/>
        <v>0</v>
      </c>
      <c r="N2246" t="s">
        <v>18</v>
      </c>
      <c r="R2246" s="3">
        <f t="shared" si="179"/>
        <v>0</v>
      </c>
    </row>
    <row r="2247" spans="1:18" hidden="1" x14ac:dyDescent="0.25">
      <c r="A2247" t="s">
        <v>5129</v>
      </c>
      <c r="B2247" t="s">
        <v>4806</v>
      </c>
      <c r="C2247" t="s">
        <v>4805</v>
      </c>
      <c r="D2247" s="3">
        <f t="shared" si="180"/>
        <v>9</v>
      </c>
      <c r="E2247" t="s">
        <v>12</v>
      </c>
      <c r="F2247" t="s">
        <v>13</v>
      </c>
      <c r="G2247" t="str">
        <f t="shared" si="181"/>
        <v/>
      </c>
      <c r="H2247" t="s">
        <v>14</v>
      </c>
      <c r="I2247" t="s">
        <v>5130</v>
      </c>
      <c r="J2247" s="2">
        <f t="shared" si="182"/>
        <v>1380000</v>
      </c>
      <c r="K2247" t="s">
        <v>2495</v>
      </c>
      <c r="L2247">
        <f t="shared" si="183"/>
        <v>0.17222222222222225</v>
      </c>
      <c r="M2247" s="5">
        <v>0.17222222222222225</v>
      </c>
      <c r="N2247" t="s">
        <v>43</v>
      </c>
      <c r="R2247" s="3">
        <f t="shared" si="179"/>
        <v>4.1333333333333337</v>
      </c>
    </row>
    <row r="2248" spans="1:18" hidden="1" x14ac:dyDescent="0.25">
      <c r="A2248" t="s">
        <v>5086</v>
      </c>
      <c r="B2248" t="s">
        <v>4806</v>
      </c>
      <c r="C2248" t="s">
        <v>4805</v>
      </c>
      <c r="D2248" s="3">
        <f t="shared" si="180"/>
        <v>12</v>
      </c>
      <c r="E2248" t="s">
        <v>33</v>
      </c>
      <c r="F2248" t="s">
        <v>13</v>
      </c>
      <c r="G2248" t="str">
        <f t="shared" si="181"/>
        <v/>
      </c>
      <c r="H2248" t="s">
        <v>14</v>
      </c>
      <c r="I2248" t="s">
        <v>5087</v>
      </c>
      <c r="J2248" s="2">
        <f t="shared" si="182"/>
        <v>1330000</v>
      </c>
      <c r="K2248" t="s">
        <v>5088</v>
      </c>
      <c r="L2248">
        <f t="shared" si="183"/>
        <v>0.17222222222222225</v>
      </c>
      <c r="M2248" s="5">
        <v>0.17222222222222225</v>
      </c>
      <c r="N2248" t="s">
        <v>43</v>
      </c>
      <c r="R2248" s="3">
        <f t="shared" si="179"/>
        <v>4.1333333333333337</v>
      </c>
    </row>
    <row r="2249" spans="1:18" hidden="1" x14ac:dyDescent="0.25">
      <c r="A2249" t="s">
        <v>616</v>
      </c>
      <c r="B2249" t="s">
        <v>20</v>
      </c>
      <c r="C2249" t="s">
        <v>24</v>
      </c>
      <c r="D2249" s="3">
        <f t="shared" si="180"/>
        <v>9</v>
      </c>
      <c r="E2249" t="s">
        <v>12</v>
      </c>
      <c r="F2249" t="s">
        <v>13</v>
      </c>
      <c r="G2249" t="str">
        <f t="shared" si="181"/>
        <v/>
      </c>
      <c r="H2249" t="s">
        <v>14</v>
      </c>
      <c r="I2249" t="s">
        <v>617</v>
      </c>
      <c r="J2249" s="2">
        <f t="shared" si="182"/>
        <v>1400000</v>
      </c>
      <c r="K2249" t="s">
        <v>81</v>
      </c>
      <c r="L2249">
        <f t="shared" si="183"/>
        <v>0</v>
      </c>
      <c r="N2249" t="s">
        <v>18</v>
      </c>
      <c r="R2249" s="3">
        <f t="shared" si="179"/>
        <v>0</v>
      </c>
    </row>
    <row r="2250" spans="1:18" x14ac:dyDescent="0.25">
      <c r="A2250" t="s">
        <v>2009</v>
      </c>
      <c r="B2250" t="s">
        <v>2596</v>
      </c>
      <c r="C2250" t="s">
        <v>1977</v>
      </c>
      <c r="D2250" s="3">
        <f t="shared" si="180"/>
        <v>12</v>
      </c>
      <c r="E2250" t="s">
        <v>33</v>
      </c>
      <c r="F2250" t="s">
        <v>13</v>
      </c>
      <c r="G2250" t="str">
        <f t="shared" si="181"/>
        <v/>
      </c>
      <c r="H2250" t="s">
        <v>14</v>
      </c>
      <c r="I2250" t="s">
        <v>2010</v>
      </c>
      <c r="J2250" s="2">
        <f t="shared" si="182"/>
        <v>3500000</v>
      </c>
      <c r="K2250" t="s">
        <v>143</v>
      </c>
      <c r="L2250">
        <f t="shared" si="183"/>
        <v>0.20833333333333334</v>
      </c>
      <c r="M2250" s="5">
        <v>0.20833333333333334</v>
      </c>
      <c r="N2250" t="s">
        <v>43</v>
      </c>
      <c r="P2250" t="s">
        <v>1306</v>
      </c>
      <c r="R2250" s="3">
        <f t="shared" si="179"/>
        <v>5</v>
      </c>
    </row>
    <row r="2251" spans="1:18" hidden="1" x14ac:dyDescent="0.25">
      <c r="A2251" t="s">
        <v>4048</v>
      </c>
      <c r="B2251" t="s">
        <v>3746</v>
      </c>
      <c r="C2251" t="s">
        <v>3894</v>
      </c>
      <c r="D2251" s="3">
        <f t="shared" si="180"/>
        <v>18</v>
      </c>
      <c r="E2251" t="s">
        <v>126</v>
      </c>
      <c r="F2251" t="s">
        <v>13</v>
      </c>
      <c r="G2251" t="str">
        <f t="shared" si="181"/>
        <v/>
      </c>
      <c r="H2251" t="s">
        <v>14</v>
      </c>
      <c r="I2251" t="s">
        <v>4049</v>
      </c>
      <c r="J2251" s="2">
        <f t="shared" si="182"/>
        <v>850000</v>
      </c>
      <c r="K2251" t="s">
        <v>185</v>
      </c>
      <c r="L2251">
        <f t="shared" si="183"/>
        <v>0.20833333333333334</v>
      </c>
      <c r="M2251" s="5">
        <v>0.20833333333333334</v>
      </c>
      <c r="N2251" t="s">
        <v>43</v>
      </c>
      <c r="R2251" s="3">
        <f t="shared" si="179"/>
        <v>5</v>
      </c>
    </row>
    <row r="2252" spans="1:18" hidden="1" x14ac:dyDescent="0.25">
      <c r="A2252" t="s">
        <v>4721</v>
      </c>
      <c r="B2252" t="s">
        <v>4272</v>
      </c>
      <c r="C2252" t="s">
        <v>4281</v>
      </c>
      <c r="D2252" s="3">
        <f t="shared" si="180"/>
        <v>9</v>
      </c>
      <c r="E2252" t="s">
        <v>12</v>
      </c>
      <c r="F2252" t="s">
        <v>13</v>
      </c>
      <c r="G2252" t="str">
        <f t="shared" si="181"/>
        <v/>
      </c>
      <c r="H2252" t="s">
        <v>14</v>
      </c>
      <c r="I2252" t="s">
        <v>4722</v>
      </c>
      <c r="J2252" s="2">
        <f t="shared" si="182"/>
        <v>1300000</v>
      </c>
      <c r="K2252" t="s">
        <v>17</v>
      </c>
      <c r="L2252">
        <f t="shared" si="183"/>
        <v>4.4444444444444446E-2</v>
      </c>
      <c r="M2252" s="5">
        <v>4.4444444444444446E-2</v>
      </c>
      <c r="N2252" t="s">
        <v>18</v>
      </c>
      <c r="R2252" s="3">
        <f t="shared" si="179"/>
        <v>1.0666666666666667</v>
      </c>
    </row>
    <row r="2253" spans="1:18" hidden="1" x14ac:dyDescent="0.25">
      <c r="A2253" t="s">
        <v>4734</v>
      </c>
      <c r="B2253" t="s">
        <v>4272</v>
      </c>
      <c r="C2253" t="s">
        <v>4281</v>
      </c>
      <c r="D2253" s="3">
        <f t="shared" si="180"/>
        <v>15</v>
      </c>
      <c r="E2253" t="s">
        <v>504</v>
      </c>
      <c r="F2253" t="s">
        <v>13</v>
      </c>
      <c r="G2253" t="str">
        <f t="shared" si="181"/>
        <v/>
      </c>
      <c r="H2253" t="s">
        <v>14</v>
      </c>
      <c r="I2253" t="s">
        <v>4735</v>
      </c>
      <c r="J2253" s="2">
        <f t="shared" si="182"/>
        <v>1400000</v>
      </c>
      <c r="K2253" t="s">
        <v>81</v>
      </c>
      <c r="L2253">
        <f t="shared" si="183"/>
        <v>0</v>
      </c>
      <c r="N2253" t="s">
        <v>18</v>
      </c>
      <c r="R2253" s="3">
        <f t="shared" si="179"/>
        <v>0</v>
      </c>
    </row>
    <row r="2254" spans="1:18" hidden="1" x14ac:dyDescent="0.25">
      <c r="A2254" t="s">
        <v>4230</v>
      </c>
      <c r="B2254" t="s">
        <v>3746</v>
      </c>
      <c r="C2254" t="s">
        <v>3884</v>
      </c>
      <c r="D2254" s="3">
        <f t="shared" si="180"/>
        <v>9</v>
      </c>
      <c r="E2254" t="s">
        <v>12</v>
      </c>
      <c r="F2254" t="s">
        <v>13</v>
      </c>
      <c r="G2254" t="str">
        <f t="shared" si="181"/>
        <v/>
      </c>
      <c r="H2254" t="s">
        <v>14</v>
      </c>
      <c r="I2254" t="s">
        <v>4231</v>
      </c>
      <c r="J2254" s="2">
        <f t="shared" si="182"/>
        <v>1150000</v>
      </c>
      <c r="K2254" t="s">
        <v>700</v>
      </c>
      <c r="L2254">
        <f t="shared" si="183"/>
        <v>0</v>
      </c>
      <c r="N2254" t="s">
        <v>37</v>
      </c>
      <c r="R2254" s="3">
        <f t="shared" si="179"/>
        <v>0</v>
      </c>
    </row>
    <row r="2255" spans="1:18" hidden="1" x14ac:dyDescent="0.25">
      <c r="A2255" t="s">
        <v>985</v>
      </c>
      <c r="B2255" t="s">
        <v>640</v>
      </c>
      <c r="C2255" t="s">
        <v>803</v>
      </c>
      <c r="D2255" s="3">
        <f t="shared" si="180"/>
        <v>9</v>
      </c>
      <c r="E2255" t="s">
        <v>12</v>
      </c>
      <c r="F2255" t="s">
        <v>13</v>
      </c>
      <c r="G2255" t="str">
        <f t="shared" si="181"/>
        <v/>
      </c>
      <c r="H2255" t="s">
        <v>14</v>
      </c>
      <c r="I2255" t="s">
        <v>986</v>
      </c>
      <c r="J2255" s="2">
        <f t="shared" si="182"/>
        <v>800000</v>
      </c>
      <c r="K2255" t="s">
        <v>109</v>
      </c>
      <c r="L2255">
        <f t="shared" si="183"/>
        <v>0</v>
      </c>
      <c r="N2255" t="s">
        <v>18</v>
      </c>
      <c r="R2255" s="3">
        <f t="shared" si="179"/>
        <v>0</v>
      </c>
    </row>
    <row r="2256" spans="1:18" hidden="1" x14ac:dyDescent="0.25">
      <c r="A2256" t="s">
        <v>5395</v>
      </c>
      <c r="B2256" t="s">
        <v>5848</v>
      </c>
      <c r="C2256" t="s">
        <v>5397</v>
      </c>
      <c r="D2256" s="3">
        <f t="shared" si="180"/>
        <v>21</v>
      </c>
      <c r="E2256" t="s">
        <v>121</v>
      </c>
      <c r="F2256" t="s">
        <v>13</v>
      </c>
      <c r="G2256" t="str">
        <f t="shared" si="181"/>
        <v/>
      </c>
      <c r="H2256" t="s">
        <v>14</v>
      </c>
      <c r="I2256" t="s">
        <v>5396</v>
      </c>
      <c r="J2256" s="2">
        <f t="shared" si="182"/>
        <v>2400000</v>
      </c>
      <c r="K2256" t="s">
        <v>133</v>
      </c>
      <c r="L2256">
        <f t="shared" si="183"/>
        <v>0</v>
      </c>
      <c r="N2256" t="s">
        <v>43</v>
      </c>
      <c r="R2256" s="3">
        <f t="shared" si="179"/>
        <v>0</v>
      </c>
    </row>
    <row r="2257" spans="1:18" x14ac:dyDescent="0.25">
      <c r="A2257" t="s">
        <v>2361</v>
      </c>
      <c r="B2257" t="s">
        <v>2596</v>
      </c>
      <c r="C2257" t="s">
        <v>2049</v>
      </c>
      <c r="D2257" s="3">
        <f t="shared" si="180"/>
        <v>12</v>
      </c>
      <c r="E2257" t="s">
        <v>33</v>
      </c>
      <c r="F2257" t="s">
        <v>13</v>
      </c>
      <c r="G2257" t="str">
        <f t="shared" si="181"/>
        <v/>
      </c>
      <c r="H2257" t="s">
        <v>14</v>
      </c>
      <c r="I2257" t="s">
        <v>2010</v>
      </c>
      <c r="J2257" s="2">
        <f t="shared" si="182"/>
        <v>3500000</v>
      </c>
      <c r="K2257" t="s">
        <v>143</v>
      </c>
      <c r="L2257">
        <f t="shared" si="183"/>
        <v>0.20833333333333334</v>
      </c>
      <c r="M2257" s="5">
        <v>0.20833333333333334</v>
      </c>
      <c r="N2257" t="s">
        <v>43</v>
      </c>
      <c r="P2257" t="s">
        <v>1306</v>
      </c>
      <c r="R2257" s="3">
        <f t="shared" si="179"/>
        <v>5</v>
      </c>
    </row>
    <row r="2258" spans="1:18" hidden="1" x14ac:dyDescent="0.25">
      <c r="A2258" t="s">
        <v>5543</v>
      </c>
      <c r="B2258" t="s">
        <v>5848</v>
      </c>
      <c r="C2258" t="s">
        <v>5350</v>
      </c>
      <c r="D2258" s="3">
        <f t="shared" si="180"/>
        <v>12</v>
      </c>
      <c r="E2258" t="s">
        <v>33</v>
      </c>
      <c r="F2258" t="s">
        <v>34</v>
      </c>
      <c r="G2258" t="str">
        <f t="shared" si="181"/>
        <v/>
      </c>
      <c r="H2258" t="s">
        <v>14</v>
      </c>
      <c r="I2258" t="s">
        <v>5544</v>
      </c>
      <c r="J2258" s="2">
        <f t="shared" si="182"/>
        <v>1400000</v>
      </c>
      <c r="K2258" t="s">
        <v>81</v>
      </c>
      <c r="L2258">
        <f t="shared" si="183"/>
        <v>0.20833333333333334</v>
      </c>
      <c r="M2258" s="5">
        <v>0.20833333333333334</v>
      </c>
      <c r="N2258" t="s">
        <v>37</v>
      </c>
      <c r="R2258" s="3">
        <f t="shared" si="179"/>
        <v>5</v>
      </c>
    </row>
    <row r="2259" spans="1:18" hidden="1" x14ac:dyDescent="0.25">
      <c r="A2259" t="s">
        <v>3879</v>
      </c>
      <c r="B2259" t="s">
        <v>3746</v>
      </c>
      <c r="C2259" t="s">
        <v>3749</v>
      </c>
      <c r="D2259" s="3">
        <f t="shared" si="180"/>
        <v>15.17</v>
      </c>
      <c r="E2259" t="s">
        <v>3880</v>
      </c>
      <c r="F2259" t="s">
        <v>13</v>
      </c>
      <c r="G2259" t="str">
        <f t="shared" si="181"/>
        <v/>
      </c>
      <c r="H2259" t="s">
        <v>14</v>
      </c>
      <c r="I2259" t="s">
        <v>3881</v>
      </c>
      <c r="J2259" s="2">
        <f t="shared" si="182"/>
        <v>2300000</v>
      </c>
      <c r="K2259" t="s">
        <v>820</v>
      </c>
      <c r="L2259">
        <f t="shared" si="183"/>
        <v>0.17083333333333331</v>
      </c>
      <c r="M2259" s="5">
        <v>0.17083333333333331</v>
      </c>
      <c r="N2259" t="s">
        <v>43</v>
      </c>
      <c r="P2259" t="s">
        <v>840</v>
      </c>
      <c r="R2259" s="3">
        <f t="shared" si="179"/>
        <v>4.0999999999999996</v>
      </c>
    </row>
    <row r="2260" spans="1:18" x14ac:dyDescent="0.25">
      <c r="A2260" t="s">
        <v>2017</v>
      </c>
      <c r="B2260" t="s">
        <v>2596</v>
      </c>
      <c r="C2260" t="s">
        <v>1977</v>
      </c>
      <c r="D2260" s="3">
        <f t="shared" si="180"/>
        <v>12</v>
      </c>
      <c r="E2260" t="s">
        <v>33</v>
      </c>
      <c r="F2260" t="s">
        <v>13</v>
      </c>
      <c r="G2260" t="str">
        <f t="shared" si="181"/>
        <v/>
      </c>
      <c r="H2260" t="s">
        <v>14</v>
      </c>
      <c r="I2260" t="s">
        <v>2018</v>
      </c>
      <c r="J2260" s="2">
        <f t="shared" si="182"/>
        <v>3500000</v>
      </c>
      <c r="K2260" t="s">
        <v>143</v>
      </c>
      <c r="L2260">
        <f t="shared" si="183"/>
        <v>0.20833333333333334</v>
      </c>
      <c r="M2260" s="5">
        <v>0.20833333333333334</v>
      </c>
      <c r="N2260" t="s">
        <v>43</v>
      </c>
      <c r="P2260" t="s">
        <v>1306</v>
      </c>
      <c r="R2260" s="3">
        <f t="shared" si="179"/>
        <v>5</v>
      </c>
    </row>
    <row r="2261" spans="1:18" hidden="1" x14ac:dyDescent="0.25">
      <c r="A2261" t="s">
        <v>1595</v>
      </c>
      <c r="B2261" t="s">
        <v>1303</v>
      </c>
      <c r="C2261" t="s">
        <v>1312</v>
      </c>
      <c r="D2261" s="3">
        <f t="shared" si="180"/>
        <v>9</v>
      </c>
      <c r="E2261" t="s">
        <v>12</v>
      </c>
      <c r="F2261" t="s">
        <v>13</v>
      </c>
      <c r="G2261" t="str">
        <f t="shared" si="181"/>
        <v/>
      </c>
      <c r="H2261" t="s">
        <v>14</v>
      </c>
      <c r="I2261" t="s">
        <v>1596</v>
      </c>
      <c r="J2261" s="2">
        <f t="shared" si="182"/>
        <v>2300000</v>
      </c>
      <c r="K2261" t="s">
        <v>820</v>
      </c>
      <c r="L2261">
        <f t="shared" si="183"/>
        <v>0.17222222222222225</v>
      </c>
      <c r="M2261" s="5">
        <v>0.17222222222222225</v>
      </c>
      <c r="N2261" t="s">
        <v>43</v>
      </c>
      <c r="P2261" t="s">
        <v>1030</v>
      </c>
      <c r="R2261" s="3">
        <f t="shared" si="179"/>
        <v>4.1333333333333337</v>
      </c>
    </row>
    <row r="2262" spans="1:18" hidden="1" x14ac:dyDescent="0.25">
      <c r="A2262" t="s">
        <v>4633</v>
      </c>
      <c r="B2262" t="s">
        <v>4272</v>
      </c>
      <c r="C2262" t="s">
        <v>4281</v>
      </c>
      <c r="D2262" s="3">
        <f t="shared" si="180"/>
        <v>12</v>
      </c>
      <c r="E2262" t="s">
        <v>33</v>
      </c>
      <c r="F2262" t="s">
        <v>13</v>
      </c>
      <c r="G2262" t="str">
        <f t="shared" si="181"/>
        <v/>
      </c>
      <c r="H2262" t="s">
        <v>14</v>
      </c>
      <c r="I2262" t="s">
        <v>4634</v>
      </c>
      <c r="J2262" s="2">
        <f t="shared" si="182"/>
        <v>850000</v>
      </c>
      <c r="K2262" t="s">
        <v>185</v>
      </c>
      <c r="L2262">
        <f t="shared" si="183"/>
        <v>0</v>
      </c>
      <c r="N2262" t="s">
        <v>37</v>
      </c>
      <c r="R2262" s="3">
        <f t="shared" si="179"/>
        <v>0</v>
      </c>
    </row>
    <row r="2263" spans="1:18" hidden="1" x14ac:dyDescent="0.25">
      <c r="A2263" t="s">
        <v>5428</v>
      </c>
      <c r="B2263" t="s">
        <v>5848</v>
      </c>
      <c r="C2263" t="s">
        <v>5369</v>
      </c>
      <c r="D2263" s="3">
        <f t="shared" si="180"/>
        <v>40</v>
      </c>
      <c r="E2263" t="s">
        <v>5429</v>
      </c>
      <c r="F2263" t="s">
        <v>13</v>
      </c>
      <c r="G2263" t="str">
        <f t="shared" si="181"/>
        <v/>
      </c>
      <c r="H2263" t="s">
        <v>14</v>
      </c>
      <c r="I2263" t="s">
        <v>5430</v>
      </c>
      <c r="J2263" s="2">
        <f t="shared" si="182"/>
        <v>3000000</v>
      </c>
      <c r="K2263" t="s">
        <v>1513</v>
      </c>
      <c r="L2263">
        <f t="shared" si="183"/>
        <v>0</v>
      </c>
      <c r="N2263" t="s">
        <v>43</v>
      </c>
      <c r="R2263" s="3">
        <f t="shared" si="179"/>
        <v>0</v>
      </c>
    </row>
    <row r="2264" spans="1:18" x14ac:dyDescent="0.25">
      <c r="A2264" t="s">
        <v>2579</v>
      </c>
      <c r="B2264" t="s">
        <v>2596</v>
      </c>
      <c r="C2264" t="s">
        <v>2049</v>
      </c>
      <c r="D2264" s="3">
        <f t="shared" si="180"/>
        <v>13.5</v>
      </c>
      <c r="E2264" t="s">
        <v>446</v>
      </c>
      <c r="F2264" t="s">
        <v>13</v>
      </c>
      <c r="G2264" t="str">
        <f t="shared" si="181"/>
        <v/>
      </c>
      <c r="H2264" t="s">
        <v>14</v>
      </c>
      <c r="I2264" t="s">
        <v>2406</v>
      </c>
      <c r="J2264" s="2">
        <f t="shared" si="182"/>
        <v>3700000</v>
      </c>
      <c r="K2264" t="s">
        <v>2580</v>
      </c>
      <c r="L2264">
        <f t="shared" si="183"/>
        <v>0.17222222222222225</v>
      </c>
      <c r="M2264" s="5">
        <v>0.17222222222222225</v>
      </c>
      <c r="N2264" t="s">
        <v>43</v>
      </c>
      <c r="P2264" t="s">
        <v>1306</v>
      </c>
      <c r="R2264" s="3">
        <f t="shared" si="179"/>
        <v>4.1333333333333337</v>
      </c>
    </row>
    <row r="2265" spans="1:18" hidden="1" x14ac:dyDescent="0.25">
      <c r="A2265" t="s">
        <v>4842</v>
      </c>
      <c r="B2265" t="s">
        <v>4806</v>
      </c>
      <c r="C2265" t="s">
        <v>4805</v>
      </c>
      <c r="D2265" s="3">
        <f t="shared" si="180"/>
        <v>12</v>
      </c>
      <c r="E2265" t="s">
        <v>33</v>
      </c>
      <c r="F2265" t="s">
        <v>13</v>
      </c>
      <c r="G2265" t="str">
        <f t="shared" si="181"/>
        <v/>
      </c>
      <c r="H2265" t="s">
        <v>14</v>
      </c>
      <c r="I2265" t="s">
        <v>4843</v>
      </c>
      <c r="J2265" s="2">
        <f t="shared" si="182"/>
        <v>1650000</v>
      </c>
      <c r="K2265" t="s">
        <v>90</v>
      </c>
      <c r="L2265">
        <f t="shared" si="183"/>
        <v>0.17222222222222225</v>
      </c>
      <c r="M2265" s="5">
        <v>0.17222222222222225</v>
      </c>
      <c r="N2265" t="s">
        <v>43</v>
      </c>
      <c r="R2265" s="3">
        <f t="shared" si="179"/>
        <v>4.1333333333333337</v>
      </c>
    </row>
    <row r="2266" spans="1:18" hidden="1" x14ac:dyDescent="0.25">
      <c r="A2266" t="s">
        <v>135</v>
      </c>
      <c r="B2266" t="s">
        <v>20</v>
      </c>
      <c r="C2266" t="s">
        <v>19</v>
      </c>
      <c r="D2266" s="3">
        <f t="shared" si="180"/>
        <v>9</v>
      </c>
      <c r="E2266" t="s">
        <v>12</v>
      </c>
      <c r="F2266" t="s">
        <v>13</v>
      </c>
      <c r="G2266" t="str">
        <f t="shared" si="181"/>
        <v/>
      </c>
      <c r="H2266" t="s">
        <v>14</v>
      </c>
      <c r="I2266" t="s">
        <v>136</v>
      </c>
      <c r="J2266" s="2">
        <f t="shared" si="182"/>
        <v>1550000</v>
      </c>
      <c r="K2266" t="s">
        <v>137</v>
      </c>
      <c r="L2266">
        <f t="shared" si="183"/>
        <v>0</v>
      </c>
      <c r="N2266" t="s">
        <v>18</v>
      </c>
      <c r="R2266" s="3">
        <f t="shared" si="179"/>
        <v>0</v>
      </c>
    </row>
    <row r="2267" spans="1:18" x14ac:dyDescent="0.25">
      <c r="A2267" t="s">
        <v>4554</v>
      </c>
      <c r="B2267" t="s">
        <v>4272</v>
      </c>
      <c r="C2267" t="s">
        <v>4351</v>
      </c>
      <c r="D2267" s="3">
        <f t="shared" si="180"/>
        <v>18</v>
      </c>
      <c r="E2267" t="s">
        <v>126</v>
      </c>
      <c r="F2267" t="s">
        <v>34</v>
      </c>
      <c r="G2267" t="str">
        <f t="shared" si="181"/>
        <v/>
      </c>
      <c r="H2267" t="s">
        <v>14</v>
      </c>
      <c r="I2267" t="s">
        <v>4555</v>
      </c>
      <c r="J2267" s="2">
        <f t="shared" si="182"/>
        <v>3700000</v>
      </c>
      <c r="K2267" t="s">
        <v>2580</v>
      </c>
      <c r="L2267">
        <f t="shared" si="183"/>
        <v>0</v>
      </c>
      <c r="N2267" t="s">
        <v>43</v>
      </c>
      <c r="R2267" s="3">
        <f t="shared" si="179"/>
        <v>0</v>
      </c>
    </row>
    <row r="2268" spans="1:18" hidden="1" x14ac:dyDescent="0.25">
      <c r="A2268" t="s">
        <v>416</v>
      </c>
      <c r="B2268" t="s">
        <v>20</v>
      </c>
      <c r="C2268" t="s">
        <v>67</v>
      </c>
      <c r="D2268" s="3">
        <f t="shared" si="180"/>
        <v>12</v>
      </c>
      <c r="E2268" t="s">
        <v>33</v>
      </c>
      <c r="F2268" t="s">
        <v>13</v>
      </c>
      <c r="G2268" t="str">
        <f t="shared" si="181"/>
        <v/>
      </c>
      <c r="H2268" t="s">
        <v>14</v>
      </c>
      <c r="I2268" t="s">
        <v>417</v>
      </c>
      <c r="J2268" s="2">
        <f t="shared" si="182"/>
        <v>1500000</v>
      </c>
      <c r="K2268" t="s">
        <v>66</v>
      </c>
      <c r="L2268">
        <f t="shared" si="183"/>
        <v>0</v>
      </c>
      <c r="N2268" t="s">
        <v>37</v>
      </c>
      <c r="R2268" s="3">
        <f t="shared" si="179"/>
        <v>0</v>
      </c>
    </row>
    <row r="2269" spans="1:18" hidden="1" x14ac:dyDescent="0.25">
      <c r="A2269" t="s">
        <v>634</v>
      </c>
      <c r="B2269" t="s">
        <v>20</v>
      </c>
      <c r="C2269" t="s">
        <v>54</v>
      </c>
      <c r="D2269" s="3">
        <f t="shared" si="180"/>
        <v>9</v>
      </c>
      <c r="E2269" t="s">
        <v>12</v>
      </c>
      <c r="F2269" t="s">
        <v>34</v>
      </c>
      <c r="G2269" t="str">
        <f t="shared" si="181"/>
        <v/>
      </c>
      <c r="H2269" t="s">
        <v>14</v>
      </c>
      <c r="I2269" t="s">
        <v>635</v>
      </c>
      <c r="J2269" s="2">
        <f t="shared" si="182"/>
        <v>750000</v>
      </c>
      <c r="K2269" t="s">
        <v>76</v>
      </c>
      <c r="L2269">
        <f t="shared" si="183"/>
        <v>0</v>
      </c>
      <c r="N2269" t="s">
        <v>43</v>
      </c>
      <c r="R2269" s="3">
        <f t="shared" si="179"/>
        <v>0</v>
      </c>
    </row>
    <row r="2270" spans="1:18" hidden="1" x14ac:dyDescent="0.25">
      <c r="A2270" t="s">
        <v>545</v>
      </c>
      <c r="B2270" t="s">
        <v>20</v>
      </c>
      <c r="C2270" t="s">
        <v>58</v>
      </c>
      <c r="D2270" s="3">
        <f t="shared" si="180"/>
        <v>12</v>
      </c>
      <c r="E2270" t="s">
        <v>33</v>
      </c>
      <c r="F2270" t="s">
        <v>13</v>
      </c>
      <c r="G2270" t="str">
        <f t="shared" si="181"/>
        <v/>
      </c>
      <c r="H2270" t="s">
        <v>14</v>
      </c>
      <c r="I2270" t="s">
        <v>546</v>
      </c>
      <c r="J2270" s="2">
        <f t="shared" si="182"/>
        <v>700000</v>
      </c>
      <c r="K2270" t="s">
        <v>157</v>
      </c>
      <c r="L2270">
        <f t="shared" si="183"/>
        <v>0.20833333333333334</v>
      </c>
      <c r="M2270" s="5">
        <v>0.20833333333333334</v>
      </c>
      <c r="N2270" t="s">
        <v>18</v>
      </c>
      <c r="R2270" s="3">
        <f t="shared" si="179"/>
        <v>5</v>
      </c>
    </row>
    <row r="2271" spans="1:18" hidden="1" x14ac:dyDescent="0.25">
      <c r="A2271" t="s">
        <v>1184</v>
      </c>
      <c r="B2271" t="s">
        <v>640</v>
      </c>
      <c r="C2271" t="s">
        <v>1187</v>
      </c>
      <c r="D2271" s="3">
        <f t="shared" si="180"/>
        <v>12</v>
      </c>
      <c r="E2271" t="s">
        <v>33</v>
      </c>
      <c r="F2271" t="s">
        <v>13</v>
      </c>
      <c r="G2271" t="str">
        <f t="shared" si="181"/>
        <v/>
      </c>
      <c r="H2271" t="s">
        <v>14</v>
      </c>
      <c r="I2271" t="s">
        <v>1185</v>
      </c>
      <c r="J2271" s="2">
        <f t="shared" si="182"/>
        <v>715000</v>
      </c>
      <c r="K2271" t="s">
        <v>1186</v>
      </c>
      <c r="L2271">
        <f t="shared" si="183"/>
        <v>0</v>
      </c>
      <c r="N2271" t="s">
        <v>37</v>
      </c>
      <c r="R2271" s="3">
        <f t="shared" si="179"/>
        <v>0</v>
      </c>
    </row>
    <row r="2272" spans="1:18" hidden="1" x14ac:dyDescent="0.25">
      <c r="A2272" t="s">
        <v>3903</v>
      </c>
      <c r="B2272" t="s">
        <v>3746</v>
      </c>
      <c r="C2272" t="s">
        <v>3884</v>
      </c>
      <c r="D2272" s="3">
        <f t="shared" si="180"/>
        <v>38.5</v>
      </c>
      <c r="E2272" t="s">
        <v>3904</v>
      </c>
      <c r="F2272" t="s">
        <v>13</v>
      </c>
      <c r="G2272" t="str">
        <f t="shared" si="181"/>
        <v/>
      </c>
      <c r="H2272" t="s">
        <v>14</v>
      </c>
      <c r="I2272" t="s">
        <v>3905</v>
      </c>
      <c r="J2272" s="2">
        <f t="shared" si="182"/>
        <v>1700000</v>
      </c>
      <c r="K2272" t="s">
        <v>23</v>
      </c>
      <c r="L2272">
        <f t="shared" si="183"/>
        <v>0.17291666666666669</v>
      </c>
      <c r="M2272" s="5">
        <v>0.17291666666666669</v>
      </c>
      <c r="N2272" t="s">
        <v>43</v>
      </c>
      <c r="R2272" s="3">
        <f t="shared" si="179"/>
        <v>4.1500000000000004</v>
      </c>
    </row>
    <row r="2273" spans="1:18" hidden="1" x14ac:dyDescent="0.25">
      <c r="A2273" t="s">
        <v>1701</v>
      </c>
      <c r="B2273" t="s">
        <v>1303</v>
      </c>
      <c r="C2273" t="s">
        <v>1332</v>
      </c>
      <c r="D2273" s="3">
        <f t="shared" si="180"/>
        <v>28</v>
      </c>
      <c r="E2273" t="s">
        <v>1702</v>
      </c>
      <c r="F2273" t="s">
        <v>13</v>
      </c>
      <c r="G2273" t="str">
        <f t="shared" si="181"/>
        <v/>
      </c>
      <c r="H2273" t="s">
        <v>14</v>
      </c>
      <c r="I2273" t="s">
        <v>1703</v>
      </c>
      <c r="J2273" s="2">
        <f t="shared" si="182"/>
        <v>3050000</v>
      </c>
      <c r="K2273" t="s">
        <v>1704</v>
      </c>
      <c r="L2273">
        <f t="shared" si="183"/>
        <v>0.20833333333333334</v>
      </c>
      <c r="M2273" s="5">
        <v>0.20833333333333334</v>
      </c>
      <c r="N2273" t="s">
        <v>43</v>
      </c>
      <c r="R2273" s="3">
        <f t="shared" si="179"/>
        <v>5</v>
      </c>
    </row>
    <row r="2274" spans="1:18" hidden="1" x14ac:dyDescent="0.25">
      <c r="A2274" t="s">
        <v>3855</v>
      </c>
      <c r="B2274" t="s">
        <v>3746</v>
      </c>
      <c r="C2274" t="s">
        <v>3773</v>
      </c>
      <c r="D2274" s="3">
        <f t="shared" si="180"/>
        <v>8.75</v>
      </c>
      <c r="E2274" t="s">
        <v>1404</v>
      </c>
      <c r="F2274" t="s">
        <v>13</v>
      </c>
      <c r="G2274" t="str">
        <f t="shared" si="181"/>
        <v/>
      </c>
      <c r="H2274" t="s">
        <v>14</v>
      </c>
      <c r="I2274" t="s">
        <v>3856</v>
      </c>
      <c r="J2274" s="2">
        <f t="shared" si="182"/>
        <v>1700000</v>
      </c>
      <c r="K2274" t="s">
        <v>23</v>
      </c>
      <c r="L2274">
        <f t="shared" si="183"/>
        <v>0</v>
      </c>
      <c r="N2274" t="s">
        <v>43</v>
      </c>
      <c r="R2274" s="3">
        <f t="shared" si="179"/>
        <v>0</v>
      </c>
    </row>
    <row r="2275" spans="1:18" x14ac:dyDescent="0.25">
      <c r="A2275" t="s">
        <v>2248</v>
      </c>
      <c r="B2275" t="s">
        <v>2596</v>
      </c>
      <c r="C2275" t="s">
        <v>2042</v>
      </c>
      <c r="D2275" s="3">
        <f t="shared" si="180"/>
        <v>12</v>
      </c>
      <c r="E2275" t="s">
        <v>33</v>
      </c>
      <c r="F2275" t="s">
        <v>13</v>
      </c>
      <c r="G2275" t="str">
        <f t="shared" si="181"/>
        <v/>
      </c>
      <c r="H2275" t="s">
        <v>14</v>
      </c>
      <c r="I2275" t="s">
        <v>2249</v>
      </c>
      <c r="J2275" s="2">
        <f t="shared" si="182"/>
        <v>3750000</v>
      </c>
      <c r="K2275" t="s">
        <v>2250</v>
      </c>
      <c r="L2275">
        <f t="shared" si="183"/>
        <v>0.17222222222222225</v>
      </c>
      <c r="M2275" s="5">
        <v>0.17222222222222225</v>
      </c>
      <c r="N2275" t="s">
        <v>43</v>
      </c>
      <c r="P2275" t="s">
        <v>1306</v>
      </c>
      <c r="R2275" s="3">
        <f t="shared" si="179"/>
        <v>4.1333333333333337</v>
      </c>
    </row>
    <row r="2276" spans="1:18" x14ac:dyDescent="0.25">
      <c r="A2276" t="s">
        <v>2897</v>
      </c>
      <c r="B2276" t="s">
        <v>3206</v>
      </c>
      <c r="C2276" t="s">
        <v>2604</v>
      </c>
      <c r="D2276" s="3">
        <f t="shared" si="180"/>
        <v>14.399999999999999</v>
      </c>
      <c r="E2276" t="s">
        <v>130</v>
      </c>
      <c r="F2276" t="s">
        <v>13</v>
      </c>
      <c r="G2276" t="str">
        <f t="shared" si="181"/>
        <v/>
      </c>
      <c r="H2276" t="s">
        <v>14</v>
      </c>
      <c r="I2276" t="s">
        <v>2898</v>
      </c>
      <c r="J2276" s="2">
        <f t="shared" si="182"/>
        <v>3750000</v>
      </c>
      <c r="K2276" t="s">
        <v>2250</v>
      </c>
      <c r="L2276">
        <f t="shared" si="183"/>
        <v>0.17222222222222225</v>
      </c>
      <c r="M2276" s="5">
        <v>0.17222222222222225</v>
      </c>
      <c r="N2276" t="s">
        <v>43</v>
      </c>
      <c r="P2276" t="s">
        <v>2605</v>
      </c>
      <c r="R2276" s="3">
        <f t="shared" si="179"/>
        <v>4.1333333333333337</v>
      </c>
    </row>
    <row r="2277" spans="1:18" hidden="1" x14ac:dyDescent="0.25">
      <c r="A2277" t="s">
        <v>3656</v>
      </c>
      <c r="B2277" t="s">
        <v>3233</v>
      </c>
      <c r="C2277" t="s">
        <v>3237</v>
      </c>
      <c r="D2277" s="3">
        <f t="shared" si="180"/>
        <v>9</v>
      </c>
      <c r="E2277" t="s">
        <v>12</v>
      </c>
      <c r="F2277" t="s">
        <v>13</v>
      </c>
      <c r="G2277" t="str">
        <f t="shared" si="181"/>
        <v/>
      </c>
      <c r="H2277" t="s">
        <v>14</v>
      </c>
      <c r="I2277" t="s">
        <v>3657</v>
      </c>
      <c r="J2277" s="2">
        <f t="shared" si="182"/>
        <v>1100000</v>
      </c>
      <c r="K2277" t="s">
        <v>42</v>
      </c>
      <c r="L2277">
        <f t="shared" si="183"/>
        <v>0.13125000000000001</v>
      </c>
      <c r="M2277" s="5">
        <v>0.13125000000000001</v>
      </c>
      <c r="N2277" t="s">
        <v>43</v>
      </c>
      <c r="P2277" t="s">
        <v>1581</v>
      </c>
      <c r="R2277" s="3">
        <f t="shared" si="179"/>
        <v>3.1500000000000004</v>
      </c>
    </row>
    <row r="2278" spans="1:18" x14ac:dyDescent="0.25">
      <c r="A2278" t="s">
        <v>2998</v>
      </c>
      <c r="B2278" t="s">
        <v>3206</v>
      </c>
      <c r="C2278" t="s">
        <v>2604</v>
      </c>
      <c r="D2278" s="3">
        <f t="shared" si="180"/>
        <v>15</v>
      </c>
      <c r="E2278" t="s">
        <v>71</v>
      </c>
      <c r="F2278" t="s">
        <v>13</v>
      </c>
      <c r="G2278" t="str">
        <f t="shared" si="181"/>
        <v/>
      </c>
      <c r="H2278" t="s">
        <v>14</v>
      </c>
      <c r="I2278" t="s">
        <v>2999</v>
      </c>
      <c r="J2278" s="2">
        <f t="shared" si="182"/>
        <v>3750000</v>
      </c>
      <c r="K2278" t="s">
        <v>2250</v>
      </c>
      <c r="L2278">
        <f t="shared" si="183"/>
        <v>0.17083333333333331</v>
      </c>
      <c r="M2278" s="5">
        <v>0.17083333333333331</v>
      </c>
      <c r="N2278" t="s">
        <v>43</v>
      </c>
      <c r="P2278" t="s">
        <v>2605</v>
      </c>
      <c r="R2278" s="3">
        <f t="shared" si="179"/>
        <v>4.0999999999999996</v>
      </c>
    </row>
    <row r="2279" spans="1:18" hidden="1" x14ac:dyDescent="0.25">
      <c r="A2279" t="s">
        <v>209</v>
      </c>
      <c r="B2279" t="s">
        <v>20</v>
      </c>
      <c r="C2279" t="s">
        <v>67</v>
      </c>
      <c r="D2279" s="3">
        <f t="shared" si="180"/>
        <v>7</v>
      </c>
      <c r="E2279" t="s">
        <v>210</v>
      </c>
      <c r="F2279" t="s">
        <v>13</v>
      </c>
      <c r="G2279" t="str">
        <f t="shared" si="181"/>
        <v/>
      </c>
      <c r="H2279" t="s">
        <v>14</v>
      </c>
      <c r="I2279" t="s">
        <v>211</v>
      </c>
      <c r="J2279" s="2">
        <f t="shared" si="182"/>
        <v>2400000</v>
      </c>
      <c r="K2279" t="s">
        <v>133</v>
      </c>
      <c r="L2279">
        <f t="shared" si="183"/>
        <v>0</v>
      </c>
      <c r="N2279" t="s">
        <v>43</v>
      </c>
      <c r="R2279" s="3">
        <f t="shared" si="179"/>
        <v>0</v>
      </c>
    </row>
    <row r="2280" spans="1:18" hidden="1" x14ac:dyDescent="0.25">
      <c r="A2280" t="s">
        <v>1299</v>
      </c>
      <c r="B2280" t="s">
        <v>1303</v>
      </c>
      <c r="C2280" t="s">
        <v>1302</v>
      </c>
      <c r="D2280" s="3">
        <f t="shared" si="180"/>
        <v>8.8000000000000007</v>
      </c>
      <c r="E2280" t="s">
        <v>1300</v>
      </c>
      <c r="F2280" t="s">
        <v>13</v>
      </c>
      <c r="G2280" t="str">
        <f t="shared" si="181"/>
        <v/>
      </c>
      <c r="H2280" t="s">
        <v>14</v>
      </c>
      <c r="I2280" t="s">
        <v>1301</v>
      </c>
      <c r="J2280" s="2">
        <f t="shared" si="182"/>
        <v>1850000</v>
      </c>
      <c r="K2280" t="s">
        <v>87</v>
      </c>
      <c r="L2280">
        <f t="shared" si="183"/>
        <v>0.16944444444444443</v>
      </c>
      <c r="M2280" s="5">
        <v>0.16944444444444443</v>
      </c>
      <c r="N2280" t="s">
        <v>43</v>
      </c>
      <c r="P2280" t="s">
        <v>673</v>
      </c>
      <c r="R2280" s="3">
        <f t="shared" si="179"/>
        <v>4.0666666666666664</v>
      </c>
    </row>
    <row r="2281" spans="1:18" hidden="1" x14ac:dyDescent="0.25">
      <c r="A2281" t="s">
        <v>5112</v>
      </c>
      <c r="B2281" t="s">
        <v>4806</v>
      </c>
      <c r="C2281" t="s">
        <v>4805</v>
      </c>
      <c r="D2281" s="3">
        <f t="shared" si="180"/>
        <v>12</v>
      </c>
      <c r="E2281" t="s">
        <v>33</v>
      </c>
      <c r="F2281" t="s">
        <v>34</v>
      </c>
      <c r="G2281" t="str">
        <f t="shared" si="181"/>
        <v/>
      </c>
      <c r="H2281" t="s">
        <v>14</v>
      </c>
      <c r="I2281" t="s">
        <v>5113</v>
      </c>
      <c r="J2281" s="2">
        <f t="shared" si="182"/>
        <v>2000000</v>
      </c>
      <c r="K2281" t="s">
        <v>128</v>
      </c>
      <c r="L2281">
        <f t="shared" si="183"/>
        <v>0.17291666666666669</v>
      </c>
      <c r="M2281" s="5">
        <v>0.17291666666666669</v>
      </c>
      <c r="N2281" t="s">
        <v>43</v>
      </c>
      <c r="R2281" s="3">
        <f t="shared" si="179"/>
        <v>4.1500000000000004</v>
      </c>
    </row>
    <row r="2282" spans="1:18" x14ac:dyDescent="0.25">
      <c r="A2282" t="s">
        <v>2606</v>
      </c>
      <c r="B2282" t="s">
        <v>3206</v>
      </c>
      <c r="C2282" t="s">
        <v>2600</v>
      </c>
      <c r="D2282" s="3">
        <f t="shared" si="180"/>
        <v>16</v>
      </c>
      <c r="E2282" t="s">
        <v>79</v>
      </c>
      <c r="F2282" t="s">
        <v>13</v>
      </c>
      <c r="G2282" t="str">
        <f t="shared" si="181"/>
        <v/>
      </c>
      <c r="H2282" t="s">
        <v>14</v>
      </c>
      <c r="I2282" t="s">
        <v>2607</v>
      </c>
      <c r="J2282" s="2">
        <f t="shared" si="182"/>
        <v>3800000</v>
      </c>
      <c r="K2282" t="s">
        <v>1871</v>
      </c>
      <c r="L2282">
        <f t="shared" si="183"/>
        <v>0.17083333333333331</v>
      </c>
      <c r="M2282" s="5">
        <v>0.17083333333333331</v>
      </c>
      <c r="N2282" t="s">
        <v>43</v>
      </c>
      <c r="P2282" t="s">
        <v>2608</v>
      </c>
      <c r="R2282" s="3">
        <f t="shared" si="179"/>
        <v>4.0999999999999996</v>
      </c>
    </row>
    <row r="2283" spans="1:18" hidden="1" x14ac:dyDescent="0.25">
      <c r="A2283" t="s">
        <v>4716</v>
      </c>
      <c r="B2283" t="s">
        <v>4272</v>
      </c>
      <c r="C2283" t="s">
        <v>4351</v>
      </c>
      <c r="D2283" s="3">
        <f t="shared" si="180"/>
        <v>10.5</v>
      </c>
      <c r="E2283" t="s">
        <v>653</v>
      </c>
      <c r="F2283" t="s">
        <v>34</v>
      </c>
      <c r="G2283" t="str">
        <f t="shared" si="181"/>
        <v/>
      </c>
      <c r="H2283" t="s">
        <v>14</v>
      </c>
      <c r="I2283" t="s">
        <v>4717</v>
      </c>
      <c r="J2283" s="2">
        <f t="shared" si="182"/>
        <v>1900000</v>
      </c>
      <c r="K2283" t="s">
        <v>352</v>
      </c>
      <c r="L2283">
        <f t="shared" si="183"/>
        <v>0.20833333333333334</v>
      </c>
      <c r="M2283" s="5">
        <v>0.20833333333333334</v>
      </c>
      <c r="N2283" t="s">
        <v>18</v>
      </c>
      <c r="R2283" s="3">
        <f t="shared" si="179"/>
        <v>5</v>
      </c>
    </row>
    <row r="2284" spans="1:18" hidden="1" x14ac:dyDescent="0.25">
      <c r="A2284" t="s">
        <v>4191</v>
      </c>
      <c r="B2284" t="s">
        <v>3746</v>
      </c>
      <c r="C2284" t="s">
        <v>3847</v>
      </c>
      <c r="D2284" s="3">
        <f t="shared" si="180"/>
        <v>12</v>
      </c>
      <c r="E2284" t="s">
        <v>33</v>
      </c>
      <c r="F2284" t="s">
        <v>34</v>
      </c>
      <c r="G2284" t="str">
        <f t="shared" si="181"/>
        <v/>
      </c>
      <c r="H2284" t="s">
        <v>14</v>
      </c>
      <c r="I2284" t="s">
        <v>4192</v>
      </c>
      <c r="J2284" s="2">
        <f t="shared" si="182"/>
        <v>800000</v>
      </c>
      <c r="K2284" t="s">
        <v>109</v>
      </c>
      <c r="L2284">
        <f t="shared" si="183"/>
        <v>0</v>
      </c>
      <c r="N2284" t="s">
        <v>43</v>
      </c>
      <c r="R2284" s="3">
        <f t="shared" si="179"/>
        <v>0</v>
      </c>
    </row>
    <row r="2285" spans="1:18" hidden="1" x14ac:dyDescent="0.25">
      <c r="A2285" t="s">
        <v>4209</v>
      </c>
      <c r="B2285" t="s">
        <v>3746</v>
      </c>
      <c r="C2285" t="s">
        <v>3847</v>
      </c>
      <c r="D2285" s="3">
        <f t="shared" si="180"/>
        <v>12</v>
      </c>
      <c r="E2285" t="s">
        <v>33</v>
      </c>
      <c r="F2285" t="s">
        <v>34</v>
      </c>
      <c r="G2285" t="str">
        <f t="shared" si="181"/>
        <v/>
      </c>
      <c r="H2285" t="s">
        <v>14</v>
      </c>
      <c r="I2285" t="s">
        <v>4210</v>
      </c>
      <c r="J2285" s="2">
        <f t="shared" si="182"/>
        <v>1300000</v>
      </c>
      <c r="K2285" t="s">
        <v>17</v>
      </c>
      <c r="L2285">
        <f t="shared" si="183"/>
        <v>4.3750000000000004E-2</v>
      </c>
      <c r="M2285" s="5">
        <v>4.3750000000000004E-2</v>
      </c>
      <c r="N2285" t="s">
        <v>43</v>
      </c>
      <c r="R2285" s="3">
        <f t="shared" si="179"/>
        <v>1.05</v>
      </c>
    </row>
    <row r="2286" spans="1:18" hidden="1" x14ac:dyDescent="0.25">
      <c r="A2286" t="s">
        <v>1477</v>
      </c>
      <c r="B2286" t="s">
        <v>1303</v>
      </c>
      <c r="C2286" t="s">
        <v>1319</v>
      </c>
      <c r="D2286" s="3">
        <f t="shared" si="180"/>
        <v>13.5</v>
      </c>
      <c r="E2286" t="s">
        <v>446</v>
      </c>
      <c r="F2286" t="s">
        <v>13</v>
      </c>
      <c r="G2286" t="str">
        <f t="shared" si="181"/>
        <v/>
      </c>
      <c r="H2286" t="s">
        <v>14</v>
      </c>
      <c r="I2286" t="s">
        <v>1478</v>
      </c>
      <c r="J2286" s="2">
        <f t="shared" si="182"/>
        <v>2000000</v>
      </c>
      <c r="K2286" t="s">
        <v>128</v>
      </c>
      <c r="L2286">
        <f t="shared" si="183"/>
        <v>0</v>
      </c>
      <c r="N2286" t="s">
        <v>43</v>
      </c>
      <c r="R2286" s="3">
        <f t="shared" si="179"/>
        <v>0</v>
      </c>
    </row>
    <row r="2287" spans="1:18" x14ac:dyDescent="0.25">
      <c r="A2287" t="s">
        <v>1869</v>
      </c>
      <c r="B2287" t="s">
        <v>1303</v>
      </c>
      <c r="C2287" t="s">
        <v>1312</v>
      </c>
      <c r="D2287" s="3">
        <f t="shared" si="180"/>
        <v>12</v>
      </c>
      <c r="E2287" t="s">
        <v>33</v>
      </c>
      <c r="F2287" t="s">
        <v>13</v>
      </c>
      <c r="G2287" t="str">
        <f t="shared" si="181"/>
        <v/>
      </c>
      <c r="H2287" t="s">
        <v>14</v>
      </c>
      <c r="I2287" t="s">
        <v>1870</v>
      </c>
      <c r="J2287" s="2">
        <f t="shared" si="182"/>
        <v>3800000</v>
      </c>
      <c r="K2287" t="s">
        <v>1871</v>
      </c>
      <c r="L2287">
        <f t="shared" si="183"/>
        <v>0</v>
      </c>
      <c r="N2287" t="s">
        <v>43</v>
      </c>
      <c r="R2287" s="3">
        <f t="shared" si="179"/>
        <v>0</v>
      </c>
    </row>
    <row r="2288" spans="1:18" hidden="1" x14ac:dyDescent="0.25">
      <c r="A2288" t="s">
        <v>4269</v>
      </c>
      <c r="B2288" t="s">
        <v>4272</v>
      </c>
      <c r="C2288" t="s">
        <v>4271</v>
      </c>
      <c r="D2288" s="3">
        <f t="shared" si="180"/>
        <v>7.5</v>
      </c>
      <c r="E2288" t="s">
        <v>614</v>
      </c>
      <c r="F2288" t="s">
        <v>13</v>
      </c>
      <c r="G2288" t="str">
        <f t="shared" si="181"/>
        <v/>
      </c>
      <c r="H2288" t="s">
        <v>14</v>
      </c>
      <c r="I2288" t="s">
        <v>4270</v>
      </c>
      <c r="J2288" s="2">
        <f t="shared" si="182"/>
        <v>2000000</v>
      </c>
      <c r="K2288" t="s">
        <v>128</v>
      </c>
      <c r="L2288">
        <f t="shared" si="183"/>
        <v>0.20833333333333334</v>
      </c>
      <c r="M2288" s="5">
        <v>0.20833333333333334</v>
      </c>
      <c r="N2288" t="s">
        <v>43</v>
      </c>
      <c r="R2288" s="3">
        <f t="shared" si="179"/>
        <v>5</v>
      </c>
    </row>
    <row r="2289" spans="1:18" hidden="1" x14ac:dyDescent="0.25">
      <c r="A2289" t="s">
        <v>4685</v>
      </c>
      <c r="B2289" t="s">
        <v>4272</v>
      </c>
      <c r="C2289" t="s">
        <v>4271</v>
      </c>
      <c r="D2289" s="3">
        <f t="shared" si="180"/>
        <v>7.5</v>
      </c>
      <c r="E2289" t="s">
        <v>614</v>
      </c>
      <c r="F2289" t="s">
        <v>13</v>
      </c>
      <c r="G2289" t="str">
        <f t="shared" si="181"/>
        <v/>
      </c>
      <c r="H2289" t="s">
        <v>14</v>
      </c>
      <c r="I2289" t="s">
        <v>4686</v>
      </c>
      <c r="J2289" s="2">
        <f t="shared" si="182"/>
        <v>2200000</v>
      </c>
      <c r="K2289" t="s">
        <v>849</v>
      </c>
      <c r="L2289">
        <f t="shared" si="183"/>
        <v>0.20833333333333334</v>
      </c>
      <c r="M2289" s="5">
        <v>0.20833333333333334</v>
      </c>
      <c r="N2289" t="s">
        <v>43</v>
      </c>
      <c r="R2289" s="3">
        <f t="shared" si="179"/>
        <v>5</v>
      </c>
    </row>
    <row r="2290" spans="1:18" x14ac:dyDescent="0.25">
      <c r="A2290" t="s">
        <v>2601</v>
      </c>
      <c r="B2290" t="s">
        <v>3206</v>
      </c>
      <c r="C2290" t="s">
        <v>2604</v>
      </c>
      <c r="D2290" s="3">
        <f t="shared" si="180"/>
        <v>27.599999999999998</v>
      </c>
      <c r="E2290" t="s">
        <v>2602</v>
      </c>
      <c r="F2290" t="s">
        <v>13</v>
      </c>
      <c r="G2290" t="str">
        <f t="shared" si="181"/>
        <v/>
      </c>
      <c r="H2290" t="s">
        <v>14</v>
      </c>
      <c r="I2290" t="s">
        <v>2603</v>
      </c>
      <c r="J2290" s="2">
        <f t="shared" si="182"/>
        <v>4000000</v>
      </c>
      <c r="K2290" t="s">
        <v>2179</v>
      </c>
      <c r="L2290">
        <f t="shared" si="183"/>
        <v>0.12916666666666668</v>
      </c>
      <c r="M2290" s="5">
        <v>0.12916666666666668</v>
      </c>
      <c r="N2290" t="s">
        <v>43</v>
      </c>
      <c r="P2290" t="s">
        <v>2605</v>
      </c>
      <c r="R2290" s="3">
        <f t="shared" si="179"/>
        <v>3.1000000000000005</v>
      </c>
    </row>
    <row r="2291" spans="1:18" hidden="1" x14ac:dyDescent="0.25">
      <c r="A2291" t="s">
        <v>4951</v>
      </c>
      <c r="B2291" t="s">
        <v>4806</v>
      </c>
      <c r="C2291" t="s">
        <v>4809</v>
      </c>
      <c r="D2291" s="3">
        <f t="shared" si="180"/>
        <v>9</v>
      </c>
      <c r="E2291" t="s">
        <v>12</v>
      </c>
      <c r="F2291" t="s">
        <v>13</v>
      </c>
      <c r="G2291" t="str">
        <f t="shared" si="181"/>
        <v/>
      </c>
      <c r="H2291" t="s">
        <v>14</v>
      </c>
      <c r="I2291" t="s">
        <v>4952</v>
      </c>
      <c r="J2291" s="2">
        <f t="shared" si="182"/>
        <v>1800000</v>
      </c>
      <c r="K2291" t="s">
        <v>228</v>
      </c>
      <c r="L2291">
        <f t="shared" si="183"/>
        <v>0</v>
      </c>
      <c r="N2291" t="s">
        <v>43</v>
      </c>
      <c r="R2291" s="3">
        <f t="shared" si="179"/>
        <v>0</v>
      </c>
    </row>
    <row r="2292" spans="1:18" x14ac:dyDescent="0.25">
      <c r="A2292" t="s">
        <v>2205</v>
      </c>
      <c r="B2292" t="s">
        <v>2596</v>
      </c>
      <c r="C2292" t="s">
        <v>2042</v>
      </c>
      <c r="D2292" s="3">
        <f t="shared" si="180"/>
        <v>12</v>
      </c>
      <c r="E2292" t="s">
        <v>33</v>
      </c>
      <c r="F2292" t="s">
        <v>13</v>
      </c>
      <c r="G2292" t="str">
        <f t="shared" si="181"/>
        <v/>
      </c>
      <c r="H2292" t="s">
        <v>14</v>
      </c>
      <c r="I2292" t="s">
        <v>2206</v>
      </c>
      <c r="J2292" s="2">
        <f t="shared" si="182"/>
        <v>4000000</v>
      </c>
      <c r="K2292" t="s">
        <v>2179</v>
      </c>
      <c r="L2292">
        <f t="shared" si="183"/>
        <v>0.17083333333333331</v>
      </c>
      <c r="M2292" s="5">
        <v>0.17083333333333331</v>
      </c>
      <c r="N2292" t="s">
        <v>43</v>
      </c>
      <c r="R2292" s="3">
        <f t="shared" si="179"/>
        <v>4.0999999999999996</v>
      </c>
    </row>
    <row r="2293" spans="1:18" hidden="1" x14ac:dyDescent="0.25">
      <c r="A2293" t="s">
        <v>193</v>
      </c>
      <c r="B2293" t="s">
        <v>20</v>
      </c>
      <c r="C2293" t="s">
        <v>84</v>
      </c>
      <c r="D2293" s="3">
        <f t="shared" si="180"/>
        <v>12</v>
      </c>
      <c r="E2293" t="s">
        <v>33</v>
      </c>
      <c r="F2293" t="s">
        <v>13</v>
      </c>
      <c r="G2293" t="str">
        <f t="shared" si="181"/>
        <v/>
      </c>
      <c r="H2293" t="s">
        <v>14</v>
      </c>
      <c r="I2293" t="s">
        <v>194</v>
      </c>
      <c r="J2293" s="2">
        <f t="shared" si="182"/>
        <v>600000</v>
      </c>
      <c r="K2293" t="s">
        <v>173</v>
      </c>
      <c r="L2293">
        <f t="shared" si="183"/>
        <v>0</v>
      </c>
      <c r="N2293" t="s">
        <v>43</v>
      </c>
      <c r="R2293" s="3">
        <f t="shared" si="179"/>
        <v>0</v>
      </c>
    </row>
    <row r="2294" spans="1:18" hidden="1" x14ac:dyDescent="0.25">
      <c r="A2294" t="s">
        <v>384</v>
      </c>
      <c r="B2294" t="s">
        <v>20</v>
      </c>
      <c r="C2294" t="s">
        <v>84</v>
      </c>
      <c r="D2294" s="3">
        <f t="shared" si="180"/>
        <v>12</v>
      </c>
      <c r="E2294" t="s">
        <v>33</v>
      </c>
      <c r="F2294" t="s">
        <v>13</v>
      </c>
      <c r="G2294" t="str">
        <f t="shared" si="181"/>
        <v/>
      </c>
      <c r="H2294" t="s">
        <v>14</v>
      </c>
      <c r="I2294" t="s">
        <v>385</v>
      </c>
      <c r="J2294" s="2">
        <f t="shared" si="182"/>
        <v>1500000</v>
      </c>
      <c r="K2294" t="s">
        <v>66</v>
      </c>
      <c r="L2294">
        <f t="shared" si="183"/>
        <v>0</v>
      </c>
      <c r="N2294" t="s">
        <v>43</v>
      </c>
      <c r="R2294" s="3">
        <f t="shared" si="179"/>
        <v>0</v>
      </c>
    </row>
    <row r="2295" spans="1:18" x14ac:dyDescent="0.25">
      <c r="A2295" t="s">
        <v>3182</v>
      </c>
      <c r="B2295" t="s">
        <v>3206</v>
      </c>
      <c r="C2295" t="s">
        <v>2604</v>
      </c>
      <c r="D2295" s="3">
        <f t="shared" si="180"/>
        <v>16.5</v>
      </c>
      <c r="E2295" t="s">
        <v>3183</v>
      </c>
      <c r="F2295" t="s">
        <v>13</v>
      </c>
      <c r="G2295" t="str">
        <f t="shared" si="181"/>
        <v/>
      </c>
      <c r="H2295" t="s">
        <v>14</v>
      </c>
      <c r="I2295" t="s">
        <v>3184</v>
      </c>
      <c r="J2295" s="2">
        <f t="shared" si="182"/>
        <v>4000000</v>
      </c>
      <c r="K2295" t="s">
        <v>2179</v>
      </c>
      <c r="L2295">
        <f t="shared" si="183"/>
        <v>0.17222222222222225</v>
      </c>
      <c r="M2295" s="5">
        <v>0.17222222222222225</v>
      </c>
      <c r="N2295" t="s">
        <v>43</v>
      </c>
      <c r="P2295" t="s">
        <v>2605</v>
      </c>
      <c r="R2295" s="3">
        <f t="shared" si="179"/>
        <v>4.1333333333333337</v>
      </c>
    </row>
    <row r="2296" spans="1:18" hidden="1" x14ac:dyDescent="0.25">
      <c r="A2296" t="s">
        <v>4933</v>
      </c>
      <c r="B2296" t="s">
        <v>4806</v>
      </c>
      <c r="C2296" t="s">
        <v>4805</v>
      </c>
      <c r="D2296" s="3">
        <f t="shared" si="180"/>
        <v>9</v>
      </c>
      <c r="E2296" t="s">
        <v>12</v>
      </c>
      <c r="F2296" t="s">
        <v>13</v>
      </c>
      <c r="G2296" t="str">
        <f t="shared" si="181"/>
        <v/>
      </c>
      <c r="H2296" t="s">
        <v>14</v>
      </c>
      <c r="I2296" t="s">
        <v>4934</v>
      </c>
      <c r="J2296" s="2">
        <f t="shared" si="182"/>
        <v>1200000</v>
      </c>
      <c r="K2296" t="s">
        <v>36</v>
      </c>
      <c r="L2296">
        <f t="shared" si="183"/>
        <v>0</v>
      </c>
      <c r="N2296" t="s">
        <v>37</v>
      </c>
      <c r="R2296" s="3">
        <f t="shared" si="179"/>
        <v>0</v>
      </c>
    </row>
    <row r="2297" spans="1:18" hidden="1" x14ac:dyDescent="0.25">
      <c r="A2297" t="s">
        <v>2971</v>
      </c>
      <c r="B2297" t="s">
        <v>3206</v>
      </c>
      <c r="C2297" t="s">
        <v>2720</v>
      </c>
      <c r="D2297" s="3">
        <f t="shared" si="180"/>
        <v>12</v>
      </c>
      <c r="E2297" t="s">
        <v>33</v>
      </c>
      <c r="F2297" t="s">
        <v>13</v>
      </c>
      <c r="G2297" t="str">
        <f t="shared" si="181"/>
        <v/>
      </c>
      <c r="H2297" t="s">
        <v>14</v>
      </c>
      <c r="I2297" t="s">
        <v>2972</v>
      </c>
      <c r="J2297" s="2">
        <f t="shared" si="182"/>
        <v>1200000</v>
      </c>
      <c r="K2297" t="s">
        <v>36</v>
      </c>
      <c r="L2297">
        <f t="shared" si="183"/>
        <v>0</v>
      </c>
      <c r="N2297" t="s">
        <v>18</v>
      </c>
      <c r="R2297" s="3">
        <f t="shared" si="179"/>
        <v>0</v>
      </c>
    </row>
    <row r="2298" spans="1:18" hidden="1" x14ac:dyDescent="0.25">
      <c r="A2298" t="s">
        <v>4091</v>
      </c>
      <c r="B2298" t="s">
        <v>3746</v>
      </c>
      <c r="C2298" t="s">
        <v>3808</v>
      </c>
      <c r="D2298" s="3">
        <f t="shared" si="180"/>
        <v>15</v>
      </c>
      <c r="E2298" t="s">
        <v>71</v>
      </c>
      <c r="F2298" t="s">
        <v>13</v>
      </c>
      <c r="G2298" t="str">
        <f t="shared" si="181"/>
        <v/>
      </c>
      <c r="H2298" t="s">
        <v>14</v>
      </c>
      <c r="I2298" t="s">
        <v>4092</v>
      </c>
      <c r="J2298" s="2">
        <f t="shared" si="182"/>
        <v>1500000</v>
      </c>
      <c r="K2298" t="s">
        <v>66</v>
      </c>
      <c r="L2298">
        <f t="shared" si="183"/>
        <v>0.20833333333333334</v>
      </c>
      <c r="M2298" s="5">
        <v>0.20833333333333334</v>
      </c>
      <c r="N2298" t="s">
        <v>43</v>
      </c>
      <c r="R2298" s="3">
        <f t="shared" si="179"/>
        <v>5</v>
      </c>
    </row>
    <row r="2299" spans="1:18" hidden="1" x14ac:dyDescent="0.25">
      <c r="A2299" t="s">
        <v>4050</v>
      </c>
      <c r="B2299" t="s">
        <v>3746</v>
      </c>
      <c r="C2299" t="s">
        <v>3763</v>
      </c>
      <c r="D2299" s="3">
        <f t="shared" si="180"/>
        <v>12</v>
      </c>
      <c r="E2299" t="s">
        <v>33</v>
      </c>
      <c r="F2299" t="s">
        <v>13</v>
      </c>
      <c r="G2299" t="str">
        <f t="shared" si="181"/>
        <v/>
      </c>
      <c r="H2299" t="s">
        <v>14</v>
      </c>
      <c r="I2299" t="s">
        <v>4051</v>
      </c>
      <c r="J2299" s="2">
        <f t="shared" si="182"/>
        <v>1500000</v>
      </c>
      <c r="K2299" t="s">
        <v>66</v>
      </c>
      <c r="L2299">
        <f t="shared" si="183"/>
        <v>0.17291666666666669</v>
      </c>
      <c r="M2299" s="5">
        <v>0.17291666666666669</v>
      </c>
      <c r="N2299" t="s">
        <v>43</v>
      </c>
      <c r="R2299" s="3">
        <f t="shared" si="179"/>
        <v>4.1500000000000004</v>
      </c>
    </row>
    <row r="2300" spans="1:18" hidden="1" x14ac:dyDescent="0.25">
      <c r="A2300" t="s">
        <v>1722</v>
      </c>
      <c r="B2300" t="s">
        <v>1303</v>
      </c>
      <c r="C2300" t="s">
        <v>1302</v>
      </c>
      <c r="D2300" s="3">
        <f t="shared" si="180"/>
        <v>16</v>
      </c>
      <c r="E2300" t="s">
        <v>79</v>
      </c>
      <c r="F2300" t="s">
        <v>13</v>
      </c>
      <c r="G2300" t="str">
        <f t="shared" si="181"/>
        <v/>
      </c>
      <c r="H2300" t="s">
        <v>14</v>
      </c>
      <c r="I2300" t="s">
        <v>1305</v>
      </c>
      <c r="J2300" s="2">
        <f t="shared" si="182"/>
        <v>3600000</v>
      </c>
      <c r="K2300" t="s">
        <v>1723</v>
      </c>
      <c r="L2300">
        <f t="shared" si="183"/>
        <v>0.17013888888888887</v>
      </c>
      <c r="M2300" s="5">
        <v>0.17013888888888887</v>
      </c>
      <c r="N2300" t="s">
        <v>43</v>
      </c>
      <c r="R2300" s="3">
        <f t="shared" si="179"/>
        <v>4.083333333333333</v>
      </c>
    </row>
    <row r="2301" spans="1:18" hidden="1" x14ac:dyDescent="0.25">
      <c r="A2301" t="s">
        <v>1304</v>
      </c>
      <c r="B2301" t="s">
        <v>1303</v>
      </c>
      <c r="C2301" t="s">
        <v>1302</v>
      </c>
      <c r="D2301" s="3">
        <f t="shared" si="180"/>
        <v>16</v>
      </c>
      <c r="E2301" t="s">
        <v>79</v>
      </c>
      <c r="F2301" t="s">
        <v>13</v>
      </c>
      <c r="G2301" t="str">
        <f t="shared" si="181"/>
        <v/>
      </c>
      <c r="H2301" t="s">
        <v>14</v>
      </c>
      <c r="I2301" t="s">
        <v>1305</v>
      </c>
      <c r="J2301" s="2">
        <f t="shared" si="182"/>
        <v>3500000</v>
      </c>
      <c r="K2301" t="s">
        <v>143</v>
      </c>
      <c r="L2301">
        <f t="shared" si="183"/>
        <v>0.20833333333333334</v>
      </c>
      <c r="M2301" s="5">
        <v>0.20833333333333334</v>
      </c>
      <c r="N2301" t="s">
        <v>43</v>
      </c>
      <c r="P2301" t="s">
        <v>1306</v>
      </c>
      <c r="R2301" s="3">
        <f t="shared" si="179"/>
        <v>5</v>
      </c>
    </row>
    <row r="2302" spans="1:18" hidden="1" x14ac:dyDescent="0.25">
      <c r="A2302" t="s">
        <v>1766</v>
      </c>
      <c r="B2302" t="s">
        <v>1303</v>
      </c>
      <c r="C2302" t="s">
        <v>1302</v>
      </c>
      <c r="D2302" s="3">
        <f t="shared" si="180"/>
        <v>12</v>
      </c>
      <c r="E2302" t="s">
        <v>33</v>
      </c>
      <c r="F2302" t="s">
        <v>13</v>
      </c>
      <c r="G2302" t="str">
        <f t="shared" si="181"/>
        <v/>
      </c>
      <c r="H2302" t="s">
        <v>14</v>
      </c>
      <c r="I2302" t="s">
        <v>1767</v>
      </c>
      <c r="J2302" s="2">
        <f t="shared" si="182"/>
        <v>3100000</v>
      </c>
      <c r="K2302" t="s">
        <v>1550</v>
      </c>
      <c r="L2302">
        <f t="shared" si="183"/>
        <v>0.17291666666666669</v>
      </c>
      <c r="M2302" s="5">
        <v>0.17291666666666669</v>
      </c>
      <c r="N2302" t="s">
        <v>43</v>
      </c>
      <c r="R2302" s="3">
        <f t="shared" si="179"/>
        <v>4.1500000000000004</v>
      </c>
    </row>
    <row r="2303" spans="1:18" hidden="1" x14ac:dyDescent="0.25">
      <c r="A2303" t="s">
        <v>4728</v>
      </c>
      <c r="B2303" t="s">
        <v>4272</v>
      </c>
      <c r="C2303" t="s">
        <v>4351</v>
      </c>
      <c r="D2303" s="3">
        <f t="shared" si="180"/>
        <v>9</v>
      </c>
      <c r="E2303" t="s">
        <v>12</v>
      </c>
      <c r="F2303" t="s">
        <v>34</v>
      </c>
      <c r="G2303" t="str">
        <f t="shared" si="181"/>
        <v/>
      </c>
      <c r="H2303" t="s">
        <v>14</v>
      </c>
      <c r="I2303" t="s">
        <v>4729</v>
      </c>
      <c r="J2303" s="2">
        <f t="shared" si="182"/>
        <v>950000</v>
      </c>
      <c r="K2303" t="s">
        <v>355</v>
      </c>
      <c r="L2303">
        <f t="shared" si="183"/>
        <v>0</v>
      </c>
      <c r="N2303" t="s">
        <v>37</v>
      </c>
      <c r="R2303" s="3">
        <f t="shared" si="179"/>
        <v>0</v>
      </c>
    </row>
    <row r="2304" spans="1:18" hidden="1" x14ac:dyDescent="0.25">
      <c r="A2304" t="s">
        <v>5194</v>
      </c>
      <c r="B2304" t="s">
        <v>4806</v>
      </c>
      <c r="C2304" t="s">
        <v>4825</v>
      </c>
      <c r="D2304" s="3">
        <f t="shared" si="180"/>
        <v>9</v>
      </c>
      <c r="E2304" t="s">
        <v>12</v>
      </c>
      <c r="F2304" t="s">
        <v>34</v>
      </c>
      <c r="G2304" t="str">
        <f t="shared" si="181"/>
        <v/>
      </c>
      <c r="H2304" t="s">
        <v>14</v>
      </c>
      <c r="I2304" t="s">
        <v>5195</v>
      </c>
      <c r="J2304" s="2">
        <f t="shared" si="182"/>
        <v>550000</v>
      </c>
      <c r="K2304" t="s">
        <v>62</v>
      </c>
      <c r="L2304">
        <f t="shared" si="183"/>
        <v>0</v>
      </c>
      <c r="N2304" t="s">
        <v>37</v>
      </c>
      <c r="R2304" s="3">
        <f t="shared" si="179"/>
        <v>0</v>
      </c>
    </row>
    <row r="2305" spans="1:18" hidden="1" x14ac:dyDescent="0.25">
      <c r="A2305" t="s">
        <v>5208</v>
      </c>
      <c r="B2305" t="s">
        <v>4806</v>
      </c>
      <c r="C2305" t="s">
        <v>4805</v>
      </c>
      <c r="D2305" s="3">
        <f t="shared" si="180"/>
        <v>9</v>
      </c>
      <c r="E2305" t="s">
        <v>12</v>
      </c>
      <c r="F2305" t="s">
        <v>34</v>
      </c>
      <c r="G2305" t="str">
        <f t="shared" si="181"/>
        <v/>
      </c>
      <c r="H2305" t="s">
        <v>14</v>
      </c>
      <c r="I2305" t="s">
        <v>5209</v>
      </c>
      <c r="J2305" s="2">
        <f t="shared" si="182"/>
        <v>675000</v>
      </c>
      <c r="K2305" t="s">
        <v>46</v>
      </c>
      <c r="L2305">
        <f t="shared" si="183"/>
        <v>0</v>
      </c>
      <c r="N2305" t="s">
        <v>37</v>
      </c>
      <c r="R2305" s="3">
        <f t="shared" si="179"/>
        <v>0</v>
      </c>
    </row>
    <row r="2306" spans="1:18" hidden="1" x14ac:dyDescent="0.25">
      <c r="A2306" t="s">
        <v>1174</v>
      </c>
      <c r="B2306" t="s">
        <v>640</v>
      </c>
      <c r="C2306" t="s">
        <v>643</v>
      </c>
      <c r="D2306" s="3">
        <f t="shared" si="180"/>
        <v>12.25</v>
      </c>
      <c r="E2306" t="s">
        <v>187</v>
      </c>
      <c r="F2306" t="s">
        <v>13</v>
      </c>
      <c r="G2306" t="str">
        <f t="shared" si="181"/>
        <v/>
      </c>
      <c r="H2306" t="s">
        <v>14</v>
      </c>
      <c r="I2306" t="s">
        <v>1175</v>
      </c>
      <c r="J2306" s="2">
        <f t="shared" si="182"/>
        <v>1350000</v>
      </c>
      <c r="K2306" t="s">
        <v>257</v>
      </c>
      <c r="L2306">
        <f t="shared" si="183"/>
        <v>0.1673611111111111</v>
      </c>
      <c r="M2306" s="5">
        <v>0.1673611111111111</v>
      </c>
      <c r="N2306" t="s">
        <v>37</v>
      </c>
      <c r="R2306" s="3">
        <f t="shared" ref="R2306:R2354" si="184">24*L2306</f>
        <v>4.0166666666666666</v>
      </c>
    </row>
    <row r="2307" spans="1:18" hidden="1" x14ac:dyDescent="0.25">
      <c r="A2307" t="s">
        <v>5005</v>
      </c>
      <c r="B2307" t="s">
        <v>4806</v>
      </c>
      <c r="C2307" t="s">
        <v>4825</v>
      </c>
      <c r="D2307" s="3">
        <f t="shared" si="180"/>
        <v>32</v>
      </c>
      <c r="E2307" t="s">
        <v>570</v>
      </c>
      <c r="F2307" t="s">
        <v>13</v>
      </c>
      <c r="G2307" t="str">
        <f t="shared" si="181"/>
        <v/>
      </c>
      <c r="H2307" t="s">
        <v>14</v>
      </c>
      <c r="I2307" t="s">
        <v>5006</v>
      </c>
      <c r="J2307" s="2">
        <f t="shared" si="182"/>
        <v>1800000</v>
      </c>
      <c r="K2307" t="s">
        <v>228</v>
      </c>
      <c r="L2307">
        <f t="shared" si="183"/>
        <v>0</v>
      </c>
      <c r="N2307" t="s">
        <v>43</v>
      </c>
      <c r="R2307" s="3">
        <f t="shared" si="184"/>
        <v>0</v>
      </c>
    </row>
    <row r="2308" spans="1:18" x14ac:dyDescent="0.25">
      <c r="A2308" t="s">
        <v>2177</v>
      </c>
      <c r="B2308" t="s">
        <v>2596</v>
      </c>
      <c r="C2308" t="s">
        <v>2053</v>
      </c>
      <c r="D2308" s="3">
        <f t="shared" ref="D2308:D2357" si="185">VALUE(LEFT(E2308,SEARCH(" x ",E2308)-1))*VALUE(MID(E2308,SEARCH(" x ",E2308)+3,SEARCH(" meter",E2308)-SEARCH(" x ",E2308)-3))</f>
        <v>12</v>
      </c>
      <c r="E2308" t="s">
        <v>33</v>
      </c>
      <c r="F2308" t="s">
        <v>13</v>
      </c>
      <c r="G2308" t="str">
        <f t="shared" ref="G2308:G2357" si="186">IF(H2308="N/A","",VALUE(SUBSTITUTE(SUBSTITUTE(H2308,"Rp",""),".","")))</f>
        <v/>
      </c>
      <c r="H2308" t="s">
        <v>14</v>
      </c>
      <c r="I2308" t="s">
        <v>2178</v>
      </c>
      <c r="J2308" s="2">
        <f t="shared" ref="J2308:J2357" si="187">VALUE(SUBSTITUTE(SUBSTITUTE(K2308,"Rp",""),".",""))</f>
        <v>4000000</v>
      </c>
      <c r="K2308" t="s">
        <v>2179</v>
      </c>
      <c r="L2308">
        <f t="shared" ref="L2308:L2342" si="188">M2308:M4648</f>
        <v>0.17083333333333331</v>
      </c>
      <c r="M2308" s="5">
        <v>0.17083333333333331</v>
      </c>
      <c r="N2308" t="s">
        <v>43</v>
      </c>
      <c r="R2308" s="3">
        <f t="shared" si="184"/>
        <v>4.0999999999999996</v>
      </c>
    </row>
    <row r="2309" spans="1:18" hidden="1" x14ac:dyDescent="0.25">
      <c r="A2309" t="s">
        <v>278</v>
      </c>
      <c r="B2309" t="s">
        <v>20</v>
      </c>
      <c r="C2309" t="s">
        <v>24</v>
      </c>
      <c r="D2309" s="3">
        <f t="shared" si="185"/>
        <v>12</v>
      </c>
      <c r="E2309" t="s">
        <v>33</v>
      </c>
      <c r="F2309" t="s">
        <v>13</v>
      </c>
      <c r="G2309" t="str">
        <f t="shared" si="186"/>
        <v/>
      </c>
      <c r="H2309" t="s">
        <v>14</v>
      </c>
      <c r="I2309" t="s">
        <v>279</v>
      </c>
      <c r="J2309" s="2">
        <f t="shared" si="187"/>
        <v>600000</v>
      </c>
      <c r="K2309" t="s">
        <v>173</v>
      </c>
      <c r="L2309">
        <f t="shared" si="188"/>
        <v>0.17013888888888887</v>
      </c>
      <c r="M2309" s="5">
        <v>0.17013888888888887</v>
      </c>
      <c r="N2309" t="s">
        <v>18</v>
      </c>
      <c r="R2309" s="3">
        <f t="shared" si="184"/>
        <v>4.083333333333333</v>
      </c>
    </row>
    <row r="2310" spans="1:18" hidden="1" x14ac:dyDescent="0.25">
      <c r="A2310" t="s">
        <v>5244</v>
      </c>
      <c r="B2310" t="s">
        <v>4806</v>
      </c>
      <c r="C2310" t="s">
        <v>4830</v>
      </c>
      <c r="D2310" s="3">
        <f t="shared" si="185"/>
        <v>9</v>
      </c>
      <c r="E2310" t="s">
        <v>12</v>
      </c>
      <c r="F2310" t="s">
        <v>34</v>
      </c>
      <c r="G2310" t="str">
        <f t="shared" si="186"/>
        <v/>
      </c>
      <c r="H2310" t="s">
        <v>14</v>
      </c>
      <c r="I2310" t="s">
        <v>5245</v>
      </c>
      <c r="J2310" s="2">
        <f t="shared" si="187"/>
        <v>1750000</v>
      </c>
      <c r="K2310" t="s">
        <v>306</v>
      </c>
      <c r="L2310">
        <f t="shared" si="188"/>
        <v>0</v>
      </c>
      <c r="N2310" t="s">
        <v>18</v>
      </c>
      <c r="R2310" s="3">
        <f t="shared" si="184"/>
        <v>0</v>
      </c>
    </row>
    <row r="2311" spans="1:18" x14ac:dyDescent="0.25">
      <c r="A2311" t="s">
        <v>3051</v>
      </c>
      <c r="B2311" t="s">
        <v>3206</v>
      </c>
      <c r="C2311" t="s">
        <v>2604</v>
      </c>
      <c r="D2311" s="3">
        <f t="shared" si="185"/>
        <v>13.5</v>
      </c>
      <c r="E2311" t="s">
        <v>446</v>
      </c>
      <c r="F2311" t="s">
        <v>13</v>
      </c>
      <c r="G2311" t="str">
        <f t="shared" si="186"/>
        <v/>
      </c>
      <c r="H2311" t="s">
        <v>14</v>
      </c>
      <c r="I2311" t="s">
        <v>3052</v>
      </c>
      <c r="J2311" s="2">
        <f t="shared" si="187"/>
        <v>4000000</v>
      </c>
      <c r="K2311" t="s">
        <v>2179</v>
      </c>
      <c r="L2311">
        <f t="shared" si="188"/>
        <v>0.17083333333333331</v>
      </c>
      <c r="M2311" s="5">
        <v>0.17083333333333331</v>
      </c>
      <c r="N2311" t="s">
        <v>43</v>
      </c>
      <c r="P2311" t="s">
        <v>2605</v>
      </c>
      <c r="R2311" s="3">
        <f t="shared" si="184"/>
        <v>4.0999999999999996</v>
      </c>
    </row>
    <row r="2312" spans="1:18" hidden="1" x14ac:dyDescent="0.25">
      <c r="A2312" t="s">
        <v>426</v>
      </c>
      <c r="B2312" t="s">
        <v>20</v>
      </c>
      <c r="C2312" t="s">
        <v>205</v>
      </c>
      <c r="D2312" s="3">
        <f t="shared" si="185"/>
        <v>27</v>
      </c>
      <c r="E2312" t="s">
        <v>427</v>
      </c>
      <c r="F2312" t="s">
        <v>13</v>
      </c>
      <c r="G2312" t="str">
        <f t="shared" si="186"/>
        <v/>
      </c>
      <c r="H2312" t="s">
        <v>14</v>
      </c>
      <c r="I2312" t="s">
        <v>428</v>
      </c>
      <c r="J2312" s="2">
        <f t="shared" si="187"/>
        <v>600000</v>
      </c>
      <c r="K2312" t="s">
        <v>173</v>
      </c>
      <c r="L2312">
        <f t="shared" si="188"/>
        <v>0</v>
      </c>
      <c r="N2312" t="s">
        <v>43</v>
      </c>
      <c r="R2312" s="3">
        <f t="shared" si="184"/>
        <v>0</v>
      </c>
    </row>
    <row r="2313" spans="1:18" hidden="1" x14ac:dyDescent="0.25">
      <c r="A2313" t="s">
        <v>2973</v>
      </c>
      <c r="B2313" t="s">
        <v>3206</v>
      </c>
      <c r="C2313" t="s">
        <v>2682</v>
      </c>
      <c r="D2313" s="3">
        <f t="shared" si="185"/>
        <v>25</v>
      </c>
      <c r="E2313" t="s">
        <v>481</v>
      </c>
      <c r="F2313" t="s">
        <v>34</v>
      </c>
      <c r="G2313" t="str">
        <f t="shared" si="186"/>
        <v/>
      </c>
      <c r="H2313" t="s">
        <v>14</v>
      </c>
      <c r="I2313" t="s">
        <v>2974</v>
      </c>
      <c r="J2313" s="2">
        <f t="shared" si="187"/>
        <v>6800000</v>
      </c>
      <c r="K2313" t="s">
        <v>2975</v>
      </c>
      <c r="L2313">
        <f t="shared" si="188"/>
        <v>0</v>
      </c>
      <c r="N2313" t="s">
        <v>43</v>
      </c>
      <c r="R2313" s="3">
        <f t="shared" si="184"/>
        <v>0</v>
      </c>
    </row>
    <row r="2314" spans="1:18" hidden="1" x14ac:dyDescent="0.25">
      <c r="A2314" t="s">
        <v>919</v>
      </c>
      <c r="B2314" t="s">
        <v>640</v>
      </c>
      <c r="C2314" t="s">
        <v>643</v>
      </c>
      <c r="D2314" s="3">
        <f t="shared" si="185"/>
        <v>13.5</v>
      </c>
      <c r="E2314" t="s">
        <v>667</v>
      </c>
      <c r="F2314" t="s">
        <v>34</v>
      </c>
      <c r="G2314" t="str">
        <f t="shared" si="186"/>
        <v/>
      </c>
      <c r="H2314" t="s">
        <v>14</v>
      </c>
      <c r="I2314" t="s">
        <v>920</v>
      </c>
      <c r="J2314" s="2">
        <f t="shared" si="187"/>
        <v>700000</v>
      </c>
      <c r="K2314" t="s">
        <v>157</v>
      </c>
      <c r="L2314">
        <f t="shared" si="188"/>
        <v>0</v>
      </c>
      <c r="N2314" t="s">
        <v>18</v>
      </c>
      <c r="R2314" s="3">
        <f t="shared" si="184"/>
        <v>0</v>
      </c>
    </row>
    <row r="2315" spans="1:18" hidden="1" x14ac:dyDescent="0.25">
      <c r="A2315" t="s">
        <v>39</v>
      </c>
      <c r="B2315" t="s">
        <v>20</v>
      </c>
      <c r="C2315" t="s">
        <v>44</v>
      </c>
      <c r="D2315" s="3">
        <f t="shared" si="185"/>
        <v>8.1000000000000014</v>
      </c>
      <c r="E2315" t="s">
        <v>40</v>
      </c>
      <c r="F2315" t="s">
        <v>34</v>
      </c>
      <c r="G2315" t="str">
        <f t="shared" si="186"/>
        <v/>
      </c>
      <c r="H2315" t="s">
        <v>14</v>
      </c>
      <c r="I2315" t="s">
        <v>41</v>
      </c>
      <c r="J2315" s="2">
        <f t="shared" si="187"/>
        <v>1100000</v>
      </c>
      <c r="K2315" t="s">
        <v>42</v>
      </c>
      <c r="L2315">
        <f t="shared" si="188"/>
        <v>0</v>
      </c>
      <c r="N2315" t="s">
        <v>43</v>
      </c>
      <c r="R2315" s="3">
        <f t="shared" si="184"/>
        <v>0</v>
      </c>
    </row>
    <row r="2316" spans="1:18" x14ac:dyDescent="0.25">
      <c r="A2316" t="s">
        <v>2964</v>
      </c>
      <c r="B2316" t="s">
        <v>3206</v>
      </c>
      <c r="C2316" t="s">
        <v>2604</v>
      </c>
      <c r="D2316" s="3">
        <f t="shared" si="185"/>
        <v>16.5</v>
      </c>
      <c r="E2316" t="s">
        <v>2965</v>
      </c>
      <c r="F2316" t="s">
        <v>13</v>
      </c>
      <c r="G2316" t="str">
        <f t="shared" si="186"/>
        <v/>
      </c>
      <c r="H2316" t="s">
        <v>14</v>
      </c>
      <c r="I2316" t="s">
        <v>2966</v>
      </c>
      <c r="J2316" s="2">
        <f t="shared" si="187"/>
        <v>4000000</v>
      </c>
      <c r="K2316" t="s">
        <v>2179</v>
      </c>
      <c r="L2316">
        <f t="shared" si="188"/>
        <v>0.17083333333333331</v>
      </c>
      <c r="M2316" s="5">
        <v>0.17083333333333331</v>
      </c>
      <c r="N2316" t="s">
        <v>43</v>
      </c>
      <c r="P2316" t="s">
        <v>2605</v>
      </c>
      <c r="R2316" s="3">
        <f t="shared" si="184"/>
        <v>4.0999999999999996</v>
      </c>
    </row>
    <row r="2317" spans="1:18" hidden="1" x14ac:dyDescent="0.25">
      <c r="A2317" t="s">
        <v>4203</v>
      </c>
      <c r="B2317" t="s">
        <v>3746</v>
      </c>
      <c r="C2317" t="s">
        <v>4038</v>
      </c>
      <c r="D2317" s="3">
        <f t="shared" si="185"/>
        <v>9</v>
      </c>
      <c r="E2317" t="s">
        <v>12</v>
      </c>
      <c r="F2317" t="s">
        <v>34</v>
      </c>
      <c r="G2317" t="str">
        <f t="shared" si="186"/>
        <v/>
      </c>
      <c r="H2317" t="s">
        <v>14</v>
      </c>
      <c r="I2317" t="s">
        <v>4204</v>
      </c>
      <c r="J2317" s="2">
        <f t="shared" si="187"/>
        <v>800000</v>
      </c>
      <c r="K2317" t="s">
        <v>109</v>
      </c>
      <c r="L2317">
        <f t="shared" si="188"/>
        <v>0</v>
      </c>
      <c r="N2317" t="s">
        <v>43</v>
      </c>
      <c r="R2317" s="3">
        <f t="shared" si="184"/>
        <v>0</v>
      </c>
    </row>
    <row r="2318" spans="1:18" x14ac:dyDescent="0.25">
      <c r="A2318" t="s">
        <v>1951</v>
      </c>
      <c r="B2318" t="s">
        <v>1303</v>
      </c>
      <c r="C2318" t="s">
        <v>1316</v>
      </c>
      <c r="D2318" s="3">
        <f t="shared" si="185"/>
        <v>13.5</v>
      </c>
      <c r="E2318" t="s">
        <v>446</v>
      </c>
      <c r="F2318" t="s">
        <v>13</v>
      </c>
      <c r="G2318" t="str">
        <f t="shared" si="186"/>
        <v/>
      </c>
      <c r="H2318" t="s">
        <v>14</v>
      </c>
      <c r="I2318" t="s">
        <v>1952</v>
      </c>
      <c r="J2318" s="2">
        <f t="shared" si="187"/>
        <v>4100000</v>
      </c>
      <c r="K2318" t="s">
        <v>1953</v>
      </c>
      <c r="L2318">
        <f t="shared" si="188"/>
        <v>0</v>
      </c>
      <c r="N2318" t="s">
        <v>43</v>
      </c>
      <c r="R2318" s="3">
        <f t="shared" si="184"/>
        <v>0</v>
      </c>
    </row>
    <row r="2319" spans="1:18" hidden="1" x14ac:dyDescent="0.25">
      <c r="A2319" t="s">
        <v>5574</v>
      </c>
      <c r="B2319" t="s">
        <v>5848</v>
      </c>
      <c r="C2319" t="s">
        <v>5402</v>
      </c>
      <c r="D2319" s="3">
        <f t="shared" si="185"/>
        <v>9</v>
      </c>
      <c r="E2319" t="s">
        <v>12</v>
      </c>
      <c r="F2319" t="s">
        <v>34</v>
      </c>
      <c r="G2319" t="str">
        <f t="shared" si="186"/>
        <v/>
      </c>
      <c r="H2319" t="s">
        <v>14</v>
      </c>
      <c r="I2319" t="s">
        <v>5575</v>
      </c>
      <c r="J2319" s="2">
        <f t="shared" si="187"/>
        <v>1100000</v>
      </c>
      <c r="K2319" t="s">
        <v>42</v>
      </c>
      <c r="L2319">
        <f t="shared" si="188"/>
        <v>0.20833333333333334</v>
      </c>
      <c r="M2319" s="5">
        <v>0.20833333333333334</v>
      </c>
      <c r="N2319" t="s">
        <v>43</v>
      </c>
      <c r="R2319" s="3">
        <f t="shared" si="184"/>
        <v>5</v>
      </c>
    </row>
    <row r="2320" spans="1:18" hidden="1" x14ac:dyDescent="0.25">
      <c r="A2320" t="s">
        <v>99</v>
      </c>
      <c r="B2320" t="s">
        <v>20</v>
      </c>
      <c r="C2320" t="s">
        <v>102</v>
      </c>
      <c r="D2320" s="3">
        <f t="shared" si="185"/>
        <v>9</v>
      </c>
      <c r="E2320" t="s">
        <v>12</v>
      </c>
      <c r="F2320" t="s">
        <v>34</v>
      </c>
      <c r="G2320" t="str">
        <f t="shared" si="186"/>
        <v/>
      </c>
      <c r="H2320" t="s">
        <v>14</v>
      </c>
      <c r="I2320" t="s">
        <v>100</v>
      </c>
      <c r="J2320" s="2">
        <f t="shared" si="187"/>
        <v>900000</v>
      </c>
      <c r="K2320" t="s">
        <v>101</v>
      </c>
      <c r="L2320">
        <f t="shared" si="188"/>
        <v>0</v>
      </c>
      <c r="N2320" t="s">
        <v>37</v>
      </c>
      <c r="R2320" s="3">
        <f t="shared" si="184"/>
        <v>0</v>
      </c>
    </row>
    <row r="2321" spans="1:18" hidden="1" x14ac:dyDescent="0.25">
      <c r="A2321" t="s">
        <v>3644</v>
      </c>
      <c r="B2321" t="s">
        <v>3233</v>
      </c>
      <c r="C2321" t="s">
        <v>3261</v>
      </c>
      <c r="D2321" s="3">
        <f t="shared" si="185"/>
        <v>6</v>
      </c>
      <c r="E2321" t="s">
        <v>64</v>
      </c>
      <c r="F2321" t="s">
        <v>13</v>
      </c>
      <c r="G2321" t="str">
        <f t="shared" si="186"/>
        <v/>
      </c>
      <c r="H2321" t="s">
        <v>14</v>
      </c>
      <c r="I2321" t="s">
        <v>3645</v>
      </c>
      <c r="J2321" s="2">
        <f t="shared" si="187"/>
        <v>1400000</v>
      </c>
      <c r="K2321" t="s">
        <v>81</v>
      </c>
      <c r="L2321">
        <f t="shared" si="188"/>
        <v>0.17222222222222225</v>
      </c>
      <c r="M2321" s="5">
        <v>0.17222222222222225</v>
      </c>
      <c r="N2321" t="s">
        <v>43</v>
      </c>
      <c r="P2321" t="s">
        <v>3352</v>
      </c>
      <c r="R2321" s="3">
        <f t="shared" si="184"/>
        <v>4.1333333333333337</v>
      </c>
    </row>
    <row r="2322" spans="1:18" hidden="1" x14ac:dyDescent="0.25">
      <c r="A2322" t="s">
        <v>606</v>
      </c>
      <c r="B2322" t="s">
        <v>20</v>
      </c>
      <c r="C2322" t="s">
        <v>38</v>
      </c>
      <c r="D2322" s="3">
        <f t="shared" si="185"/>
        <v>13.5</v>
      </c>
      <c r="E2322" t="s">
        <v>446</v>
      </c>
      <c r="F2322" t="s">
        <v>34</v>
      </c>
      <c r="G2322" t="str">
        <f t="shared" si="186"/>
        <v/>
      </c>
      <c r="H2322" t="s">
        <v>14</v>
      </c>
      <c r="I2322" t="s">
        <v>607</v>
      </c>
      <c r="J2322" s="2">
        <f t="shared" si="187"/>
        <v>1400000</v>
      </c>
      <c r="K2322" t="s">
        <v>81</v>
      </c>
      <c r="L2322">
        <f t="shared" si="188"/>
        <v>0.17013888888888887</v>
      </c>
      <c r="M2322" s="5">
        <v>0.17013888888888887</v>
      </c>
      <c r="N2322" t="s">
        <v>43</v>
      </c>
      <c r="R2322" s="3">
        <f t="shared" si="184"/>
        <v>4.083333333333333</v>
      </c>
    </row>
    <row r="2323" spans="1:18" hidden="1" x14ac:dyDescent="0.25">
      <c r="A2323" t="s">
        <v>4909</v>
      </c>
      <c r="B2323" t="s">
        <v>4806</v>
      </c>
      <c r="C2323" t="s">
        <v>4888</v>
      </c>
      <c r="D2323" s="3">
        <f t="shared" si="185"/>
        <v>9</v>
      </c>
      <c r="E2323" t="s">
        <v>12</v>
      </c>
      <c r="F2323" t="s">
        <v>34</v>
      </c>
      <c r="G2323" t="str">
        <f t="shared" si="186"/>
        <v/>
      </c>
      <c r="H2323" t="s">
        <v>14</v>
      </c>
      <c r="I2323" t="s">
        <v>4910</v>
      </c>
      <c r="J2323" s="2">
        <f t="shared" si="187"/>
        <v>1500000</v>
      </c>
      <c r="K2323" t="s">
        <v>66</v>
      </c>
      <c r="L2323">
        <f t="shared" si="188"/>
        <v>0</v>
      </c>
      <c r="N2323" t="s">
        <v>18</v>
      </c>
      <c r="R2323" s="3">
        <f t="shared" si="184"/>
        <v>0</v>
      </c>
    </row>
    <row r="2324" spans="1:18" hidden="1" x14ac:dyDescent="0.25">
      <c r="A2324" t="s">
        <v>1593</v>
      </c>
      <c r="B2324" t="s">
        <v>1303</v>
      </c>
      <c r="C2324" t="s">
        <v>1396</v>
      </c>
      <c r="D2324" s="3">
        <f t="shared" si="185"/>
        <v>12</v>
      </c>
      <c r="E2324" t="s">
        <v>33</v>
      </c>
      <c r="F2324" t="s">
        <v>34</v>
      </c>
      <c r="G2324" t="str">
        <f t="shared" si="186"/>
        <v/>
      </c>
      <c r="H2324" t="s">
        <v>14</v>
      </c>
      <c r="I2324" t="s">
        <v>1594</v>
      </c>
      <c r="J2324" s="2">
        <f t="shared" si="187"/>
        <v>700000</v>
      </c>
      <c r="K2324" t="s">
        <v>157</v>
      </c>
      <c r="L2324">
        <f t="shared" si="188"/>
        <v>0</v>
      </c>
      <c r="N2324" t="s">
        <v>43</v>
      </c>
      <c r="R2324" s="3">
        <f t="shared" si="184"/>
        <v>0</v>
      </c>
    </row>
    <row r="2325" spans="1:18" hidden="1" x14ac:dyDescent="0.25">
      <c r="A2325" t="s">
        <v>581</v>
      </c>
      <c r="B2325" t="s">
        <v>20</v>
      </c>
      <c r="C2325" t="s">
        <v>19</v>
      </c>
      <c r="D2325" s="3">
        <f t="shared" si="185"/>
        <v>12</v>
      </c>
      <c r="E2325" t="s">
        <v>33</v>
      </c>
      <c r="F2325" t="s">
        <v>34</v>
      </c>
      <c r="G2325" t="str">
        <f t="shared" si="186"/>
        <v/>
      </c>
      <c r="H2325" t="s">
        <v>14</v>
      </c>
      <c r="I2325" t="s">
        <v>582</v>
      </c>
      <c r="J2325" s="2">
        <f t="shared" si="187"/>
        <v>500000</v>
      </c>
      <c r="K2325" t="s">
        <v>16</v>
      </c>
      <c r="L2325">
        <f t="shared" si="188"/>
        <v>0</v>
      </c>
      <c r="N2325" t="s">
        <v>43</v>
      </c>
      <c r="R2325" s="3">
        <f t="shared" si="184"/>
        <v>0</v>
      </c>
    </row>
    <row r="2326" spans="1:18" hidden="1" x14ac:dyDescent="0.25">
      <c r="A2326" t="s">
        <v>4199</v>
      </c>
      <c r="B2326" t="s">
        <v>3746</v>
      </c>
      <c r="C2326" t="s">
        <v>3753</v>
      </c>
      <c r="D2326" s="3">
        <f t="shared" si="185"/>
        <v>12</v>
      </c>
      <c r="E2326" t="s">
        <v>33</v>
      </c>
      <c r="F2326" t="s">
        <v>13</v>
      </c>
      <c r="G2326" t="str">
        <f t="shared" si="186"/>
        <v/>
      </c>
      <c r="H2326" t="s">
        <v>14</v>
      </c>
      <c r="I2326" t="s">
        <v>4200</v>
      </c>
      <c r="J2326" s="2">
        <f t="shared" si="187"/>
        <v>1900000</v>
      </c>
      <c r="K2326" t="s">
        <v>352</v>
      </c>
      <c r="L2326">
        <f t="shared" si="188"/>
        <v>0</v>
      </c>
      <c r="N2326" t="s">
        <v>18</v>
      </c>
      <c r="R2326" s="3">
        <f t="shared" si="184"/>
        <v>0</v>
      </c>
    </row>
    <row r="2327" spans="1:18" x14ac:dyDescent="0.25">
      <c r="A2327" t="s">
        <v>2263</v>
      </c>
      <c r="B2327" t="s">
        <v>2596</v>
      </c>
      <c r="C2327" t="s">
        <v>2042</v>
      </c>
      <c r="D2327" s="3">
        <f t="shared" si="185"/>
        <v>12</v>
      </c>
      <c r="E2327" t="s">
        <v>33</v>
      </c>
      <c r="F2327" t="s">
        <v>13</v>
      </c>
      <c r="G2327" t="str">
        <f t="shared" si="186"/>
        <v/>
      </c>
      <c r="H2327" t="s">
        <v>14</v>
      </c>
      <c r="I2327" t="s">
        <v>2264</v>
      </c>
      <c r="J2327" s="2">
        <f t="shared" si="187"/>
        <v>4250000</v>
      </c>
      <c r="K2327" t="s">
        <v>2265</v>
      </c>
      <c r="L2327">
        <f t="shared" si="188"/>
        <v>0.20833333333333334</v>
      </c>
      <c r="M2327" s="5">
        <v>0.20833333333333334</v>
      </c>
      <c r="N2327" t="s">
        <v>43</v>
      </c>
      <c r="R2327" s="3">
        <f t="shared" si="184"/>
        <v>5</v>
      </c>
    </row>
    <row r="2328" spans="1:18" hidden="1" x14ac:dyDescent="0.25">
      <c r="A2328" t="s">
        <v>1182</v>
      </c>
      <c r="B2328" t="s">
        <v>640</v>
      </c>
      <c r="C2328" t="s">
        <v>1035</v>
      </c>
      <c r="D2328" s="3">
        <f t="shared" si="185"/>
        <v>12</v>
      </c>
      <c r="E2328" t="s">
        <v>33</v>
      </c>
      <c r="F2328" t="s">
        <v>13</v>
      </c>
      <c r="G2328" t="str">
        <f t="shared" si="186"/>
        <v/>
      </c>
      <c r="H2328" t="s">
        <v>14</v>
      </c>
      <c r="I2328" t="s">
        <v>1183</v>
      </c>
      <c r="J2328" s="2">
        <f t="shared" si="187"/>
        <v>900000</v>
      </c>
      <c r="K2328" t="s">
        <v>101</v>
      </c>
      <c r="L2328">
        <f t="shared" si="188"/>
        <v>0.17083333333333331</v>
      </c>
      <c r="M2328" s="5">
        <v>0.17083333333333331</v>
      </c>
      <c r="N2328" t="s">
        <v>43</v>
      </c>
      <c r="R2328" s="3">
        <f t="shared" si="184"/>
        <v>4.0999999999999996</v>
      </c>
    </row>
    <row r="2329" spans="1:18" hidden="1" x14ac:dyDescent="0.25">
      <c r="A2329" t="s">
        <v>3734</v>
      </c>
      <c r="B2329" t="s">
        <v>3233</v>
      </c>
      <c r="C2329" t="s">
        <v>3261</v>
      </c>
      <c r="D2329" s="3">
        <f t="shared" si="185"/>
        <v>9</v>
      </c>
      <c r="E2329" t="s">
        <v>12</v>
      </c>
      <c r="F2329" t="s">
        <v>13</v>
      </c>
      <c r="G2329" t="str">
        <f t="shared" si="186"/>
        <v/>
      </c>
      <c r="H2329" t="s">
        <v>14</v>
      </c>
      <c r="I2329" t="s">
        <v>3735</v>
      </c>
      <c r="J2329" s="2">
        <f t="shared" si="187"/>
        <v>2500000</v>
      </c>
      <c r="K2329" t="s">
        <v>272</v>
      </c>
      <c r="L2329">
        <f t="shared" si="188"/>
        <v>0.17083333333333331</v>
      </c>
      <c r="M2329" s="5">
        <v>0.17083333333333331</v>
      </c>
      <c r="N2329" t="s">
        <v>43</v>
      </c>
      <c r="P2329" t="s">
        <v>1309</v>
      </c>
      <c r="R2329" s="3">
        <f t="shared" si="184"/>
        <v>4.0999999999999996</v>
      </c>
    </row>
    <row r="2330" spans="1:18" hidden="1" x14ac:dyDescent="0.25">
      <c r="A2330" t="s">
        <v>3734</v>
      </c>
      <c r="B2330" t="s">
        <v>3233</v>
      </c>
      <c r="C2330" t="s">
        <v>3261</v>
      </c>
      <c r="D2330" s="3">
        <f t="shared" si="185"/>
        <v>9</v>
      </c>
      <c r="E2330" t="s">
        <v>12</v>
      </c>
      <c r="F2330" t="s">
        <v>13</v>
      </c>
      <c r="G2330" t="str">
        <f t="shared" si="186"/>
        <v/>
      </c>
      <c r="H2330" t="s">
        <v>14</v>
      </c>
      <c r="I2330" t="s">
        <v>3735</v>
      </c>
      <c r="J2330" s="2">
        <f t="shared" si="187"/>
        <v>2500000</v>
      </c>
      <c r="K2330" t="s">
        <v>272</v>
      </c>
      <c r="L2330">
        <f t="shared" si="188"/>
        <v>0.17222222222222225</v>
      </c>
      <c r="M2330" s="5">
        <v>0.17222222222222225</v>
      </c>
      <c r="N2330" t="s">
        <v>43</v>
      </c>
      <c r="P2330" t="s">
        <v>1309</v>
      </c>
      <c r="R2330" s="3">
        <f t="shared" si="184"/>
        <v>4.1333333333333337</v>
      </c>
    </row>
    <row r="2331" spans="1:18" hidden="1" x14ac:dyDescent="0.25">
      <c r="A2331" t="s">
        <v>3646</v>
      </c>
      <c r="B2331" t="s">
        <v>3233</v>
      </c>
      <c r="C2331" t="s">
        <v>3261</v>
      </c>
      <c r="D2331" s="3">
        <f t="shared" si="185"/>
        <v>9</v>
      </c>
      <c r="E2331" t="s">
        <v>12</v>
      </c>
      <c r="F2331" t="s">
        <v>34</v>
      </c>
      <c r="G2331" t="str">
        <f t="shared" si="186"/>
        <v/>
      </c>
      <c r="H2331" t="s">
        <v>14</v>
      </c>
      <c r="I2331" t="s">
        <v>3647</v>
      </c>
      <c r="J2331" s="2">
        <f t="shared" si="187"/>
        <v>1800000</v>
      </c>
      <c r="K2331" t="s">
        <v>228</v>
      </c>
      <c r="L2331">
        <f t="shared" si="188"/>
        <v>0.16944444444444443</v>
      </c>
      <c r="M2331" s="5">
        <v>0.16944444444444443</v>
      </c>
      <c r="N2331" t="s">
        <v>43</v>
      </c>
      <c r="P2331" t="s">
        <v>719</v>
      </c>
      <c r="R2331" s="3">
        <f t="shared" si="184"/>
        <v>4.0666666666666664</v>
      </c>
    </row>
    <row r="2332" spans="1:18" hidden="1" x14ac:dyDescent="0.25">
      <c r="A2332" t="s">
        <v>1465</v>
      </c>
      <c r="B2332" t="s">
        <v>1303</v>
      </c>
      <c r="C2332" t="s">
        <v>1366</v>
      </c>
      <c r="D2332" s="3">
        <f t="shared" si="185"/>
        <v>12</v>
      </c>
      <c r="E2332" t="s">
        <v>33</v>
      </c>
      <c r="F2332" t="s">
        <v>13</v>
      </c>
      <c r="G2332" t="str">
        <f t="shared" si="186"/>
        <v/>
      </c>
      <c r="H2332" t="s">
        <v>14</v>
      </c>
      <c r="I2332" t="s">
        <v>1466</v>
      </c>
      <c r="J2332" s="2">
        <f t="shared" si="187"/>
        <v>2100000</v>
      </c>
      <c r="K2332" t="s">
        <v>451</v>
      </c>
      <c r="L2332">
        <f t="shared" si="188"/>
        <v>0.20833333333333334</v>
      </c>
      <c r="M2332" s="5">
        <v>0.20833333333333334</v>
      </c>
      <c r="N2332" t="s">
        <v>43</v>
      </c>
      <c r="R2332" s="3">
        <f t="shared" si="184"/>
        <v>5</v>
      </c>
    </row>
    <row r="2333" spans="1:18" hidden="1" x14ac:dyDescent="0.25">
      <c r="A2333" t="s">
        <v>493</v>
      </c>
      <c r="B2333" t="s">
        <v>20</v>
      </c>
      <c r="C2333" t="s">
        <v>19</v>
      </c>
      <c r="D2333" s="3">
        <f t="shared" si="185"/>
        <v>12</v>
      </c>
      <c r="E2333" t="s">
        <v>33</v>
      </c>
      <c r="F2333" t="s">
        <v>13</v>
      </c>
      <c r="G2333" t="str">
        <f t="shared" si="186"/>
        <v/>
      </c>
      <c r="H2333" t="s">
        <v>14</v>
      </c>
      <c r="I2333" t="s">
        <v>494</v>
      </c>
      <c r="J2333" s="2">
        <f t="shared" si="187"/>
        <v>1500000</v>
      </c>
      <c r="K2333" t="s">
        <v>66</v>
      </c>
      <c r="L2333">
        <f t="shared" si="188"/>
        <v>0.20833333333333334</v>
      </c>
      <c r="M2333" s="5">
        <v>0.20833333333333334</v>
      </c>
      <c r="N2333" t="s">
        <v>18</v>
      </c>
      <c r="R2333" s="3">
        <f t="shared" si="184"/>
        <v>5</v>
      </c>
    </row>
    <row r="2334" spans="1:18" hidden="1" x14ac:dyDescent="0.25">
      <c r="A2334" t="s">
        <v>5120</v>
      </c>
      <c r="B2334" t="s">
        <v>4806</v>
      </c>
      <c r="C2334" t="s">
        <v>4825</v>
      </c>
      <c r="D2334" s="3">
        <f t="shared" si="185"/>
        <v>12</v>
      </c>
      <c r="E2334" t="s">
        <v>33</v>
      </c>
      <c r="F2334" t="s">
        <v>34</v>
      </c>
      <c r="G2334" t="str">
        <f t="shared" si="186"/>
        <v/>
      </c>
      <c r="H2334" t="s">
        <v>14</v>
      </c>
      <c r="I2334" t="s">
        <v>5121</v>
      </c>
      <c r="J2334" s="2">
        <f t="shared" si="187"/>
        <v>485000</v>
      </c>
      <c r="K2334" t="s">
        <v>5122</v>
      </c>
      <c r="L2334">
        <f t="shared" si="188"/>
        <v>0</v>
      </c>
      <c r="N2334" t="s">
        <v>43</v>
      </c>
      <c r="R2334" s="3">
        <f t="shared" si="184"/>
        <v>0</v>
      </c>
    </row>
    <row r="2335" spans="1:18" hidden="1" x14ac:dyDescent="0.25">
      <c r="A2335" t="s">
        <v>5296</v>
      </c>
      <c r="B2335" t="s">
        <v>4806</v>
      </c>
      <c r="C2335" t="s">
        <v>4865</v>
      </c>
      <c r="D2335" s="3">
        <f t="shared" si="185"/>
        <v>9</v>
      </c>
      <c r="E2335" t="s">
        <v>12</v>
      </c>
      <c r="F2335" t="s">
        <v>13</v>
      </c>
      <c r="G2335" t="str">
        <f t="shared" si="186"/>
        <v/>
      </c>
      <c r="H2335" t="s">
        <v>14</v>
      </c>
      <c r="I2335" t="s">
        <v>5297</v>
      </c>
      <c r="J2335" s="2">
        <f t="shared" si="187"/>
        <v>1100000</v>
      </c>
      <c r="K2335" t="s">
        <v>42</v>
      </c>
      <c r="L2335">
        <f t="shared" si="188"/>
        <v>0</v>
      </c>
      <c r="N2335" t="s">
        <v>18</v>
      </c>
      <c r="R2335" s="3">
        <f t="shared" si="184"/>
        <v>0</v>
      </c>
    </row>
    <row r="2336" spans="1:18" hidden="1" x14ac:dyDescent="0.25">
      <c r="A2336" t="s">
        <v>5296</v>
      </c>
      <c r="B2336" t="s">
        <v>4806</v>
      </c>
      <c r="C2336" t="s">
        <v>4865</v>
      </c>
      <c r="D2336" s="3">
        <f t="shared" si="185"/>
        <v>9</v>
      </c>
      <c r="E2336" t="s">
        <v>12</v>
      </c>
      <c r="F2336" t="s">
        <v>13</v>
      </c>
      <c r="G2336" t="str">
        <f t="shared" si="186"/>
        <v/>
      </c>
      <c r="H2336" t="s">
        <v>14</v>
      </c>
      <c r="I2336" t="s">
        <v>5321</v>
      </c>
      <c r="J2336" s="2">
        <f t="shared" si="187"/>
        <v>1100000</v>
      </c>
      <c r="K2336" t="s">
        <v>42</v>
      </c>
      <c r="L2336">
        <f t="shared" si="188"/>
        <v>0</v>
      </c>
      <c r="N2336" t="s">
        <v>18</v>
      </c>
      <c r="R2336" s="3">
        <f t="shared" si="184"/>
        <v>0</v>
      </c>
    </row>
    <row r="2337" spans="1:18" hidden="1" x14ac:dyDescent="0.25">
      <c r="A2337" t="s">
        <v>1246</v>
      </c>
      <c r="B2337" t="s">
        <v>640</v>
      </c>
      <c r="C2337" t="s">
        <v>643</v>
      </c>
      <c r="D2337" s="3">
        <f t="shared" si="185"/>
        <v>12</v>
      </c>
      <c r="E2337" t="s">
        <v>33</v>
      </c>
      <c r="F2337" t="s">
        <v>34</v>
      </c>
      <c r="G2337" t="str">
        <f t="shared" si="186"/>
        <v/>
      </c>
      <c r="H2337" t="s">
        <v>14</v>
      </c>
      <c r="I2337" t="s">
        <v>1218</v>
      </c>
      <c r="J2337" s="2">
        <f t="shared" si="187"/>
        <v>1400000</v>
      </c>
      <c r="K2337" t="s">
        <v>81</v>
      </c>
      <c r="L2337">
        <f t="shared" si="188"/>
        <v>0.20833333333333334</v>
      </c>
      <c r="M2337" s="5">
        <v>0.20833333333333334</v>
      </c>
      <c r="N2337" t="s">
        <v>18</v>
      </c>
      <c r="R2337" s="3">
        <f t="shared" si="184"/>
        <v>5</v>
      </c>
    </row>
    <row r="2338" spans="1:18" hidden="1" x14ac:dyDescent="0.25">
      <c r="A2338" t="s">
        <v>4089</v>
      </c>
      <c r="B2338" t="s">
        <v>3746</v>
      </c>
      <c r="C2338" t="s">
        <v>3889</v>
      </c>
      <c r="D2338" s="3">
        <f t="shared" si="185"/>
        <v>15</v>
      </c>
      <c r="E2338" t="s">
        <v>71</v>
      </c>
      <c r="F2338" t="s">
        <v>13</v>
      </c>
      <c r="G2338" t="str">
        <f t="shared" si="186"/>
        <v/>
      </c>
      <c r="H2338" t="s">
        <v>14</v>
      </c>
      <c r="I2338" t="s">
        <v>4090</v>
      </c>
      <c r="J2338" s="2">
        <f t="shared" si="187"/>
        <v>750000</v>
      </c>
      <c r="K2338" t="s">
        <v>76</v>
      </c>
      <c r="L2338">
        <f t="shared" si="188"/>
        <v>0</v>
      </c>
      <c r="N2338" t="s">
        <v>43</v>
      </c>
      <c r="R2338" s="3">
        <f t="shared" si="184"/>
        <v>0</v>
      </c>
    </row>
    <row r="2339" spans="1:18" hidden="1" x14ac:dyDescent="0.25">
      <c r="A2339" t="s">
        <v>4623</v>
      </c>
      <c r="B2339" t="s">
        <v>4272</v>
      </c>
      <c r="C2339" t="s">
        <v>4311</v>
      </c>
      <c r="D2339" s="3">
        <f t="shared" si="185"/>
        <v>16</v>
      </c>
      <c r="E2339" t="s">
        <v>79</v>
      </c>
      <c r="F2339" t="s">
        <v>34</v>
      </c>
      <c r="G2339" t="str">
        <f t="shared" si="186"/>
        <v/>
      </c>
      <c r="H2339" t="s">
        <v>14</v>
      </c>
      <c r="I2339" t="s">
        <v>4624</v>
      </c>
      <c r="J2339" s="2">
        <f t="shared" si="187"/>
        <v>12300000</v>
      </c>
      <c r="K2339" t="s">
        <v>4625</v>
      </c>
      <c r="L2339">
        <f t="shared" si="188"/>
        <v>0</v>
      </c>
      <c r="N2339" t="s">
        <v>18</v>
      </c>
      <c r="R2339" s="3">
        <f t="shared" si="184"/>
        <v>0</v>
      </c>
    </row>
    <row r="2340" spans="1:18" hidden="1" x14ac:dyDescent="0.25">
      <c r="A2340" t="s">
        <v>4237</v>
      </c>
      <c r="B2340" t="s">
        <v>3746</v>
      </c>
      <c r="C2340" t="s">
        <v>3749</v>
      </c>
      <c r="D2340" s="3">
        <f t="shared" si="185"/>
        <v>18</v>
      </c>
      <c r="E2340" t="s">
        <v>126</v>
      </c>
      <c r="F2340" t="s">
        <v>13</v>
      </c>
      <c r="G2340" t="str">
        <f t="shared" si="186"/>
        <v/>
      </c>
      <c r="H2340" t="s">
        <v>14</v>
      </c>
      <c r="I2340" t="s">
        <v>4238</v>
      </c>
      <c r="J2340" s="2">
        <f t="shared" si="187"/>
        <v>950000</v>
      </c>
      <c r="K2340" t="s">
        <v>355</v>
      </c>
      <c r="L2340">
        <f t="shared" si="188"/>
        <v>0</v>
      </c>
      <c r="N2340" t="s">
        <v>43</v>
      </c>
      <c r="R2340" s="3">
        <f t="shared" si="184"/>
        <v>0</v>
      </c>
    </row>
    <row r="2341" spans="1:18" hidden="1" x14ac:dyDescent="0.25">
      <c r="A2341" t="s">
        <v>4245</v>
      </c>
      <c r="B2341" t="s">
        <v>3746</v>
      </c>
      <c r="C2341" t="s">
        <v>3889</v>
      </c>
      <c r="D2341" s="3">
        <f t="shared" si="185"/>
        <v>12</v>
      </c>
      <c r="E2341" t="s">
        <v>33</v>
      </c>
      <c r="F2341" t="s">
        <v>13</v>
      </c>
      <c r="G2341" t="str">
        <f t="shared" si="186"/>
        <v/>
      </c>
      <c r="H2341" t="s">
        <v>14</v>
      </c>
      <c r="I2341" t="s">
        <v>4246</v>
      </c>
      <c r="J2341" s="2">
        <f t="shared" si="187"/>
        <v>1500000</v>
      </c>
      <c r="K2341" t="s">
        <v>66</v>
      </c>
      <c r="L2341">
        <f t="shared" si="188"/>
        <v>0.17013888888888887</v>
      </c>
      <c r="M2341" s="5">
        <v>0.17013888888888887</v>
      </c>
      <c r="N2341" t="s">
        <v>43</v>
      </c>
      <c r="P2341" t="s">
        <v>199</v>
      </c>
      <c r="R2341" s="3">
        <f t="shared" si="184"/>
        <v>4.083333333333333</v>
      </c>
    </row>
    <row r="2342" spans="1:18" x14ac:dyDescent="0.25">
      <c r="A2342" t="s">
        <v>2520</v>
      </c>
      <c r="B2342" t="s">
        <v>2596</v>
      </c>
      <c r="C2342" t="s">
        <v>2053</v>
      </c>
      <c r="D2342" s="3">
        <f t="shared" si="185"/>
        <v>12</v>
      </c>
      <c r="E2342" t="s">
        <v>33</v>
      </c>
      <c r="F2342" t="s">
        <v>13</v>
      </c>
      <c r="G2342" t="str">
        <f t="shared" si="186"/>
        <v/>
      </c>
      <c r="H2342" t="s">
        <v>14</v>
      </c>
      <c r="I2342" t="s">
        <v>2178</v>
      </c>
      <c r="J2342" s="2">
        <f t="shared" si="187"/>
        <v>4250000</v>
      </c>
      <c r="K2342" t="s">
        <v>2265</v>
      </c>
      <c r="L2342">
        <f t="shared" si="188"/>
        <v>0.20833333333333334</v>
      </c>
      <c r="M2342" s="5">
        <v>0.20833333333333334</v>
      </c>
      <c r="N2342" t="s">
        <v>43</v>
      </c>
      <c r="R2342" s="3">
        <f t="shared" si="184"/>
        <v>5</v>
      </c>
    </row>
    <row r="2343" spans="1:18" hidden="1" x14ac:dyDescent="0.25">
      <c r="A2343" t="s">
        <v>1273</v>
      </c>
      <c r="B2343" t="s">
        <v>640</v>
      </c>
      <c r="C2343" t="s">
        <v>657</v>
      </c>
      <c r="D2343" s="3">
        <f t="shared" si="185"/>
        <v>14</v>
      </c>
      <c r="E2343" t="s">
        <v>238</v>
      </c>
      <c r="F2343" t="s">
        <v>13</v>
      </c>
      <c r="G2343" t="str">
        <f t="shared" si="186"/>
        <v/>
      </c>
      <c r="H2343" t="s">
        <v>14</v>
      </c>
      <c r="I2343" t="s">
        <v>1274</v>
      </c>
      <c r="J2343" s="2">
        <f t="shared" si="187"/>
        <v>1650000</v>
      </c>
      <c r="K2343" t="s">
        <v>90</v>
      </c>
      <c r="M2343" s="5">
        <v>0.17013888888888887</v>
      </c>
      <c r="N2343" t="s">
        <v>18</v>
      </c>
      <c r="P2343" t="s">
        <v>762</v>
      </c>
      <c r="R2343" s="3">
        <f t="shared" si="184"/>
        <v>0</v>
      </c>
    </row>
    <row r="2344" spans="1:18" hidden="1" x14ac:dyDescent="0.25">
      <c r="A2344" t="s">
        <v>307</v>
      </c>
      <c r="B2344" t="s">
        <v>20</v>
      </c>
      <c r="C2344" t="s">
        <v>19</v>
      </c>
      <c r="D2344" s="3">
        <f t="shared" si="185"/>
        <v>9</v>
      </c>
      <c r="E2344" t="s">
        <v>12</v>
      </c>
      <c r="F2344" t="s">
        <v>34</v>
      </c>
      <c r="G2344" t="str">
        <f t="shared" si="186"/>
        <v/>
      </c>
      <c r="H2344" t="s">
        <v>14</v>
      </c>
      <c r="I2344" t="s">
        <v>308</v>
      </c>
      <c r="J2344" s="2">
        <f t="shared" si="187"/>
        <v>700000</v>
      </c>
      <c r="K2344" t="s">
        <v>157</v>
      </c>
      <c r="M2344" s="5">
        <v>0.17013888888888887</v>
      </c>
      <c r="N2344" t="s">
        <v>37</v>
      </c>
      <c r="R2344" s="3">
        <f t="shared" si="184"/>
        <v>0</v>
      </c>
    </row>
    <row r="2345" spans="1:18" hidden="1" x14ac:dyDescent="0.25">
      <c r="A2345" t="s">
        <v>4753</v>
      </c>
      <c r="B2345" t="s">
        <v>4272</v>
      </c>
      <c r="C2345" t="s">
        <v>4417</v>
      </c>
      <c r="D2345" s="3">
        <f t="shared" si="185"/>
        <v>9</v>
      </c>
      <c r="E2345" t="s">
        <v>12</v>
      </c>
      <c r="F2345" t="s">
        <v>34</v>
      </c>
      <c r="G2345" t="str">
        <f t="shared" si="186"/>
        <v/>
      </c>
      <c r="H2345" t="s">
        <v>14</v>
      </c>
      <c r="I2345" t="s">
        <v>4754</v>
      </c>
      <c r="J2345" s="2">
        <f t="shared" si="187"/>
        <v>800000</v>
      </c>
      <c r="K2345" t="s">
        <v>109</v>
      </c>
      <c r="M2345" s="5">
        <v>0.20833333333333334</v>
      </c>
      <c r="N2345" t="s">
        <v>18</v>
      </c>
      <c r="P2345" t="s">
        <v>2126</v>
      </c>
      <c r="R2345" s="3">
        <f t="shared" si="184"/>
        <v>0</v>
      </c>
    </row>
    <row r="2346" spans="1:18" hidden="1" x14ac:dyDescent="0.25">
      <c r="A2346" t="s">
        <v>4974</v>
      </c>
      <c r="B2346" t="s">
        <v>4806</v>
      </c>
      <c r="C2346" t="s">
        <v>4977</v>
      </c>
      <c r="D2346" s="3">
        <f t="shared" si="185"/>
        <v>1800</v>
      </c>
      <c r="E2346" t="s">
        <v>4975</v>
      </c>
      <c r="F2346" t="s">
        <v>13</v>
      </c>
      <c r="G2346" t="str">
        <f t="shared" si="186"/>
        <v/>
      </c>
      <c r="H2346" t="s">
        <v>14</v>
      </c>
      <c r="I2346" t="s">
        <v>4976</v>
      </c>
      <c r="J2346" s="2">
        <f t="shared" si="187"/>
        <v>1100000</v>
      </c>
      <c r="K2346" t="s">
        <v>42</v>
      </c>
      <c r="N2346" t="s">
        <v>43</v>
      </c>
      <c r="R2346" s="3">
        <f t="shared" si="184"/>
        <v>0</v>
      </c>
    </row>
    <row r="2347" spans="1:18" hidden="1" x14ac:dyDescent="0.25">
      <c r="A2347" t="s">
        <v>5263</v>
      </c>
      <c r="B2347" t="s">
        <v>4806</v>
      </c>
      <c r="C2347" t="s">
        <v>5173</v>
      </c>
      <c r="D2347" s="3">
        <f t="shared" si="185"/>
        <v>60</v>
      </c>
      <c r="E2347" t="s">
        <v>5264</v>
      </c>
      <c r="F2347" t="s">
        <v>13</v>
      </c>
      <c r="G2347" t="str">
        <f t="shared" si="186"/>
        <v/>
      </c>
      <c r="H2347" t="s">
        <v>14</v>
      </c>
      <c r="I2347" t="s">
        <v>5265</v>
      </c>
      <c r="J2347" s="2">
        <f t="shared" si="187"/>
        <v>750000</v>
      </c>
      <c r="K2347" t="s">
        <v>76</v>
      </c>
      <c r="N2347" t="s">
        <v>43</v>
      </c>
      <c r="R2347" s="3">
        <f t="shared" si="184"/>
        <v>0</v>
      </c>
    </row>
    <row r="2348" spans="1:18" hidden="1" x14ac:dyDescent="0.25">
      <c r="A2348" t="s">
        <v>1202</v>
      </c>
      <c r="B2348" t="s">
        <v>640</v>
      </c>
      <c r="C2348" t="s">
        <v>953</v>
      </c>
      <c r="D2348" s="3">
        <f t="shared" si="185"/>
        <v>9</v>
      </c>
      <c r="E2348" t="s">
        <v>12</v>
      </c>
      <c r="F2348" t="s">
        <v>13</v>
      </c>
      <c r="G2348" t="str">
        <f t="shared" si="186"/>
        <v/>
      </c>
      <c r="H2348" t="s">
        <v>14</v>
      </c>
      <c r="I2348" t="s">
        <v>1203</v>
      </c>
      <c r="J2348" s="2">
        <f t="shared" si="187"/>
        <v>2500000</v>
      </c>
      <c r="K2348" t="s">
        <v>272</v>
      </c>
      <c r="N2348" t="s">
        <v>43</v>
      </c>
      <c r="R2348" s="3">
        <f t="shared" si="184"/>
        <v>0</v>
      </c>
    </row>
    <row r="2349" spans="1:18" hidden="1" x14ac:dyDescent="0.25">
      <c r="A2349" t="s">
        <v>140</v>
      </c>
      <c r="B2349" t="s">
        <v>20</v>
      </c>
      <c r="C2349" t="s">
        <v>144</v>
      </c>
      <c r="D2349" s="3">
        <f t="shared" si="185"/>
        <v>30</v>
      </c>
      <c r="E2349" t="s">
        <v>141</v>
      </c>
      <c r="F2349" t="s">
        <v>13</v>
      </c>
      <c r="G2349" t="str">
        <f t="shared" si="186"/>
        <v/>
      </c>
      <c r="H2349" t="s">
        <v>14</v>
      </c>
      <c r="I2349" t="s">
        <v>142</v>
      </c>
      <c r="J2349" s="2">
        <f t="shared" si="187"/>
        <v>3500000</v>
      </c>
      <c r="K2349" t="s">
        <v>143</v>
      </c>
      <c r="N2349" t="s">
        <v>43</v>
      </c>
      <c r="R2349" s="3">
        <f t="shared" si="184"/>
        <v>0</v>
      </c>
    </row>
    <row r="2350" spans="1:18" hidden="1" x14ac:dyDescent="0.25">
      <c r="A2350" t="s">
        <v>4514</v>
      </c>
      <c r="B2350" t="s">
        <v>4272</v>
      </c>
      <c r="C2350" t="s">
        <v>4374</v>
      </c>
      <c r="D2350" s="3">
        <f t="shared" si="185"/>
        <v>10</v>
      </c>
      <c r="E2350" t="s">
        <v>4515</v>
      </c>
      <c r="F2350" t="s">
        <v>13</v>
      </c>
      <c r="G2350" t="str">
        <f t="shared" si="186"/>
        <v/>
      </c>
      <c r="H2350" t="s">
        <v>14</v>
      </c>
      <c r="I2350" t="s">
        <v>4516</v>
      </c>
      <c r="J2350" s="2">
        <f t="shared" si="187"/>
        <v>1000000</v>
      </c>
      <c r="K2350" t="s">
        <v>52</v>
      </c>
      <c r="N2350" t="s">
        <v>43</v>
      </c>
      <c r="R2350" s="3">
        <f t="shared" si="184"/>
        <v>0</v>
      </c>
    </row>
    <row r="2351" spans="1:18" hidden="1" x14ac:dyDescent="0.25">
      <c r="A2351" t="s">
        <v>3616</v>
      </c>
      <c r="B2351" t="s">
        <v>3233</v>
      </c>
      <c r="C2351" t="s">
        <v>3237</v>
      </c>
      <c r="D2351" s="3">
        <f t="shared" si="185"/>
        <v>12</v>
      </c>
      <c r="E2351" t="s">
        <v>33</v>
      </c>
      <c r="F2351" t="s">
        <v>13</v>
      </c>
      <c r="G2351" t="str">
        <f t="shared" si="186"/>
        <v/>
      </c>
      <c r="H2351" t="s">
        <v>14</v>
      </c>
      <c r="I2351" t="s">
        <v>3617</v>
      </c>
      <c r="J2351" s="2">
        <f t="shared" si="187"/>
        <v>4600000</v>
      </c>
      <c r="K2351" t="s">
        <v>3618</v>
      </c>
      <c r="N2351" t="s">
        <v>43</v>
      </c>
      <c r="R2351" s="3">
        <f t="shared" si="184"/>
        <v>0</v>
      </c>
    </row>
    <row r="2352" spans="1:18" hidden="1" x14ac:dyDescent="0.25">
      <c r="A2352" t="s">
        <v>403</v>
      </c>
      <c r="B2352" t="s">
        <v>20</v>
      </c>
      <c r="C2352" t="s">
        <v>405</v>
      </c>
      <c r="D2352" s="3">
        <f t="shared" si="185"/>
        <v>6</v>
      </c>
      <c r="E2352" t="s">
        <v>64</v>
      </c>
      <c r="F2352" t="s">
        <v>13</v>
      </c>
      <c r="G2352" t="str">
        <f t="shared" si="186"/>
        <v/>
      </c>
      <c r="H2352" t="s">
        <v>14</v>
      </c>
      <c r="I2352" t="s">
        <v>404</v>
      </c>
      <c r="J2352" s="2">
        <f t="shared" si="187"/>
        <v>1500000</v>
      </c>
      <c r="K2352" t="s">
        <v>66</v>
      </c>
      <c r="N2352" t="s">
        <v>43</v>
      </c>
      <c r="R2352" s="3">
        <f t="shared" si="184"/>
        <v>0</v>
      </c>
    </row>
    <row r="2353" spans="1:18" hidden="1" x14ac:dyDescent="0.25">
      <c r="A2353" t="s">
        <v>4948</v>
      </c>
      <c r="B2353" t="s">
        <v>4806</v>
      </c>
      <c r="C2353" t="s">
        <v>4950</v>
      </c>
      <c r="D2353" s="3">
        <f t="shared" si="185"/>
        <v>12</v>
      </c>
      <c r="E2353" t="s">
        <v>33</v>
      </c>
      <c r="F2353" t="s">
        <v>13</v>
      </c>
      <c r="G2353" t="str">
        <f t="shared" si="186"/>
        <v/>
      </c>
      <c r="H2353" t="s">
        <v>14</v>
      </c>
      <c r="I2353" t="s">
        <v>4949</v>
      </c>
      <c r="J2353" s="2">
        <f t="shared" si="187"/>
        <v>1500000</v>
      </c>
      <c r="K2353" t="s">
        <v>66</v>
      </c>
      <c r="N2353" t="s">
        <v>43</v>
      </c>
      <c r="R2353" s="3">
        <f t="shared" si="184"/>
        <v>0</v>
      </c>
    </row>
    <row r="2354" spans="1:18" hidden="1" x14ac:dyDescent="0.25">
      <c r="A2354" t="s">
        <v>219</v>
      </c>
      <c r="B2354" t="s">
        <v>20</v>
      </c>
      <c r="C2354" t="s">
        <v>54</v>
      </c>
      <c r="D2354" s="3">
        <f t="shared" si="185"/>
        <v>9</v>
      </c>
      <c r="E2354" t="s">
        <v>12</v>
      </c>
      <c r="F2354" t="s">
        <v>13</v>
      </c>
      <c r="G2354" t="str">
        <f t="shared" si="186"/>
        <v/>
      </c>
      <c r="H2354" t="s">
        <v>14</v>
      </c>
      <c r="I2354" t="s">
        <v>220</v>
      </c>
      <c r="J2354" s="2">
        <f t="shared" si="187"/>
        <v>800000</v>
      </c>
      <c r="K2354" t="s">
        <v>109</v>
      </c>
      <c r="N2354" t="s">
        <v>43</v>
      </c>
      <c r="R2354" s="3">
        <f t="shared" si="184"/>
        <v>0</v>
      </c>
    </row>
    <row r="2355" spans="1:18" x14ac:dyDescent="0.25">
      <c r="A2355" t="s">
        <v>1872</v>
      </c>
      <c r="B2355" t="s">
        <v>1303</v>
      </c>
      <c r="C2355" t="s">
        <v>1316</v>
      </c>
      <c r="D2355" s="3">
        <f t="shared" si="185"/>
        <v>15.75</v>
      </c>
      <c r="E2355" t="s">
        <v>911</v>
      </c>
      <c r="F2355" t="s">
        <v>13</v>
      </c>
      <c r="G2355" t="str">
        <f t="shared" si="186"/>
        <v/>
      </c>
      <c r="H2355" t="s">
        <v>14</v>
      </c>
      <c r="I2355" t="s">
        <v>1873</v>
      </c>
      <c r="J2355" s="2">
        <f t="shared" si="187"/>
        <v>4400000</v>
      </c>
      <c r="K2355" t="s">
        <v>1874</v>
      </c>
      <c r="L2355">
        <f>M2355:M4695</f>
        <v>0</v>
      </c>
      <c r="N2355" t="s">
        <v>43</v>
      </c>
    </row>
    <row r="2356" spans="1:18" x14ac:dyDescent="0.25">
      <c r="A2356" t="s">
        <v>1829</v>
      </c>
      <c r="B2356" t="s">
        <v>1303</v>
      </c>
      <c r="C2356" t="s">
        <v>1396</v>
      </c>
      <c r="D2356" s="3">
        <f t="shared" si="185"/>
        <v>15</v>
      </c>
      <c r="E2356" t="s">
        <v>504</v>
      </c>
      <c r="F2356" t="s">
        <v>13</v>
      </c>
      <c r="G2356" t="str">
        <f t="shared" si="186"/>
        <v/>
      </c>
      <c r="H2356" t="s">
        <v>14</v>
      </c>
      <c r="I2356" t="s">
        <v>1830</v>
      </c>
      <c r="J2356" s="2">
        <f t="shared" si="187"/>
        <v>4500000</v>
      </c>
      <c r="K2356" t="s">
        <v>1831</v>
      </c>
      <c r="L2356">
        <f>M2356:M4696</f>
        <v>0</v>
      </c>
      <c r="N2356" t="s">
        <v>43</v>
      </c>
    </row>
    <row r="2357" spans="1:18" x14ac:dyDescent="0.25">
      <c r="A2357" t="s">
        <v>2487</v>
      </c>
      <c r="B2357" t="s">
        <v>2596</v>
      </c>
      <c r="C2357" t="s">
        <v>2053</v>
      </c>
      <c r="D2357" s="3">
        <f t="shared" si="185"/>
        <v>12</v>
      </c>
      <c r="E2357" t="s">
        <v>33</v>
      </c>
      <c r="F2357" t="s">
        <v>13</v>
      </c>
      <c r="G2357" t="str">
        <f t="shared" si="186"/>
        <v/>
      </c>
      <c r="H2357" t="s">
        <v>14</v>
      </c>
      <c r="I2357" t="s">
        <v>2178</v>
      </c>
      <c r="J2357" s="2">
        <f t="shared" si="187"/>
        <v>4500000</v>
      </c>
      <c r="K2357" t="s">
        <v>1831</v>
      </c>
      <c r="L2357">
        <f>M2357:M4697</f>
        <v>0.20833333333333334</v>
      </c>
      <c r="M2357" s="5">
        <v>0.20833333333333334</v>
      </c>
      <c r="N2357" t="s">
        <v>43</v>
      </c>
    </row>
    <row r="2358" spans="1:18" x14ac:dyDescent="0.25">
      <c r="I2358" t="s">
        <v>5861</v>
      </c>
      <c r="J2358" s="1" t="e">
        <f>MAX(J1:J2341)</f>
        <v>#REF!</v>
      </c>
    </row>
    <row r="2359" spans="1:18" x14ac:dyDescent="0.25">
      <c r="A2359" s="1"/>
      <c r="B2359" s="1"/>
      <c r="C2359" s="1"/>
      <c r="D2359" s="1">
        <f>COUNT(D6:D2358)</f>
        <v>2323</v>
      </c>
      <c r="E2359" s="1"/>
      <c r="F2359" s="1"/>
      <c r="G2359" s="1">
        <f>COUNT(G6:G2358)</f>
        <v>621</v>
      </c>
      <c r="H2359" s="1" t="s">
        <v>5850</v>
      </c>
      <c r="I2359" s="1" t="e">
        <f>COUNTBLANK(#REF!)</f>
        <v>#REF!</v>
      </c>
      <c r="J2359" s="1" t="b">
        <f>ISNUMBER(J2358)</f>
        <v>0</v>
      </c>
      <c r="K2359" s="1">
        <f>COUNT(K6:K2358)</f>
        <v>0</v>
      </c>
      <c r="L2359" s="1"/>
      <c r="M2359" s="1" t="b">
        <f>ISNUMBER(M2320)</f>
        <v>0</v>
      </c>
      <c r="N2359" s="1"/>
      <c r="O2359" s="2"/>
      <c r="P2359" s="1"/>
    </row>
  </sheetData>
  <sortState ref="A2:P2359">
    <sortCondition ref="J2:J235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97CAA4-12CA-4BDB-B435-FD1A75AAF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jawaban 1</vt:lpstr>
      <vt:lpstr>no.4</vt:lpstr>
      <vt:lpstr>no.5</vt:lpstr>
      <vt:lpstr>Sheet5</vt:lpstr>
      <vt:lpstr>Sheet2</vt:lpstr>
      <vt:lpstr>Jabodetabek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LOQ</dc:creator>
  <cp:lastModifiedBy>ANZ</cp:lastModifiedBy>
  <dcterms:created xsi:type="dcterms:W3CDTF">2015-06-05T18:17:20Z</dcterms:created>
  <dcterms:modified xsi:type="dcterms:W3CDTF">2026-09-28T05:57:09Z</dcterms:modified>
</cp:coreProperties>
</file>